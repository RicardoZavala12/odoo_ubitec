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odooUbitec\"/>
    </mc:Choice>
  </mc:AlternateContent>
  <xr:revisionPtr revIDLastSave="0" documentId="8_{D60D5012-DAEE-41B2-85FE-A2A7D2AD2A59}" xr6:coauthVersionLast="47" xr6:coauthVersionMax="47" xr10:uidLastSave="{00000000-0000-0000-0000-000000000000}"/>
  <bookViews>
    <workbookView showSheetTabs="0" xWindow="-110" yWindow="-110" windowWidth="19420" windowHeight="11500" tabRatio="594" firstSheet="3" xr2:uid="{00000000-000D-0000-FFFF-FFFF00000000}"/>
  </bookViews>
  <sheets>
    <sheet name="ENERO" sheetId="32" r:id="rId1"/>
    <sheet name="FEBRERO" sheetId="33" r:id="rId2"/>
    <sheet name="MARZO" sheetId="34" r:id="rId3"/>
    <sheet name="ABRIL" sheetId="35" r:id="rId4"/>
    <sheet name="MAYO" sheetId="36" r:id="rId5"/>
    <sheet name="FACTURAS" sheetId="2" r:id="rId6"/>
    <sheet name="FACTURA5" sheetId="17" r:id="rId7"/>
    <sheet name="REMISIONES" sheetId="6" r:id="rId8"/>
    <sheet name="PREPAGOS" sheetId="3" r:id="rId9"/>
    <sheet name="ANUALIDADES" sheetId="4" r:id="rId10"/>
    <sheet name="NUEVOS" sheetId="10" r:id="rId11"/>
    <sheet name="BAJAS " sheetId="5" r:id="rId12"/>
  </sheets>
  <externalReferences>
    <externalReference r:id="rId13"/>
  </externalReferences>
  <definedNames>
    <definedName name="_xlnm._FilterDatabase" localSheetId="3" hidden="1">ABRIL!$A$16:$BB$235</definedName>
    <definedName name="_xlnm._FilterDatabase" localSheetId="9" hidden="1">ANUALIDADES!$A$2:$L$98</definedName>
    <definedName name="_xlnm._FilterDatabase" localSheetId="11" hidden="1">'BAJAS '!$A$2:$I$91</definedName>
    <definedName name="_xlnm._FilterDatabase" localSheetId="0" hidden="1">ENERO!$A$16:$BC$214</definedName>
    <definedName name="_xlnm._FilterDatabase" localSheetId="6" hidden="1">FACTURA5!$A$1:$I$562</definedName>
    <definedName name="_xlnm._FilterDatabase" localSheetId="5" hidden="1">FACTURAS!$A$1:$Q$575</definedName>
    <definedName name="_xlnm._FilterDatabase" localSheetId="1" hidden="1">FEBRERO!$A$16:$AZ$213</definedName>
    <definedName name="_xlnm._FilterDatabase" localSheetId="2" hidden="1">MARZO!$A$16:$BC$217</definedName>
    <definedName name="_xlnm._FilterDatabase" localSheetId="4" hidden="1">MAYO!$A$16:$BC$226</definedName>
    <definedName name="_xlnm._FilterDatabase" localSheetId="10" hidden="1">NUEVOS!$A$2:$H$187</definedName>
    <definedName name="_xlnm._FilterDatabase" localSheetId="8" hidden="1">PREPAGOS!$A$2:$M$95</definedName>
    <definedName name="_xlnm._FilterDatabase" localSheetId="7" hidden="1">REMISIONES!$A$1:$I$459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215" i="36" l="1"/>
  <c r="AZ221" i="35"/>
  <c r="F445" i="6"/>
  <c r="F350" i="6"/>
  <c r="S210" i="36"/>
  <c r="BA210" i="36" s="1"/>
  <c r="S217" i="35"/>
  <c r="C350" i="6" s="1"/>
  <c r="C445" i="6" l="1"/>
  <c r="G445" i="6" s="1"/>
  <c r="AZ217" i="35"/>
  <c r="G350" i="6"/>
  <c r="F451" i="6"/>
  <c r="S217" i="36"/>
  <c r="F438" i="6"/>
  <c r="F343" i="6"/>
  <c r="S203" i="36"/>
  <c r="S210" i="35"/>
  <c r="C343" i="6" s="1"/>
  <c r="C451" i="6" l="1"/>
  <c r="G451" i="6" s="1"/>
  <c r="G343" i="6"/>
  <c r="AZ210" i="35"/>
  <c r="K203" i="36" s="1"/>
  <c r="F556" i="17"/>
  <c r="F438" i="17"/>
  <c r="S125" i="36"/>
  <c r="U127" i="35"/>
  <c r="T127" i="35"/>
  <c r="S127" i="35"/>
  <c r="L452" i="2"/>
  <c r="M452" i="2"/>
  <c r="F536" i="17"/>
  <c r="F417" i="17"/>
  <c r="S105" i="36"/>
  <c r="T109" i="35"/>
  <c r="P450" i="2"/>
  <c r="L451" i="2"/>
  <c r="M451" i="2" s="1"/>
  <c r="L450" i="2"/>
  <c r="M450" i="2" s="1"/>
  <c r="L449" i="2"/>
  <c r="M449" i="2" s="1"/>
  <c r="L448" i="2"/>
  <c r="M448" i="2" s="1"/>
  <c r="F458" i="6"/>
  <c r="F365" i="6"/>
  <c r="U225" i="36"/>
  <c r="Y225" i="36"/>
  <c r="Z225" i="36"/>
  <c r="AA225" i="36"/>
  <c r="AB225" i="36"/>
  <c r="AC225" i="36"/>
  <c r="AD225" i="36"/>
  <c r="AE225" i="36"/>
  <c r="AF225" i="36"/>
  <c r="AG225" i="36"/>
  <c r="AH225" i="36"/>
  <c r="AI225" i="36"/>
  <c r="AJ225" i="36"/>
  <c r="AK225" i="36"/>
  <c r="AL225" i="36"/>
  <c r="AM225" i="36"/>
  <c r="AN225" i="36"/>
  <c r="AO225" i="36"/>
  <c r="AP225" i="36"/>
  <c r="AQ225" i="36"/>
  <c r="AR225" i="36"/>
  <c r="AS225" i="36"/>
  <c r="AT225" i="36"/>
  <c r="AU225" i="36"/>
  <c r="AV225" i="36"/>
  <c r="AW225" i="36"/>
  <c r="AX225" i="36"/>
  <c r="AY225" i="36"/>
  <c r="AZ225" i="36"/>
  <c r="X225" i="36"/>
  <c r="W225" i="36"/>
  <c r="V225" i="36"/>
  <c r="E234" i="35"/>
  <c r="E225" i="36"/>
  <c r="AR234" i="35"/>
  <c r="AS234" i="35"/>
  <c r="S233" i="35"/>
  <c r="C365" i="6" s="1"/>
  <c r="C438" i="17" l="1"/>
  <c r="BA217" i="36"/>
  <c r="C438" i="6"/>
  <c r="G438" i="6" s="1"/>
  <c r="BA203" i="36"/>
  <c r="AZ127" i="35"/>
  <c r="K125" i="36" s="1"/>
  <c r="BA125" i="36" s="1"/>
  <c r="G438" i="17"/>
  <c r="G365" i="6"/>
  <c r="AZ233" i="35"/>
  <c r="F352" i="6"/>
  <c r="C352" i="6"/>
  <c r="F448" i="6"/>
  <c r="AZ219" i="35"/>
  <c r="K213" i="36" s="1"/>
  <c r="T106" i="35"/>
  <c r="S106" i="35"/>
  <c r="S218" i="36"/>
  <c r="S214" i="36"/>
  <c r="S118" i="36"/>
  <c r="S115" i="36"/>
  <c r="S114" i="36"/>
  <c r="S110" i="36"/>
  <c r="S103" i="36"/>
  <c r="T26" i="36"/>
  <c r="T18" i="36"/>
  <c r="T87" i="36"/>
  <c r="T113" i="36"/>
  <c r="T175" i="36"/>
  <c r="F472" i="17"/>
  <c r="C417" i="17" l="1"/>
  <c r="G417" i="17" s="1"/>
  <c r="C556" i="17"/>
  <c r="G556" i="17" s="1"/>
  <c r="T225" i="36"/>
  <c r="AZ106" i="35"/>
  <c r="G352" i="6"/>
  <c r="C448" i="6"/>
  <c r="G448" i="6" s="1"/>
  <c r="BA213" i="36"/>
  <c r="T187" i="35"/>
  <c r="K198" i="36" l="1"/>
  <c r="BA198" i="36" s="1"/>
  <c r="K105" i="3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9" i="6"/>
  <c r="F440" i="6"/>
  <c r="F441" i="6"/>
  <c r="F442" i="6"/>
  <c r="F443" i="6"/>
  <c r="F444" i="6"/>
  <c r="F446" i="6"/>
  <c r="F447" i="6"/>
  <c r="F449" i="6"/>
  <c r="F450" i="6"/>
  <c r="F452" i="6"/>
  <c r="F453" i="6"/>
  <c r="F454" i="6"/>
  <c r="F455" i="6"/>
  <c r="F456" i="6"/>
  <c r="F457" i="6"/>
  <c r="F370" i="6"/>
  <c r="F369" i="6"/>
  <c r="F368" i="6"/>
  <c r="F367" i="6"/>
  <c r="F452" i="17"/>
  <c r="F453" i="17"/>
  <c r="F454" i="17"/>
  <c r="F455" i="17"/>
  <c r="F456" i="17"/>
  <c r="F457" i="17"/>
  <c r="F458" i="17"/>
  <c r="F459" i="17"/>
  <c r="F460" i="17"/>
  <c r="F461" i="17"/>
  <c r="F462" i="17"/>
  <c r="F463" i="17"/>
  <c r="F464" i="17"/>
  <c r="F465" i="17"/>
  <c r="F466" i="17"/>
  <c r="F467" i="17"/>
  <c r="F468" i="17"/>
  <c r="F469" i="17"/>
  <c r="F470" i="17"/>
  <c r="F471"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7" i="17"/>
  <c r="F538" i="17"/>
  <c r="F539" i="17"/>
  <c r="F540" i="17"/>
  <c r="F541" i="17"/>
  <c r="F542" i="17"/>
  <c r="F543" i="17"/>
  <c r="F544" i="17"/>
  <c r="F545" i="17"/>
  <c r="F546" i="17"/>
  <c r="F547" i="17"/>
  <c r="F548" i="17"/>
  <c r="F549" i="17"/>
  <c r="F550" i="17"/>
  <c r="F551" i="17"/>
  <c r="F552" i="17"/>
  <c r="F553" i="17"/>
  <c r="F554" i="17"/>
  <c r="F555" i="17"/>
  <c r="F557" i="17"/>
  <c r="F558" i="17"/>
  <c r="F559" i="17"/>
  <c r="F560" i="17"/>
  <c r="F561" i="17"/>
  <c r="F451" i="17"/>
  <c r="F450" i="17"/>
  <c r="F449" i="17"/>
  <c r="F442" i="17"/>
  <c r="AZ143" i="35"/>
  <c r="K137" i="36" s="1"/>
  <c r="BA137" i="36" s="1"/>
  <c r="AZ183" i="35"/>
  <c r="AZ228" i="35"/>
  <c r="AZ229" i="35"/>
  <c r="S234" i="36"/>
  <c r="G234" i="36"/>
  <c r="S233" i="36"/>
  <c r="G233" i="36"/>
  <c r="G232" i="36"/>
  <c r="G231" i="36"/>
  <c r="G230" i="36"/>
  <c r="S229" i="36"/>
  <c r="G229" i="36"/>
  <c r="S228" i="36"/>
  <c r="G228" i="36"/>
  <c r="R225" i="36"/>
  <c r="S13" i="36" s="1"/>
  <c r="Q225" i="36"/>
  <c r="S12" i="36" s="1"/>
  <c r="P225" i="36"/>
  <c r="S11" i="36" s="1"/>
  <c r="O225" i="36"/>
  <c r="S10" i="36" s="1"/>
  <c r="N225" i="36"/>
  <c r="S9" i="36" s="1"/>
  <c r="M225" i="36"/>
  <c r="S8" i="36" s="1"/>
  <c r="L225" i="36"/>
  <c r="S7" i="36" s="1"/>
  <c r="S211" i="36"/>
  <c r="S223" i="36"/>
  <c r="G223" i="36"/>
  <c r="S220" i="36"/>
  <c r="G220" i="36"/>
  <c r="S219" i="36"/>
  <c r="G219" i="36"/>
  <c r="S216" i="36"/>
  <c r="G216" i="36"/>
  <c r="S212" i="36"/>
  <c r="S209" i="36"/>
  <c r="S208" i="36"/>
  <c r="G207" i="36"/>
  <c r="S206" i="36"/>
  <c r="G206" i="36"/>
  <c r="G205" i="36"/>
  <c r="S204" i="36"/>
  <c r="G204" i="36"/>
  <c r="S202" i="36"/>
  <c r="S201" i="36"/>
  <c r="S200" i="36"/>
  <c r="G200" i="36"/>
  <c r="S199" i="36"/>
  <c r="G199" i="36"/>
  <c r="S197" i="36"/>
  <c r="G197" i="36"/>
  <c r="S196" i="36"/>
  <c r="G196" i="36"/>
  <c r="S195" i="36"/>
  <c r="G195" i="36"/>
  <c r="S194" i="36"/>
  <c r="G194" i="36"/>
  <c r="S193" i="36"/>
  <c r="G193" i="36"/>
  <c r="S192" i="36"/>
  <c r="S191" i="36"/>
  <c r="S190" i="36"/>
  <c r="G190" i="36"/>
  <c r="S189" i="36"/>
  <c r="G189" i="36"/>
  <c r="G188" i="36"/>
  <c r="G187" i="36"/>
  <c r="S186" i="36"/>
  <c r="G186" i="36"/>
  <c r="S185" i="36"/>
  <c r="G185" i="36"/>
  <c r="S184" i="36"/>
  <c r="G184" i="36"/>
  <c r="S183" i="36"/>
  <c r="G183" i="36"/>
  <c r="S182" i="36"/>
  <c r="S181" i="36"/>
  <c r="G181" i="36"/>
  <c r="S180" i="36"/>
  <c r="G180" i="36"/>
  <c r="S179" i="36"/>
  <c r="S178" i="36"/>
  <c r="G178" i="36"/>
  <c r="S177" i="36"/>
  <c r="G177" i="36"/>
  <c r="S176" i="36"/>
  <c r="G176" i="36"/>
  <c r="S175" i="36"/>
  <c r="G175" i="36"/>
  <c r="S174" i="36"/>
  <c r="G174" i="36"/>
  <c r="S173" i="36"/>
  <c r="G173" i="36"/>
  <c r="S172" i="36"/>
  <c r="G172" i="36"/>
  <c r="S171" i="36"/>
  <c r="G171" i="36"/>
  <c r="S170" i="36"/>
  <c r="G170" i="36"/>
  <c r="G169" i="36"/>
  <c r="S168" i="36"/>
  <c r="S167" i="36"/>
  <c r="G167" i="36"/>
  <c r="S166" i="36"/>
  <c r="G166" i="36"/>
  <c r="G165" i="36"/>
  <c r="S164" i="36"/>
  <c r="G164" i="36"/>
  <c r="S163" i="36"/>
  <c r="G163" i="36"/>
  <c r="S162" i="36"/>
  <c r="G162" i="36"/>
  <c r="S160" i="36"/>
  <c r="G160" i="36"/>
  <c r="S159" i="36"/>
  <c r="G159" i="36"/>
  <c r="S158" i="36"/>
  <c r="G158" i="36"/>
  <c r="S157" i="36"/>
  <c r="G157" i="36"/>
  <c r="S156" i="36"/>
  <c r="G156" i="36"/>
  <c r="S155" i="36"/>
  <c r="G155" i="36"/>
  <c r="S154" i="36"/>
  <c r="G154" i="36"/>
  <c r="S153" i="36"/>
  <c r="G153" i="36"/>
  <c r="S152" i="36"/>
  <c r="G152" i="36"/>
  <c r="S151" i="36"/>
  <c r="G151" i="36"/>
  <c r="S150" i="36"/>
  <c r="G150" i="36"/>
  <c r="S149" i="36"/>
  <c r="G149" i="36"/>
  <c r="S148" i="36"/>
  <c r="G148" i="36"/>
  <c r="S147" i="36"/>
  <c r="G147" i="36"/>
  <c r="S146" i="36"/>
  <c r="G146" i="36"/>
  <c r="S145" i="36"/>
  <c r="S144" i="36"/>
  <c r="G144" i="36"/>
  <c r="S143" i="36"/>
  <c r="S142" i="36"/>
  <c r="G142" i="36"/>
  <c r="S141" i="36"/>
  <c r="G141" i="36"/>
  <c r="S140" i="36"/>
  <c r="G140" i="36"/>
  <c r="S139" i="36"/>
  <c r="G139" i="36"/>
  <c r="S138" i="36"/>
  <c r="S136" i="36"/>
  <c r="G136" i="36"/>
  <c r="S135" i="36"/>
  <c r="G135" i="36"/>
  <c r="S134" i="36"/>
  <c r="G134" i="36"/>
  <c r="S133" i="36"/>
  <c r="G133" i="36"/>
  <c r="S132" i="36"/>
  <c r="G132" i="36"/>
  <c r="S131" i="36"/>
  <c r="G131" i="36"/>
  <c r="S130" i="36"/>
  <c r="G130" i="36"/>
  <c r="G128" i="36"/>
  <c r="S127" i="36"/>
  <c r="S126" i="36"/>
  <c r="S124" i="36"/>
  <c r="G124" i="36"/>
  <c r="S123" i="36"/>
  <c r="G123" i="36"/>
  <c r="S122" i="36"/>
  <c r="S121" i="36"/>
  <c r="S120" i="36"/>
  <c r="S119" i="36"/>
  <c r="G119" i="36"/>
  <c r="S117" i="36"/>
  <c r="S116" i="36"/>
  <c r="G116" i="36"/>
  <c r="S113" i="36"/>
  <c r="G113" i="36"/>
  <c r="S112" i="36"/>
  <c r="G112" i="36"/>
  <c r="G111" i="36"/>
  <c r="S109" i="36"/>
  <c r="G109" i="36"/>
  <c r="S108" i="36"/>
  <c r="S107" i="36"/>
  <c r="G107" i="36"/>
  <c r="S106" i="36"/>
  <c r="G106" i="36"/>
  <c r="S104" i="36"/>
  <c r="S102" i="36"/>
  <c r="G102" i="36"/>
  <c r="S101" i="36"/>
  <c r="G101" i="36"/>
  <c r="S100" i="36"/>
  <c r="S99" i="36"/>
  <c r="G99" i="36"/>
  <c r="S98" i="36"/>
  <c r="S97" i="36"/>
  <c r="G97" i="36"/>
  <c r="S96" i="36"/>
  <c r="G96" i="36"/>
  <c r="S95" i="36"/>
  <c r="S94" i="36"/>
  <c r="G94" i="36"/>
  <c r="S93" i="36"/>
  <c r="G93" i="36"/>
  <c r="S92" i="36"/>
  <c r="G92" i="36"/>
  <c r="S91" i="36"/>
  <c r="G91" i="36"/>
  <c r="S90" i="36"/>
  <c r="G90" i="36"/>
  <c r="S89" i="36"/>
  <c r="G89" i="36"/>
  <c r="S88" i="36"/>
  <c r="G88" i="36"/>
  <c r="S87" i="36"/>
  <c r="G87" i="36"/>
  <c r="S86" i="36"/>
  <c r="S85" i="36"/>
  <c r="G85" i="36"/>
  <c r="S84" i="36"/>
  <c r="G84" i="36"/>
  <c r="S83" i="36"/>
  <c r="G83" i="36"/>
  <c r="S82" i="36"/>
  <c r="G82" i="36"/>
  <c r="S81" i="36"/>
  <c r="G81" i="36"/>
  <c r="S80" i="36"/>
  <c r="G80" i="36"/>
  <c r="S79" i="36"/>
  <c r="G79" i="36"/>
  <c r="S78" i="36"/>
  <c r="G78" i="36"/>
  <c r="S77" i="36"/>
  <c r="S76" i="36"/>
  <c r="G76" i="36"/>
  <c r="S75" i="36"/>
  <c r="G75" i="36"/>
  <c r="S74" i="36"/>
  <c r="G74" i="36"/>
  <c r="S73" i="36"/>
  <c r="G73" i="36"/>
  <c r="S72" i="36"/>
  <c r="G72" i="36"/>
  <c r="S71" i="36"/>
  <c r="G71" i="36"/>
  <c r="G70" i="36"/>
  <c r="S69" i="36"/>
  <c r="G69" i="36"/>
  <c r="S68" i="36"/>
  <c r="G68" i="36"/>
  <c r="S67" i="36"/>
  <c r="G67" i="36"/>
  <c r="S66" i="36"/>
  <c r="G66" i="36"/>
  <c r="S65" i="36"/>
  <c r="G65" i="36"/>
  <c r="S64" i="36"/>
  <c r="G64" i="36"/>
  <c r="S63" i="36"/>
  <c r="G63" i="36"/>
  <c r="S62" i="36"/>
  <c r="G62" i="36"/>
  <c r="S61" i="36"/>
  <c r="G61" i="36"/>
  <c r="S60" i="36"/>
  <c r="G60" i="36"/>
  <c r="S59" i="36"/>
  <c r="G59" i="36"/>
  <c r="S58" i="36"/>
  <c r="S57" i="36"/>
  <c r="G57" i="36"/>
  <c r="S56" i="36"/>
  <c r="G56" i="36"/>
  <c r="S55" i="36"/>
  <c r="G55" i="36"/>
  <c r="S54" i="36"/>
  <c r="G54" i="36"/>
  <c r="S53" i="36"/>
  <c r="G53" i="36"/>
  <c r="S52" i="36"/>
  <c r="G52" i="36"/>
  <c r="S51" i="36"/>
  <c r="G51" i="36"/>
  <c r="S50" i="36"/>
  <c r="S49" i="36"/>
  <c r="G49" i="36"/>
  <c r="S48" i="36"/>
  <c r="G48" i="36"/>
  <c r="G47" i="36"/>
  <c r="G46" i="36"/>
  <c r="S45" i="36"/>
  <c r="G45" i="36"/>
  <c r="S44" i="36"/>
  <c r="S43" i="36"/>
  <c r="G43" i="36"/>
  <c r="S42" i="36"/>
  <c r="G42" i="36"/>
  <c r="S41" i="36"/>
  <c r="G41" i="36"/>
  <c r="S40" i="36"/>
  <c r="G40" i="36"/>
  <c r="S39" i="36"/>
  <c r="G39" i="36"/>
  <c r="S38" i="36"/>
  <c r="G38" i="36"/>
  <c r="S37" i="36"/>
  <c r="G37" i="36"/>
  <c r="S36" i="36"/>
  <c r="G36" i="36"/>
  <c r="S35" i="36"/>
  <c r="G35" i="36"/>
  <c r="S34" i="36"/>
  <c r="G34" i="36"/>
  <c r="S33" i="36"/>
  <c r="G33" i="36"/>
  <c r="S32" i="36"/>
  <c r="G32" i="36"/>
  <c r="S31" i="36"/>
  <c r="G31" i="36"/>
  <c r="S30" i="36"/>
  <c r="G30" i="36"/>
  <c r="S29" i="36"/>
  <c r="G29" i="36"/>
  <c r="S28" i="36"/>
  <c r="G28" i="36"/>
  <c r="S27" i="36"/>
  <c r="G27" i="36"/>
  <c r="S26" i="36"/>
  <c r="G26" i="36"/>
  <c r="S25" i="36"/>
  <c r="G25" i="36"/>
  <c r="S24" i="36"/>
  <c r="G24" i="36"/>
  <c r="S23" i="36"/>
  <c r="G23" i="36"/>
  <c r="S22" i="36"/>
  <c r="G22" i="36"/>
  <c r="S21" i="36"/>
  <c r="G21" i="36"/>
  <c r="S20" i="36"/>
  <c r="G20" i="36"/>
  <c r="S19" i="36"/>
  <c r="G19" i="36"/>
  <c r="S18" i="36"/>
  <c r="G18" i="36"/>
  <c r="T124" i="35"/>
  <c r="S124" i="35"/>
  <c r="AZ124" i="35" s="1"/>
  <c r="K122" i="36" s="1"/>
  <c r="F420" i="17"/>
  <c r="S109" i="35"/>
  <c r="C536" i="17" l="1"/>
  <c r="G536" i="17" s="1"/>
  <c r="BA105" i="36"/>
  <c r="S225" i="36"/>
  <c r="D5" i="36" s="1"/>
  <c r="F459" i="6"/>
  <c r="AZ109" i="35"/>
  <c r="K108" i="36" s="1"/>
  <c r="BA108" i="36" s="1"/>
  <c r="C420" i="17"/>
  <c r="G420" i="17" s="1"/>
  <c r="C553" i="17"/>
  <c r="G553" i="17" s="1"/>
  <c r="D6" i="36"/>
  <c r="C373" i="6"/>
  <c r="G373" i="6" s="1"/>
  <c r="F562" i="17"/>
  <c r="BA122" i="36"/>
  <c r="D7" i="36"/>
  <c r="D8" i="36"/>
  <c r="D9" i="36"/>
  <c r="D10" i="36"/>
  <c r="G225" i="36"/>
  <c r="S2" i="36" s="1"/>
  <c r="F435" i="17"/>
  <c r="C435" i="17"/>
  <c r="P368" i="2"/>
  <c r="L447" i="2"/>
  <c r="M447" i="2" s="1"/>
  <c r="L446" i="2"/>
  <c r="M446" i="2" s="1"/>
  <c r="AP207" i="35"/>
  <c r="P575" i="2"/>
  <c r="K575" i="2"/>
  <c r="J575" i="2"/>
  <c r="C539" i="17" l="1"/>
  <c r="G539" i="17" s="1"/>
  <c r="G435" i="17"/>
  <c r="D13" i="36"/>
  <c r="H97" i="4"/>
  <c r="I97" i="4" s="1"/>
  <c r="F430" i="17" l="1"/>
  <c r="S119" i="35"/>
  <c r="L445" i="2"/>
  <c r="M445" i="2" s="1"/>
  <c r="F341" i="6"/>
  <c r="S208" i="35"/>
  <c r="C430" i="17" l="1"/>
  <c r="AZ119" i="35"/>
  <c r="K117" i="36" s="1"/>
  <c r="C341" i="6"/>
  <c r="G341" i="6" s="1"/>
  <c r="AZ208" i="35"/>
  <c r="K201" i="36" s="1"/>
  <c r="G430" i="17"/>
  <c r="AJ130" i="35"/>
  <c r="L441" i="2"/>
  <c r="M441" i="2" s="1"/>
  <c r="C436" i="6" l="1"/>
  <c r="G436" i="6" s="1"/>
  <c r="BA201" i="36"/>
  <c r="C548" i="17"/>
  <c r="G548" i="17" s="1"/>
  <c r="BA117" i="36"/>
  <c r="L440" i="2"/>
  <c r="M440" i="2" s="1"/>
  <c r="L439" i="2"/>
  <c r="M439" i="2" s="1"/>
  <c r="T131" i="35"/>
  <c r="H96" i="4"/>
  <c r="I96" i="4" s="1"/>
  <c r="T130" i="35"/>
  <c r="T44" i="35"/>
  <c r="F364" i="6"/>
  <c r="AJ234" i="35"/>
  <c r="AK234" i="35"/>
  <c r="AL234" i="35"/>
  <c r="AM234" i="35"/>
  <c r="AN234" i="35"/>
  <c r="AO234" i="35"/>
  <c r="AP234" i="35"/>
  <c r="AQ234" i="35"/>
  <c r="AT234" i="35"/>
  <c r="AU234" i="35"/>
  <c r="AV234" i="35"/>
  <c r="AW234" i="35"/>
  <c r="AX234" i="35"/>
  <c r="AY234" i="35"/>
  <c r="AI234" i="35"/>
  <c r="S232" i="35"/>
  <c r="T107" i="35"/>
  <c r="S226" i="35"/>
  <c r="AZ226" i="35" s="1"/>
  <c r="K221" i="36" s="1"/>
  <c r="BA221" i="36" l="1"/>
  <c r="C455" i="6"/>
  <c r="G455" i="6" s="1"/>
  <c r="C442" i="17"/>
  <c r="G442" i="17" s="1"/>
  <c r="AZ131" i="35"/>
  <c r="K129" i="36" s="1"/>
  <c r="C364" i="6"/>
  <c r="AZ232" i="35"/>
  <c r="G364" i="6"/>
  <c r="J98" i="3"/>
  <c r="F362" i="6"/>
  <c r="T230" i="35"/>
  <c r="AZ230" i="35" s="1"/>
  <c r="F446" i="17"/>
  <c r="T135" i="35"/>
  <c r="AZ135" i="35" s="1"/>
  <c r="L438" i="2"/>
  <c r="M438" i="2" s="1"/>
  <c r="C362" i="6" l="1"/>
  <c r="BA129" i="36"/>
  <c r="C560" i="17"/>
  <c r="G560" i="17" s="1"/>
  <c r="C446" i="17"/>
  <c r="G446" i="17" s="1"/>
  <c r="K211" i="36"/>
  <c r="C446" i="6" s="1"/>
  <c r="G446" i="6" s="1"/>
  <c r="K224" i="36"/>
  <c r="G362" i="6"/>
  <c r="F320" i="6"/>
  <c r="S187" i="35"/>
  <c r="BA211" i="36" l="1"/>
  <c r="BA224" i="36"/>
  <c r="C458" i="6"/>
  <c r="G458" i="6" s="1"/>
  <c r="C320" i="6"/>
  <c r="G320" i="6" s="1"/>
  <c r="AZ187" i="35"/>
  <c r="K179" i="36" s="1"/>
  <c r="F276" i="6"/>
  <c r="C276" i="6"/>
  <c r="L437" i="2"/>
  <c r="M437" i="2" s="1"/>
  <c r="P397" i="2"/>
  <c r="AD86" i="35"/>
  <c r="C415" i="6" l="1"/>
  <c r="BA179" i="36"/>
  <c r="G276" i="6"/>
  <c r="T151" i="35"/>
  <c r="S151" i="35"/>
  <c r="F443" i="17"/>
  <c r="T132" i="35"/>
  <c r="AZ132" i="35" s="1"/>
  <c r="AZ151" i="35" l="1"/>
  <c r="K145" i="36" s="1"/>
  <c r="C381" i="6" s="1"/>
  <c r="G381" i="6" s="1"/>
  <c r="G415" i="6"/>
  <c r="C443" i="17"/>
  <c r="G443" i="17" s="1"/>
  <c r="F416" i="17"/>
  <c r="T105" i="35"/>
  <c r="S105" i="35"/>
  <c r="L436" i="2"/>
  <c r="M436" i="2" s="1"/>
  <c r="L435" i="2"/>
  <c r="M435" i="2" s="1"/>
  <c r="L434" i="2"/>
  <c r="M434" i="2" s="1"/>
  <c r="L433" i="2"/>
  <c r="M433" i="2" s="1"/>
  <c r="H95" i="4"/>
  <c r="I95" i="4" s="1"/>
  <c r="T86" i="35"/>
  <c r="T68" i="35"/>
  <c r="T141" i="35"/>
  <c r="T110" i="35"/>
  <c r="F284" i="6"/>
  <c r="BA145" i="36" l="1"/>
  <c r="C284" i="6"/>
  <c r="G284" i="6" s="1"/>
  <c r="F333" i="6"/>
  <c r="S200" i="35"/>
  <c r="L431" i="2"/>
  <c r="M431" i="2" s="1"/>
  <c r="C333" i="6" l="1"/>
  <c r="AZ200" i="35"/>
  <c r="K192" i="36" s="1"/>
  <c r="G333" i="6"/>
  <c r="F358" i="6"/>
  <c r="C358" i="6"/>
  <c r="G93" i="4"/>
  <c r="H93" i="4" s="1"/>
  <c r="I93" i="4" s="1"/>
  <c r="F445" i="17"/>
  <c r="S134" i="35"/>
  <c r="AZ134" i="35" s="1"/>
  <c r="F360" i="6"/>
  <c r="C360" i="6"/>
  <c r="F361" i="6"/>
  <c r="C361" i="6"/>
  <c r="BA192" i="36" l="1"/>
  <c r="C428" i="6"/>
  <c r="G428" i="6" s="1"/>
  <c r="G358" i="6"/>
  <c r="C445" i="17"/>
  <c r="G445" i="17" s="1"/>
  <c r="G361" i="6"/>
  <c r="G360" i="6"/>
  <c r="P362" i="2"/>
  <c r="L428" i="2"/>
  <c r="M428" i="2" s="1"/>
  <c r="L429" i="2"/>
  <c r="M429" i="2" s="1"/>
  <c r="L430" i="2"/>
  <c r="M430" i="2" s="1"/>
  <c r="L432" i="2"/>
  <c r="M432" i="2" s="1"/>
  <c r="L442" i="2"/>
  <c r="M442" i="2" s="1"/>
  <c r="L443" i="2"/>
  <c r="M443" i="2" s="1"/>
  <c r="L444" i="2"/>
  <c r="M444" i="2" s="1"/>
  <c r="K427" i="2"/>
  <c r="L427" i="2" s="1"/>
  <c r="M427" i="2" s="1"/>
  <c r="L426" i="2"/>
  <c r="M426" i="2" s="1"/>
  <c r="L425" i="2"/>
  <c r="M425" i="2" s="1"/>
  <c r="L424" i="2"/>
  <c r="M424" i="2" s="1"/>
  <c r="L423" i="2"/>
  <c r="M423" i="2" s="1"/>
  <c r="L422" i="2"/>
  <c r="M422" i="2" s="1"/>
  <c r="L421" i="2"/>
  <c r="M421" i="2" s="1"/>
  <c r="L420" i="2"/>
  <c r="M420" i="2" s="1"/>
  <c r="L419" i="2"/>
  <c r="M419" i="2" s="1"/>
  <c r="L418" i="2"/>
  <c r="M418" i="2" s="1"/>
  <c r="L417" i="2"/>
  <c r="M417" i="2" s="1"/>
  <c r="L416" i="2"/>
  <c r="M416" i="2" s="1"/>
  <c r="L415" i="2"/>
  <c r="M415" i="2" s="1"/>
  <c r="L414" i="2"/>
  <c r="M414" i="2" s="1"/>
  <c r="L413" i="2"/>
  <c r="M413" i="2" s="1"/>
  <c r="L412" i="2"/>
  <c r="M412" i="2" s="1"/>
  <c r="L411" i="2"/>
  <c r="M411" i="2" s="1"/>
  <c r="L410" i="2"/>
  <c r="M410" i="2" s="1"/>
  <c r="L409" i="2"/>
  <c r="M409" i="2" s="1"/>
  <c r="L408" i="2"/>
  <c r="M408" i="2" s="1"/>
  <c r="L407" i="2"/>
  <c r="M407" i="2" s="1"/>
  <c r="L406" i="2"/>
  <c r="M406" i="2" s="1"/>
  <c r="L405" i="2"/>
  <c r="M405" i="2" s="1"/>
  <c r="L404" i="2"/>
  <c r="M404" i="2" s="1"/>
  <c r="L403" i="2"/>
  <c r="M403" i="2" s="1"/>
  <c r="L402" i="2"/>
  <c r="M402" i="2" s="1"/>
  <c r="L401" i="2"/>
  <c r="M401" i="2" s="1"/>
  <c r="L400" i="2"/>
  <c r="M400" i="2" s="1"/>
  <c r="L399" i="2"/>
  <c r="M399" i="2" s="1"/>
  <c r="L398" i="2"/>
  <c r="M398" i="2" s="1"/>
  <c r="L397" i="2"/>
  <c r="M397" i="2" s="1"/>
  <c r="L396" i="2"/>
  <c r="M396" i="2" s="1"/>
  <c r="L395" i="2"/>
  <c r="M395" i="2" s="1"/>
  <c r="L394" i="2"/>
  <c r="M394" i="2" s="1"/>
  <c r="L393" i="2"/>
  <c r="M393" i="2" s="1"/>
  <c r="L392" i="2"/>
  <c r="M392" i="2" s="1"/>
  <c r="L391" i="2"/>
  <c r="M391" i="2" s="1"/>
  <c r="L390" i="2" l="1"/>
  <c r="M390" i="2" s="1"/>
  <c r="L389" i="2"/>
  <c r="M389" i="2" s="1"/>
  <c r="L388" i="2"/>
  <c r="M388" i="2" s="1"/>
  <c r="L387" i="2"/>
  <c r="M387" i="2" s="1"/>
  <c r="L386" i="2"/>
  <c r="M386" i="2" s="1"/>
  <c r="L385" i="2"/>
  <c r="M385" i="2" s="1"/>
  <c r="L384" i="2"/>
  <c r="M384" i="2" s="1"/>
  <c r="L383" i="2"/>
  <c r="M383" i="2" s="1"/>
  <c r="L382" i="2"/>
  <c r="M382" i="2" s="1"/>
  <c r="L381" i="2"/>
  <c r="M381" i="2" s="1"/>
  <c r="L380" i="2"/>
  <c r="M380" i="2" s="1"/>
  <c r="L379" i="2"/>
  <c r="M379" i="2" s="1"/>
  <c r="L378" i="2"/>
  <c r="M378" i="2" s="1"/>
  <c r="L377" i="2"/>
  <c r="M377" i="2" s="1"/>
  <c r="L376" i="2"/>
  <c r="M376" i="2" s="1"/>
  <c r="L375" i="2"/>
  <c r="M375" i="2" s="1"/>
  <c r="L374" i="2"/>
  <c r="M374" i="2" s="1"/>
  <c r="L373" i="2"/>
  <c r="M373" i="2" s="1"/>
  <c r="L372" i="2"/>
  <c r="M372" i="2" s="1"/>
  <c r="L371" i="2"/>
  <c r="M371" i="2" s="1"/>
  <c r="L370" i="2"/>
  <c r="M370" i="2" s="1"/>
  <c r="L369" i="2"/>
  <c r="M369" i="2" s="1"/>
  <c r="L368" i="2"/>
  <c r="M368" i="2" s="1"/>
  <c r="L367" i="2"/>
  <c r="M367" i="2" s="1"/>
  <c r="L366" i="2"/>
  <c r="M366" i="2" s="1"/>
  <c r="L365" i="2"/>
  <c r="M365" i="2" s="1"/>
  <c r="L364" i="2"/>
  <c r="M364" i="2" s="1"/>
  <c r="L363" i="2"/>
  <c r="M363" i="2" s="1"/>
  <c r="L362" i="2"/>
  <c r="M362" i="2" s="1"/>
  <c r="L361" i="2"/>
  <c r="M361" i="2" s="1"/>
  <c r="L360" i="2"/>
  <c r="M360" i="2" s="1"/>
  <c r="L359" i="2"/>
  <c r="M359" i="2" s="1"/>
  <c r="L358" i="2"/>
  <c r="M358" i="2" s="1"/>
  <c r="L357" i="2"/>
  <c r="M357" i="2" s="1"/>
  <c r="L356" i="2"/>
  <c r="M356" i="2" s="1"/>
  <c r="L355" i="2"/>
  <c r="M355" i="2" s="1"/>
  <c r="L354" i="2"/>
  <c r="M354" i="2" s="1"/>
  <c r="L353" i="2"/>
  <c r="M353" i="2" s="1"/>
  <c r="L352" i="2"/>
  <c r="M352" i="2" s="1"/>
  <c r="L331" i="2"/>
  <c r="M331" i="2" s="1"/>
  <c r="L332" i="2"/>
  <c r="M332" i="2" s="1"/>
  <c r="L333" i="2"/>
  <c r="M333" i="2" s="1"/>
  <c r="L334" i="2"/>
  <c r="M334" i="2" s="1"/>
  <c r="L335" i="2"/>
  <c r="M335" i="2" s="1"/>
  <c r="L336" i="2"/>
  <c r="M336" i="2" s="1"/>
  <c r="L337" i="2"/>
  <c r="M337" i="2" s="1"/>
  <c r="L338" i="2"/>
  <c r="M338" i="2" s="1"/>
  <c r="L339" i="2"/>
  <c r="M339" i="2" s="1"/>
  <c r="L340" i="2"/>
  <c r="M340" i="2" s="1"/>
  <c r="L341" i="2"/>
  <c r="M341" i="2" s="1"/>
  <c r="L342" i="2"/>
  <c r="M342" i="2" s="1"/>
  <c r="L343" i="2"/>
  <c r="M343" i="2" s="1"/>
  <c r="L454" i="2"/>
  <c r="L344" i="2"/>
  <c r="M344" i="2" s="1"/>
  <c r="L345" i="2"/>
  <c r="M345" i="2" s="1"/>
  <c r="L346" i="2"/>
  <c r="M346" i="2" s="1"/>
  <c r="L347" i="2"/>
  <c r="M347" i="2" s="1"/>
  <c r="L348" i="2"/>
  <c r="M348" i="2" s="1"/>
  <c r="L349" i="2"/>
  <c r="M349" i="2" s="1"/>
  <c r="L350" i="2"/>
  <c r="M350" i="2" s="1"/>
  <c r="L351" i="2"/>
  <c r="M351" i="2" s="1"/>
  <c r="L330" i="2"/>
  <c r="M330" i="2" s="1"/>
  <c r="T55" i="35"/>
  <c r="M453" i="2" l="1"/>
  <c r="M454" i="2"/>
  <c r="M575" i="2" s="1"/>
  <c r="L575" i="2"/>
  <c r="K329" i="2"/>
  <c r="T56" i="35"/>
  <c r="S223" i="35"/>
  <c r="S218" i="35"/>
  <c r="S154" i="35"/>
  <c r="S128" i="35"/>
  <c r="S120" i="35"/>
  <c r="S116" i="35"/>
  <c r="S115" i="35"/>
  <c r="S111" i="35"/>
  <c r="T101" i="35"/>
  <c r="T58" i="35"/>
  <c r="T31" i="35"/>
  <c r="S31" i="35"/>
  <c r="T50" i="35"/>
  <c r="T81" i="35"/>
  <c r="U129" i="35" l="1"/>
  <c r="T129" i="35"/>
  <c r="S129" i="35"/>
  <c r="T45" i="35"/>
  <c r="T77" i="35"/>
  <c r="T18" i="35"/>
  <c r="T35" i="35"/>
  <c r="T42" i="35"/>
  <c r="AZ113" i="34"/>
  <c r="F415" i="17"/>
  <c r="F303" i="17"/>
  <c r="T107" i="34"/>
  <c r="BA107" i="34" s="1"/>
  <c r="S107" i="34"/>
  <c r="L328" i="2"/>
  <c r="M328" i="2" s="1"/>
  <c r="L327" i="2"/>
  <c r="M327" i="2" s="1"/>
  <c r="F325" i="17"/>
  <c r="T129" i="34"/>
  <c r="C325" i="17" s="1"/>
  <c r="F315" i="17"/>
  <c r="F431" i="17"/>
  <c r="T119" i="34"/>
  <c r="S119" i="34"/>
  <c r="F355" i="6"/>
  <c r="F262" i="6"/>
  <c r="T209" i="34"/>
  <c r="S209" i="34"/>
  <c r="BA209" i="34" l="1"/>
  <c r="C315" i="17"/>
  <c r="J104" i="35"/>
  <c r="AZ104" i="35" s="1"/>
  <c r="K103" i="36" s="1"/>
  <c r="C534" i="17" s="1"/>
  <c r="G534" i="17" s="1"/>
  <c r="J103" i="36"/>
  <c r="C262" i="6"/>
  <c r="BA129" i="34"/>
  <c r="C303" i="17"/>
  <c r="G303" i="17" s="1"/>
  <c r="J223" i="35"/>
  <c r="C355" i="6" s="1"/>
  <c r="G355" i="6" s="1"/>
  <c r="J218" i="36"/>
  <c r="T234" i="35"/>
  <c r="C415" i="17"/>
  <c r="G415" i="17" s="1"/>
  <c r="G325" i="17"/>
  <c r="G315" i="17"/>
  <c r="BA119" i="34"/>
  <c r="G262" i="6"/>
  <c r="L326" i="2"/>
  <c r="M326" i="2" s="1"/>
  <c r="AZ223" i="35" l="1"/>
  <c r="K218" i="36" s="1"/>
  <c r="BA103" i="36"/>
  <c r="J105" i="35"/>
  <c r="J104" i="36"/>
  <c r="J120" i="35"/>
  <c r="AZ120" i="35" s="1"/>
  <c r="K118" i="36" s="1"/>
  <c r="C549" i="17" s="1"/>
  <c r="G549" i="17" s="1"/>
  <c r="J118" i="36"/>
  <c r="C452" i="6"/>
  <c r="G452" i="6" s="1"/>
  <c r="BA218" i="36"/>
  <c r="P453" i="2"/>
  <c r="K453" i="2"/>
  <c r="J453" i="2"/>
  <c r="L453" i="2"/>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8" i="17"/>
  <c r="F419" i="17"/>
  <c r="F421" i="17"/>
  <c r="F422" i="17"/>
  <c r="F423" i="17"/>
  <c r="F424" i="17"/>
  <c r="F425" i="17"/>
  <c r="F426" i="17"/>
  <c r="F427" i="17"/>
  <c r="F428" i="17"/>
  <c r="F429" i="17"/>
  <c r="F432" i="17"/>
  <c r="F433" i="17"/>
  <c r="F434" i="17"/>
  <c r="F436" i="17"/>
  <c r="F437" i="17"/>
  <c r="F439" i="17"/>
  <c r="F440" i="17"/>
  <c r="F441" i="17"/>
  <c r="F444" i="17"/>
  <c r="F447" i="17"/>
  <c r="F331" i="17"/>
  <c r="F330" i="17"/>
  <c r="F329" i="17"/>
  <c r="F273" i="6"/>
  <c r="F274" i="6"/>
  <c r="F275" i="6"/>
  <c r="F277" i="6"/>
  <c r="F278" i="6"/>
  <c r="F279" i="6"/>
  <c r="F280" i="6"/>
  <c r="F281" i="6"/>
  <c r="F282" i="6"/>
  <c r="F283"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1" i="6"/>
  <c r="F322" i="6"/>
  <c r="F323" i="6"/>
  <c r="F324" i="6"/>
  <c r="F325" i="6"/>
  <c r="F326" i="6"/>
  <c r="F327" i="6"/>
  <c r="F328" i="6"/>
  <c r="F329" i="6"/>
  <c r="F330" i="6"/>
  <c r="F331" i="6"/>
  <c r="F332" i="6"/>
  <c r="F334" i="6"/>
  <c r="F335" i="6"/>
  <c r="F336" i="6"/>
  <c r="F337" i="6"/>
  <c r="F338" i="6"/>
  <c r="F339" i="6"/>
  <c r="F340" i="6"/>
  <c r="F342" i="6"/>
  <c r="F344" i="6"/>
  <c r="F345" i="6"/>
  <c r="F346" i="6"/>
  <c r="F347" i="6"/>
  <c r="F348" i="6"/>
  <c r="F349" i="6"/>
  <c r="F351" i="6"/>
  <c r="F353" i="6"/>
  <c r="F354" i="6"/>
  <c r="F356" i="6"/>
  <c r="F357" i="6"/>
  <c r="F359" i="6"/>
  <c r="F363" i="6"/>
  <c r="F272" i="6"/>
  <c r="F270" i="6"/>
  <c r="F271" i="6"/>
  <c r="L234" i="35"/>
  <c r="S7" i="35" s="1"/>
  <c r="M234" i="35"/>
  <c r="S8" i="35" s="1"/>
  <c r="N234" i="35"/>
  <c r="S9" i="35" s="1"/>
  <c r="O234" i="35"/>
  <c r="S10" i="35" s="1"/>
  <c r="P234" i="35"/>
  <c r="S11" i="35" s="1"/>
  <c r="Q234" i="35"/>
  <c r="S12" i="35" s="1"/>
  <c r="R234" i="35"/>
  <c r="S13" i="35" s="1"/>
  <c r="K234" i="35"/>
  <c r="S6" i="35" s="1"/>
  <c r="T211" i="33"/>
  <c r="S243" i="35"/>
  <c r="G243" i="35"/>
  <c r="S242" i="35"/>
  <c r="G242" i="35"/>
  <c r="G241" i="35"/>
  <c r="G240" i="35"/>
  <c r="G239" i="35"/>
  <c r="AH234" i="35"/>
  <c r="AG234" i="35"/>
  <c r="AF234" i="35"/>
  <c r="AE234" i="35"/>
  <c r="AD234" i="35"/>
  <c r="AC234" i="35"/>
  <c r="AB234" i="35"/>
  <c r="AA234" i="35"/>
  <c r="Z234" i="35"/>
  <c r="Y234" i="35"/>
  <c r="X234" i="35"/>
  <c r="W234" i="35"/>
  <c r="V234" i="35"/>
  <c r="S231" i="35"/>
  <c r="G231" i="35"/>
  <c r="S225" i="35"/>
  <c r="G225" i="35"/>
  <c r="S224" i="35"/>
  <c r="G224" i="35"/>
  <c r="S222" i="35"/>
  <c r="G222" i="35"/>
  <c r="S216" i="35"/>
  <c r="S215" i="35"/>
  <c r="G214" i="35"/>
  <c r="S213" i="35"/>
  <c r="G213" i="35"/>
  <c r="G212" i="35"/>
  <c r="S211" i="35"/>
  <c r="G211" i="35"/>
  <c r="S209" i="35"/>
  <c r="S207" i="35"/>
  <c r="G207" i="35"/>
  <c r="S206" i="35"/>
  <c r="G206" i="35"/>
  <c r="S205" i="35"/>
  <c r="G205" i="35"/>
  <c r="S204" i="35"/>
  <c r="G204" i="35"/>
  <c r="S203" i="35"/>
  <c r="G203" i="35"/>
  <c r="S202" i="35"/>
  <c r="G202" i="35"/>
  <c r="S201" i="35"/>
  <c r="G201" i="35"/>
  <c r="S199" i="35"/>
  <c r="S198" i="35"/>
  <c r="G198" i="35"/>
  <c r="S197" i="35"/>
  <c r="G197" i="35"/>
  <c r="G196" i="35"/>
  <c r="G195" i="35"/>
  <c r="S194" i="35"/>
  <c r="G194" i="35"/>
  <c r="S193" i="35"/>
  <c r="G193" i="35"/>
  <c r="S192" i="35"/>
  <c r="G192" i="35"/>
  <c r="S191" i="35"/>
  <c r="G191" i="35"/>
  <c r="S190" i="35"/>
  <c r="S189" i="35"/>
  <c r="G189" i="35"/>
  <c r="S188" i="35"/>
  <c r="G188" i="35"/>
  <c r="S186" i="35"/>
  <c r="G186" i="35"/>
  <c r="S185" i="35"/>
  <c r="G185" i="35"/>
  <c r="S184" i="35"/>
  <c r="G184" i="35"/>
  <c r="G183" i="35"/>
  <c r="S182" i="35"/>
  <c r="G182" i="35"/>
  <c r="S181" i="35"/>
  <c r="G181" i="35"/>
  <c r="S180" i="35"/>
  <c r="G180" i="35"/>
  <c r="S179" i="35"/>
  <c r="G179" i="35"/>
  <c r="S178" i="35"/>
  <c r="G178" i="35"/>
  <c r="S177" i="35"/>
  <c r="G177" i="35"/>
  <c r="G176" i="35"/>
  <c r="S175" i="35"/>
  <c r="S174" i="35"/>
  <c r="G174" i="35"/>
  <c r="S173" i="35"/>
  <c r="G173" i="35"/>
  <c r="G172" i="35"/>
  <c r="S171" i="35"/>
  <c r="G171" i="35"/>
  <c r="S170" i="35"/>
  <c r="G170" i="35"/>
  <c r="S169" i="35"/>
  <c r="G169" i="35"/>
  <c r="S167" i="35"/>
  <c r="G167" i="35"/>
  <c r="S165" i="35"/>
  <c r="G165" i="35"/>
  <c r="S164" i="35"/>
  <c r="G164" i="35"/>
  <c r="S163" i="35"/>
  <c r="G163" i="35"/>
  <c r="S162" i="35"/>
  <c r="G162" i="35"/>
  <c r="S161" i="35"/>
  <c r="G161" i="35"/>
  <c r="S160" i="35"/>
  <c r="G160" i="35"/>
  <c r="S159" i="35"/>
  <c r="G159" i="35"/>
  <c r="S158" i="35"/>
  <c r="G158" i="35"/>
  <c r="S157" i="35"/>
  <c r="G157" i="35"/>
  <c r="S156" i="35"/>
  <c r="G156" i="35"/>
  <c r="S155" i="35"/>
  <c r="G155" i="35"/>
  <c r="G154" i="35"/>
  <c r="S153" i="35"/>
  <c r="G153" i="35"/>
  <c r="S152" i="35"/>
  <c r="G152" i="35"/>
  <c r="S150" i="35"/>
  <c r="G150" i="35"/>
  <c r="S149" i="35"/>
  <c r="S148" i="35"/>
  <c r="G148" i="35"/>
  <c r="S147" i="35"/>
  <c r="G147" i="35"/>
  <c r="S146" i="35"/>
  <c r="G146" i="35"/>
  <c r="S145" i="35"/>
  <c r="G145" i="35"/>
  <c r="S144" i="35"/>
  <c r="S142" i="35"/>
  <c r="G142" i="35"/>
  <c r="S141" i="35"/>
  <c r="G141" i="35"/>
  <c r="S140" i="35"/>
  <c r="G140" i="35"/>
  <c r="S139" i="35"/>
  <c r="G139" i="35"/>
  <c r="S138" i="35"/>
  <c r="G138" i="35"/>
  <c r="S137" i="35"/>
  <c r="G137" i="35"/>
  <c r="S136" i="35"/>
  <c r="G136" i="35"/>
  <c r="G130" i="35"/>
  <c r="U234" i="35"/>
  <c r="S126" i="35"/>
  <c r="G126" i="35"/>
  <c r="S125" i="35"/>
  <c r="G125" i="35"/>
  <c r="S123" i="35"/>
  <c r="S122" i="35"/>
  <c r="S121" i="35"/>
  <c r="G121" i="35"/>
  <c r="S118" i="35"/>
  <c r="G118" i="35"/>
  <c r="S117" i="35"/>
  <c r="S114" i="35"/>
  <c r="G114" i="35"/>
  <c r="S113" i="35"/>
  <c r="G113" i="35"/>
  <c r="G112" i="35"/>
  <c r="S110" i="35"/>
  <c r="G110" i="35"/>
  <c r="S108" i="35"/>
  <c r="G108" i="35"/>
  <c r="S107" i="35"/>
  <c r="G107" i="35"/>
  <c r="S103" i="35"/>
  <c r="G103" i="35"/>
  <c r="S102" i="35"/>
  <c r="G102" i="35"/>
  <c r="S101" i="35"/>
  <c r="S100" i="35"/>
  <c r="G100" i="35"/>
  <c r="S99" i="35"/>
  <c r="S238" i="35"/>
  <c r="G238" i="35"/>
  <c r="S98" i="35"/>
  <c r="G98" i="35"/>
  <c r="S97" i="35"/>
  <c r="G97" i="35"/>
  <c r="S96" i="35"/>
  <c r="S95" i="35"/>
  <c r="G95" i="35"/>
  <c r="S94" i="35"/>
  <c r="G94" i="35"/>
  <c r="S93" i="35"/>
  <c r="G93" i="35"/>
  <c r="S92" i="35"/>
  <c r="G92" i="35"/>
  <c r="S91" i="35"/>
  <c r="G91" i="35"/>
  <c r="S90" i="35"/>
  <c r="G90" i="35"/>
  <c r="S89" i="35"/>
  <c r="G89" i="35"/>
  <c r="S88" i="35"/>
  <c r="G88" i="35"/>
  <c r="S87" i="35"/>
  <c r="S86" i="35"/>
  <c r="G86" i="35"/>
  <c r="S85" i="35"/>
  <c r="G85" i="35"/>
  <c r="S84" i="35"/>
  <c r="G84" i="35"/>
  <c r="S83" i="35"/>
  <c r="G83" i="35"/>
  <c r="S82" i="35"/>
  <c r="G82" i="35"/>
  <c r="S81" i="35"/>
  <c r="G81" i="35"/>
  <c r="S80" i="35"/>
  <c r="G80" i="35"/>
  <c r="S79" i="35"/>
  <c r="G79" i="35"/>
  <c r="S78" i="35"/>
  <c r="S77" i="35"/>
  <c r="G77" i="35"/>
  <c r="S76" i="35"/>
  <c r="G76" i="35"/>
  <c r="S75" i="35"/>
  <c r="G75" i="35"/>
  <c r="S74" i="35"/>
  <c r="G74" i="35"/>
  <c r="S73" i="35"/>
  <c r="G73" i="35"/>
  <c r="S72" i="35"/>
  <c r="G72" i="35"/>
  <c r="G71" i="35"/>
  <c r="S70" i="35"/>
  <c r="G70" i="35"/>
  <c r="S69" i="35"/>
  <c r="G69" i="35"/>
  <c r="S68" i="35"/>
  <c r="G68" i="35"/>
  <c r="S67" i="35"/>
  <c r="G67" i="35"/>
  <c r="S66" i="35"/>
  <c r="G66" i="35"/>
  <c r="S65" i="35"/>
  <c r="G65" i="35"/>
  <c r="S64" i="35"/>
  <c r="G64" i="35"/>
  <c r="S63" i="35"/>
  <c r="G63" i="35"/>
  <c r="S62" i="35"/>
  <c r="G62" i="35"/>
  <c r="S61" i="35"/>
  <c r="G61" i="35"/>
  <c r="S60" i="35"/>
  <c r="G60" i="35"/>
  <c r="S59" i="35"/>
  <c r="G59" i="35"/>
  <c r="S58" i="35"/>
  <c r="S57" i="35"/>
  <c r="G57" i="35"/>
  <c r="S56" i="35"/>
  <c r="G56" i="35"/>
  <c r="S55" i="35"/>
  <c r="G55" i="35"/>
  <c r="S54" i="35"/>
  <c r="G54" i="35"/>
  <c r="S53" i="35"/>
  <c r="G53" i="35"/>
  <c r="S52" i="35"/>
  <c r="G52" i="35"/>
  <c r="S51" i="35"/>
  <c r="G51" i="35"/>
  <c r="S50" i="35"/>
  <c r="S49" i="35"/>
  <c r="G49" i="35"/>
  <c r="S48" i="35"/>
  <c r="G48" i="35"/>
  <c r="G47" i="35"/>
  <c r="G46" i="35"/>
  <c r="S45" i="35"/>
  <c r="G45" i="35"/>
  <c r="S44" i="35"/>
  <c r="S43" i="35"/>
  <c r="G43" i="35"/>
  <c r="S42" i="35"/>
  <c r="G42" i="35"/>
  <c r="S41" i="35"/>
  <c r="G41" i="35"/>
  <c r="S40" i="35"/>
  <c r="G40" i="35"/>
  <c r="S39" i="35"/>
  <c r="G39" i="35"/>
  <c r="S38" i="35"/>
  <c r="G38" i="35"/>
  <c r="S37" i="35"/>
  <c r="G37" i="35"/>
  <c r="S36" i="35"/>
  <c r="G36" i="35"/>
  <c r="S35" i="35"/>
  <c r="G35" i="35"/>
  <c r="S34" i="35"/>
  <c r="G34" i="35"/>
  <c r="S33" i="35"/>
  <c r="G33" i="35"/>
  <c r="S32" i="35"/>
  <c r="G32" i="35"/>
  <c r="G31" i="35"/>
  <c r="S30" i="35"/>
  <c r="G30" i="35"/>
  <c r="S29" i="35"/>
  <c r="G29" i="35"/>
  <c r="S28" i="35"/>
  <c r="G28" i="35"/>
  <c r="S27" i="35"/>
  <c r="G27" i="35"/>
  <c r="S26" i="35"/>
  <c r="G26" i="35"/>
  <c r="S25" i="35"/>
  <c r="G25" i="35"/>
  <c r="S24" i="35"/>
  <c r="G24" i="35"/>
  <c r="S23" i="35"/>
  <c r="G23" i="35"/>
  <c r="S22" i="35"/>
  <c r="G22" i="35"/>
  <c r="S21" i="35"/>
  <c r="G21" i="35"/>
  <c r="S20" i="35"/>
  <c r="G20" i="35"/>
  <c r="S19" i="35"/>
  <c r="G19" i="35"/>
  <c r="S18" i="35"/>
  <c r="G18" i="35"/>
  <c r="S237" i="35"/>
  <c r="G237" i="35"/>
  <c r="T108" i="34"/>
  <c r="BA118" i="36" l="1"/>
  <c r="C431" i="17"/>
  <c r="G431" i="17" s="1"/>
  <c r="AZ105" i="35"/>
  <c r="K104" i="36" s="1"/>
  <c r="C416" i="17"/>
  <c r="G416" i="17" s="1"/>
  <c r="F366" i="6"/>
  <c r="S234" i="35"/>
  <c r="D5" i="35" s="1"/>
  <c r="D7" i="35"/>
  <c r="D9" i="35"/>
  <c r="D6" i="35"/>
  <c r="D8" i="35"/>
  <c r="D10" i="35"/>
  <c r="G234" i="35"/>
  <c r="S2" i="35" s="1"/>
  <c r="F448" i="17"/>
  <c r="T113" i="34"/>
  <c r="L325" i="2"/>
  <c r="M325" i="2" s="1"/>
  <c r="L324" i="2"/>
  <c r="M324" i="2" s="1"/>
  <c r="L323" i="2"/>
  <c r="M323" i="2" s="1"/>
  <c r="T200" i="34"/>
  <c r="F311" i="17"/>
  <c r="T115" i="34"/>
  <c r="S115" i="34"/>
  <c r="T207" i="34"/>
  <c r="C311" i="17" l="1"/>
  <c r="BA104" i="36"/>
  <c r="C535" i="17"/>
  <c r="G535" i="17" s="1"/>
  <c r="BA115" i="34"/>
  <c r="D13" i="35"/>
  <c r="G311" i="17"/>
  <c r="F266" i="6"/>
  <c r="C266" i="6"/>
  <c r="BA213" i="34"/>
  <c r="J115" i="35" l="1"/>
  <c r="AZ115" i="35" s="1"/>
  <c r="K114" i="36" s="1"/>
  <c r="C545" i="17" s="1"/>
  <c r="G545" i="17" s="1"/>
  <c r="J114" i="36"/>
  <c r="G266" i="6"/>
  <c r="AO127" i="34"/>
  <c r="F260" i="6"/>
  <c r="F261" i="6"/>
  <c r="S207" i="34"/>
  <c r="BA207" i="34" s="1"/>
  <c r="C426" i="17" l="1"/>
  <c r="G426" i="17" s="1"/>
  <c r="J220" i="35"/>
  <c r="AZ220" i="35" s="1"/>
  <c r="K214" i="36" s="1"/>
  <c r="BA214" i="36" s="1"/>
  <c r="J214" i="36"/>
  <c r="BA114" i="36"/>
  <c r="C260" i="6"/>
  <c r="G260" i="6" s="1"/>
  <c r="L322" i="2"/>
  <c r="M322" i="2" s="1"/>
  <c r="F321" i="17"/>
  <c r="AK183" i="34"/>
  <c r="T183" i="34"/>
  <c r="C353" i="6" l="1"/>
  <c r="G353" i="6" s="1"/>
  <c r="C449" i="6"/>
  <c r="G449" i="6" s="1"/>
  <c r="L321" i="2"/>
  <c r="M321" i="2" s="1"/>
  <c r="F318" i="17"/>
  <c r="F313" i="17"/>
  <c r="T117" i="34"/>
  <c r="S117" i="34"/>
  <c r="F267" i="6"/>
  <c r="C267" i="6"/>
  <c r="T125" i="34"/>
  <c r="S125" i="34"/>
  <c r="BA125" i="34" l="1"/>
  <c r="C321" i="17"/>
  <c r="G321" i="17" s="1"/>
  <c r="G267" i="6"/>
  <c r="C313" i="17"/>
  <c r="G313" i="17" s="1"/>
  <c r="BA117" i="34"/>
  <c r="J117" i="35" s="1"/>
  <c r="AZ117" i="35" s="1"/>
  <c r="J128" i="35" l="1"/>
  <c r="AZ128" i="35" s="1"/>
  <c r="K126" i="36" s="1"/>
  <c r="C557" i="17" s="1"/>
  <c r="G557" i="17" s="1"/>
  <c r="J126" i="36"/>
  <c r="C428" i="17"/>
  <c r="G428" i="17" s="1"/>
  <c r="L320" i="2"/>
  <c r="M320" i="2" s="1"/>
  <c r="F307" i="17"/>
  <c r="F312" i="17"/>
  <c r="T111" i="34"/>
  <c r="S111" i="34"/>
  <c r="T122" i="34"/>
  <c r="S122" i="34"/>
  <c r="T116" i="34"/>
  <c r="S116" i="34"/>
  <c r="L319" i="2"/>
  <c r="M319" i="2" s="1"/>
  <c r="L318" i="2"/>
  <c r="M318" i="2" s="1"/>
  <c r="L317" i="2"/>
  <c r="M317" i="2" s="1"/>
  <c r="L316" i="2"/>
  <c r="M316" i="2" s="1"/>
  <c r="T127" i="34"/>
  <c r="C439" i="17" l="1"/>
  <c r="G439" i="17" s="1"/>
  <c r="BA126" i="36"/>
  <c r="C318" i="17"/>
  <c r="G318" i="17" s="1"/>
  <c r="C312" i="17"/>
  <c r="G312" i="17" s="1"/>
  <c r="BA122" i="34"/>
  <c r="BA111" i="34"/>
  <c r="BA116" i="34"/>
  <c r="C307" i="17"/>
  <c r="G307" i="17" s="1"/>
  <c r="F326" i="17"/>
  <c r="G92" i="4"/>
  <c r="H92" i="4" s="1"/>
  <c r="I92" i="4" s="1"/>
  <c r="G91" i="4"/>
  <c r="H91" i="4" s="1"/>
  <c r="I91" i="4" s="1"/>
  <c r="T130" i="34"/>
  <c r="BA130" i="34" s="1"/>
  <c r="J133" i="35" s="1"/>
  <c r="AZ133" i="35" s="1"/>
  <c r="L315" i="2"/>
  <c r="M315" i="2" s="1"/>
  <c r="L314" i="2"/>
  <c r="M314" i="2" s="1"/>
  <c r="L313" i="2"/>
  <c r="M313" i="2" s="1"/>
  <c r="J123" i="35" l="1"/>
  <c r="AZ123" i="35" s="1"/>
  <c r="K121" i="36" s="1"/>
  <c r="C552" i="17" s="1"/>
  <c r="G552" i="17" s="1"/>
  <c r="J121" i="36"/>
  <c r="J111" i="35"/>
  <c r="AZ111" i="35" s="1"/>
  <c r="K110" i="36" s="1"/>
  <c r="C541" i="17" s="1"/>
  <c r="G541" i="17" s="1"/>
  <c r="J110" i="36"/>
  <c r="J116" i="35"/>
  <c r="AZ116" i="35" s="1"/>
  <c r="K115" i="36" s="1"/>
  <c r="C546" i="17" s="1"/>
  <c r="G546" i="17" s="1"/>
  <c r="J115" i="36"/>
  <c r="BA110" i="36"/>
  <c r="BA115" i="36"/>
  <c r="BA121" i="36"/>
  <c r="C427" i="17"/>
  <c r="G427" i="17" s="1"/>
  <c r="C434" i="17"/>
  <c r="G434" i="17" s="1"/>
  <c r="C444" i="17"/>
  <c r="G444" i="17" s="1"/>
  <c r="C326" i="17"/>
  <c r="G326" i="17" s="1"/>
  <c r="L312" i="2"/>
  <c r="M312" i="2" s="1"/>
  <c r="F247" i="17"/>
  <c r="T51" i="34"/>
  <c r="S51" i="34"/>
  <c r="C422" i="17" l="1"/>
  <c r="G422" i="17" s="1"/>
  <c r="C247" i="17"/>
  <c r="G247" i="17" s="1"/>
  <c r="BA51" i="34"/>
  <c r="T163" i="34"/>
  <c r="F255" i="17"/>
  <c r="T59" i="34"/>
  <c r="S59" i="34"/>
  <c r="L311" i="2"/>
  <c r="M311" i="2" s="1"/>
  <c r="J50" i="35" l="1"/>
  <c r="AZ50" i="35" s="1"/>
  <c r="K50" i="36" s="1"/>
  <c r="BA50" i="36" s="1"/>
  <c r="J50" i="36"/>
  <c r="C481" i="17"/>
  <c r="G481" i="17" s="1"/>
  <c r="C361" i="17"/>
  <c r="G361" i="17" s="1"/>
  <c r="BA59" i="34"/>
  <c r="C255" i="17"/>
  <c r="G255" i="17" s="1"/>
  <c r="F244" i="6"/>
  <c r="S191" i="34"/>
  <c r="BA191" i="34" s="1"/>
  <c r="L310" i="2"/>
  <c r="M310" i="2" s="1"/>
  <c r="L309" i="2"/>
  <c r="M309" i="2" s="1"/>
  <c r="BA214" i="34"/>
  <c r="T45" i="34"/>
  <c r="S45" i="34"/>
  <c r="J227" i="35" l="1"/>
  <c r="AZ227" i="35" s="1"/>
  <c r="K222" i="36" s="1"/>
  <c r="J222" i="36"/>
  <c r="J58" i="35"/>
  <c r="AZ58" i="35" s="1"/>
  <c r="K58" i="36" s="1"/>
  <c r="BA58" i="36" s="1"/>
  <c r="J58" i="36"/>
  <c r="J199" i="35"/>
  <c r="AZ199" i="35" s="1"/>
  <c r="K191" i="36" s="1"/>
  <c r="C427" i="6" s="1"/>
  <c r="G427" i="6" s="1"/>
  <c r="J191" i="36"/>
  <c r="BA222" i="36"/>
  <c r="C456" i="6"/>
  <c r="G456" i="6" s="1"/>
  <c r="BA191" i="36"/>
  <c r="C359" i="6"/>
  <c r="G359" i="6" s="1"/>
  <c r="C332" i="6"/>
  <c r="G332" i="6" s="1"/>
  <c r="C369" i="17"/>
  <c r="G369" i="17" s="1"/>
  <c r="C244" i="6"/>
  <c r="G244" i="6" s="1"/>
  <c r="J329" i="2"/>
  <c r="L308" i="2"/>
  <c r="M308" i="2" s="1"/>
  <c r="L307" i="2"/>
  <c r="M307" i="2" s="1"/>
  <c r="L306" i="2"/>
  <c r="M306" i="2" s="1"/>
  <c r="L305" i="2"/>
  <c r="M305" i="2" s="1"/>
  <c r="L304" i="2"/>
  <c r="M304" i="2" s="1"/>
  <c r="L303" i="2"/>
  <c r="M303" i="2" s="1"/>
  <c r="L302" i="2"/>
  <c r="M302" i="2" s="1"/>
  <c r="L301" i="2"/>
  <c r="M301" i="2" s="1"/>
  <c r="L300" i="2"/>
  <c r="M300" i="2" s="1"/>
  <c r="L299" i="2"/>
  <c r="M299" i="2" s="1"/>
  <c r="L298" i="2"/>
  <c r="M298" i="2" s="1"/>
  <c r="L297" i="2"/>
  <c r="M297" i="2" s="1"/>
  <c r="L296" i="2"/>
  <c r="M296" i="2" s="1"/>
  <c r="C489" i="17" l="1"/>
  <c r="G489" i="17" s="1"/>
  <c r="K214" i="2"/>
  <c r="L285" i="2"/>
  <c r="L284" i="2"/>
  <c r="M284" i="2" s="1"/>
  <c r="L283" i="2"/>
  <c r="M283" i="2" s="1"/>
  <c r="L279" i="2"/>
  <c r="M279" i="2" s="1"/>
  <c r="L278" i="2"/>
  <c r="L272" i="2" l="1"/>
  <c r="M272" i="2" s="1"/>
  <c r="L265" i="2"/>
  <c r="M265" i="2" s="1"/>
  <c r="L267" i="2"/>
  <c r="M267" i="2" s="1"/>
  <c r="L268" i="2"/>
  <c r="M268" i="2" s="1"/>
  <c r="L269" i="2"/>
  <c r="M269" i="2" s="1"/>
  <c r="L270" i="2"/>
  <c r="M270" i="2" s="1"/>
  <c r="L271" i="2"/>
  <c r="M271" i="2" s="1"/>
  <c r="L273" i="2"/>
  <c r="M273" i="2" s="1"/>
  <c r="L274" i="2"/>
  <c r="M274" i="2" s="1"/>
  <c r="L275" i="2"/>
  <c r="M275" i="2" s="1"/>
  <c r="L276" i="2"/>
  <c r="M276" i="2" s="1"/>
  <c r="L277" i="2"/>
  <c r="M277" i="2" s="1"/>
  <c r="M278" i="2"/>
  <c r="L280" i="2"/>
  <c r="M280" i="2" s="1"/>
  <c r="L281" i="2"/>
  <c r="M281" i="2" s="1"/>
  <c r="L282" i="2"/>
  <c r="M282" i="2" s="1"/>
  <c r="M285" i="2"/>
  <c r="L286" i="2"/>
  <c r="M286" i="2" s="1"/>
  <c r="L287" i="2"/>
  <c r="M287" i="2" s="1"/>
  <c r="L288" i="2"/>
  <c r="M288" i="2" s="1"/>
  <c r="L289" i="2"/>
  <c r="M289" i="2" s="1"/>
  <c r="L290" i="2"/>
  <c r="M290" i="2" s="1"/>
  <c r="L291" i="2"/>
  <c r="M291" i="2" s="1"/>
  <c r="L292" i="2"/>
  <c r="M292" i="2" s="1"/>
  <c r="L293" i="2"/>
  <c r="M293" i="2" s="1"/>
  <c r="L294" i="2"/>
  <c r="M294" i="2" s="1"/>
  <c r="L295" i="2"/>
  <c r="M295" i="2" s="1"/>
  <c r="L266" i="2"/>
  <c r="M266" i="2" s="1"/>
  <c r="P329" i="2"/>
  <c r="F284" i="17"/>
  <c r="S88" i="34"/>
  <c r="C284" i="17" s="1"/>
  <c r="U126" i="34"/>
  <c r="T126" i="34"/>
  <c r="S123" i="34"/>
  <c r="S104" i="34"/>
  <c r="S102" i="34"/>
  <c r="S92" i="34"/>
  <c r="G284" i="17" l="1"/>
  <c r="BA88" i="34"/>
  <c r="L264" i="2"/>
  <c r="M264" i="2" s="1"/>
  <c r="L263" i="2"/>
  <c r="M263" i="2" s="1"/>
  <c r="L262" i="2"/>
  <c r="M262" i="2" s="1"/>
  <c r="L261" i="2"/>
  <c r="M261" i="2" s="1"/>
  <c r="L260" i="2"/>
  <c r="M260" i="2" s="1"/>
  <c r="L259" i="2"/>
  <c r="M259" i="2" s="1"/>
  <c r="L258" i="2"/>
  <c r="M258" i="2" s="1"/>
  <c r="L257" i="2"/>
  <c r="M257" i="2" s="1"/>
  <c r="L256" i="2"/>
  <c r="M256" i="2" s="1"/>
  <c r="L255" i="2"/>
  <c r="M255" i="2" s="1"/>
  <c r="L254" i="2"/>
  <c r="M254" i="2" s="1"/>
  <c r="L253" i="2"/>
  <c r="M253" i="2" s="1"/>
  <c r="L252" i="2"/>
  <c r="M252" i="2" s="1"/>
  <c r="L251" i="2"/>
  <c r="M251" i="2" s="1"/>
  <c r="L250" i="2"/>
  <c r="M250" i="2" s="1"/>
  <c r="L249" i="2"/>
  <c r="M249" i="2" s="1"/>
  <c r="L248" i="2"/>
  <c r="M248" i="2" s="1"/>
  <c r="L247" i="2"/>
  <c r="M247" i="2" s="1"/>
  <c r="L246" i="2"/>
  <c r="M246" i="2" s="1"/>
  <c r="L245" i="2"/>
  <c r="M245" i="2" s="1"/>
  <c r="L244" i="2"/>
  <c r="M244" i="2" s="1"/>
  <c r="L243" i="2"/>
  <c r="M243" i="2" s="1"/>
  <c r="L242" i="2"/>
  <c r="M242" i="2" s="1"/>
  <c r="L241" i="2"/>
  <c r="M241" i="2" s="1"/>
  <c r="L240" i="2"/>
  <c r="M240" i="2" s="1"/>
  <c r="L231" i="2"/>
  <c r="M231" i="2" s="1"/>
  <c r="J87" i="35" l="1"/>
  <c r="AZ87" i="35" s="1"/>
  <c r="K86" i="36" s="1"/>
  <c r="C517" i="17" s="1"/>
  <c r="G517" i="17" s="1"/>
  <c r="J86" i="36"/>
  <c r="C398" i="17"/>
  <c r="G398" i="17" s="1"/>
  <c r="L227" i="2"/>
  <c r="M227" i="2" s="1"/>
  <c r="L223" i="2"/>
  <c r="M223" i="2" s="1"/>
  <c r="L221" i="2"/>
  <c r="M221" i="2" s="1"/>
  <c r="L216" i="2"/>
  <c r="M216" i="2" s="1"/>
  <c r="L217" i="2"/>
  <c r="M217" i="2" s="1"/>
  <c r="L218" i="2"/>
  <c r="M218" i="2" s="1"/>
  <c r="L219" i="2"/>
  <c r="M219" i="2" s="1"/>
  <c r="L220" i="2"/>
  <c r="M220" i="2" s="1"/>
  <c r="L222" i="2"/>
  <c r="M222" i="2" s="1"/>
  <c r="L224" i="2"/>
  <c r="M224" i="2" s="1"/>
  <c r="L225" i="2"/>
  <c r="M225" i="2" s="1"/>
  <c r="L226" i="2"/>
  <c r="M226" i="2" s="1"/>
  <c r="L228" i="2"/>
  <c r="M228" i="2" s="1"/>
  <c r="L229" i="2"/>
  <c r="M229" i="2" s="1"/>
  <c r="L230" i="2"/>
  <c r="M230" i="2" s="1"/>
  <c r="L232" i="2"/>
  <c r="M232" i="2" s="1"/>
  <c r="L233" i="2"/>
  <c r="M233" i="2" s="1"/>
  <c r="L234" i="2"/>
  <c r="M234" i="2" s="1"/>
  <c r="L235" i="2"/>
  <c r="M235" i="2" s="1"/>
  <c r="L236" i="2"/>
  <c r="M236" i="2" s="1"/>
  <c r="L237" i="2"/>
  <c r="M237" i="2" s="1"/>
  <c r="L238" i="2"/>
  <c r="M238" i="2" s="1"/>
  <c r="L239" i="2"/>
  <c r="M239" i="2" s="1"/>
  <c r="L215" i="2"/>
  <c r="F265" i="6"/>
  <c r="T98" i="34"/>
  <c r="BA86" i="36" l="1"/>
  <c r="M215" i="2"/>
  <c r="M329" i="2" s="1"/>
  <c r="L329" i="2"/>
  <c r="T105" i="33"/>
  <c r="S69" i="34" l="1"/>
  <c r="S44" i="34"/>
  <c r="S43" i="34"/>
  <c r="S36" i="34"/>
  <c r="S34" i="34"/>
  <c r="T77" i="34"/>
  <c r="T86" i="34"/>
  <c r="T78" i="34"/>
  <c r="T103" i="34"/>
  <c r="T56" i="34"/>
  <c r="T57" i="34"/>
  <c r="L213" i="2"/>
  <c r="M213" i="2" s="1"/>
  <c r="S142" i="34" l="1"/>
  <c r="S208" i="34" l="1"/>
  <c r="S204" i="34"/>
  <c r="F259" i="6"/>
  <c r="F178" i="6"/>
  <c r="S207" i="33"/>
  <c r="C178" i="6" s="1"/>
  <c r="G89" i="4"/>
  <c r="H89" i="4" s="1"/>
  <c r="I89" i="4" s="1"/>
  <c r="F211" i="17"/>
  <c r="T122" i="33"/>
  <c r="U122" i="33"/>
  <c r="S122" i="33"/>
  <c r="L212" i="2"/>
  <c r="M212" i="2" s="1"/>
  <c r="S143" i="34"/>
  <c r="S138" i="34"/>
  <c r="S136" i="34"/>
  <c r="T110" i="34"/>
  <c r="C211" i="17" l="1"/>
  <c r="G211" i="17" s="1"/>
  <c r="G178" i="6"/>
  <c r="AX207" i="33"/>
  <c r="AX122" i="33"/>
  <c r="T94" i="34"/>
  <c r="T120" i="34"/>
  <c r="S120" i="34"/>
  <c r="T179" i="34"/>
  <c r="T178" i="34"/>
  <c r="T19" i="34"/>
  <c r="T21" i="34"/>
  <c r="I206" i="34" l="1"/>
  <c r="BA206" i="34" s="1"/>
  <c r="I212" i="36"/>
  <c r="I218" i="35"/>
  <c r="O216" i="34"/>
  <c r="S10" i="34" s="1"/>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5" i="6"/>
  <c r="F246" i="6"/>
  <c r="F247" i="6"/>
  <c r="F248" i="6"/>
  <c r="F249" i="6"/>
  <c r="F250" i="6"/>
  <c r="F251" i="6"/>
  <c r="F252" i="6"/>
  <c r="F253" i="6"/>
  <c r="F254" i="6"/>
  <c r="F255" i="6"/>
  <c r="F256" i="6"/>
  <c r="F257" i="6"/>
  <c r="F258" i="6"/>
  <c r="F263" i="6"/>
  <c r="F264" i="6"/>
  <c r="F268" i="6"/>
  <c r="F187" i="6"/>
  <c r="F186" i="6"/>
  <c r="F185" i="6"/>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8" i="17"/>
  <c r="F249" i="17"/>
  <c r="F250" i="17"/>
  <c r="F251" i="17"/>
  <c r="F252" i="17"/>
  <c r="F253" i="17"/>
  <c r="F254"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5" i="17"/>
  <c r="F286" i="17"/>
  <c r="F287" i="17"/>
  <c r="F288" i="17"/>
  <c r="F289" i="17"/>
  <c r="F290" i="17"/>
  <c r="F291" i="17"/>
  <c r="F292" i="17"/>
  <c r="F293" i="17"/>
  <c r="F294" i="17"/>
  <c r="F295" i="17"/>
  <c r="F296" i="17"/>
  <c r="F297" i="17"/>
  <c r="F298" i="17"/>
  <c r="F299" i="17"/>
  <c r="F300" i="17"/>
  <c r="F301" i="17"/>
  <c r="F302" i="17"/>
  <c r="F304" i="17"/>
  <c r="F305" i="17"/>
  <c r="F306" i="17"/>
  <c r="F308" i="17"/>
  <c r="F309" i="17"/>
  <c r="F310" i="17"/>
  <c r="F314" i="17"/>
  <c r="F316" i="17"/>
  <c r="F317" i="17"/>
  <c r="F319" i="17"/>
  <c r="F320" i="17"/>
  <c r="F322" i="17"/>
  <c r="F323" i="17"/>
  <c r="F324" i="17"/>
  <c r="F327" i="17"/>
  <c r="F216" i="17"/>
  <c r="F215" i="17"/>
  <c r="F214" i="17"/>
  <c r="AX216" i="34"/>
  <c r="AY216" i="34"/>
  <c r="AZ216" i="34"/>
  <c r="D11" i="34" s="1"/>
  <c r="AW216" i="34"/>
  <c r="AV216" i="34"/>
  <c r="AU216" i="34"/>
  <c r="AT216" i="34"/>
  <c r="AS216" i="34"/>
  <c r="AR216" i="34"/>
  <c r="AQ216" i="34"/>
  <c r="AP216" i="34"/>
  <c r="AO216" i="34"/>
  <c r="AN216" i="34"/>
  <c r="AM216" i="34"/>
  <c r="AK216" i="34"/>
  <c r="AJ216" i="34"/>
  <c r="AI216" i="34"/>
  <c r="AH216" i="34"/>
  <c r="AG216" i="34"/>
  <c r="AF216" i="34"/>
  <c r="AE216" i="34"/>
  <c r="AD216" i="34"/>
  <c r="AC216" i="34"/>
  <c r="AB216" i="34"/>
  <c r="AA216" i="34"/>
  <c r="Z216" i="34"/>
  <c r="Y216" i="34"/>
  <c r="X216" i="34"/>
  <c r="W216" i="34"/>
  <c r="R216" i="34"/>
  <c r="S13" i="34" s="1"/>
  <c r="Q216" i="34"/>
  <c r="S12" i="34" s="1"/>
  <c r="P216" i="34"/>
  <c r="S11" i="34" s="1"/>
  <c r="N216" i="34"/>
  <c r="S9" i="34" s="1"/>
  <c r="M216" i="34"/>
  <c r="S8" i="34" s="1"/>
  <c r="L216" i="34"/>
  <c r="S7" i="34" s="1"/>
  <c r="K216" i="34"/>
  <c r="S6" i="34" s="1"/>
  <c r="J216" i="34"/>
  <c r="S5" i="34" s="1"/>
  <c r="E216" i="34"/>
  <c r="S215" i="34"/>
  <c r="G215" i="34"/>
  <c r="S211" i="34"/>
  <c r="G211" i="34"/>
  <c r="S210" i="34"/>
  <c r="G210" i="34"/>
  <c r="G208" i="34"/>
  <c r="S205" i="34"/>
  <c r="G203" i="34"/>
  <c r="S202" i="34"/>
  <c r="G202" i="34"/>
  <c r="G201" i="34"/>
  <c r="V216" i="34"/>
  <c r="S200" i="34"/>
  <c r="G200" i="34"/>
  <c r="S199" i="34"/>
  <c r="S198" i="34"/>
  <c r="G198" i="34"/>
  <c r="S197" i="34"/>
  <c r="G197" i="34"/>
  <c r="S196" i="34"/>
  <c r="G196" i="34"/>
  <c r="S195" i="34"/>
  <c r="G195" i="34"/>
  <c r="S194" i="34"/>
  <c r="G194" i="34"/>
  <c r="S193" i="34"/>
  <c r="G193" i="34"/>
  <c r="S192" i="34"/>
  <c r="G192" i="34"/>
  <c r="S190" i="34"/>
  <c r="G190" i="34"/>
  <c r="S189" i="34"/>
  <c r="G189" i="34"/>
  <c r="G188" i="34"/>
  <c r="G187" i="34"/>
  <c r="S186" i="34"/>
  <c r="G186" i="34"/>
  <c r="S185" i="34"/>
  <c r="G185" i="34"/>
  <c r="S184" i="34"/>
  <c r="G184" i="34"/>
  <c r="S183" i="34"/>
  <c r="G183" i="34"/>
  <c r="S182" i="34"/>
  <c r="S181" i="34"/>
  <c r="G181" i="34"/>
  <c r="S223" i="34"/>
  <c r="G223" i="34"/>
  <c r="S180" i="34"/>
  <c r="G180" i="34"/>
  <c r="S179" i="34"/>
  <c r="G179" i="34"/>
  <c r="S178" i="34"/>
  <c r="G178" i="34"/>
  <c r="S177" i="34"/>
  <c r="G177" i="34"/>
  <c r="S176" i="34"/>
  <c r="G176" i="34"/>
  <c r="S175" i="34"/>
  <c r="G175" i="34"/>
  <c r="S174" i="34"/>
  <c r="G174" i="34"/>
  <c r="S173" i="34"/>
  <c r="G173" i="34"/>
  <c r="S172" i="34"/>
  <c r="G172" i="34"/>
  <c r="S171" i="34"/>
  <c r="G171" i="34"/>
  <c r="S170" i="34"/>
  <c r="G170" i="34"/>
  <c r="G169" i="34"/>
  <c r="S168" i="34"/>
  <c r="S167" i="34"/>
  <c r="G167" i="34"/>
  <c r="S166" i="34"/>
  <c r="G166" i="34"/>
  <c r="S165" i="34"/>
  <c r="G165" i="34"/>
  <c r="S164" i="34"/>
  <c r="G164" i="34"/>
  <c r="S163" i="34"/>
  <c r="G163" i="34"/>
  <c r="S162" i="34"/>
  <c r="G162" i="34"/>
  <c r="S160" i="34"/>
  <c r="G160" i="34"/>
  <c r="S159" i="34"/>
  <c r="S222" i="34"/>
  <c r="G222" i="34"/>
  <c r="S158" i="34"/>
  <c r="G158" i="34"/>
  <c r="S157" i="34"/>
  <c r="G157" i="34"/>
  <c r="S156" i="34"/>
  <c r="G156" i="34"/>
  <c r="S155" i="34"/>
  <c r="G155" i="34"/>
  <c r="S154" i="34"/>
  <c r="G154" i="34"/>
  <c r="S153" i="34"/>
  <c r="G153" i="34"/>
  <c r="S152" i="34"/>
  <c r="G152" i="34"/>
  <c r="S151" i="34"/>
  <c r="G151" i="34"/>
  <c r="S150" i="34"/>
  <c r="G150" i="34"/>
  <c r="S149" i="34"/>
  <c r="G149" i="34"/>
  <c r="S148" i="34"/>
  <c r="G148" i="34"/>
  <c r="G147" i="34"/>
  <c r="S146" i="34"/>
  <c r="G146" i="34"/>
  <c r="S145" i="34"/>
  <c r="G145" i="34"/>
  <c r="S144" i="34"/>
  <c r="G144" i="34"/>
  <c r="G221" i="34"/>
  <c r="G142" i="34"/>
  <c r="S141" i="34"/>
  <c r="G141" i="34"/>
  <c r="S140" i="34"/>
  <c r="G140" i="34"/>
  <c r="G220" i="34"/>
  <c r="S139" i="34"/>
  <c r="G139" i="34"/>
  <c r="S137" i="34"/>
  <c r="G137" i="34"/>
  <c r="G136" i="34"/>
  <c r="S135" i="34"/>
  <c r="G135" i="34"/>
  <c r="S134" i="34"/>
  <c r="G134" i="34"/>
  <c r="S133" i="34"/>
  <c r="G133" i="34"/>
  <c r="S132" i="34"/>
  <c r="G132" i="34"/>
  <c r="S131" i="34"/>
  <c r="G131" i="34"/>
  <c r="G128" i="34"/>
  <c r="AL216" i="34"/>
  <c r="G127" i="34"/>
  <c r="U216" i="34"/>
  <c r="S126" i="34"/>
  <c r="S124" i="34"/>
  <c r="G124" i="34"/>
  <c r="G123" i="34"/>
  <c r="S121" i="34"/>
  <c r="G120" i="34"/>
  <c r="S118" i="34"/>
  <c r="G118" i="34"/>
  <c r="S114" i="34"/>
  <c r="G114" i="34"/>
  <c r="S113" i="34"/>
  <c r="G113" i="34"/>
  <c r="G112" i="34"/>
  <c r="S110" i="34"/>
  <c r="G110" i="34"/>
  <c r="S109" i="34"/>
  <c r="G109" i="34"/>
  <c r="S108" i="34"/>
  <c r="G108" i="34"/>
  <c r="S106" i="34"/>
  <c r="G106" i="34"/>
  <c r="S105" i="34"/>
  <c r="G105" i="34"/>
  <c r="S103" i="34"/>
  <c r="G103" i="34"/>
  <c r="S101" i="34"/>
  <c r="G101" i="34"/>
  <c r="S100" i="34"/>
  <c r="G100" i="34"/>
  <c r="S99" i="34"/>
  <c r="G99" i="34"/>
  <c r="S98" i="34"/>
  <c r="S97" i="34"/>
  <c r="G97" i="34"/>
  <c r="S96" i="34"/>
  <c r="G96" i="34"/>
  <c r="S95" i="34"/>
  <c r="G95" i="34"/>
  <c r="S94" i="34"/>
  <c r="G94" i="34"/>
  <c r="S93" i="34"/>
  <c r="G93" i="34"/>
  <c r="H92" i="34"/>
  <c r="S91" i="34"/>
  <c r="G91" i="34"/>
  <c r="S90" i="34"/>
  <c r="G90" i="34"/>
  <c r="S89" i="34"/>
  <c r="G89" i="34"/>
  <c r="S87" i="34"/>
  <c r="G87" i="34"/>
  <c r="S86" i="34"/>
  <c r="G86" i="34"/>
  <c r="S85" i="34"/>
  <c r="G85" i="34"/>
  <c r="S84" i="34"/>
  <c r="G84" i="34"/>
  <c r="S83" i="34"/>
  <c r="G83" i="34"/>
  <c r="S82" i="34"/>
  <c r="G82" i="34"/>
  <c r="S81" i="34"/>
  <c r="G81" i="34"/>
  <c r="S80" i="34"/>
  <c r="G80" i="34"/>
  <c r="S79" i="34"/>
  <c r="S78" i="34"/>
  <c r="G78" i="34"/>
  <c r="S77" i="34"/>
  <c r="G77" i="34"/>
  <c r="S76" i="34"/>
  <c r="G76" i="34"/>
  <c r="S75" i="34"/>
  <c r="G75" i="34"/>
  <c r="S74" i="34"/>
  <c r="G74" i="34"/>
  <c r="S73" i="34"/>
  <c r="G73" i="34"/>
  <c r="G72" i="34"/>
  <c r="S71" i="34"/>
  <c r="G71" i="34"/>
  <c r="S70" i="34"/>
  <c r="G70" i="34"/>
  <c r="G69" i="34"/>
  <c r="S68" i="34"/>
  <c r="G68" i="34"/>
  <c r="S67" i="34"/>
  <c r="G67" i="34"/>
  <c r="S66" i="34"/>
  <c r="G66" i="34"/>
  <c r="S65" i="34"/>
  <c r="G65" i="34"/>
  <c r="S64" i="34"/>
  <c r="G64" i="34"/>
  <c r="S63" i="34"/>
  <c r="G63" i="34"/>
  <c r="S62" i="34"/>
  <c r="G62" i="34"/>
  <c r="S61" i="34"/>
  <c r="G61" i="34"/>
  <c r="S60" i="34"/>
  <c r="G60" i="34"/>
  <c r="S58" i="34"/>
  <c r="G58" i="34"/>
  <c r="S57" i="34"/>
  <c r="G57" i="34"/>
  <c r="S56" i="34"/>
  <c r="G56" i="34"/>
  <c r="S55" i="34"/>
  <c r="G55" i="34"/>
  <c r="S54" i="34"/>
  <c r="G54" i="34"/>
  <c r="S53" i="34"/>
  <c r="G53" i="34"/>
  <c r="S52" i="34"/>
  <c r="G52" i="34"/>
  <c r="S50" i="34"/>
  <c r="G50" i="34"/>
  <c r="S49" i="34"/>
  <c r="G49" i="34"/>
  <c r="G48" i="34"/>
  <c r="G47" i="34"/>
  <c r="S46" i="34"/>
  <c r="G46" i="34"/>
  <c r="G44" i="34"/>
  <c r="G43" i="34"/>
  <c r="S42" i="34"/>
  <c r="G42" i="34"/>
  <c r="S41" i="34"/>
  <c r="G41" i="34"/>
  <c r="S40" i="34"/>
  <c r="G40" i="34"/>
  <c r="S39" i="34"/>
  <c r="G39" i="34"/>
  <c r="S38" i="34"/>
  <c r="G38" i="34"/>
  <c r="S37" i="34"/>
  <c r="G37" i="34"/>
  <c r="G36" i="34"/>
  <c r="S35" i="34"/>
  <c r="G35" i="34"/>
  <c r="G34" i="34"/>
  <c r="G219" i="34"/>
  <c r="S33" i="34"/>
  <c r="G33" i="34"/>
  <c r="S32" i="34"/>
  <c r="G32" i="34"/>
  <c r="S31" i="34"/>
  <c r="G31" i="34"/>
  <c r="S30" i="34"/>
  <c r="G30" i="34"/>
  <c r="S29" i="34"/>
  <c r="G29" i="34"/>
  <c r="S28" i="34"/>
  <c r="G28" i="34"/>
  <c r="S27" i="34"/>
  <c r="G27" i="34"/>
  <c r="S26" i="34"/>
  <c r="G26" i="34"/>
  <c r="S25" i="34"/>
  <c r="G25" i="34"/>
  <c r="S24" i="34"/>
  <c r="G24" i="34"/>
  <c r="S23" i="34"/>
  <c r="G23" i="34"/>
  <c r="S22" i="34"/>
  <c r="G22" i="34"/>
  <c r="S21" i="34"/>
  <c r="G21" i="34"/>
  <c r="S20" i="34"/>
  <c r="G20" i="34"/>
  <c r="S19" i="34"/>
  <c r="G19" i="34"/>
  <c r="S18" i="34"/>
  <c r="G18" i="34"/>
  <c r="S216" i="34" l="1"/>
  <c r="C259" i="6"/>
  <c r="G259" i="6" s="1"/>
  <c r="J218" i="35"/>
  <c r="J212" i="36"/>
  <c r="D7" i="34"/>
  <c r="D9" i="34"/>
  <c r="D10" i="34"/>
  <c r="D6" i="34"/>
  <c r="D8" i="34"/>
  <c r="F328" i="17"/>
  <c r="F269" i="6"/>
  <c r="G216" i="34"/>
  <c r="S2" i="34" s="1"/>
  <c r="T216" i="34"/>
  <c r="AZ218" i="35" l="1"/>
  <c r="K212" i="36" s="1"/>
  <c r="C351" i="6"/>
  <c r="G351" i="6" s="1"/>
  <c r="D5" i="34"/>
  <c r="D13" i="34"/>
  <c r="F177" i="6"/>
  <c r="S206" i="33"/>
  <c r="AX206" i="33" s="1"/>
  <c r="L211" i="2"/>
  <c r="M211" i="2" s="1"/>
  <c r="I205" i="34" l="1"/>
  <c r="C258" i="6" s="1"/>
  <c r="G258" i="6" s="1"/>
  <c r="I209" i="36"/>
  <c r="I216" i="35"/>
  <c r="BA212" i="36"/>
  <c r="C447" i="6"/>
  <c r="G447" i="6" s="1"/>
  <c r="C177" i="6"/>
  <c r="G177" i="6" s="1"/>
  <c r="F171" i="6"/>
  <c r="S200" i="33"/>
  <c r="C171" i="6" s="1"/>
  <c r="F176" i="6"/>
  <c r="C176" i="6"/>
  <c r="AX205" i="33"/>
  <c r="AL118" i="33"/>
  <c r="BA205" i="34" l="1"/>
  <c r="J216" i="35" s="1"/>
  <c r="I204" i="34"/>
  <c r="C257" i="6" s="1"/>
  <c r="G257" i="6" s="1"/>
  <c r="I208" i="36"/>
  <c r="I215" i="35"/>
  <c r="G171" i="6"/>
  <c r="AX200" i="33"/>
  <c r="G176" i="6"/>
  <c r="P200" i="2"/>
  <c r="L210" i="2"/>
  <c r="M210" i="2" s="1"/>
  <c r="AZ216" i="35" l="1"/>
  <c r="K209" i="36" s="1"/>
  <c r="C349" i="6"/>
  <c r="G349" i="6" s="1"/>
  <c r="J209" i="36"/>
  <c r="I199" i="34"/>
  <c r="C252" i="6" s="1"/>
  <c r="G252" i="6" s="1"/>
  <c r="I202" i="36"/>
  <c r="I209" i="35"/>
  <c r="BA204" i="34"/>
  <c r="BA199" i="34"/>
  <c r="L209" i="2"/>
  <c r="M209" i="2" s="1"/>
  <c r="L208" i="2"/>
  <c r="M208" i="2" s="1"/>
  <c r="L207" i="2"/>
  <c r="M207" i="2" s="1"/>
  <c r="BA209" i="36" l="1"/>
  <c r="C444" i="6"/>
  <c r="G444" i="6" s="1"/>
  <c r="J209" i="35"/>
  <c r="AZ209" i="35" s="1"/>
  <c r="K202" i="36" s="1"/>
  <c r="BA202" i="36" s="1"/>
  <c r="J202" i="36"/>
  <c r="J215" i="35"/>
  <c r="J208" i="36"/>
  <c r="C342" i="6"/>
  <c r="G342" i="6" s="1"/>
  <c r="T118" i="33"/>
  <c r="T199" i="33"/>
  <c r="C437" i="6" l="1"/>
  <c r="G437" i="6" s="1"/>
  <c r="AZ215" i="35"/>
  <c r="K208" i="36" s="1"/>
  <c r="C348" i="6"/>
  <c r="G348" i="6" s="1"/>
  <c r="T201" i="33"/>
  <c r="U117" i="33"/>
  <c r="T117" i="33"/>
  <c r="L206" i="2"/>
  <c r="M206" i="2" s="1"/>
  <c r="C443" i="6" l="1"/>
  <c r="G443" i="6" s="1"/>
  <c r="BA208" i="36"/>
  <c r="T132" i="33"/>
  <c r="S117" i="33"/>
  <c r="C206" i="17" s="1"/>
  <c r="F206" i="17"/>
  <c r="L205" i="2"/>
  <c r="M205" i="2" s="1"/>
  <c r="G206" i="17" l="1"/>
  <c r="AX117" i="33"/>
  <c r="S167" i="33"/>
  <c r="H65" i="5"/>
  <c r="F179" i="17"/>
  <c r="H90" i="33"/>
  <c r="S90" i="33"/>
  <c r="C179" i="17" l="1"/>
  <c r="AX90" i="33"/>
  <c r="I92" i="34" s="1"/>
  <c r="C288" i="17" s="1"/>
  <c r="G288" i="17" s="1"/>
  <c r="I126" i="34"/>
  <c r="C322" i="17" s="1"/>
  <c r="G322" i="17" s="1"/>
  <c r="I127" i="36"/>
  <c r="I129" i="35"/>
  <c r="BA126" i="34"/>
  <c r="G179" i="17"/>
  <c r="L204" i="2"/>
  <c r="M204" i="2" s="1"/>
  <c r="L203" i="2"/>
  <c r="M203" i="2" s="1"/>
  <c r="L202" i="2"/>
  <c r="M202" i="2" s="1"/>
  <c r="S46" i="33"/>
  <c r="F128" i="6"/>
  <c r="O213" i="33"/>
  <c r="S157" i="33"/>
  <c r="AX157" i="33" s="1"/>
  <c r="BA92" i="34" l="1"/>
  <c r="I159" i="34"/>
  <c r="I166" i="35"/>
  <c r="J129" i="35"/>
  <c r="AZ129" i="35" s="1"/>
  <c r="K127" i="36" s="1"/>
  <c r="C558" i="17" s="1"/>
  <c r="G558" i="17" s="1"/>
  <c r="J127" i="36"/>
  <c r="BA159" i="34"/>
  <c r="J166" i="35" s="1"/>
  <c r="AZ166" i="35" s="1"/>
  <c r="C212" i="6"/>
  <c r="G212" i="6" s="1"/>
  <c r="C128" i="6"/>
  <c r="G128" i="6" s="1"/>
  <c r="V201" i="33"/>
  <c r="C440" i="17" l="1"/>
  <c r="G440" i="17" s="1"/>
  <c r="BA127" i="36"/>
  <c r="C299" i="6"/>
  <c r="G299" i="6" s="1"/>
  <c r="F182" i="6"/>
  <c r="AX211" i="33"/>
  <c r="C182" i="6"/>
  <c r="T213" i="32"/>
  <c r="C265" i="6" l="1"/>
  <c r="G265" i="6" s="1"/>
  <c r="BA212" i="34"/>
  <c r="G182" i="6"/>
  <c r="F115" i="17"/>
  <c r="F169" i="17"/>
  <c r="L201" i="2"/>
  <c r="M201" i="2" s="1"/>
  <c r="L200" i="2"/>
  <c r="M200" i="2" s="1"/>
  <c r="L199" i="2"/>
  <c r="M199" i="2" s="1"/>
  <c r="L198" i="2"/>
  <c r="M198" i="2" s="1"/>
  <c r="L197" i="2"/>
  <c r="M197" i="2" s="1"/>
  <c r="L196" i="2"/>
  <c r="M196" i="2" s="1"/>
  <c r="L195" i="2"/>
  <c r="M195" i="2" s="1"/>
  <c r="L194" i="2"/>
  <c r="M194" i="2" s="1"/>
  <c r="L193" i="2"/>
  <c r="M193" i="2" s="1"/>
  <c r="L192" i="2"/>
  <c r="M192" i="2" s="1"/>
  <c r="L191" i="2"/>
  <c r="M191" i="2" s="1"/>
  <c r="L190" i="2"/>
  <c r="M190" i="2" s="1"/>
  <c r="L189" i="2"/>
  <c r="M189" i="2" s="1"/>
  <c r="L188" i="2"/>
  <c r="M188" i="2" s="1"/>
  <c r="L187" i="2"/>
  <c r="M187" i="2" s="1"/>
  <c r="L186" i="2"/>
  <c r="M186" i="2" s="1"/>
  <c r="L185" i="2"/>
  <c r="M185" i="2" s="1"/>
  <c r="L184" i="2"/>
  <c r="M184" i="2" s="1"/>
  <c r="L183" i="2"/>
  <c r="M183" i="2" s="1"/>
  <c r="L182" i="2"/>
  <c r="M182" i="2" s="1"/>
  <c r="L181" i="2"/>
  <c r="M181" i="2" s="1"/>
  <c r="L180" i="2"/>
  <c r="M180" i="2" s="1"/>
  <c r="L179" i="2"/>
  <c r="M179" i="2" s="1"/>
  <c r="L178" i="2"/>
  <c r="M178" i="2" s="1"/>
  <c r="L177" i="2"/>
  <c r="M177" i="2" s="1"/>
  <c r="L176" i="2"/>
  <c r="M176" i="2" s="1"/>
  <c r="L175" i="2"/>
  <c r="M175" i="2" s="1"/>
  <c r="L174" i="2"/>
  <c r="M174" i="2" s="1"/>
  <c r="L173" i="2"/>
  <c r="M173" i="2" s="1"/>
  <c r="L172" i="2"/>
  <c r="M172" i="2" s="1"/>
  <c r="L171" i="2"/>
  <c r="M171" i="2" s="1"/>
  <c r="L170" i="2"/>
  <c r="M170" i="2" s="1"/>
  <c r="L169" i="2"/>
  <c r="M169" i="2" s="1"/>
  <c r="P167" i="2"/>
  <c r="P114" i="2"/>
  <c r="L168" i="2" l="1"/>
  <c r="M168" i="2" s="1"/>
  <c r="L167" i="2"/>
  <c r="M167" i="2" s="1"/>
  <c r="L166" i="2"/>
  <c r="M166" i="2" s="1"/>
  <c r="L165" i="2"/>
  <c r="M165" i="2" s="1"/>
  <c r="L164" i="2"/>
  <c r="M164" i="2" s="1"/>
  <c r="L163" i="2"/>
  <c r="M163" i="2" s="1"/>
  <c r="L162" i="2"/>
  <c r="M162" i="2" s="1"/>
  <c r="L161" i="2"/>
  <c r="M161" i="2" s="1"/>
  <c r="L160" i="2"/>
  <c r="M160" i="2" s="1"/>
  <c r="L159" i="2"/>
  <c r="M159" i="2" s="1"/>
  <c r="L158" i="2"/>
  <c r="M158" i="2" s="1"/>
  <c r="L157" i="2"/>
  <c r="M157" i="2" s="1"/>
  <c r="L156" i="2"/>
  <c r="M156" i="2" s="1"/>
  <c r="L155" i="2"/>
  <c r="M155" i="2" s="1"/>
  <c r="L154" i="2"/>
  <c r="M154" i="2" s="1"/>
  <c r="L153" i="2"/>
  <c r="M153" i="2" s="1"/>
  <c r="L152" i="2"/>
  <c r="M152" i="2" s="1"/>
  <c r="L151" i="2"/>
  <c r="M151" i="2" s="1"/>
  <c r="L150" i="2"/>
  <c r="M150" i="2" s="1"/>
  <c r="S178" i="33"/>
  <c r="J214" i="2" l="1"/>
  <c r="L149" i="2"/>
  <c r="M149" i="2" s="1"/>
  <c r="L148" i="2"/>
  <c r="M148" i="2" s="1"/>
  <c r="L147" i="2"/>
  <c r="M147" i="2" s="1"/>
  <c r="L146" i="2"/>
  <c r="M146" i="2" s="1"/>
  <c r="L145" i="2"/>
  <c r="M145" i="2" s="1"/>
  <c r="L144" i="2"/>
  <c r="M144" i="2" s="1"/>
  <c r="L143" i="2"/>
  <c r="M143" i="2" s="1"/>
  <c r="L142" i="2"/>
  <c r="M142" i="2" s="1"/>
  <c r="L141" i="2"/>
  <c r="M141" i="2" s="1"/>
  <c r="L140" i="2"/>
  <c r="M140" i="2" s="1"/>
  <c r="L139" i="2"/>
  <c r="M139" i="2" s="1"/>
  <c r="L138" i="2"/>
  <c r="M138" i="2" s="1"/>
  <c r="L137" i="2"/>
  <c r="M137" i="2" s="1"/>
  <c r="L136" i="2"/>
  <c r="M136" i="2" s="1"/>
  <c r="L135" i="2"/>
  <c r="M135" i="2" s="1"/>
  <c r="L134" i="2"/>
  <c r="M134" i="2" s="1"/>
  <c r="L133" i="2"/>
  <c r="M133" i="2" s="1"/>
  <c r="L116" i="2"/>
  <c r="M116" i="2" s="1"/>
  <c r="L109" i="2"/>
  <c r="M109" i="2" s="1"/>
  <c r="L110" i="2"/>
  <c r="M110" i="2" s="1"/>
  <c r="L111" i="2"/>
  <c r="M111" i="2" s="1"/>
  <c r="L112" i="2"/>
  <c r="M112" i="2" s="1"/>
  <c r="L113" i="2"/>
  <c r="M113" i="2" s="1"/>
  <c r="L114" i="2"/>
  <c r="M114" i="2" s="1"/>
  <c r="L117" i="2"/>
  <c r="M117" i="2" s="1"/>
  <c r="L115" i="2"/>
  <c r="M115" i="2" s="1"/>
  <c r="L118" i="2"/>
  <c r="M118" i="2" s="1"/>
  <c r="L119" i="2"/>
  <c r="M119" i="2" s="1"/>
  <c r="L120" i="2"/>
  <c r="M120" i="2" s="1"/>
  <c r="L121" i="2"/>
  <c r="M121" i="2" s="1"/>
  <c r="L122" i="2"/>
  <c r="M122" i="2" s="1"/>
  <c r="L123" i="2"/>
  <c r="M123" i="2" s="1"/>
  <c r="L124" i="2"/>
  <c r="M124" i="2" s="1"/>
  <c r="L125" i="2"/>
  <c r="M125" i="2" s="1"/>
  <c r="L126" i="2"/>
  <c r="M126" i="2" s="1"/>
  <c r="L127" i="2"/>
  <c r="M127" i="2" s="1"/>
  <c r="L128" i="2"/>
  <c r="M128" i="2" s="1"/>
  <c r="L129" i="2"/>
  <c r="M129" i="2" s="1"/>
  <c r="L130" i="2"/>
  <c r="M130" i="2" s="1"/>
  <c r="L131" i="2"/>
  <c r="M131" i="2" s="1"/>
  <c r="L132" i="2"/>
  <c r="M132" i="2" s="1"/>
  <c r="L108" i="2"/>
  <c r="T80" i="33"/>
  <c r="T125" i="33"/>
  <c r="T150" i="33"/>
  <c r="M108" i="2" l="1"/>
  <c r="M214" i="2" s="1"/>
  <c r="L214" i="2"/>
  <c r="E213" i="33"/>
  <c r="E214" i="32"/>
  <c r="F108" i="6" l="1"/>
  <c r="F16" i="6"/>
  <c r="S136" i="32"/>
  <c r="BA136" i="32" s="1"/>
  <c r="T104" i="32"/>
  <c r="H137" i="33" l="1"/>
  <c r="AX137" i="33" s="1"/>
  <c r="H143" i="36"/>
  <c r="H149" i="35"/>
  <c r="H143" i="34"/>
  <c r="C108" i="6"/>
  <c r="G108" i="6" s="1"/>
  <c r="C16" i="6"/>
  <c r="G16" i="6" s="1"/>
  <c r="F210" i="17"/>
  <c r="S121" i="33"/>
  <c r="C210" i="17" s="1"/>
  <c r="S120" i="33"/>
  <c r="G88" i="4"/>
  <c r="H88" i="4" s="1"/>
  <c r="I88" i="4" s="1"/>
  <c r="G87" i="4"/>
  <c r="H87" i="4" s="1"/>
  <c r="I87" i="4" s="1"/>
  <c r="S119" i="33"/>
  <c r="H86" i="4"/>
  <c r="I86" i="4" s="1"/>
  <c r="H84" i="4"/>
  <c r="I84" i="4" s="1"/>
  <c r="I143" i="34" l="1"/>
  <c r="I143" i="36"/>
  <c r="I149" i="35"/>
  <c r="G210" i="17"/>
  <c r="AX121" i="33"/>
  <c r="S180" i="33"/>
  <c r="T56" i="33"/>
  <c r="G56" i="33"/>
  <c r="C196" i="6" l="1"/>
  <c r="G196" i="6" s="1"/>
  <c r="BA143" i="34"/>
  <c r="S155" i="33"/>
  <c r="S149" i="33"/>
  <c r="T116" i="33"/>
  <c r="S116" i="33"/>
  <c r="S114" i="33"/>
  <c r="S113" i="33"/>
  <c r="S102" i="33"/>
  <c r="S100" i="33"/>
  <c r="S87" i="33"/>
  <c r="T57" i="33"/>
  <c r="S37" i="33"/>
  <c r="T64" i="33"/>
  <c r="J149" i="35" l="1"/>
  <c r="J143" i="36"/>
  <c r="F92" i="6"/>
  <c r="C92" i="6"/>
  <c r="BA212" i="32"/>
  <c r="AZ149" i="35" l="1"/>
  <c r="K143" i="36" s="1"/>
  <c r="C282" i="6"/>
  <c r="G282" i="6" s="1"/>
  <c r="G92" i="6"/>
  <c r="T20" i="32"/>
  <c r="BA143" i="36" l="1"/>
  <c r="C379" i="6"/>
  <c r="G379" i="6" s="1"/>
  <c r="T78" i="33"/>
  <c r="T95" i="33"/>
  <c r="T77" i="33"/>
  <c r="T107" i="33"/>
  <c r="T45" i="33"/>
  <c r="S45" i="33"/>
  <c r="T98" i="33" l="1"/>
  <c r="T44" i="33"/>
  <c r="S44" i="33"/>
  <c r="T93" i="33"/>
  <c r="T68" i="33"/>
  <c r="S68" i="33"/>
  <c r="S128" i="33"/>
  <c r="T128" i="33"/>
  <c r="AX114" i="33" l="1"/>
  <c r="G138" i="32"/>
  <c r="I121" i="34" l="1"/>
  <c r="I120" i="36"/>
  <c r="I122" i="35"/>
  <c r="BA121" i="34"/>
  <c r="C317" i="17"/>
  <c r="G317" i="17" s="1"/>
  <c r="S10" i="33"/>
  <c r="L105" i="2"/>
  <c r="M105" i="2" s="1"/>
  <c r="T45" i="32"/>
  <c r="P214" i="2"/>
  <c r="F203" i="17"/>
  <c r="C203" i="17"/>
  <c r="F97" i="6"/>
  <c r="F98" i="6"/>
  <c r="F99" i="6"/>
  <c r="F100" i="6"/>
  <c r="F101" i="6"/>
  <c r="F102" i="6"/>
  <c r="F103" i="6"/>
  <c r="F104" i="6"/>
  <c r="F105" i="6"/>
  <c r="F106" i="6"/>
  <c r="F107" i="6"/>
  <c r="F109" i="6"/>
  <c r="F110" i="6"/>
  <c r="F111" i="6"/>
  <c r="F112" i="6"/>
  <c r="F113" i="6"/>
  <c r="F114" i="6"/>
  <c r="F115" i="6"/>
  <c r="F116" i="6"/>
  <c r="F117" i="6"/>
  <c r="F118" i="6"/>
  <c r="F119" i="6"/>
  <c r="F120" i="6"/>
  <c r="F121" i="6"/>
  <c r="F122" i="6"/>
  <c r="F123" i="6"/>
  <c r="F124" i="6"/>
  <c r="F125" i="6"/>
  <c r="F126" i="6"/>
  <c r="F127"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2" i="6"/>
  <c r="F173" i="6"/>
  <c r="F174" i="6"/>
  <c r="F175" i="6"/>
  <c r="F179" i="6"/>
  <c r="F180" i="6"/>
  <c r="F181" i="6"/>
  <c r="F183" i="6"/>
  <c r="F96" i="6"/>
  <c r="F95" i="6"/>
  <c r="F110" i="17"/>
  <c r="F111" i="17"/>
  <c r="F112" i="17"/>
  <c r="F113" i="17"/>
  <c r="F114"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70" i="17"/>
  <c r="F171" i="17"/>
  <c r="F172" i="17"/>
  <c r="F173" i="17"/>
  <c r="F174" i="17"/>
  <c r="F175" i="17"/>
  <c r="F176" i="17"/>
  <c r="F177" i="17"/>
  <c r="F178"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4" i="17"/>
  <c r="F205" i="17"/>
  <c r="F207" i="17"/>
  <c r="F208" i="17"/>
  <c r="F209" i="17"/>
  <c r="F212" i="17"/>
  <c r="F109" i="17"/>
  <c r="F108" i="17"/>
  <c r="F107" i="17"/>
  <c r="AW213" i="33"/>
  <c r="AV213" i="33"/>
  <c r="AU213" i="33"/>
  <c r="AT213" i="33"/>
  <c r="AS213" i="33"/>
  <c r="AR213" i="33"/>
  <c r="AQ213" i="33"/>
  <c r="AP213" i="33"/>
  <c r="AO213" i="33"/>
  <c r="AN213" i="33"/>
  <c r="AM213" i="33"/>
  <c r="AL213" i="33"/>
  <c r="AK213" i="33"/>
  <c r="AJ213" i="33"/>
  <c r="AI213" i="33"/>
  <c r="AH213" i="33"/>
  <c r="AG213" i="33"/>
  <c r="AF213" i="33"/>
  <c r="AD213" i="33"/>
  <c r="AC213" i="33"/>
  <c r="AB213" i="33"/>
  <c r="AA213" i="33"/>
  <c r="Z213" i="33"/>
  <c r="Y213" i="33"/>
  <c r="X213" i="33"/>
  <c r="W213" i="33"/>
  <c r="V213" i="33"/>
  <c r="R213" i="33"/>
  <c r="S13" i="33" s="1"/>
  <c r="Q213" i="33"/>
  <c r="S12" i="33" s="1"/>
  <c r="P213" i="33"/>
  <c r="S11" i="33" s="1"/>
  <c r="N213" i="33"/>
  <c r="S9" i="33" s="1"/>
  <c r="M213" i="33"/>
  <c r="S8" i="33" s="1"/>
  <c r="L213" i="33"/>
  <c r="S7" i="33" s="1"/>
  <c r="K213" i="33"/>
  <c r="S6" i="33" s="1"/>
  <c r="J213" i="33"/>
  <c r="S5" i="33" s="1"/>
  <c r="I213" i="33"/>
  <c r="S4" i="33" s="1"/>
  <c r="S212" i="33"/>
  <c r="G212" i="33"/>
  <c r="S210" i="33"/>
  <c r="G210" i="33"/>
  <c r="S209" i="33"/>
  <c r="G209" i="33"/>
  <c r="S208" i="33"/>
  <c r="G208" i="33"/>
  <c r="G204" i="33"/>
  <c r="S203" i="33"/>
  <c r="G203" i="33"/>
  <c r="G202" i="33"/>
  <c r="S201" i="33"/>
  <c r="G201" i="33"/>
  <c r="S199" i="33"/>
  <c r="G199" i="33"/>
  <c r="S198" i="33"/>
  <c r="G198" i="33"/>
  <c r="S197" i="33"/>
  <c r="G197" i="33"/>
  <c r="S196" i="33"/>
  <c r="G196" i="33"/>
  <c r="S195" i="33"/>
  <c r="G195" i="33"/>
  <c r="S194" i="33"/>
  <c r="G194" i="33"/>
  <c r="S193" i="33"/>
  <c r="G193" i="33"/>
  <c r="S192" i="33"/>
  <c r="G192" i="33"/>
  <c r="S191" i="33"/>
  <c r="G191" i="33"/>
  <c r="G190" i="33"/>
  <c r="G189" i="33"/>
  <c r="S188" i="33"/>
  <c r="G188" i="33"/>
  <c r="S187" i="33"/>
  <c r="G187" i="33"/>
  <c r="S186" i="33"/>
  <c r="G186" i="33"/>
  <c r="S185" i="33"/>
  <c r="G185" i="33"/>
  <c r="S184" i="33"/>
  <c r="S183" i="33"/>
  <c r="G183" i="33"/>
  <c r="S182" i="33"/>
  <c r="G182" i="33"/>
  <c r="S181" i="33"/>
  <c r="G181" i="33"/>
  <c r="G180" i="33"/>
  <c r="S179" i="33"/>
  <c r="G179" i="33"/>
  <c r="G178" i="33"/>
  <c r="S177" i="33"/>
  <c r="G177" i="33"/>
  <c r="S176" i="33"/>
  <c r="G176" i="33"/>
  <c r="S175" i="33"/>
  <c r="G175" i="33"/>
  <c r="G174" i="33"/>
  <c r="S173" i="33"/>
  <c r="G173" i="33"/>
  <c r="S172" i="33"/>
  <c r="G172" i="33"/>
  <c r="G171" i="33"/>
  <c r="S170" i="33"/>
  <c r="G170" i="33"/>
  <c r="S169" i="33"/>
  <c r="G169" i="33"/>
  <c r="G168" i="33"/>
  <c r="G166" i="33"/>
  <c r="S165" i="33"/>
  <c r="G165" i="33"/>
  <c r="S164" i="33"/>
  <c r="G164" i="33"/>
  <c r="S163" i="33"/>
  <c r="G163" i="33"/>
  <c r="S162" i="33"/>
  <c r="G162" i="33"/>
  <c r="S161" i="33"/>
  <c r="G161" i="33"/>
  <c r="S160" i="33"/>
  <c r="G160" i="33"/>
  <c r="S158" i="33"/>
  <c r="G158" i="33"/>
  <c r="S156" i="33"/>
  <c r="G156" i="33"/>
  <c r="G155" i="33"/>
  <c r="S154" i="33"/>
  <c r="G154" i="33"/>
  <c r="G153" i="33"/>
  <c r="S152" i="33"/>
  <c r="G152" i="33"/>
  <c r="S151" i="33"/>
  <c r="G151" i="33"/>
  <c r="S150" i="33"/>
  <c r="G150" i="33"/>
  <c r="G149" i="33"/>
  <c r="S148" i="33"/>
  <c r="G148" i="33"/>
  <c r="S147" i="33"/>
  <c r="G147" i="33"/>
  <c r="S146" i="33"/>
  <c r="G146" i="33"/>
  <c r="S145" i="33"/>
  <c r="G145" i="33"/>
  <c r="S144" i="33"/>
  <c r="G144" i="33"/>
  <c r="S143" i="33"/>
  <c r="G143" i="33"/>
  <c r="S142" i="33"/>
  <c r="G142" i="33"/>
  <c r="S141" i="33"/>
  <c r="G141" i="33"/>
  <c r="S140" i="33"/>
  <c r="G140" i="33"/>
  <c r="S139" i="33"/>
  <c r="G139" i="33"/>
  <c r="S26" i="33"/>
  <c r="G26" i="33"/>
  <c r="G138" i="33"/>
  <c r="S136" i="33"/>
  <c r="G136" i="33"/>
  <c r="S135" i="33"/>
  <c r="G135" i="33"/>
  <c r="S134" i="33"/>
  <c r="G134" i="33"/>
  <c r="S133" i="33"/>
  <c r="G133" i="33"/>
  <c r="S132" i="33"/>
  <c r="G132" i="33"/>
  <c r="G130" i="33"/>
  <c r="S129" i="33"/>
  <c r="G129" i="33"/>
  <c r="G128" i="33"/>
  <c r="S127" i="33"/>
  <c r="G127" i="33"/>
  <c r="S126" i="33"/>
  <c r="G126" i="33"/>
  <c r="S125" i="33"/>
  <c r="G125" i="33"/>
  <c r="S80" i="33"/>
  <c r="G80" i="33"/>
  <c r="S124" i="33"/>
  <c r="G124" i="33"/>
  <c r="S123" i="33"/>
  <c r="G123" i="33"/>
  <c r="U213" i="33"/>
  <c r="G120" i="33"/>
  <c r="G118" i="33"/>
  <c r="G116" i="33"/>
  <c r="S115" i="33"/>
  <c r="G115" i="33"/>
  <c r="G113" i="33"/>
  <c r="G112" i="33"/>
  <c r="S111" i="33"/>
  <c r="G111" i="33"/>
  <c r="S110" i="33"/>
  <c r="G110" i="33"/>
  <c r="S109" i="33"/>
  <c r="G109" i="33"/>
  <c r="G108" i="33"/>
  <c r="S107" i="33"/>
  <c r="G107" i="33"/>
  <c r="S106" i="33"/>
  <c r="G106" i="33"/>
  <c r="S105" i="33"/>
  <c r="G105" i="33"/>
  <c r="S104" i="33"/>
  <c r="G104" i="33"/>
  <c r="S103" i="33"/>
  <c r="G103" i="33"/>
  <c r="S101" i="33"/>
  <c r="G101" i="33"/>
  <c r="S99" i="33"/>
  <c r="G99" i="33"/>
  <c r="S98" i="33"/>
  <c r="G98" i="33"/>
  <c r="S97" i="33"/>
  <c r="G97" i="33"/>
  <c r="S96" i="33"/>
  <c r="S95" i="33"/>
  <c r="G95" i="33"/>
  <c r="S94" i="33"/>
  <c r="G94" i="33"/>
  <c r="S93" i="33"/>
  <c r="G93" i="33"/>
  <c r="S92" i="33"/>
  <c r="G92" i="33"/>
  <c r="S91" i="33"/>
  <c r="G91" i="33"/>
  <c r="S89" i="33"/>
  <c r="G89" i="33"/>
  <c r="S88" i="33"/>
  <c r="G88" i="33"/>
  <c r="G87" i="33"/>
  <c r="S86" i="33"/>
  <c r="G86" i="33"/>
  <c r="S85" i="33"/>
  <c r="G85" i="33"/>
  <c r="S84" i="33"/>
  <c r="G84" i="33"/>
  <c r="S83" i="33"/>
  <c r="G83" i="33"/>
  <c r="S82" i="33"/>
  <c r="G82" i="33"/>
  <c r="S81" i="33"/>
  <c r="G81" i="33"/>
  <c r="S79" i="33"/>
  <c r="G79" i="33"/>
  <c r="S78" i="33"/>
  <c r="S77" i="33"/>
  <c r="G77" i="33"/>
  <c r="S76" i="33"/>
  <c r="G76" i="33"/>
  <c r="S75" i="33"/>
  <c r="G75" i="33"/>
  <c r="S74" i="33"/>
  <c r="G74" i="33"/>
  <c r="S73" i="33"/>
  <c r="G73" i="33"/>
  <c r="S72" i="33"/>
  <c r="G72" i="33"/>
  <c r="G71" i="33"/>
  <c r="S70" i="33"/>
  <c r="G70" i="33"/>
  <c r="S69" i="33"/>
  <c r="G69" i="33"/>
  <c r="G68" i="33"/>
  <c r="S67" i="33"/>
  <c r="G67" i="33"/>
  <c r="S66" i="33"/>
  <c r="G66" i="33"/>
  <c r="S65" i="33"/>
  <c r="G65" i="33"/>
  <c r="S64" i="33"/>
  <c r="G64" i="33"/>
  <c r="S63" i="33"/>
  <c r="G63" i="33"/>
  <c r="S62" i="33"/>
  <c r="G62" i="33"/>
  <c r="S61" i="33"/>
  <c r="G61" i="33"/>
  <c r="S60" i="33"/>
  <c r="G60" i="33"/>
  <c r="S59" i="33"/>
  <c r="G59" i="33"/>
  <c r="S58" i="33"/>
  <c r="G58" i="33"/>
  <c r="S57" i="33"/>
  <c r="G57" i="33"/>
  <c r="S56" i="33"/>
  <c r="S55" i="33"/>
  <c r="G55" i="33"/>
  <c r="S54" i="33"/>
  <c r="G54" i="33"/>
  <c r="S53" i="33"/>
  <c r="G53" i="33"/>
  <c r="S52" i="33"/>
  <c r="G52" i="33"/>
  <c r="S51" i="33"/>
  <c r="G51" i="33"/>
  <c r="S50" i="33"/>
  <c r="G50" i="33"/>
  <c r="G49" i="33"/>
  <c r="G48" i="33"/>
  <c r="S47" i="33"/>
  <c r="G47" i="33"/>
  <c r="G45" i="33"/>
  <c r="G44" i="33"/>
  <c r="S43" i="33"/>
  <c r="G43" i="33"/>
  <c r="S42" i="33"/>
  <c r="G42" i="33"/>
  <c r="S41" i="33"/>
  <c r="G41" i="33"/>
  <c r="S40" i="33"/>
  <c r="G40" i="33"/>
  <c r="S39" i="33"/>
  <c r="G39" i="33"/>
  <c r="S38" i="33"/>
  <c r="G38" i="33"/>
  <c r="AE213" i="33"/>
  <c r="G37" i="33"/>
  <c r="S36" i="33"/>
  <c r="G36" i="33"/>
  <c r="G35" i="33"/>
  <c r="G34" i="33"/>
  <c r="S33" i="33"/>
  <c r="G33" i="33"/>
  <c r="S32" i="33"/>
  <c r="G32" i="33"/>
  <c r="S31" i="33"/>
  <c r="G31" i="33"/>
  <c r="S30" i="33"/>
  <c r="G30" i="33"/>
  <c r="S29" i="33"/>
  <c r="G29" i="33"/>
  <c r="S28" i="33"/>
  <c r="G28" i="33"/>
  <c r="S27" i="33"/>
  <c r="G27" i="33"/>
  <c r="S25" i="33"/>
  <c r="G25" i="33"/>
  <c r="S24" i="33"/>
  <c r="G24" i="33"/>
  <c r="S23" i="33"/>
  <c r="G23" i="33"/>
  <c r="S22" i="33"/>
  <c r="G22" i="33"/>
  <c r="S21" i="33"/>
  <c r="G21" i="33"/>
  <c r="S20" i="33"/>
  <c r="G20" i="33"/>
  <c r="T213" i="33"/>
  <c r="S19" i="33"/>
  <c r="G19" i="33"/>
  <c r="S18" i="33"/>
  <c r="G18" i="33"/>
  <c r="J122" i="35" l="1"/>
  <c r="AZ122" i="35" s="1"/>
  <c r="K120" i="36" s="1"/>
  <c r="J120" i="36"/>
  <c r="BA120" i="36"/>
  <c r="C551" i="17"/>
  <c r="G551" i="17" s="1"/>
  <c r="C433" i="17"/>
  <c r="G433" i="17" s="1"/>
  <c r="G203" i="17"/>
  <c r="D9" i="33"/>
  <c r="F213" i="17"/>
  <c r="D8" i="33"/>
  <c r="D6" i="33"/>
  <c r="D7" i="33"/>
  <c r="D10" i="33"/>
  <c r="S213" i="33"/>
  <c r="D5" i="33" s="1"/>
  <c r="G213" i="33"/>
  <c r="S2" i="33" s="1"/>
  <c r="F184" i="6"/>
  <c r="T149" i="32"/>
  <c r="D13" i="33" l="1"/>
  <c r="AL203" i="32"/>
  <c r="F10" i="6" l="1"/>
  <c r="S130" i="32"/>
  <c r="C10" i="6" s="1"/>
  <c r="L104" i="2"/>
  <c r="M104" i="2" s="1"/>
  <c r="T43" i="32"/>
  <c r="G10" i="6" l="1"/>
  <c r="BA130" i="32"/>
  <c r="AJ116" i="32"/>
  <c r="H131" i="33" l="1"/>
  <c r="AX131" i="33" s="1"/>
  <c r="H138" i="36"/>
  <c r="H144" i="35"/>
  <c r="H138" i="34"/>
  <c r="T116" i="32"/>
  <c r="C102" i="6" l="1"/>
  <c r="G102" i="6" s="1"/>
  <c r="I138" i="34"/>
  <c r="I138" i="36"/>
  <c r="I144" i="35"/>
  <c r="F101" i="17"/>
  <c r="T117" i="32"/>
  <c r="BA117" i="32" s="1"/>
  <c r="H119" i="33" s="1"/>
  <c r="P98" i="2"/>
  <c r="L100" i="2"/>
  <c r="M100" i="2" s="1"/>
  <c r="T115" i="32"/>
  <c r="L99" i="2"/>
  <c r="M99" i="2" s="1"/>
  <c r="L97" i="2"/>
  <c r="M97" i="2" s="1"/>
  <c r="T106" i="32"/>
  <c r="C101" i="17" l="1"/>
  <c r="BA138" i="34"/>
  <c r="C191" i="6"/>
  <c r="G191" i="6" s="1"/>
  <c r="G101" i="17"/>
  <c r="AX119" i="33"/>
  <c r="C208" i="17"/>
  <c r="G208" i="17" s="1"/>
  <c r="S115" i="32"/>
  <c r="J144" i="35" l="1"/>
  <c r="J138" i="36"/>
  <c r="L96" i="2"/>
  <c r="M96" i="2" s="1"/>
  <c r="P92" i="2"/>
  <c r="AZ144" i="35" l="1"/>
  <c r="K138" i="36" s="1"/>
  <c r="C277" i="6"/>
  <c r="G277" i="6" s="1"/>
  <c r="F29" i="17"/>
  <c r="S45" i="32"/>
  <c r="C29" i="17" s="1"/>
  <c r="L95" i="2"/>
  <c r="M95" i="2" s="1"/>
  <c r="L93" i="2"/>
  <c r="M93" i="2" s="1"/>
  <c r="L92" i="2"/>
  <c r="M92" i="2" s="1"/>
  <c r="H85" i="4"/>
  <c r="I85" i="4" s="1"/>
  <c r="T40" i="32"/>
  <c r="F83" i="17"/>
  <c r="T99" i="32"/>
  <c r="S99" i="32"/>
  <c r="C83" i="17" s="1"/>
  <c r="BA138" i="36" l="1"/>
  <c r="C374" i="6"/>
  <c r="G374" i="6" s="1"/>
  <c r="G29" i="17"/>
  <c r="BA99" i="32"/>
  <c r="BA45" i="32"/>
  <c r="G83" i="17"/>
  <c r="I81" i="4"/>
  <c r="H82" i="4"/>
  <c r="I82" i="4" s="1"/>
  <c r="H83" i="4"/>
  <c r="I83" i="4" s="1"/>
  <c r="H100" i="33" l="1"/>
  <c r="AX100" i="33" s="1"/>
  <c r="H98" i="36"/>
  <c r="H99" i="35"/>
  <c r="H102" i="34"/>
  <c r="H46" i="33"/>
  <c r="H44" i="36"/>
  <c r="H44" i="35"/>
  <c r="H45" i="34"/>
  <c r="C189" i="17"/>
  <c r="G189" i="17" s="1"/>
  <c r="AX46" i="33"/>
  <c r="C135" i="17"/>
  <c r="G135" i="17" s="1"/>
  <c r="F49" i="6"/>
  <c r="T169" i="32"/>
  <c r="S169" i="32"/>
  <c r="AE36" i="32"/>
  <c r="T36" i="32"/>
  <c r="S36" i="32"/>
  <c r="C49" i="6" l="1"/>
  <c r="I45" i="34"/>
  <c r="C241" i="17" s="1"/>
  <c r="G241" i="17" s="1"/>
  <c r="I44" i="36"/>
  <c r="I44" i="35"/>
  <c r="I102" i="34"/>
  <c r="I98" i="36"/>
  <c r="I99" i="35"/>
  <c r="BA45" i="34"/>
  <c r="G49" i="6"/>
  <c r="F85" i="17"/>
  <c r="S101" i="32"/>
  <c r="T101" i="32"/>
  <c r="BA169" i="32"/>
  <c r="F79" i="17"/>
  <c r="T95" i="32"/>
  <c r="S95" i="32"/>
  <c r="F103" i="17"/>
  <c r="U119" i="32"/>
  <c r="T119" i="32"/>
  <c r="S119" i="32"/>
  <c r="C103" i="17" l="1"/>
  <c r="BA95" i="32"/>
  <c r="H96" i="35" s="1"/>
  <c r="H167" i="33"/>
  <c r="AX167" i="33" s="1"/>
  <c r="H168" i="36"/>
  <c r="H175" i="35"/>
  <c r="H168" i="34"/>
  <c r="BA102" i="34"/>
  <c r="C298" i="17"/>
  <c r="G298" i="17" s="1"/>
  <c r="J44" i="35"/>
  <c r="AZ44" i="35" s="1"/>
  <c r="K44" i="36" s="1"/>
  <c r="BA44" i="36" s="1"/>
  <c r="J44" i="36"/>
  <c r="H96" i="33"/>
  <c r="AX96" i="33" s="1"/>
  <c r="H95" i="36"/>
  <c r="C355" i="17"/>
  <c r="G355" i="17" s="1"/>
  <c r="BA101" i="32"/>
  <c r="C85" i="17"/>
  <c r="G85" i="17" s="1"/>
  <c r="C79" i="17"/>
  <c r="G79" i="17" s="1"/>
  <c r="G103" i="17"/>
  <c r="BA119" i="32"/>
  <c r="C185" i="17" l="1"/>
  <c r="G185" i="17" s="1"/>
  <c r="H98" i="34"/>
  <c r="C138" i="6"/>
  <c r="G138" i="6" s="1"/>
  <c r="C475" i="17"/>
  <c r="G475" i="17" s="1"/>
  <c r="I168" i="34"/>
  <c r="I168" i="36"/>
  <c r="I175" i="35"/>
  <c r="H102" i="33"/>
  <c r="AX102" i="33" s="1"/>
  <c r="H100" i="36"/>
  <c r="H101" i="35"/>
  <c r="H104" i="34"/>
  <c r="I98" i="34"/>
  <c r="I95" i="36"/>
  <c r="I96" i="35"/>
  <c r="J99" i="35"/>
  <c r="J98" i="36"/>
  <c r="C221" i="6"/>
  <c r="G221" i="6" s="1"/>
  <c r="BA168" i="34"/>
  <c r="L91" i="2"/>
  <c r="M91" i="2" s="1"/>
  <c r="L90" i="2"/>
  <c r="M90" i="2" s="1"/>
  <c r="L89" i="2"/>
  <c r="M89" i="2" s="1"/>
  <c r="C191" i="17" l="1"/>
  <c r="G191" i="17" s="1"/>
  <c r="AZ99" i="35"/>
  <c r="K98" i="36" s="1"/>
  <c r="C410" i="17"/>
  <c r="G410" i="17" s="1"/>
  <c r="J175" i="35"/>
  <c r="AZ175" i="35" s="1"/>
  <c r="K168" i="36" s="1"/>
  <c r="BA168" i="36" s="1"/>
  <c r="J168" i="36"/>
  <c r="I104" i="34"/>
  <c r="I100" i="36"/>
  <c r="I101" i="35"/>
  <c r="C294" i="17"/>
  <c r="G294" i="17" s="1"/>
  <c r="BA98" i="34"/>
  <c r="BA104" i="34"/>
  <c r="C300" i="17"/>
  <c r="G300" i="17" s="1"/>
  <c r="T56" i="32"/>
  <c r="K107" i="2"/>
  <c r="P35" i="2"/>
  <c r="L88" i="2"/>
  <c r="M88" i="2" s="1"/>
  <c r="L69" i="2"/>
  <c r="M69" i="2" s="1"/>
  <c r="C308" i="6" l="1"/>
  <c r="G308" i="6" s="1"/>
  <c r="C404" i="6"/>
  <c r="G404" i="6" s="1"/>
  <c r="J101" i="35"/>
  <c r="AZ101" i="35" s="1"/>
  <c r="K100" i="36" s="1"/>
  <c r="C531" i="17" s="1"/>
  <c r="G531" i="17" s="1"/>
  <c r="J100" i="36"/>
  <c r="J96" i="35"/>
  <c r="J95" i="36"/>
  <c r="C529" i="17"/>
  <c r="G529" i="17" s="1"/>
  <c r="BA98" i="36"/>
  <c r="L35" i="2"/>
  <c r="M35" i="2" s="1"/>
  <c r="C412" i="17" l="1"/>
  <c r="G412" i="17" s="1"/>
  <c r="BA100" i="36"/>
  <c r="AZ96" i="35"/>
  <c r="K95" i="36" s="1"/>
  <c r="C407" i="17"/>
  <c r="G407" i="17" s="1"/>
  <c r="J107" i="2"/>
  <c r="G42" i="32"/>
  <c r="G25" i="32"/>
  <c r="G24" i="32"/>
  <c r="C526" i="17" l="1"/>
  <c r="G526" i="17" s="1"/>
  <c r="BA95" i="36"/>
  <c r="L4" i="2"/>
  <c r="M4" i="2" s="1"/>
  <c r="L5" i="2"/>
  <c r="M5" i="2" s="1"/>
  <c r="L6" i="2"/>
  <c r="M6" i="2" s="1"/>
  <c r="L7" i="2"/>
  <c r="M7" i="2" s="1"/>
  <c r="L10" i="2"/>
  <c r="M10" i="2" s="1"/>
  <c r="L8" i="2"/>
  <c r="M8" i="2" s="1"/>
  <c r="L9" i="2"/>
  <c r="M9" i="2" s="1"/>
  <c r="L11" i="2"/>
  <c r="M11" i="2" s="1"/>
  <c r="L12" i="2"/>
  <c r="M12" i="2" s="1"/>
  <c r="L13" i="2"/>
  <c r="M13" i="2" s="1"/>
  <c r="L14" i="2"/>
  <c r="M14" i="2" s="1"/>
  <c r="L15" i="2"/>
  <c r="M15" i="2" s="1"/>
  <c r="L16" i="2"/>
  <c r="M16" i="2" s="1"/>
  <c r="L17" i="2"/>
  <c r="M17" i="2" s="1"/>
  <c r="L18" i="2"/>
  <c r="M18" i="2" s="1"/>
  <c r="L19" i="2"/>
  <c r="M19" i="2" s="1"/>
  <c r="L20" i="2"/>
  <c r="M20" i="2" s="1"/>
  <c r="L21" i="2"/>
  <c r="M21" i="2" s="1"/>
  <c r="L22" i="2"/>
  <c r="M22" i="2" s="1"/>
  <c r="L23" i="2"/>
  <c r="M23" i="2" s="1"/>
  <c r="L24" i="2"/>
  <c r="M24" i="2" s="1"/>
  <c r="L25" i="2"/>
  <c r="M25" i="2" s="1"/>
  <c r="L26" i="2"/>
  <c r="M26" i="2" s="1"/>
  <c r="L27" i="2"/>
  <c r="M27" i="2" s="1"/>
  <c r="L28" i="2"/>
  <c r="L29" i="2"/>
  <c r="M29" i="2" s="1"/>
  <c r="L30" i="2"/>
  <c r="M30" i="2" s="1"/>
  <c r="L31" i="2"/>
  <c r="M31" i="2" s="1"/>
  <c r="L32" i="2"/>
  <c r="M32" i="2" s="1"/>
  <c r="L33" i="2"/>
  <c r="M33" i="2" s="1"/>
  <c r="L34" i="2"/>
  <c r="M34" i="2" s="1"/>
  <c r="L36" i="2"/>
  <c r="M36" i="2" s="1"/>
  <c r="L37" i="2"/>
  <c r="M37" i="2" s="1"/>
  <c r="L38" i="2"/>
  <c r="M38" i="2" s="1"/>
  <c r="L39" i="2"/>
  <c r="M39" i="2" s="1"/>
  <c r="L40" i="2"/>
  <c r="M40" i="2" s="1"/>
  <c r="L41" i="2"/>
  <c r="M41" i="2" s="1"/>
  <c r="L42" i="2"/>
  <c r="M42" i="2" s="1"/>
  <c r="L43" i="2"/>
  <c r="M43" i="2" s="1"/>
  <c r="L44" i="2"/>
  <c r="M44" i="2" s="1"/>
  <c r="L45" i="2"/>
  <c r="M45" i="2" s="1"/>
  <c r="L46" i="2"/>
  <c r="M46" i="2" s="1"/>
  <c r="L47" i="2"/>
  <c r="M47" i="2" s="1"/>
  <c r="L48" i="2"/>
  <c r="M48" i="2" s="1"/>
  <c r="L49" i="2"/>
  <c r="M49" i="2" s="1"/>
  <c r="L50" i="2"/>
  <c r="M50" i="2" s="1"/>
  <c r="L51" i="2"/>
  <c r="M51" i="2" s="1"/>
  <c r="L52" i="2"/>
  <c r="M52" i="2" s="1"/>
  <c r="L53" i="2"/>
  <c r="M53" i="2" s="1"/>
  <c r="L54" i="2"/>
  <c r="M54" i="2" s="1"/>
  <c r="L55" i="2"/>
  <c r="M55" i="2" s="1"/>
  <c r="L56" i="2"/>
  <c r="M56" i="2" s="1"/>
  <c r="L57" i="2"/>
  <c r="M57" i="2" s="1"/>
  <c r="L58" i="2"/>
  <c r="M58" i="2" s="1"/>
  <c r="L59" i="2"/>
  <c r="M59" i="2" s="1"/>
  <c r="L60" i="2"/>
  <c r="M60" i="2" s="1"/>
  <c r="L61" i="2"/>
  <c r="M61" i="2" s="1"/>
  <c r="L62" i="2"/>
  <c r="M62" i="2" s="1"/>
  <c r="L63" i="2"/>
  <c r="M63" i="2" s="1"/>
  <c r="L64" i="2"/>
  <c r="M64" i="2" s="1"/>
  <c r="L65" i="2"/>
  <c r="M65" i="2" s="1"/>
  <c r="L66" i="2"/>
  <c r="M66" i="2" s="1"/>
  <c r="L67" i="2"/>
  <c r="M67" i="2" s="1"/>
  <c r="L68" i="2"/>
  <c r="M68" i="2" s="1"/>
  <c r="L70" i="2"/>
  <c r="M70" i="2" s="1"/>
  <c r="L71" i="2"/>
  <c r="M71" i="2" s="1"/>
  <c r="L72" i="2"/>
  <c r="M72" i="2" s="1"/>
  <c r="L73" i="2"/>
  <c r="M73" i="2" s="1"/>
  <c r="L74" i="2"/>
  <c r="M74" i="2" s="1"/>
  <c r="L75" i="2"/>
  <c r="M75" i="2" s="1"/>
  <c r="L76" i="2"/>
  <c r="M76" i="2" s="1"/>
  <c r="L77" i="2"/>
  <c r="M77" i="2" s="1"/>
  <c r="L78" i="2"/>
  <c r="M78" i="2" s="1"/>
  <c r="L79" i="2"/>
  <c r="M79" i="2" s="1"/>
  <c r="L80" i="2"/>
  <c r="M80" i="2" s="1"/>
  <c r="L81" i="2"/>
  <c r="M81" i="2" s="1"/>
  <c r="L82" i="2"/>
  <c r="M82" i="2" s="1"/>
  <c r="L83" i="2"/>
  <c r="M83" i="2" s="1"/>
  <c r="L84" i="2"/>
  <c r="M84" i="2" s="1"/>
  <c r="L85" i="2"/>
  <c r="M85" i="2" s="1"/>
  <c r="L86" i="2"/>
  <c r="M86" i="2" s="1"/>
  <c r="L98" i="2"/>
  <c r="M98" i="2" s="1"/>
  <c r="L87" i="2"/>
  <c r="M87" i="2" s="1"/>
  <c r="L94" i="2"/>
  <c r="M94" i="2" s="1"/>
  <c r="L101" i="2"/>
  <c r="M101" i="2" s="1"/>
  <c r="L102" i="2"/>
  <c r="M102" i="2" s="1"/>
  <c r="L103" i="2"/>
  <c r="M103" i="2" s="1"/>
  <c r="L106" i="2"/>
  <c r="M106" i="2" s="1"/>
  <c r="L3" i="2"/>
  <c r="M3" i="2" s="1"/>
  <c r="L2" i="2"/>
  <c r="M2" i="2" s="1"/>
  <c r="M28" i="2" l="1"/>
  <c r="M107" i="2" s="1"/>
  <c r="L107" i="2"/>
  <c r="S189" i="32"/>
  <c r="S168" i="32"/>
  <c r="S166" i="32"/>
  <c r="S153" i="32"/>
  <c r="S150" i="32"/>
  <c r="S139" i="32"/>
  <c r="S96" i="32"/>
  <c r="S68" i="32"/>
  <c r="S66" i="32"/>
  <c r="S44" i="32"/>
  <c r="S43" i="32"/>
  <c r="T92" i="32"/>
  <c r="T19" i="32"/>
  <c r="T127" i="32"/>
  <c r="T76" i="32"/>
  <c r="T87" i="32"/>
  <c r="S87" i="32"/>
  <c r="T73" i="32"/>
  <c r="T32" i="32"/>
  <c r="S32" i="32"/>
  <c r="T63" i="32"/>
  <c r="T42" i="32"/>
  <c r="T109" i="32"/>
  <c r="T80" i="32"/>
  <c r="T98" i="32"/>
  <c r="T113" i="32"/>
  <c r="S113" i="32"/>
  <c r="T67" i="32"/>
  <c r="G104" i="32"/>
  <c r="T100" i="32"/>
  <c r="T27" i="32" l="1"/>
  <c r="O214" i="32" l="1"/>
  <c r="F66" i="6"/>
  <c r="T186" i="32"/>
  <c r="T214" i="32" s="1"/>
  <c r="S186" i="32"/>
  <c r="F5" i="6"/>
  <c r="F6" i="6"/>
  <c r="F7" i="6"/>
  <c r="F8" i="6"/>
  <c r="F9" i="6"/>
  <c r="F11" i="6"/>
  <c r="F12" i="6"/>
  <c r="F13" i="6"/>
  <c r="F14" i="6"/>
  <c r="F15"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50" i="6"/>
  <c r="F51" i="6"/>
  <c r="F52" i="6"/>
  <c r="F53" i="6"/>
  <c r="F54" i="6"/>
  <c r="F55" i="6"/>
  <c r="F56" i="6"/>
  <c r="F57" i="6"/>
  <c r="F58" i="6"/>
  <c r="F59" i="6"/>
  <c r="F60" i="6"/>
  <c r="F61" i="6"/>
  <c r="F62" i="6"/>
  <c r="F63" i="6"/>
  <c r="F64" i="6"/>
  <c r="F65" i="6"/>
  <c r="F67" i="6"/>
  <c r="F68" i="6"/>
  <c r="F69" i="6"/>
  <c r="F70" i="6"/>
  <c r="F71" i="6"/>
  <c r="F72" i="6"/>
  <c r="F73" i="6"/>
  <c r="F74" i="6"/>
  <c r="F75" i="6"/>
  <c r="F76" i="6"/>
  <c r="F77" i="6"/>
  <c r="F78" i="6"/>
  <c r="F79" i="6"/>
  <c r="F80" i="6"/>
  <c r="F81" i="6"/>
  <c r="F82" i="6"/>
  <c r="F83" i="6"/>
  <c r="F84" i="6"/>
  <c r="F85" i="6"/>
  <c r="F86" i="6"/>
  <c r="F87" i="6"/>
  <c r="F88" i="6"/>
  <c r="F89" i="6"/>
  <c r="F90" i="6"/>
  <c r="F91" i="6"/>
  <c r="F93" i="6"/>
  <c r="F4" i="6"/>
  <c r="F3" i="6"/>
  <c r="F2" i="6"/>
  <c r="F5" i="17"/>
  <c r="F6" i="17"/>
  <c r="F7" i="17"/>
  <c r="F8" i="17"/>
  <c r="F9" i="17"/>
  <c r="F10" i="17"/>
  <c r="F11" i="17"/>
  <c r="F12" i="17"/>
  <c r="F13" i="17"/>
  <c r="F14" i="17"/>
  <c r="F15" i="17"/>
  <c r="F16" i="17"/>
  <c r="F17" i="17"/>
  <c r="F18" i="17"/>
  <c r="F19" i="17"/>
  <c r="F20" i="17"/>
  <c r="F21" i="17"/>
  <c r="F22" i="17"/>
  <c r="F23" i="17"/>
  <c r="F24" i="17"/>
  <c r="F25" i="17"/>
  <c r="F26" i="17"/>
  <c r="F27" i="17"/>
  <c r="F28"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80" i="17"/>
  <c r="F81" i="17"/>
  <c r="F82" i="17"/>
  <c r="F84" i="17"/>
  <c r="F86" i="17"/>
  <c r="F87" i="17"/>
  <c r="F88" i="17"/>
  <c r="F89" i="17"/>
  <c r="F90" i="17"/>
  <c r="F91" i="17"/>
  <c r="F92" i="17"/>
  <c r="F93" i="17"/>
  <c r="F94" i="17"/>
  <c r="F95" i="17"/>
  <c r="F96" i="17"/>
  <c r="F97" i="17"/>
  <c r="F98" i="17"/>
  <c r="F99" i="17"/>
  <c r="F100" i="17"/>
  <c r="F102" i="17"/>
  <c r="F104" i="17"/>
  <c r="F105" i="17"/>
  <c r="F4" i="17"/>
  <c r="F3" i="17"/>
  <c r="F2" i="17"/>
  <c r="N214" i="32"/>
  <c r="M214" i="32"/>
  <c r="L214" i="32"/>
  <c r="K214" i="32"/>
  <c r="P214" i="32"/>
  <c r="J214" i="32"/>
  <c r="I214" i="32"/>
  <c r="H214" i="32"/>
  <c r="S3" i="32" s="1"/>
  <c r="U214" i="32"/>
  <c r="C66" i="6" l="1"/>
  <c r="G66" i="6" s="1"/>
  <c r="BA186" i="32"/>
  <c r="F106" i="17"/>
  <c r="X214" i="32"/>
  <c r="Y214" i="32"/>
  <c r="Z214" i="32"/>
  <c r="AA214" i="32"/>
  <c r="AB214" i="32"/>
  <c r="AC214" i="32"/>
  <c r="AD214" i="32"/>
  <c r="AE214" i="32"/>
  <c r="AF214" i="32"/>
  <c r="AG214" i="32"/>
  <c r="AH214" i="32"/>
  <c r="AI214" i="32"/>
  <c r="AJ214" i="32"/>
  <c r="AK214" i="32"/>
  <c r="AL214" i="32"/>
  <c r="AM214" i="32"/>
  <c r="AN214" i="32"/>
  <c r="AO214" i="32"/>
  <c r="AP214" i="32"/>
  <c r="AQ214" i="32"/>
  <c r="AR214" i="32"/>
  <c r="AS214" i="32"/>
  <c r="AT214" i="32"/>
  <c r="AU214" i="32"/>
  <c r="AV214" i="32"/>
  <c r="AW214" i="32"/>
  <c r="AX214" i="32"/>
  <c r="AY214" i="32"/>
  <c r="AZ214" i="32"/>
  <c r="W214" i="32"/>
  <c r="V214" i="32"/>
  <c r="G213" i="32"/>
  <c r="G210" i="32"/>
  <c r="G209" i="32"/>
  <c r="G208" i="32"/>
  <c r="G207" i="32"/>
  <c r="G206" i="32"/>
  <c r="G205" i="32"/>
  <c r="G204" i="32"/>
  <c r="G203" i="32"/>
  <c r="G202" i="32"/>
  <c r="G201" i="32"/>
  <c r="G200" i="32"/>
  <c r="G198" i="32"/>
  <c r="G197" i="32"/>
  <c r="G196" i="32"/>
  <c r="G195" i="32"/>
  <c r="G194" i="32"/>
  <c r="G193" i="32"/>
  <c r="G192" i="32"/>
  <c r="G191" i="32"/>
  <c r="G190" i="32"/>
  <c r="G189" i="32"/>
  <c r="G188" i="32"/>
  <c r="G187" i="32"/>
  <c r="G185" i="32"/>
  <c r="G184" i="32"/>
  <c r="G183" i="32"/>
  <c r="G182" i="32"/>
  <c r="G181" i="32"/>
  <c r="G180" i="32"/>
  <c r="G179" i="32"/>
  <c r="G178" i="32"/>
  <c r="G177" i="32"/>
  <c r="G175" i="32"/>
  <c r="G174" i="32"/>
  <c r="G173" i="32"/>
  <c r="G172" i="32"/>
  <c r="G171" i="32"/>
  <c r="G170" i="32"/>
  <c r="G168" i="32"/>
  <c r="G167" i="32"/>
  <c r="G166" i="32"/>
  <c r="G165" i="32"/>
  <c r="G164" i="32"/>
  <c r="G163" i="32"/>
  <c r="G162" i="32"/>
  <c r="G159" i="32"/>
  <c r="G158" i="32"/>
  <c r="G157" i="32"/>
  <c r="G156" i="32"/>
  <c r="G155" i="32"/>
  <c r="G154" i="32"/>
  <c r="G153" i="32"/>
  <c r="G152" i="32"/>
  <c r="G151" i="32"/>
  <c r="G150" i="32"/>
  <c r="G149" i="32"/>
  <c r="G148" i="32"/>
  <c r="G147" i="32"/>
  <c r="G146" i="32"/>
  <c r="G143" i="32"/>
  <c r="G145" i="32"/>
  <c r="G144" i="32"/>
  <c r="G142" i="32"/>
  <c r="G141" i="32"/>
  <c r="G140" i="32"/>
  <c r="G139" i="32"/>
  <c r="G135" i="32"/>
  <c r="G134" i="32"/>
  <c r="G133" i="32"/>
  <c r="G132" i="32"/>
  <c r="G131" i="32"/>
  <c r="G129" i="32"/>
  <c r="G128" i="32"/>
  <c r="G127" i="32"/>
  <c r="G126" i="32"/>
  <c r="G125" i="32"/>
  <c r="G124" i="32"/>
  <c r="G123" i="32"/>
  <c r="G122" i="32"/>
  <c r="G121" i="32"/>
  <c r="G120" i="32"/>
  <c r="G118" i="32"/>
  <c r="G116" i="32"/>
  <c r="G115" i="32"/>
  <c r="G114" i="32"/>
  <c r="G113" i="32"/>
  <c r="G112" i="32"/>
  <c r="G111" i="32"/>
  <c r="G110" i="32"/>
  <c r="G109" i="32"/>
  <c r="G108" i="32"/>
  <c r="G107" i="32"/>
  <c r="G106" i="32"/>
  <c r="G105" i="32"/>
  <c r="G103" i="32"/>
  <c r="G58" i="32"/>
  <c r="G61" i="32"/>
  <c r="G59" i="32"/>
  <c r="G98" i="32"/>
  <c r="G102" i="32"/>
  <c r="G96" i="32"/>
  <c r="G93" i="32"/>
  <c r="G92" i="32"/>
  <c r="G88" i="32"/>
  <c r="G18" i="32"/>
  <c r="G87" i="32"/>
  <c r="G86" i="32"/>
  <c r="G85" i="32"/>
  <c r="G84" i="32"/>
  <c r="G56" i="32"/>
  <c r="G82" i="32"/>
  <c r="G80" i="32"/>
  <c r="G81" i="32"/>
  <c r="G79" i="32"/>
  <c r="G74" i="32"/>
  <c r="G31" i="32"/>
  <c r="G72" i="32"/>
  <c r="G20" i="32"/>
  <c r="G71" i="32"/>
  <c r="G70" i="32"/>
  <c r="G69" i="32"/>
  <c r="G68" i="32"/>
  <c r="G67" i="32"/>
  <c r="G66" i="32"/>
  <c r="G65" i="32"/>
  <c r="G53" i="32"/>
  <c r="G64" i="32"/>
  <c r="G63" i="32"/>
  <c r="G60" i="32"/>
  <c r="G62" i="32"/>
  <c r="G33" i="32"/>
  <c r="G57" i="32"/>
  <c r="G38" i="32"/>
  <c r="G55" i="32"/>
  <c r="G51" i="32"/>
  <c r="G97" i="32"/>
  <c r="G49" i="32"/>
  <c r="G48" i="32"/>
  <c r="G47" i="32"/>
  <c r="G75" i="32"/>
  <c r="G46" i="32"/>
  <c r="G50" i="32"/>
  <c r="G23" i="32"/>
  <c r="G100" i="32"/>
  <c r="G44" i="32"/>
  <c r="G43" i="32"/>
  <c r="G41" i="32"/>
  <c r="G40" i="32"/>
  <c r="G39" i="32"/>
  <c r="G77" i="32"/>
  <c r="G52" i="32"/>
  <c r="G37" i="32"/>
  <c r="G36" i="32"/>
  <c r="BA36" i="32" s="1"/>
  <c r="G73" i="32"/>
  <c r="G35" i="32"/>
  <c r="G34" i="32"/>
  <c r="G89" i="32"/>
  <c r="G32" i="32"/>
  <c r="G29" i="32"/>
  <c r="G91" i="32"/>
  <c r="G90" i="32"/>
  <c r="G27" i="32"/>
  <c r="G26" i="32"/>
  <c r="G54" i="32"/>
  <c r="G22" i="32"/>
  <c r="G21" i="32"/>
  <c r="G76" i="32"/>
  <c r="G19" i="32"/>
  <c r="G28" i="32"/>
  <c r="G94" i="32"/>
  <c r="G30" i="32"/>
  <c r="H184" i="33" l="1"/>
  <c r="C155" i="6" s="1"/>
  <c r="G155" i="6" s="1"/>
  <c r="H182" i="36"/>
  <c r="H190" i="35"/>
  <c r="H182" i="34"/>
  <c r="H35" i="35"/>
  <c r="H35" i="36"/>
  <c r="H37" i="33"/>
  <c r="C126" i="17" s="1"/>
  <c r="G126" i="17" s="1"/>
  <c r="H36" i="34"/>
  <c r="AX37" i="33"/>
  <c r="I35" i="36" s="1"/>
  <c r="D6" i="32"/>
  <c r="D10" i="32"/>
  <c r="D8" i="32"/>
  <c r="D9" i="32"/>
  <c r="D7" i="32"/>
  <c r="C18" i="17"/>
  <c r="BA34" i="32"/>
  <c r="C31" i="17"/>
  <c r="BA47" i="32"/>
  <c r="C55" i="17"/>
  <c r="BA71" i="32"/>
  <c r="C94" i="17"/>
  <c r="BA110" i="32"/>
  <c r="C100" i="17"/>
  <c r="BA116" i="32"/>
  <c r="C17" i="6"/>
  <c r="BA137" i="32"/>
  <c r="C33" i="6"/>
  <c r="BA153" i="32"/>
  <c r="C46" i="6"/>
  <c r="BA166" i="32"/>
  <c r="C48" i="6"/>
  <c r="BA168" i="32"/>
  <c r="H166" i="33" s="1"/>
  <c r="C72" i="6"/>
  <c r="BA192" i="32"/>
  <c r="C91" i="6"/>
  <c r="BA211" i="32"/>
  <c r="C20" i="17"/>
  <c r="C32" i="17"/>
  <c r="BA48" i="32"/>
  <c r="C50" i="17"/>
  <c r="BA66" i="32"/>
  <c r="G214" i="32"/>
  <c r="S2" i="32" s="1"/>
  <c r="C91" i="17"/>
  <c r="BA107" i="32"/>
  <c r="C102" i="17"/>
  <c r="G102" i="17" s="1"/>
  <c r="BA118" i="32"/>
  <c r="C40" i="6"/>
  <c r="BA160" i="32"/>
  <c r="C50" i="6"/>
  <c r="BA170" i="32"/>
  <c r="C56" i="6"/>
  <c r="BA176" i="32"/>
  <c r="H174" i="33" s="1"/>
  <c r="AX174" i="33" s="1"/>
  <c r="C71" i="6"/>
  <c r="BA191" i="32"/>
  <c r="C85" i="6"/>
  <c r="BA205" i="32"/>
  <c r="C87" i="6"/>
  <c r="BA207" i="32"/>
  <c r="R214" i="32"/>
  <c r="Q214" i="32"/>
  <c r="AX184" i="33" l="1"/>
  <c r="I182" i="34" s="1"/>
  <c r="I182" i="36"/>
  <c r="I190" i="35"/>
  <c r="H159" i="33"/>
  <c r="AX159" i="33" s="1"/>
  <c r="H161" i="36"/>
  <c r="H168" i="35"/>
  <c r="H161" i="34"/>
  <c r="H212" i="35"/>
  <c r="H205" i="36"/>
  <c r="H195" i="35"/>
  <c r="H187" i="36"/>
  <c r="H176" i="35"/>
  <c r="H169" i="36"/>
  <c r="H112" i="35"/>
  <c r="H111" i="36"/>
  <c r="H196" i="35"/>
  <c r="H188" i="36"/>
  <c r="H66" i="35"/>
  <c r="H66" i="36"/>
  <c r="H47" i="35"/>
  <c r="H47" i="36"/>
  <c r="H214" i="35"/>
  <c r="H207" i="36"/>
  <c r="H173" i="35"/>
  <c r="H166" i="36"/>
  <c r="H163" i="35"/>
  <c r="H157" i="36"/>
  <c r="H130" i="35"/>
  <c r="H128" i="36"/>
  <c r="H71" i="35"/>
  <c r="H70" i="36"/>
  <c r="H46" i="35"/>
  <c r="H46" i="36"/>
  <c r="H33" i="35"/>
  <c r="H33" i="36"/>
  <c r="I36" i="34"/>
  <c r="C232" i="17" s="1"/>
  <c r="G232" i="17" s="1"/>
  <c r="I35" i="35"/>
  <c r="H202" i="33"/>
  <c r="C173" i="6" s="1"/>
  <c r="G173" i="6" s="1"/>
  <c r="H201" i="34"/>
  <c r="H168" i="33"/>
  <c r="AX168" i="33" s="1"/>
  <c r="I169" i="36" s="1"/>
  <c r="H169" i="34"/>
  <c r="H120" i="33"/>
  <c r="AX120" i="33" s="1"/>
  <c r="I128" i="34" s="1"/>
  <c r="H128" i="34"/>
  <c r="H108" i="33"/>
  <c r="C197" i="17" s="1"/>
  <c r="G197" i="17" s="1"/>
  <c r="H112" i="34"/>
  <c r="H190" i="33"/>
  <c r="AX190" i="33" s="1"/>
  <c r="I188" i="36" s="1"/>
  <c r="H188" i="34"/>
  <c r="H66" i="33"/>
  <c r="C155" i="17" s="1"/>
  <c r="G155" i="17" s="1"/>
  <c r="H67" i="34"/>
  <c r="H49" i="33"/>
  <c r="C138" i="17" s="1"/>
  <c r="G138" i="17" s="1"/>
  <c r="H48" i="34"/>
  <c r="H204" i="33"/>
  <c r="AX204" i="33" s="1"/>
  <c r="I207" i="36" s="1"/>
  <c r="H203" i="34"/>
  <c r="H189" i="33"/>
  <c r="AX189" i="33" s="1"/>
  <c r="I187" i="36" s="1"/>
  <c r="H187" i="34"/>
  <c r="H164" i="33"/>
  <c r="AX164" i="33" s="1"/>
  <c r="I166" i="36" s="1"/>
  <c r="H166" i="34"/>
  <c r="H152" i="33"/>
  <c r="AX152" i="33" s="1"/>
  <c r="I157" i="36" s="1"/>
  <c r="H156" i="34"/>
  <c r="H118" i="33"/>
  <c r="AX118" i="33" s="1"/>
  <c r="I128" i="36" s="1"/>
  <c r="H127" i="34"/>
  <c r="H71" i="33"/>
  <c r="C160" i="17" s="1"/>
  <c r="G160" i="17" s="1"/>
  <c r="H72" i="34"/>
  <c r="H48" i="33"/>
  <c r="AX48" i="33" s="1"/>
  <c r="I46" i="36" s="1"/>
  <c r="H47" i="34"/>
  <c r="H35" i="33"/>
  <c r="AX35" i="33" s="1"/>
  <c r="I33" i="36" s="1"/>
  <c r="H34" i="34"/>
  <c r="AX202" i="33"/>
  <c r="I205" i="36" s="1"/>
  <c r="C145" i="6"/>
  <c r="G145" i="6" s="1"/>
  <c r="C137" i="6"/>
  <c r="G137" i="6" s="1"/>
  <c r="AX166" i="33"/>
  <c r="D13" i="32"/>
  <c r="C235" i="6" l="1"/>
  <c r="G235" i="6" s="1"/>
  <c r="BA182" i="34"/>
  <c r="J190" i="35" s="1"/>
  <c r="AZ190" i="35" s="1"/>
  <c r="K182" i="36" s="1"/>
  <c r="BA182" i="36" s="1"/>
  <c r="BA36" i="34"/>
  <c r="J35" i="36" s="1"/>
  <c r="C130" i="6"/>
  <c r="G130" i="6" s="1"/>
  <c r="I161" i="34"/>
  <c r="I161" i="36"/>
  <c r="I168" i="35"/>
  <c r="AX108" i="33"/>
  <c r="I111" i="36" s="1"/>
  <c r="C139" i="6"/>
  <c r="G139" i="6" s="1"/>
  <c r="J35" i="35"/>
  <c r="AZ35" i="35" s="1"/>
  <c r="K35" i="36" s="1"/>
  <c r="I201" i="34"/>
  <c r="BA201" i="34" s="1"/>
  <c r="I212" i="35"/>
  <c r="I47" i="34"/>
  <c r="I46" i="35"/>
  <c r="I127" i="34"/>
  <c r="BA127" i="34" s="1"/>
  <c r="I130" i="35"/>
  <c r="I187" i="34"/>
  <c r="BA187" i="34" s="1"/>
  <c r="I195" i="35"/>
  <c r="C123" i="6"/>
  <c r="G123" i="6" s="1"/>
  <c r="I34" i="34"/>
  <c r="C230" i="17" s="1"/>
  <c r="G230" i="17" s="1"/>
  <c r="I33" i="35"/>
  <c r="I156" i="34"/>
  <c r="C209" i="6" s="1"/>
  <c r="G209" i="6" s="1"/>
  <c r="I163" i="35"/>
  <c r="I166" i="34"/>
  <c r="BA166" i="34" s="1"/>
  <c r="I173" i="35"/>
  <c r="I203" i="34"/>
  <c r="BA203" i="34" s="1"/>
  <c r="I214" i="35"/>
  <c r="I188" i="34"/>
  <c r="C241" i="6" s="1"/>
  <c r="G241" i="6" s="1"/>
  <c r="I196" i="35"/>
  <c r="I169" i="34"/>
  <c r="C222" i="6" s="1"/>
  <c r="G222" i="6" s="1"/>
  <c r="I176" i="35"/>
  <c r="C301" i="6"/>
  <c r="G301" i="6" s="1"/>
  <c r="C137" i="17"/>
  <c r="G137" i="17" s="1"/>
  <c r="C161" i="6"/>
  <c r="G161" i="6" s="1"/>
  <c r="C209" i="17"/>
  <c r="G209" i="17" s="1"/>
  <c r="AX49" i="33"/>
  <c r="I47" i="36" s="1"/>
  <c r="C124" i="17"/>
  <c r="G124" i="17" s="1"/>
  <c r="AX71" i="33"/>
  <c r="I70" i="36" s="1"/>
  <c r="C175" i="6"/>
  <c r="G175" i="6" s="1"/>
  <c r="AX66" i="33"/>
  <c r="I66" i="36" s="1"/>
  <c r="C207" i="17"/>
  <c r="G207" i="17" s="1"/>
  <c r="C135" i="6"/>
  <c r="G135" i="6" s="1"/>
  <c r="C160" i="6"/>
  <c r="G160" i="6" s="1"/>
  <c r="C240" i="6"/>
  <c r="G240" i="6" s="1"/>
  <c r="BA47" i="34"/>
  <c r="C243" i="17"/>
  <c r="G243" i="17" s="1"/>
  <c r="BA128" i="34"/>
  <c r="C324" i="17"/>
  <c r="G324" i="17" s="1"/>
  <c r="C36" i="6"/>
  <c r="G36" i="6" s="1"/>
  <c r="BA156" i="32"/>
  <c r="J182" i="36" l="1"/>
  <c r="BA169" i="34"/>
  <c r="C256" i="6"/>
  <c r="G256" i="6" s="1"/>
  <c r="I112" i="35"/>
  <c r="C418" i="6"/>
  <c r="G418" i="6" s="1"/>
  <c r="C323" i="6"/>
  <c r="G323" i="6" s="1"/>
  <c r="I112" i="34"/>
  <c r="BA161" i="34"/>
  <c r="C214" i="6"/>
  <c r="G214" i="6" s="1"/>
  <c r="C254" i="6"/>
  <c r="G254" i="6" s="1"/>
  <c r="BA156" i="34"/>
  <c r="J163" i="35" s="1"/>
  <c r="AZ163" i="35" s="1"/>
  <c r="K157" i="36" s="1"/>
  <c r="C323" i="17"/>
  <c r="G323" i="17" s="1"/>
  <c r="C346" i="17"/>
  <c r="G346" i="17" s="1"/>
  <c r="J214" i="35"/>
  <c r="J207" i="36"/>
  <c r="J173" i="35"/>
  <c r="J166" i="36"/>
  <c r="H165" i="35"/>
  <c r="H159" i="36"/>
  <c r="J212" i="35"/>
  <c r="AZ212" i="35" s="1"/>
  <c r="K205" i="36" s="1"/>
  <c r="J205" i="36"/>
  <c r="J176" i="35"/>
  <c r="AZ176" i="35" s="1"/>
  <c r="K169" i="36" s="1"/>
  <c r="J169" i="36"/>
  <c r="J46" i="35"/>
  <c r="AZ46" i="35" s="1"/>
  <c r="K46" i="36" s="1"/>
  <c r="J46" i="36"/>
  <c r="J195" i="35"/>
  <c r="J187" i="36"/>
  <c r="J130" i="35"/>
  <c r="J128" i="36"/>
  <c r="C466" i="17"/>
  <c r="G466" i="17" s="1"/>
  <c r="BA35" i="36"/>
  <c r="BA34" i="34"/>
  <c r="BA188" i="34"/>
  <c r="C219" i="6"/>
  <c r="G219" i="6" s="1"/>
  <c r="I67" i="34"/>
  <c r="C263" i="17" s="1"/>
  <c r="G263" i="17" s="1"/>
  <c r="I66" i="35"/>
  <c r="I72" i="34"/>
  <c r="BA72" i="34" s="1"/>
  <c r="I71" i="35"/>
  <c r="I48" i="34"/>
  <c r="C244" i="17" s="1"/>
  <c r="G244" i="17" s="1"/>
  <c r="I47" i="35"/>
  <c r="C268" i="17"/>
  <c r="G268" i="17" s="1"/>
  <c r="H155" i="33"/>
  <c r="AX155" i="33" s="1"/>
  <c r="I159" i="36" s="1"/>
  <c r="H158" i="34"/>
  <c r="BA43" i="32"/>
  <c r="C27" i="17"/>
  <c r="C126" i="6" l="1"/>
  <c r="G126" i="6" s="1"/>
  <c r="BA67" i="34"/>
  <c r="J66" i="35" s="1"/>
  <c r="AZ66" i="35" s="1"/>
  <c r="K66" i="36" s="1"/>
  <c r="BA112" i="34"/>
  <c r="C308" i="17"/>
  <c r="G308" i="17" s="1"/>
  <c r="BA48" i="34"/>
  <c r="J157" i="36"/>
  <c r="AZ168" i="35"/>
  <c r="K161" i="36" s="1"/>
  <c r="J161" i="36"/>
  <c r="C345" i="6"/>
  <c r="G345" i="6" s="1"/>
  <c r="C357" i="17"/>
  <c r="G357" i="17" s="1"/>
  <c r="C296" i="6"/>
  <c r="G296" i="6" s="1"/>
  <c r="C309" i="6"/>
  <c r="G309" i="6" s="1"/>
  <c r="J66" i="36"/>
  <c r="J71" i="35"/>
  <c r="J70" i="36"/>
  <c r="J196" i="35"/>
  <c r="AZ196" i="35" s="1"/>
  <c r="K188" i="36" s="1"/>
  <c r="J188" i="36"/>
  <c r="H42" i="35"/>
  <c r="H42" i="36"/>
  <c r="J47" i="35"/>
  <c r="AZ47" i="35" s="1"/>
  <c r="K47" i="36" s="1"/>
  <c r="J47" i="36"/>
  <c r="J33" i="35"/>
  <c r="J33" i="36"/>
  <c r="AZ130" i="35"/>
  <c r="K128" i="36" s="1"/>
  <c r="C441" i="17"/>
  <c r="G441" i="17" s="1"/>
  <c r="C328" i="6"/>
  <c r="G328" i="6" s="1"/>
  <c r="AZ195" i="35"/>
  <c r="K187" i="36" s="1"/>
  <c r="C393" i="6"/>
  <c r="G393" i="6" s="1"/>
  <c r="BA157" i="36"/>
  <c r="BA46" i="36"/>
  <c r="C477" i="17"/>
  <c r="G477" i="17" s="1"/>
  <c r="BA169" i="36"/>
  <c r="C405" i="6"/>
  <c r="G405" i="6" s="1"/>
  <c r="BA205" i="36"/>
  <c r="C440" i="6"/>
  <c r="G440" i="6" s="1"/>
  <c r="C306" i="6"/>
  <c r="G306" i="6" s="1"/>
  <c r="AZ173" i="35"/>
  <c r="K166" i="36" s="1"/>
  <c r="C347" i="6"/>
  <c r="G347" i="6" s="1"/>
  <c r="AZ214" i="35"/>
  <c r="K207" i="36" s="1"/>
  <c r="I158" i="34"/>
  <c r="BA158" i="34" s="1"/>
  <c r="I165" i="35"/>
  <c r="H44" i="33"/>
  <c r="C133" i="17" s="1"/>
  <c r="G133" i="17" s="1"/>
  <c r="H43" i="34"/>
  <c r="C16" i="17"/>
  <c r="BA32" i="32"/>
  <c r="C211" i="6" l="1"/>
  <c r="G211" i="6" s="1"/>
  <c r="J112" i="35"/>
  <c r="J111" i="36"/>
  <c r="C329" i="6"/>
  <c r="G329" i="6" s="1"/>
  <c r="AX44" i="33"/>
  <c r="I42" i="36" s="1"/>
  <c r="C397" i="6"/>
  <c r="G397" i="6" s="1"/>
  <c r="BA161" i="36"/>
  <c r="C358" i="17"/>
  <c r="G358" i="17" s="1"/>
  <c r="C377" i="17"/>
  <c r="G377" i="17" s="1"/>
  <c r="H32" i="35"/>
  <c r="H32" i="36"/>
  <c r="J165" i="35"/>
  <c r="J159" i="36"/>
  <c r="BA207" i="36"/>
  <c r="C442" i="6"/>
  <c r="G442" i="6" s="1"/>
  <c r="C402" i="6"/>
  <c r="G402" i="6" s="1"/>
  <c r="BA166" i="36"/>
  <c r="BA187" i="36"/>
  <c r="C423" i="6"/>
  <c r="G423" i="6" s="1"/>
  <c r="BA128" i="36"/>
  <c r="C559" i="17"/>
  <c r="G559" i="17" s="1"/>
  <c r="C344" i="17"/>
  <c r="G344" i="17" s="1"/>
  <c r="AZ33" i="35"/>
  <c r="K33" i="36" s="1"/>
  <c r="BA47" i="36"/>
  <c r="C478" i="17"/>
  <c r="G478" i="17" s="1"/>
  <c r="BA188" i="36"/>
  <c r="C424" i="6"/>
  <c r="G424" i="6" s="1"/>
  <c r="C382" i="17"/>
  <c r="G382" i="17" s="1"/>
  <c r="AZ71" i="35"/>
  <c r="K70" i="36" s="1"/>
  <c r="C497" i="17"/>
  <c r="G497" i="17" s="1"/>
  <c r="BA66" i="36"/>
  <c r="I43" i="34"/>
  <c r="BA43" i="34" s="1"/>
  <c r="I42" i="35"/>
  <c r="H33" i="33"/>
  <c r="C122" i="17" s="1"/>
  <c r="G122" i="17" s="1"/>
  <c r="H33" i="34"/>
  <c r="C239" i="17"/>
  <c r="G239" i="17" s="1"/>
  <c r="C80" i="17"/>
  <c r="BA96" i="32"/>
  <c r="C28" i="17"/>
  <c r="BA44" i="32"/>
  <c r="BA68" i="32"/>
  <c r="C52" i="17"/>
  <c r="G55" i="17"/>
  <c r="G91" i="6"/>
  <c r="AZ112" i="35" l="1"/>
  <c r="K111" i="36" s="1"/>
  <c r="C423" i="17"/>
  <c r="G423" i="17" s="1"/>
  <c r="H43" i="35"/>
  <c r="H43" i="36"/>
  <c r="H68" i="35"/>
  <c r="H67" i="36"/>
  <c r="BA70" i="36"/>
  <c r="C501" i="17"/>
  <c r="G501" i="17" s="1"/>
  <c r="C464" i="17"/>
  <c r="G464" i="17" s="1"/>
  <c r="BA33" i="36"/>
  <c r="H97" i="35"/>
  <c r="H96" i="36"/>
  <c r="J42" i="35"/>
  <c r="AZ42" i="35" s="1"/>
  <c r="K42" i="36" s="1"/>
  <c r="J42" i="36"/>
  <c r="C298" i="6"/>
  <c r="G298" i="6" s="1"/>
  <c r="AZ165" i="35"/>
  <c r="K159" i="36" s="1"/>
  <c r="AX33" i="33"/>
  <c r="I32" i="35" s="1"/>
  <c r="H45" i="33"/>
  <c r="AX45" i="33" s="1"/>
  <c r="I43" i="36" s="1"/>
  <c r="H44" i="34"/>
  <c r="H97" i="33"/>
  <c r="AX97" i="33" s="1"/>
  <c r="I96" i="36" s="1"/>
  <c r="H99" i="34"/>
  <c r="H68" i="33"/>
  <c r="AX68" i="33" s="1"/>
  <c r="I67" i="36" s="1"/>
  <c r="H69" i="34"/>
  <c r="C134" i="17"/>
  <c r="G134" i="17" s="1"/>
  <c r="S131" i="32"/>
  <c r="S65" i="32"/>
  <c r="C186" i="17" l="1"/>
  <c r="G186" i="17" s="1"/>
  <c r="C353" i="17"/>
  <c r="G353" i="17" s="1"/>
  <c r="BA111" i="36"/>
  <c r="C542" i="17"/>
  <c r="G542" i="17" s="1"/>
  <c r="C395" i="6"/>
  <c r="G395" i="6" s="1"/>
  <c r="BA159" i="36"/>
  <c r="I33" i="34"/>
  <c r="I32" i="36"/>
  <c r="C473" i="17"/>
  <c r="G473" i="17" s="1"/>
  <c r="BA42" i="36"/>
  <c r="BA33" i="34"/>
  <c r="C229" i="17"/>
  <c r="G229" i="17" s="1"/>
  <c r="I69" i="34"/>
  <c r="C265" i="17" s="1"/>
  <c r="G265" i="17" s="1"/>
  <c r="I68" i="35"/>
  <c r="I99" i="34"/>
  <c r="BA99" i="34" s="1"/>
  <c r="I97" i="35"/>
  <c r="I44" i="34"/>
  <c r="BA44" i="34" s="1"/>
  <c r="I43" i="35"/>
  <c r="C157" i="17"/>
  <c r="G157" i="17" s="1"/>
  <c r="C49" i="17"/>
  <c r="BA65" i="32"/>
  <c r="C11" i="6"/>
  <c r="G11" i="6" s="1"/>
  <c r="BA131" i="32"/>
  <c r="G52" i="17"/>
  <c r="BA69" i="34" l="1"/>
  <c r="C295" i="17"/>
  <c r="G295" i="17" s="1"/>
  <c r="H65" i="35"/>
  <c r="H65" i="36"/>
  <c r="J43" i="35"/>
  <c r="AZ43" i="35" s="1"/>
  <c r="K43" i="36" s="1"/>
  <c r="J43" i="36"/>
  <c r="H145" i="35"/>
  <c r="H139" i="36"/>
  <c r="J68" i="35"/>
  <c r="AZ68" i="35" s="1"/>
  <c r="K67" i="36" s="1"/>
  <c r="J67" i="36"/>
  <c r="J97" i="35"/>
  <c r="AZ97" i="35" s="1"/>
  <c r="K96" i="36" s="1"/>
  <c r="J96" i="36"/>
  <c r="J32" i="35"/>
  <c r="J32" i="36"/>
  <c r="C240" i="17"/>
  <c r="G240" i="17" s="1"/>
  <c r="H65" i="33"/>
  <c r="C154" i="17" s="1"/>
  <c r="G154" i="17" s="1"/>
  <c r="H66" i="34"/>
  <c r="H132" i="33"/>
  <c r="AX132" i="33" s="1"/>
  <c r="I139" i="36" s="1"/>
  <c r="H139" i="34"/>
  <c r="AX65" i="33"/>
  <c r="I65" i="36" s="1"/>
  <c r="C19" i="6"/>
  <c r="BA139" i="32"/>
  <c r="H80" i="4"/>
  <c r="I80" i="4" s="1"/>
  <c r="S195" i="32"/>
  <c r="C408" i="17" l="1"/>
  <c r="G408" i="17" s="1"/>
  <c r="H25" i="35"/>
  <c r="H25" i="36"/>
  <c r="C343" i="17"/>
  <c r="G343" i="17" s="1"/>
  <c r="AZ32" i="35"/>
  <c r="K32" i="36" s="1"/>
  <c r="C498" i="17"/>
  <c r="G498" i="17" s="1"/>
  <c r="BA67" i="36"/>
  <c r="C379" i="17"/>
  <c r="G379" i="17" s="1"/>
  <c r="C354" i="17"/>
  <c r="G354" i="17" s="1"/>
  <c r="C527" i="17"/>
  <c r="G527" i="17" s="1"/>
  <c r="BA96" i="36"/>
  <c r="C474" i="17"/>
  <c r="G474" i="17" s="1"/>
  <c r="BA43" i="36"/>
  <c r="I139" i="34"/>
  <c r="BA139" i="34" s="1"/>
  <c r="I145" i="35"/>
  <c r="C103" i="6"/>
  <c r="G103" i="6" s="1"/>
  <c r="I66" i="34"/>
  <c r="BA66" i="34" s="1"/>
  <c r="I65" i="35"/>
  <c r="H26" i="33"/>
  <c r="AX26" i="33" s="1"/>
  <c r="I25" i="36" s="1"/>
  <c r="H26" i="34"/>
  <c r="C262" i="17"/>
  <c r="G262" i="17" s="1"/>
  <c r="C115" i="17"/>
  <c r="G115" i="17" s="1"/>
  <c r="C99" i="17"/>
  <c r="BA115" i="32"/>
  <c r="C75" i="6"/>
  <c r="BA195" i="32"/>
  <c r="S185" i="32"/>
  <c r="S167" i="32"/>
  <c r="H126" i="35" l="1"/>
  <c r="H124" i="36"/>
  <c r="C463" i="17"/>
  <c r="G463" i="17" s="1"/>
  <c r="BA32" i="36"/>
  <c r="H198" i="35"/>
  <c r="H190" i="36"/>
  <c r="J65" i="35"/>
  <c r="AZ65" i="35" s="1"/>
  <c r="K65" i="36" s="1"/>
  <c r="J65" i="36"/>
  <c r="J145" i="35"/>
  <c r="AZ145" i="35" s="1"/>
  <c r="K139" i="36" s="1"/>
  <c r="J139" i="36"/>
  <c r="C278" i="6"/>
  <c r="G278" i="6" s="1"/>
  <c r="I26" i="34"/>
  <c r="C222" i="17" s="1"/>
  <c r="G222" i="17" s="1"/>
  <c r="I25" i="35"/>
  <c r="C192" i="6"/>
  <c r="G192" i="6" s="1"/>
  <c r="H116" i="33"/>
  <c r="AX116" i="33" s="1"/>
  <c r="I124" i="36" s="1"/>
  <c r="H124" i="34"/>
  <c r="H192" i="33"/>
  <c r="AX192" i="33" s="1"/>
  <c r="I190" i="36" s="1"/>
  <c r="H190" i="34"/>
  <c r="C65" i="6"/>
  <c r="BA185" i="32"/>
  <c r="C47" i="6"/>
  <c r="BA167" i="32"/>
  <c r="C69" i="6"/>
  <c r="BA189" i="32"/>
  <c r="P107" i="2"/>
  <c r="BA26" i="34" l="1"/>
  <c r="J25" i="35" s="1"/>
  <c r="AZ25" i="35" s="1"/>
  <c r="K25" i="36" s="1"/>
  <c r="C376" i="17"/>
  <c r="G376" i="17" s="1"/>
  <c r="C163" i="6"/>
  <c r="G163" i="6" s="1"/>
  <c r="C205" i="17"/>
  <c r="G205" i="17" s="1"/>
  <c r="H174" i="35"/>
  <c r="H167" i="36"/>
  <c r="H189" i="35"/>
  <c r="H181" i="36"/>
  <c r="J25" i="36"/>
  <c r="H193" i="35"/>
  <c r="H185" i="36"/>
  <c r="C375" i="6"/>
  <c r="G375" i="6" s="1"/>
  <c r="BA139" i="36"/>
  <c r="C496" i="17"/>
  <c r="G496" i="17" s="1"/>
  <c r="BA65" i="36"/>
  <c r="I190" i="34"/>
  <c r="C243" i="6" s="1"/>
  <c r="G243" i="6" s="1"/>
  <c r="I198" i="35"/>
  <c r="I124" i="34"/>
  <c r="C320" i="17" s="1"/>
  <c r="G320" i="17" s="1"/>
  <c r="I126" i="35"/>
  <c r="H165" i="33"/>
  <c r="C136" i="6" s="1"/>
  <c r="G136" i="6" s="1"/>
  <c r="H167" i="34"/>
  <c r="H183" i="33"/>
  <c r="C154" i="6" s="1"/>
  <c r="G154" i="6" s="1"/>
  <c r="H181" i="34"/>
  <c r="H187" i="33"/>
  <c r="C158" i="6" s="1"/>
  <c r="G158" i="6" s="1"/>
  <c r="H185" i="34"/>
  <c r="S145" i="32"/>
  <c r="S141" i="32"/>
  <c r="S133" i="32"/>
  <c r="S109" i="32"/>
  <c r="S59" i="32"/>
  <c r="S88" i="32"/>
  <c r="S85" i="32"/>
  <c r="S64" i="32"/>
  <c r="S55" i="32"/>
  <c r="S49" i="32"/>
  <c r="S41" i="32"/>
  <c r="S73" i="32"/>
  <c r="AX165" i="33" l="1"/>
  <c r="I167" i="36" s="1"/>
  <c r="BA190" i="34"/>
  <c r="J190" i="36" s="1"/>
  <c r="BA124" i="34"/>
  <c r="J126" i="35" s="1"/>
  <c r="AZ126" i="35" s="1"/>
  <c r="K124" i="36" s="1"/>
  <c r="AX183" i="33"/>
  <c r="I181" i="36" s="1"/>
  <c r="C336" i="17"/>
  <c r="G336" i="17" s="1"/>
  <c r="J198" i="35"/>
  <c r="AZ198" i="35" s="1"/>
  <c r="K190" i="36" s="1"/>
  <c r="C456" i="17"/>
  <c r="G456" i="17" s="1"/>
  <c r="BA25" i="36"/>
  <c r="AX187" i="33"/>
  <c r="I193" i="35" s="1"/>
  <c r="I167" i="34"/>
  <c r="C220" i="6" s="1"/>
  <c r="G220" i="6" s="1"/>
  <c r="I174" i="35"/>
  <c r="C12" i="6"/>
  <c r="BA132" i="32"/>
  <c r="C97" i="17"/>
  <c r="BA113" i="32"/>
  <c r="BA41" i="32"/>
  <c r="C25" i="17"/>
  <c r="C39" i="17"/>
  <c r="BA55" i="32"/>
  <c r="C48" i="17"/>
  <c r="BA64" i="32"/>
  <c r="C72" i="17"/>
  <c r="BA88" i="32"/>
  <c r="C93" i="17"/>
  <c r="BA109" i="32"/>
  <c r="C21" i="6"/>
  <c r="BA141" i="32"/>
  <c r="C57" i="17"/>
  <c r="BA73" i="32"/>
  <c r="C33" i="17"/>
  <c r="BA49" i="32"/>
  <c r="C46" i="17"/>
  <c r="BA62" i="32"/>
  <c r="C69" i="17"/>
  <c r="BA85" i="32"/>
  <c r="C43" i="17"/>
  <c r="BA59" i="32"/>
  <c r="C13" i="6"/>
  <c r="BA133" i="32"/>
  <c r="C25" i="6"/>
  <c r="BA145" i="32"/>
  <c r="F94" i="6"/>
  <c r="S78" i="32"/>
  <c r="J124" i="36" l="1"/>
  <c r="BA167" i="34"/>
  <c r="I189" i="35"/>
  <c r="I181" i="34"/>
  <c r="C437" i="17"/>
  <c r="G437" i="17" s="1"/>
  <c r="H60" i="35"/>
  <c r="H60" i="36"/>
  <c r="H73" i="35"/>
  <c r="H72" i="36"/>
  <c r="H152" i="35"/>
  <c r="H146" i="36"/>
  <c r="H114" i="35"/>
  <c r="H113" i="36"/>
  <c r="H89" i="35"/>
  <c r="H88" i="36"/>
  <c r="H64" i="35"/>
  <c r="H64" i="36"/>
  <c r="H55" i="35"/>
  <c r="H55" i="36"/>
  <c r="H121" i="35"/>
  <c r="H119" i="36"/>
  <c r="H240" i="35"/>
  <c r="H231" i="36"/>
  <c r="J174" i="35"/>
  <c r="AZ174" i="35" s="1"/>
  <c r="K167" i="36" s="1"/>
  <c r="J167" i="36"/>
  <c r="C331" i="6"/>
  <c r="G331" i="6" s="1"/>
  <c r="H156" i="35"/>
  <c r="H150" i="36"/>
  <c r="H146" i="35"/>
  <c r="H140" i="36"/>
  <c r="H85" i="35"/>
  <c r="H84" i="36"/>
  <c r="H48" i="35"/>
  <c r="H48" i="36"/>
  <c r="H40" i="35"/>
  <c r="H40" i="36"/>
  <c r="I185" i="34"/>
  <c r="BA185" i="34" s="1"/>
  <c r="I185" i="36"/>
  <c r="C426" i="6"/>
  <c r="G426" i="6" s="1"/>
  <c r="BA190" i="36"/>
  <c r="C555" i="17"/>
  <c r="G555" i="17" s="1"/>
  <c r="BA124" i="36"/>
  <c r="H144" i="33"/>
  <c r="AX144" i="33" s="1"/>
  <c r="I150" i="36" s="1"/>
  <c r="H149" i="34"/>
  <c r="H134" i="33"/>
  <c r="AX134" i="33" s="1"/>
  <c r="I140" i="36" s="1"/>
  <c r="H140" i="34"/>
  <c r="H85" i="33"/>
  <c r="AX85" i="33" s="1"/>
  <c r="I84" i="36" s="1"/>
  <c r="H86" i="34"/>
  <c r="H73" i="33"/>
  <c r="AX73" i="33" s="1"/>
  <c r="I72" i="36" s="1"/>
  <c r="H74" i="34"/>
  <c r="H140" i="33"/>
  <c r="C111" i="6" s="1"/>
  <c r="G111" i="6" s="1"/>
  <c r="H145" i="34"/>
  <c r="H88" i="33"/>
  <c r="C177" i="17" s="1"/>
  <c r="G177" i="17" s="1"/>
  <c r="H90" i="34"/>
  <c r="H56" i="33"/>
  <c r="AX56" i="33" s="1"/>
  <c r="I55" i="36" s="1"/>
  <c r="H56" i="34"/>
  <c r="H113" i="33"/>
  <c r="C202" i="17" s="1"/>
  <c r="G202" i="17" s="1"/>
  <c r="H120" i="34"/>
  <c r="H133" i="33"/>
  <c r="C104" i="6" s="1"/>
  <c r="G104" i="6" s="1"/>
  <c r="H220" i="34"/>
  <c r="H60" i="33"/>
  <c r="C149" i="17" s="1"/>
  <c r="G149" i="17" s="1"/>
  <c r="H61" i="34"/>
  <c r="H50" i="33"/>
  <c r="C139" i="17" s="1"/>
  <c r="G139" i="17" s="1"/>
  <c r="H49" i="34"/>
  <c r="H110" i="33"/>
  <c r="AX110" i="33" s="1"/>
  <c r="I113" i="36" s="1"/>
  <c r="H114" i="34"/>
  <c r="H64" i="33"/>
  <c r="C153" i="17" s="1"/>
  <c r="G153" i="17" s="1"/>
  <c r="H65" i="34"/>
  <c r="H42" i="33"/>
  <c r="AX42" i="33" s="1"/>
  <c r="I40" i="36" s="1"/>
  <c r="H41" i="34"/>
  <c r="C62" i="17"/>
  <c r="BA78" i="32"/>
  <c r="S77" i="32"/>
  <c r="S213" i="32"/>
  <c r="S210" i="32"/>
  <c r="S209" i="32"/>
  <c r="S208" i="32"/>
  <c r="S206" i="32"/>
  <c r="S204" i="32"/>
  <c r="S203" i="32"/>
  <c r="S202" i="32"/>
  <c r="S201" i="32"/>
  <c r="S200" i="32"/>
  <c r="S198" i="32"/>
  <c r="S197" i="32"/>
  <c r="S196" i="32"/>
  <c r="S194" i="32"/>
  <c r="S193" i="32"/>
  <c r="S190" i="32"/>
  <c r="S188" i="32"/>
  <c r="S187" i="32"/>
  <c r="S184" i="32"/>
  <c r="S183" i="32"/>
  <c r="S182" i="32"/>
  <c r="S181" i="32"/>
  <c r="S180" i="32"/>
  <c r="S179" i="32"/>
  <c r="S178" i="32"/>
  <c r="S177" i="32"/>
  <c r="S175" i="32"/>
  <c r="S174" i="32"/>
  <c r="S173" i="32"/>
  <c r="S172" i="32"/>
  <c r="BA172" i="32" s="1"/>
  <c r="H171" i="36" s="1"/>
  <c r="S171" i="32"/>
  <c r="S165" i="32"/>
  <c r="S164" i="32"/>
  <c r="BA164" i="32" s="1"/>
  <c r="S163" i="32"/>
  <c r="S162" i="32"/>
  <c r="S159" i="32"/>
  <c r="S158" i="32"/>
  <c r="S157" i="32"/>
  <c r="S155" i="32"/>
  <c r="S154" i="32"/>
  <c r="S152" i="32"/>
  <c r="S151" i="32"/>
  <c r="S149" i="32"/>
  <c r="S148" i="32"/>
  <c r="S147" i="32"/>
  <c r="S146" i="32"/>
  <c r="S144" i="32"/>
  <c r="S143" i="32"/>
  <c r="S142" i="32"/>
  <c r="S140" i="32"/>
  <c r="S135" i="32"/>
  <c r="S134" i="32"/>
  <c r="S129" i="32"/>
  <c r="S128" i="32"/>
  <c r="S127" i="32"/>
  <c r="S126" i="32"/>
  <c r="S125" i="32"/>
  <c r="S124" i="32"/>
  <c r="S123" i="32"/>
  <c r="S122" i="32"/>
  <c r="S121" i="32"/>
  <c r="S120" i="32"/>
  <c r="S114" i="32"/>
  <c r="S112" i="32"/>
  <c r="S111" i="32"/>
  <c r="S108" i="32"/>
  <c r="S106" i="32"/>
  <c r="S105" i="32"/>
  <c r="S104" i="32"/>
  <c r="S103" i="32"/>
  <c r="S58" i="32"/>
  <c r="S61" i="32"/>
  <c r="BA61" i="32" s="1"/>
  <c r="S98" i="32"/>
  <c r="S102" i="32"/>
  <c r="S93" i="32"/>
  <c r="S92" i="32"/>
  <c r="S18" i="32"/>
  <c r="S86" i="32"/>
  <c r="S84" i="32"/>
  <c r="S56" i="32"/>
  <c r="S82" i="32"/>
  <c r="S80" i="32"/>
  <c r="BA80" i="32" s="1"/>
  <c r="S81" i="32"/>
  <c r="S79" i="32"/>
  <c r="S74" i="32"/>
  <c r="S31" i="32"/>
  <c r="S72" i="32"/>
  <c r="S20" i="32"/>
  <c r="S70" i="32"/>
  <c r="S69" i="32"/>
  <c r="S67" i="32"/>
  <c r="S53" i="32"/>
  <c r="S63" i="32"/>
  <c r="S25" i="32"/>
  <c r="S60" i="32"/>
  <c r="S57" i="32"/>
  <c r="S38" i="32"/>
  <c r="S51" i="32"/>
  <c r="S97" i="32"/>
  <c r="S75" i="32"/>
  <c r="S46" i="32"/>
  <c r="S50" i="32"/>
  <c r="S23" i="32"/>
  <c r="S100" i="32"/>
  <c r="S42" i="32"/>
  <c r="S40" i="32"/>
  <c r="S39" i="32"/>
  <c r="S52" i="32"/>
  <c r="S37" i="32"/>
  <c r="S35" i="32"/>
  <c r="S89" i="32"/>
  <c r="S29" i="32"/>
  <c r="S91" i="32"/>
  <c r="S90" i="32"/>
  <c r="S27" i="32"/>
  <c r="C11" i="17" s="1"/>
  <c r="S26" i="32"/>
  <c r="S54" i="32"/>
  <c r="S24" i="32"/>
  <c r="S22" i="32"/>
  <c r="S21" i="32"/>
  <c r="S76" i="32"/>
  <c r="S19" i="32"/>
  <c r="S28" i="32"/>
  <c r="S94" i="32"/>
  <c r="S30" i="32"/>
  <c r="C105" i="6" l="1"/>
  <c r="G105" i="6" s="1"/>
  <c r="C238" i="6"/>
  <c r="G238" i="6" s="1"/>
  <c r="C234" i="6"/>
  <c r="G234" i="6" s="1"/>
  <c r="BA181" i="34"/>
  <c r="C162" i="17"/>
  <c r="G162" i="17" s="1"/>
  <c r="H78" i="33"/>
  <c r="AX78" i="33" s="1"/>
  <c r="H77" i="36"/>
  <c r="H78" i="35"/>
  <c r="H79" i="34"/>
  <c r="C307" i="6"/>
  <c r="G307" i="6" s="1"/>
  <c r="H81" i="35"/>
  <c r="H80" i="36"/>
  <c r="J193" i="35"/>
  <c r="J185" i="36"/>
  <c r="H62" i="35"/>
  <c r="H62" i="36"/>
  <c r="H171" i="35"/>
  <c r="H164" i="36"/>
  <c r="C403" i="6"/>
  <c r="G403" i="6" s="1"/>
  <c r="BA167" i="36"/>
  <c r="AX64" i="33"/>
  <c r="I64" i="36" s="1"/>
  <c r="H171" i="34"/>
  <c r="H178" i="35"/>
  <c r="I114" i="34"/>
  <c r="BA114" i="34" s="1"/>
  <c r="I114" i="35"/>
  <c r="I74" i="34"/>
  <c r="BA74" i="34" s="1"/>
  <c r="I73" i="35"/>
  <c r="C131" i="17"/>
  <c r="G131" i="17" s="1"/>
  <c r="AX133" i="33"/>
  <c r="I231" i="36" s="1"/>
  <c r="BA231" i="36" s="1"/>
  <c r="AX140" i="33"/>
  <c r="I146" i="36" s="1"/>
  <c r="C115" i="6"/>
  <c r="G115" i="6" s="1"/>
  <c r="I41" i="34"/>
  <c r="C237" i="17" s="1"/>
  <c r="G237" i="17" s="1"/>
  <c r="I40" i="35"/>
  <c r="I56" i="34"/>
  <c r="BA56" i="34" s="1"/>
  <c r="I55" i="35"/>
  <c r="I86" i="34"/>
  <c r="C282" i="17" s="1"/>
  <c r="G282" i="17" s="1"/>
  <c r="I85" i="35"/>
  <c r="I140" i="34"/>
  <c r="C193" i="6" s="1"/>
  <c r="G193" i="6" s="1"/>
  <c r="I146" i="35"/>
  <c r="I149" i="34"/>
  <c r="I156" i="35"/>
  <c r="C199" i="17"/>
  <c r="G199" i="17" s="1"/>
  <c r="AX60" i="33"/>
  <c r="I60" i="36" s="1"/>
  <c r="AX113" i="33"/>
  <c r="I119" i="36" s="1"/>
  <c r="AX88" i="33"/>
  <c r="I88" i="36" s="1"/>
  <c r="C174" i="17"/>
  <c r="G174" i="17" s="1"/>
  <c r="C145" i="17"/>
  <c r="G145" i="17" s="1"/>
  <c r="AX50" i="33"/>
  <c r="I48" i="36" s="1"/>
  <c r="C252" i="17"/>
  <c r="G252" i="17" s="1"/>
  <c r="H162" i="33"/>
  <c r="C133" i="6" s="1"/>
  <c r="G133" i="6" s="1"/>
  <c r="H164" i="34"/>
  <c r="H81" i="33"/>
  <c r="AX81" i="33" s="1"/>
  <c r="I80" i="36" s="1"/>
  <c r="H82" i="34"/>
  <c r="H62" i="33"/>
  <c r="AX62" i="33" s="1"/>
  <c r="I62" i="36" s="1"/>
  <c r="H63" i="34"/>
  <c r="BA86" i="34"/>
  <c r="BA102" i="32"/>
  <c r="C86" i="17"/>
  <c r="C167" i="17"/>
  <c r="G167" i="17" s="1"/>
  <c r="C104" i="17"/>
  <c r="BA120" i="32"/>
  <c r="C62" i="6"/>
  <c r="BA182" i="32"/>
  <c r="C8" i="17"/>
  <c r="BA24" i="32"/>
  <c r="C23" i="17"/>
  <c r="BA39" i="32"/>
  <c r="C7" i="17"/>
  <c r="BA23" i="32"/>
  <c r="C15" i="17"/>
  <c r="BA31" i="32"/>
  <c r="BA79" i="32"/>
  <c r="C63" i="17"/>
  <c r="C42" i="17"/>
  <c r="BA58" i="32"/>
  <c r="C15" i="6"/>
  <c r="BA135" i="32"/>
  <c r="C78" i="17"/>
  <c r="BA94" i="32"/>
  <c r="C3" i="17"/>
  <c r="BA19" i="32"/>
  <c r="C5" i="17"/>
  <c r="BA21" i="32"/>
  <c r="C10" i="17"/>
  <c r="BA26" i="32"/>
  <c r="C74" i="17"/>
  <c r="BA90" i="32"/>
  <c r="C13" i="17"/>
  <c r="BA29" i="32"/>
  <c r="C19" i="17"/>
  <c r="BA35" i="32"/>
  <c r="BA52" i="32"/>
  <c r="C36" i="17"/>
  <c r="C24" i="17"/>
  <c r="BA40" i="32"/>
  <c r="BA100" i="32"/>
  <c r="C84" i="17"/>
  <c r="BA50" i="32"/>
  <c r="C34" i="17"/>
  <c r="BA75" i="32"/>
  <c r="C59" i="17"/>
  <c r="C35" i="17"/>
  <c r="BA51" i="32"/>
  <c r="C41" i="17"/>
  <c r="BA57" i="32"/>
  <c r="BA60" i="32"/>
  <c r="C44" i="17"/>
  <c r="BA63" i="32"/>
  <c r="C47" i="17"/>
  <c r="C51" i="17"/>
  <c r="BA67" i="32"/>
  <c r="BA70" i="32"/>
  <c r="C54" i="17"/>
  <c r="C56" i="17"/>
  <c r="BA72" i="32"/>
  <c r="C58" i="17"/>
  <c r="BA74" i="32"/>
  <c r="C65" i="17"/>
  <c r="BA81" i="32"/>
  <c r="C66" i="17"/>
  <c r="BA82" i="32"/>
  <c r="C67" i="17"/>
  <c r="BA83" i="32"/>
  <c r="BA86" i="32"/>
  <c r="C70" i="17"/>
  <c r="C76" i="17"/>
  <c r="BA92" i="32"/>
  <c r="C45" i="17"/>
  <c r="C87" i="17"/>
  <c r="BA103" i="32"/>
  <c r="C89" i="17"/>
  <c r="BA105" i="32"/>
  <c r="C92" i="17"/>
  <c r="BA108" i="32"/>
  <c r="C96" i="17"/>
  <c r="BA112" i="32"/>
  <c r="AX112" i="33" s="1"/>
  <c r="C2" i="6"/>
  <c r="BA122" i="32"/>
  <c r="C4" i="6"/>
  <c r="BA124" i="32"/>
  <c r="C6" i="6"/>
  <c r="BA126" i="32"/>
  <c r="C8" i="6"/>
  <c r="BA128" i="32"/>
  <c r="C14" i="6"/>
  <c r="BA134" i="32"/>
  <c r="C18" i="6"/>
  <c r="BA138" i="32"/>
  <c r="C22" i="6"/>
  <c r="BA142" i="32"/>
  <c r="C24" i="6"/>
  <c r="BA144" i="32"/>
  <c r="C27" i="6"/>
  <c r="BA147" i="32"/>
  <c r="C29" i="6"/>
  <c r="BA149" i="32"/>
  <c r="C31" i="6"/>
  <c r="BA151" i="32"/>
  <c r="C34" i="6"/>
  <c r="BA154" i="32"/>
  <c r="C37" i="6"/>
  <c r="BA157" i="32"/>
  <c r="C39" i="6"/>
  <c r="BA159" i="32"/>
  <c r="C42" i="6"/>
  <c r="BA162" i="32"/>
  <c r="C44" i="6"/>
  <c r="C51" i="6"/>
  <c r="BA171" i="32"/>
  <c r="C53" i="6"/>
  <c r="BA173" i="32"/>
  <c r="H171" i="33" s="1"/>
  <c r="C55" i="6"/>
  <c r="BA175" i="32"/>
  <c r="C58" i="6"/>
  <c r="BA178" i="32"/>
  <c r="C60" i="6"/>
  <c r="BA180" i="32"/>
  <c r="C64" i="6"/>
  <c r="BA184" i="32"/>
  <c r="C68" i="6"/>
  <c r="BA188" i="32"/>
  <c r="C73" i="6"/>
  <c r="BA193" i="32"/>
  <c r="C76" i="6"/>
  <c r="BA196" i="32"/>
  <c r="C78" i="6"/>
  <c r="BA198" i="32"/>
  <c r="C80" i="6"/>
  <c r="BA200" i="32"/>
  <c r="C82" i="6"/>
  <c r="BA202" i="32"/>
  <c r="C84" i="6"/>
  <c r="BA204" i="32"/>
  <c r="C88" i="6"/>
  <c r="BA208" i="32"/>
  <c r="C90" i="6"/>
  <c r="BA210" i="32"/>
  <c r="C71" i="17"/>
  <c r="BA87" i="32"/>
  <c r="C14" i="17"/>
  <c r="BA30" i="32"/>
  <c r="C12" i="17"/>
  <c r="BA28" i="32"/>
  <c r="C60" i="17"/>
  <c r="BA76" i="32"/>
  <c r="C6" i="17"/>
  <c r="BA22" i="32"/>
  <c r="C38" i="17"/>
  <c r="BA54" i="32"/>
  <c r="BA27" i="32"/>
  <c r="C75" i="17"/>
  <c r="BA91" i="32"/>
  <c r="C73" i="17"/>
  <c r="BA89" i="32"/>
  <c r="C21" i="17"/>
  <c r="BA37" i="32"/>
  <c r="C26" i="17"/>
  <c r="BA42" i="32"/>
  <c r="C30" i="17"/>
  <c r="G30" i="17" s="1"/>
  <c r="BA46" i="32"/>
  <c r="BA97" i="32"/>
  <c r="C81" i="17"/>
  <c r="BA38" i="32"/>
  <c r="C22" i="17"/>
  <c r="BA33" i="32"/>
  <c r="C17" i="17"/>
  <c r="C9" i="17"/>
  <c r="BA25" i="32"/>
  <c r="BA53" i="32"/>
  <c r="C37" i="17"/>
  <c r="C53" i="17"/>
  <c r="BA69" i="32"/>
  <c r="C4" i="17"/>
  <c r="BA20" i="32"/>
  <c r="C64" i="17"/>
  <c r="BA56" i="32"/>
  <c r="C40" i="17"/>
  <c r="BA84" i="32"/>
  <c r="C68" i="17"/>
  <c r="S214" i="32"/>
  <c r="D5" i="32" s="1"/>
  <c r="C2" i="17"/>
  <c r="BA18" i="32"/>
  <c r="C77" i="17"/>
  <c r="BA93" i="32"/>
  <c r="C82" i="17"/>
  <c r="BA98" i="32"/>
  <c r="C88" i="17"/>
  <c r="BA104" i="32"/>
  <c r="C90" i="17"/>
  <c r="BA106" i="32"/>
  <c r="C95" i="17"/>
  <c r="BA111" i="32"/>
  <c r="C98" i="17"/>
  <c r="BA114" i="32"/>
  <c r="C105" i="17"/>
  <c r="BA121" i="32"/>
  <c r="C3" i="6"/>
  <c r="BA123" i="32"/>
  <c r="C5" i="6"/>
  <c r="BA125" i="32"/>
  <c r="C7" i="6"/>
  <c r="BA127" i="32"/>
  <c r="C9" i="6"/>
  <c r="BA129" i="32"/>
  <c r="C20" i="6"/>
  <c r="BA140" i="32"/>
  <c r="C23" i="6"/>
  <c r="BA143" i="32"/>
  <c r="C26" i="6"/>
  <c r="BA146" i="32"/>
  <c r="C28" i="6"/>
  <c r="BA148" i="32"/>
  <c r="C30" i="6"/>
  <c r="BA150" i="32"/>
  <c r="C32" i="6"/>
  <c r="BA152" i="32"/>
  <c r="C35" i="6"/>
  <c r="BA155" i="32"/>
  <c r="C38" i="6"/>
  <c r="BA158" i="32"/>
  <c r="C41" i="6"/>
  <c r="BA161" i="32"/>
  <c r="C43" i="6"/>
  <c r="BA163" i="32"/>
  <c r="C45" i="6"/>
  <c r="BA165" i="32"/>
  <c r="C52" i="6"/>
  <c r="H170" i="33"/>
  <c r="C54" i="6"/>
  <c r="BA174" i="32"/>
  <c r="C57" i="6"/>
  <c r="BA177" i="32"/>
  <c r="C59" i="6"/>
  <c r="BA179" i="32"/>
  <c r="H183" i="35" s="1"/>
  <c r="C61" i="6"/>
  <c r="BA181" i="32"/>
  <c r="C63" i="6"/>
  <c r="BA183" i="32"/>
  <c r="C67" i="6"/>
  <c r="BA187" i="32"/>
  <c r="C70" i="6"/>
  <c r="BA190" i="32"/>
  <c r="C74" i="6"/>
  <c r="BA194" i="32"/>
  <c r="C77" i="6"/>
  <c r="BA197" i="32"/>
  <c r="C79" i="6"/>
  <c r="BA199" i="32"/>
  <c r="C81" i="6"/>
  <c r="BA201" i="32"/>
  <c r="C83" i="6"/>
  <c r="BA203" i="32"/>
  <c r="C86" i="6"/>
  <c r="BA206" i="32"/>
  <c r="C89" i="6"/>
  <c r="BA209" i="32"/>
  <c r="C93" i="6"/>
  <c r="BA213" i="32"/>
  <c r="C61" i="17"/>
  <c r="BA77" i="32"/>
  <c r="I64" i="35" l="1"/>
  <c r="AX162" i="33"/>
  <c r="I164" i="36" s="1"/>
  <c r="C310" i="17"/>
  <c r="G310" i="17" s="1"/>
  <c r="J181" i="36"/>
  <c r="J189" i="35"/>
  <c r="I65" i="34"/>
  <c r="BA41" i="34"/>
  <c r="J40" i="35" s="1"/>
  <c r="AZ40" i="35" s="1"/>
  <c r="K40" i="36" s="1"/>
  <c r="I79" i="34"/>
  <c r="I77" i="36"/>
  <c r="I78" i="35"/>
  <c r="C270" i="17"/>
  <c r="G270" i="17" s="1"/>
  <c r="H77" i="35"/>
  <c r="H76" i="36"/>
  <c r="H224" i="35"/>
  <c r="H219" i="36"/>
  <c r="H207" i="35"/>
  <c r="H200" i="36"/>
  <c r="H202" i="35"/>
  <c r="H194" i="36"/>
  <c r="H194" i="35"/>
  <c r="H186" i="36"/>
  <c r="H188" i="35"/>
  <c r="H180" i="36"/>
  <c r="H179" i="35"/>
  <c r="H172" i="36"/>
  <c r="H170" i="35"/>
  <c r="H163" i="36"/>
  <c r="H164" i="35"/>
  <c r="H158" i="36"/>
  <c r="H161" i="35"/>
  <c r="H155" i="36"/>
  <c r="H159" i="35"/>
  <c r="H153" i="36"/>
  <c r="H157" i="35"/>
  <c r="H151" i="36"/>
  <c r="H154" i="35"/>
  <c r="H148" i="36"/>
  <c r="H150" i="35"/>
  <c r="H144" i="36"/>
  <c r="H141" i="35"/>
  <c r="H135" i="36"/>
  <c r="H139" i="35"/>
  <c r="H133" i="36"/>
  <c r="H80" i="35"/>
  <c r="H79" i="36"/>
  <c r="H136" i="35"/>
  <c r="H130" i="36"/>
  <c r="H125" i="35"/>
  <c r="H123" i="36"/>
  <c r="H118" i="35"/>
  <c r="H116" i="36"/>
  <c r="H110" i="35"/>
  <c r="H109" i="36"/>
  <c r="H107" i="35"/>
  <c r="H106" i="36"/>
  <c r="H238" i="35"/>
  <c r="H229" i="36"/>
  <c r="H94" i="35"/>
  <c r="H93" i="36"/>
  <c r="H237" i="35"/>
  <c r="H228" i="36"/>
  <c r="H84" i="35"/>
  <c r="H83" i="36"/>
  <c r="H56" i="35"/>
  <c r="H56" i="36"/>
  <c r="H19" i="35"/>
  <c r="H19" i="36"/>
  <c r="H69" i="35"/>
  <c r="H68" i="36"/>
  <c r="H24" i="35"/>
  <c r="H24" i="36"/>
  <c r="H45" i="35"/>
  <c r="H45" i="36"/>
  <c r="H41" i="35"/>
  <c r="H41" i="36"/>
  <c r="H36" i="35"/>
  <c r="H36" i="36"/>
  <c r="H90" i="35"/>
  <c r="H89" i="36"/>
  <c r="H92" i="35"/>
  <c r="H91" i="36"/>
  <c r="H27" i="35"/>
  <c r="H27" i="36"/>
  <c r="H169" i="35"/>
  <c r="H162" i="36"/>
  <c r="H167" i="35"/>
  <c r="H160" i="36"/>
  <c r="H162" i="35"/>
  <c r="H156" i="36"/>
  <c r="H160" i="35"/>
  <c r="H154" i="36"/>
  <c r="H158" i="35"/>
  <c r="H152" i="36"/>
  <c r="H155" i="35"/>
  <c r="H149" i="36"/>
  <c r="H153" i="35"/>
  <c r="H147" i="36"/>
  <c r="H241" i="35"/>
  <c r="H232" i="36"/>
  <c r="H147" i="35"/>
  <c r="H141" i="36"/>
  <c r="H142" i="35"/>
  <c r="H136" i="36"/>
  <c r="H140" i="35"/>
  <c r="H134" i="36"/>
  <c r="H138" i="35"/>
  <c r="H132" i="36"/>
  <c r="H137" i="35"/>
  <c r="H131" i="36"/>
  <c r="H113" i="35"/>
  <c r="H112" i="36"/>
  <c r="H108" i="35"/>
  <c r="H107" i="36"/>
  <c r="H103" i="35"/>
  <c r="H102" i="36"/>
  <c r="H86" i="35"/>
  <c r="H85" i="36"/>
  <c r="H70" i="35"/>
  <c r="H69" i="36"/>
  <c r="H63" i="35"/>
  <c r="H63" i="36"/>
  <c r="H61" i="35"/>
  <c r="H61" i="36"/>
  <c r="H75" i="35"/>
  <c r="H74" i="36"/>
  <c r="H49" i="35"/>
  <c r="H49" i="36"/>
  <c r="H100" i="35"/>
  <c r="H99" i="36"/>
  <c r="H52" i="35"/>
  <c r="H52" i="36"/>
  <c r="H79" i="35"/>
  <c r="H78" i="36"/>
  <c r="J85" i="35"/>
  <c r="AZ85" i="35" s="1"/>
  <c r="K84" i="36" s="1"/>
  <c r="J84" i="36"/>
  <c r="J40" i="36"/>
  <c r="J55" i="35"/>
  <c r="J55" i="36"/>
  <c r="J73" i="35"/>
  <c r="J72" i="36"/>
  <c r="H231" i="35"/>
  <c r="H223" i="36"/>
  <c r="H213" i="35"/>
  <c r="H206" i="36"/>
  <c r="H205" i="35"/>
  <c r="H197" i="36"/>
  <c r="H191" i="35"/>
  <c r="H183" i="36"/>
  <c r="H185" i="35"/>
  <c r="H177" i="36"/>
  <c r="H181" i="35"/>
  <c r="H174" i="36"/>
  <c r="H172" i="35"/>
  <c r="H165" i="36"/>
  <c r="H242" i="35"/>
  <c r="H233" i="36"/>
  <c r="H53" i="35"/>
  <c r="H53" i="36"/>
  <c r="H239" i="35"/>
  <c r="H230" i="36"/>
  <c r="H37" i="35"/>
  <c r="H37" i="36"/>
  <c r="H98" i="35"/>
  <c r="H97" i="36"/>
  <c r="H54" i="35"/>
  <c r="H54" i="36"/>
  <c r="H21" i="35"/>
  <c r="H21" i="36"/>
  <c r="H76" i="35"/>
  <c r="H75" i="36"/>
  <c r="H28" i="35"/>
  <c r="H28" i="36"/>
  <c r="H30" i="35"/>
  <c r="H30" i="36"/>
  <c r="H88" i="35"/>
  <c r="H87" i="36"/>
  <c r="H225" i="35"/>
  <c r="H220" i="36"/>
  <c r="H222" i="35"/>
  <c r="H216" i="36"/>
  <c r="H211" i="35"/>
  <c r="H204" i="36"/>
  <c r="H206" i="35"/>
  <c r="H199" i="36"/>
  <c r="H204" i="35"/>
  <c r="H196" i="36"/>
  <c r="H203" i="35"/>
  <c r="H195" i="36"/>
  <c r="H201" i="35"/>
  <c r="H193" i="36"/>
  <c r="H197" i="35"/>
  <c r="H189" i="36"/>
  <c r="H192" i="35"/>
  <c r="H184" i="36"/>
  <c r="H243" i="35"/>
  <c r="H234" i="36"/>
  <c r="H184" i="35"/>
  <c r="H176" i="36"/>
  <c r="H182" i="35"/>
  <c r="H175" i="36"/>
  <c r="H180" i="35"/>
  <c r="H173" i="36"/>
  <c r="H177" i="35"/>
  <c r="H170" i="36"/>
  <c r="H93" i="35"/>
  <c r="H92" i="36"/>
  <c r="H83" i="35"/>
  <c r="H82" i="36"/>
  <c r="H82" i="35"/>
  <c r="H81" i="36"/>
  <c r="H74" i="35"/>
  <c r="H73" i="36"/>
  <c r="H72" i="35"/>
  <c r="H71" i="36"/>
  <c r="H67" i="35"/>
  <c r="H57" i="35"/>
  <c r="H57" i="36"/>
  <c r="H51" i="35"/>
  <c r="H51" i="36"/>
  <c r="H39" i="35"/>
  <c r="H39" i="36"/>
  <c r="H34" i="35"/>
  <c r="H34" i="36"/>
  <c r="H29" i="35"/>
  <c r="H29" i="36"/>
  <c r="H91" i="35"/>
  <c r="H90" i="36"/>
  <c r="H26" i="35"/>
  <c r="H26" i="36"/>
  <c r="H20" i="35"/>
  <c r="H20" i="36"/>
  <c r="H18" i="35"/>
  <c r="H18" i="36"/>
  <c r="H95" i="35"/>
  <c r="H94" i="36"/>
  <c r="H148" i="35"/>
  <c r="H142" i="36"/>
  <c r="H59" i="35"/>
  <c r="H59" i="36"/>
  <c r="H31" i="35"/>
  <c r="H31" i="36"/>
  <c r="H22" i="35"/>
  <c r="H22" i="36"/>
  <c r="H38" i="35"/>
  <c r="H38" i="36"/>
  <c r="H23" i="35"/>
  <c r="H23" i="36"/>
  <c r="H186" i="35"/>
  <c r="H178" i="36"/>
  <c r="H102" i="35"/>
  <c r="H101" i="36"/>
  <c r="J114" i="35"/>
  <c r="AZ114" i="35" s="1"/>
  <c r="K113" i="36" s="1"/>
  <c r="J113" i="36"/>
  <c r="C326" i="6"/>
  <c r="G326" i="6" s="1"/>
  <c r="AZ193" i="35"/>
  <c r="K185" i="36" s="1"/>
  <c r="C170" i="17"/>
  <c r="G170" i="17" s="1"/>
  <c r="C151" i="17"/>
  <c r="G151" i="17" s="1"/>
  <c r="I49" i="34"/>
  <c r="BA49" i="34" s="1"/>
  <c r="I48" i="35"/>
  <c r="BA140" i="34"/>
  <c r="I90" i="34"/>
  <c r="BA90" i="34" s="1"/>
  <c r="I89" i="35"/>
  <c r="I61" i="34"/>
  <c r="C257" i="17" s="1"/>
  <c r="G257" i="17" s="1"/>
  <c r="I60" i="35"/>
  <c r="I220" i="34"/>
  <c r="BA220" i="34" s="1"/>
  <c r="I240" i="35"/>
  <c r="AZ240" i="35" s="1"/>
  <c r="I171" i="35"/>
  <c r="I63" i="34"/>
  <c r="C259" i="17" s="1"/>
  <c r="G259" i="17" s="1"/>
  <c r="I62" i="35"/>
  <c r="I82" i="34"/>
  <c r="BA82" i="34" s="1"/>
  <c r="I81" i="35"/>
  <c r="I120" i="34"/>
  <c r="BA120" i="34" s="1"/>
  <c r="I121" i="35"/>
  <c r="C202" i="6"/>
  <c r="G202" i="6" s="1"/>
  <c r="BA149" i="34"/>
  <c r="I145" i="34"/>
  <c r="I152" i="35"/>
  <c r="C245" i="17"/>
  <c r="G245" i="17" s="1"/>
  <c r="H77" i="33"/>
  <c r="AX77" i="33" s="1"/>
  <c r="I76" i="36" s="1"/>
  <c r="H78" i="34"/>
  <c r="H209" i="33"/>
  <c r="C180" i="6" s="1"/>
  <c r="G180" i="6" s="1"/>
  <c r="H210" i="34"/>
  <c r="H199" i="33"/>
  <c r="H198" i="34"/>
  <c r="H194" i="33"/>
  <c r="AX194" i="33" s="1"/>
  <c r="I194" i="36" s="1"/>
  <c r="H193" i="34"/>
  <c r="H188" i="33"/>
  <c r="H186" i="34"/>
  <c r="H181" i="33"/>
  <c r="AX181" i="33" s="1"/>
  <c r="I180" i="36" s="1"/>
  <c r="H180" i="34"/>
  <c r="H177" i="33"/>
  <c r="H176" i="34"/>
  <c r="H172" i="33"/>
  <c r="C143" i="6" s="1"/>
  <c r="G143" i="6" s="1"/>
  <c r="H172" i="34"/>
  <c r="H161" i="33"/>
  <c r="H163" i="34"/>
  <c r="H154" i="33"/>
  <c r="AX154" i="33" s="1"/>
  <c r="I158" i="36" s="1"/>
  <c r="H157" i="34"/>
  <c r="H54" i="33"/>
  <c r="H54" i="34"/>
  <c r="H34" i="33"/>
  <c r="AX34" i="33" s="1"/>
  <c r="I230" i="36" s="1"/>
  <c r="BA230" i="36" s="1"/>
  <c r="H219" i="34"/>
  <c r="H39" i="33"/>
  <c r="H38" i="34"/>
  <c r="H98" i="33"/>
  <c r="AX98" i="33" s="1"/>
  <c r="I97" i="36" s="1"/>
  <c r="H100" i="34"/>
  <c r="H55" i="33"/>
  <c r="H55" i="34"/>
  <c r="H22" i="33"/>
  <c r="AX22" i="33" s="1"/>
  <c r="I21" i="36" s="1"/>
  <c r="H22" i="34"/>
  <c r="H76" i="33"/>
  <c r="AX76" i="33" s="1"/>
  <c r="I75" i="36" s="1"/>
  <c r="H77" i="34"/>
  <c r="H29" i="33"/>
  <c r="AX29" i="33" s="1"/>
  <c r="I28" i="36" s="1"/>
  <c r="H29" i="34"/>
  <c r="H31" i="33"/>
  <c r="H31" i="34"/>
  <c r="H87" i="33"/>
  <c r="AX87" i="33" s="1"/>
  <c r="I87" i="36" s="1"/>
  <c r="H89" i="34"/>
  <c r="H210" i="33"/>
  <c r="AX210" i="33" s="1"/>
  <c r="I220" i="36" s="1"/>
  <c r="H211" i="34"/>
  <c r="H208" i="33"/>
  <c r="C179" i="6" s="1"/>
  <c r="G179" i="6" s="1"/>
  <c r="H208" i="34"/>
  <c r="H201" i="33"/>
  <c r="H200" i="34"/>
  <c r="H198" i="33"/>
  <c r="C169" i="6" s="1"/>
  <c r="G169" i="6" s="1"/>
  <c r="H197" i="34"/>
  <c r="H196" i="33"/>
  <c r="AX196" i="33" s="1"/>
  <c r="I196" i="36" s="1"/>
  <c r="H195" i="34"/>
  <c r="H195" i="33"/>
  <c r="AX195" i="33" s="1"/>
  <c r="I195" i="36" s="1"/>
  <c r="H194" i="34"/>
  <c r="H193" i="33"/>
  <c r="AX193" i="33" s="1"/>
  <c r="I193" i="36" s="1"/>
  <c r="H192" i="34"/>
  <c r="H191" i="33"/>
  <c r="AX191" i="33" s="1"/>
  <c r="I189" i="36" s="1"/>
  <c r="H189" i="34"/>
  <c r="H186" i="33"/>
  <c r="H184" i="34"/>
  <c r="H182" i="33"/>
  <c r="C153" i="6" s="1"/>
  <c r="G153" i="6" s="1"/>
  <c r="H223" i="34"/>
  <c r="H178" i="33"/>
  <c r="AX178" i="33" s="1"/>
  <c r="I176" i="36" s="1"/>
  <c r="H177" i="34"/>
  <c r="H176" i="33"/>
  <c r="C147" i="6" s="1"/>
  <c r="G147" i="6" s="1"/>
  <c r="H175" i="34"/>
  <c r="H173" i="33"/>
  <c r="H173" i="34"/>
  <c r="H169" i="33"/>
  <c r="AX169" i="33" s="1"/>
  <c r="I170" i="36" s="1"/>
  <c r="H170" i="34"/>
  <c r="H93" i="33"/>
  <c r="H95" i="34"/>
  <c r="H83" i="33"/>
  <c r="C172" i="17" s="1"/>
  <c r="G172" i="17" s="1"/>
  <c r="H84" i="34"/>
  <c r="H82" i="33"/>
  <c r="H83" i="34"/>
  <c r="H74" i="33"/>
  <c r="C163" i="17" s="1"/>
  <c r="G163" i="17" s="1"/>
  <c r="H75" i="34"/>
  <c r="H72" i="33"/>
  <c r="H73" i="34"/>
  <c r="H67" i="33"/>
  <c r="C156" i="17" s="1"/>
  <c r="G156" i="17" s="1"/>
  <c r="H68" i="34"/>
  <c r="H58" i="33"/>
  <c r="AX58" i="33" s="1"/>
  <c r="I57" i="36" s="1"/>
  <c r="H58" i="34"/>
  <c r="H52" i="33"/>
  <c r="AX52" i="33" s="1"/>
  <c r="I51" i="36" s="1"/>
  <c r="H52" i="34"/>
  <c r="H41" i="33"/>
  <c r="H40" i="34"/>
  <c r="H36" i="33"/>
  <c r="AX36" i="33" s="1"/>
  <c r="I34" i="36" s="1"/>
  <c r="H35" i="34"/>
  <c r="H30" i="33"/>
  <c r="AX30" i="33" s="1"/>
  <c r="I29" i="36" s="1"/>
  <c r="H30" i="34"/>
  <c r="H91" i="33"/>
  <c r="AX91" i="33" s="1"/>
  <c r="I90" i="36" s="1"/>
  <c r="H93" i="34"/>
  <c r="H27" i="33"/>
  <c r="AX27" i="33" s="1"/>
  <c r="I26" i="36" s="1"/>
  <c r="H27" i="34"/>
  <c r="H21" i="33"/>
  <c r="AX21" i="33" s="1"/>
  <c r="I20" i="36" s="1"/>
  <c r="H21" i="34"/>
  <c r="H19" i="33"/>
  <c r="AX19" i="33" s="1"/>
  <c r="I18" i="36" s="1"/>
  <c r="H19" i="34"/>
  <c r="H95" i="33"/>
  <c r="AX95" i="33" s="1"/>
  <c r="I94" i="36" s="1"/>
  <c r="H97" i="34"/>
  <c r="H136" i="33"/>
  <c r="H142" i="34"/>
  <c r="H59" i="33"/>
  <c r="AX59" i="33" s="1"/>
  <c r="I59" i="36" s="1"/>
  <c r="H60" i="34"/>
  <c r="H32" i="33"/>
  <c r="AX32" i="33" s="1"/>
  <c r="I31" i="36" s="1"/>
  <c r="H32" i="34"/>
  <c r="H23" i="33"/>
  <c r="AX23" i="33" s="1"/>
  <c r="I22" i="36" s="1"/>
  <c r="H23" i="34"/>
  <c r="H40" i="33"/>
  <c r="H39" i="34"/>
  <c r="H24" i="33"/>
  <c r="AX24" i="33" s="1"/>
  <c r="I23" i="36" s="1"/>
  <c r="H24" i="34"/>
  <c r="H180" i="33"/>
  <c r="H179" i="34"/>
  <c r="H103" i="33"/>
  <c r="H105" i="34"/>
  <c r="H212" i="33"/>
  <c r="C183" i="6" s="1"/>
  <c r="G183" i="6" s="1"/>
  <c r="H215" i="34"/>
  <c r="H203" i="33"/>
  <c r="C174" i="6" s="1"/>
  <c r="G174" i="6" s="1"/>
  <c r="H202" i="34"/>
  <c r="H197" i="33"/>
  <c r="AX197" i="33" s="1"/>
  <c r="I197" i="36" s="1"/>
  <c r="H196" i="34"/>
  <c r="H185" i="33"/>
  <c r="C156" i="6" s="1"/>
  <c r="G156" i="6" s="1"/>
  <c r="H183" i="34"/>
  <c r="H179" i="33"/>
  <c r="AX179" i="33" s="1"/>
  <c r="I177" i="36" s="1"/>
  <c r="H178" i="34"/>
  <c r="H175" i="33"/>
  <c r="AX175" i="33" s="1"/>
  <c r="I174" i="36" s="1"/>
  <c r="H174" i="34"/>
  <c r="H163" i="33"/>
  <c r="AX163" i="33" s="1"/>
  <c r="I165" i="36" s="1"/>
  <c r="H165" i="34"/>
  <c r="H156" i="33"/>
  <c r="C127" i="6" s="1"/>
  <c r="G127" i="6" s="1"/>
  <c r="H222" i="34"/>
  <c r="H151" i="33"/>
  <c r="AX151" i="33" s="1"/>
  <c r="H149" i="33"/>
  <c r="C120" i="6" s="1"/>
  <c r="G120" i="6" s="1"/>
  <c r="H154" i="34"/>
  <c r="H147" i="33"/>
  <c r="AX147" i="33" s="1"/>
  <c r="I153" i="36" s="1"/>
  <c r="H152" i="34"/>
  <c r="H145" i="33"/>
  <c r="AX145" i="33" s="1"/>
  <c r="I151" i="36" s="1"/>
  <c r="H150" i="34"/>
  <c r="H142" i="33"/>
  <c r="AX142" i="33" s="1"/>
  <c r="I148" i="36" s="1"/>
  <c r="H147" i="34"/>
  <c r="H139" i="33"/>
  <c r="AX139" i="33" s="1"/>
  <c r="I144" i="36" s="1"/>
  <c r="H144" i="34"/>
  <c r="H128" i="33"/>
  <c r="AX128" i="33" s="1"/>
  <c r="I135" i="36" s="1"/>
  <c r="H136" i="34"/>
  <c r="H126" i="33"/>
  <c r="C97" i="6" s="1"/>
  <c r="G97" i="6" s="1"/>
  <c r="H134" i="34"/>
  <c r="H80" i="33"/>
  <c r="AX80" i="33" s="1"/>
  <c r="I79" i="36" s="1"/>
  <c r="H81" i="34"/>
  <c r="H123" i="33"/>
  <c r="AX123" i="33" s="1"/>
  <c r="I130" i="36" s="1"/>
  <c r="H131" i="34"/>
  <c r="H115" i="33"/>
  <c r="AX115" i="33" s="1"/>
  <c r="I123" i="36" s="1"/>
  <c r="H123" i="34"/>
  <c r="H111" i="33"/>
  <c r="C200" i="17" s="1"/>
  <c r="G200" i="17" s="1"/>
  <c r="H118" i="34"/>
  <c r="H107" i="33"/>
  <c r="C196" i="17" s="1"/>
  <c r="G196" i="17" s="1"/>
  <c r="H110" i="34"/>
  <c r="H105" i="33"/>
  <c r="C194" i="17" s="1"/>
  <c r="G194" i="17" s="1"/>
  <c r="H108" i="34"/>
  <c r="H99" i="33"/>
  <c r="C188" i="17" s="1"/>
  <c r="G188" i="17" s="1"/>
  <c r="H101" i="34"/>
  <c r="H94" i="33"/>
  <c r="C183" i="17" s="1"/>
  <c r="G183" i="17" s="1"/>
  <c r="H96" i="34"/>
  <c r="H18" i="33"/>
  <c r="AX18" i="33" s="1"/>
  <c r="I228" i="36" s="1"/>
  <c r="H18" i="34"/>
  <c r="H84" i="33"/>
  <c r="AX84" i="33" s="1"/>
  <c r="I83" i="36" s="1"/>
  <c r="H85" i="34"/>
  <c r="H57" i="33"/>
  <c r="AX57" i="33" s="1"/>
  <c r="I56" i="36" s="1"/>
  <c r="H57" i="34"/>
  <c r="H20" i="33"/>
  <c r="AX20" i="33" s="1"/>
  <c r="I19" i="36" s="1"/>
  <c r="H20" i="34"/>
  <c r="H69" i="33"/>
  <c r="C158" i="17" s="1"/>
  <c r="G158" i="17" s="1"/>
  <c r="H70" i="34"/>
  <c r="H25" i="33"/>
  <c r="C114" i="17" s="1"/>
  <c r="G114" i="17" s="1"/>
  <c r="H25" i="34"/>
  <c r="H47" i="33"/>
  <c r="C136" i="17" s="1"/>
  <c r="G136" i="17" s="1"/>
  <c r="H46" i="34"/>
  <c r="H43" i="33"/>
  <c r="C132" i="17" s="1"/>
  <c r="G132" i="17" s="1"/>
  <c r="H42" i="34"/>
  <c r="H38" i="33"/>
  <c r="C127" i="17" s="1"/>
  <c r="G127" i="17" s="1"/>
  <c r="H37" i="34"/>
  <c r="H89" i="33"/>
  <c r="C178" i="17" s="1"/>
  <c r="G178" i="17" s="1"/>
  <c r="H91" i="34"/>
  <c r="H92" i="33"/>
  <c r="C181" i="17" s="1"/>
  <c r="G181" i="17" s="1"/>
  <c r="H94" i="34"/>
  <c r="H28" i="33"/>
  <c r="AX28" i="33" s="1"/>
  <c r="I27" i="36" s="1"/>
  <c r="H28" i="34"/>
  <c r="H160" i="33"/>
  <c r="C131" i="6" s="1"/>
  <c r="G131" i="6" s="1"/>
  <c r="H162" i="34"/>
  <c r="H158" i="33"/>
  <c r="C129" i="6" s="1"/>
  <c r="G129" i="6" s="1"/>
  <c r="H160" i="34"/>
  <c r="H150" i="33"/>
  <c r="C121" i="6" s="1"/>
  <c r="G121" i="6" s="1"/>
  <c r="H155" i="34"/>
  <c r="H148" i="33"/>
  <c r="AX148" i="33" s="1"/>
  <c r="I154" i="36" s="1"/>
  <c r="H153" i="34"/>
  <c r="H146" i="33"/>
  <c r="C117" i="6" s="1"/>
  <c r="G117" i="6" s="1"/>
  <c r="H151" i="34"/>
  <c r="H143" i="33"/>
  <c r="AX143" i="33" s="1"/>
  <c r="I149" i="36" s="1"/>
  <c r="H148" i="34"/>
  <c r="H141" i="33"/>
  <c r="AX141" i="33" s="1"/>
  <c r="I147" i="36" s="1"/>
  <c r="H146" i="34"/>
  <c r="H138" i="33"/>
  <c r="AX138" i="33" s="1"/>
  <c r="I232" i="36" s="1"/>
  <c r="BA232" i="36" s="1"/>
  <c r="H221" i="34"/>
  <c r="H135" i="33"/>
  <c r="AX135" i="33" s="1"/>
  <c r="I141" i="36" s="1"/>
  <c r="H141" i="34"/>
  <c r="H129" i="33"/>
  <c r="C100" i="6" s="1"/>
  <c r="G100" i="6" s="1"/>
  <c r="H137" i="34"/>
  <c r="H127" i="33"/>
  <c r="AX127" i="33" s="1"/>
  <c r="I134" i="36" s="1"/>
  <c r="H135" i="34"/>
  <c r="H125" i="33"/>
  <c r="AX125" i="33" s="1"/>
  <c r="I132" i="36" s="1"/>
  <c r="H133" i="34"/>
  <c r="H124" i="33"/>
  <c r="C95" i="6" s="1"/>
  <c r="G95" i="6" s="1"/>
  <c r="H132" i="34"/>
  <c r="H109" i="33"/>
  <c r="AX109" i="33" s="1"/>
  <c r="I112" i="36" s="1"/>
  <c r="H113" i="34"/>
  <c r="H106" i="33"/>
  <c r="AX106" i="33" s="1"/>
  <c r="I107" i="36" s="1"/>
  <c r="H109" i="34"/>
  <c r="H104" i="33"/>
  <c r="AX104" i="33" s="1"/>
  <c r="I102" i="36" s="1"/>
  <c r="H106" i="34"/>
  <c r="H86" i="33"/>
  <c r="AX86" i="33" s="1"/>
  <c r="I85" i="36" s="1"/>
  <c r="H87" i="34"/>
  <c r="H70" i="33"/>
  <c r="AX70" i="33" s="1"/>
  <c r="I69" i="36" s="1"/>
  <c r="H71" i="34"/>
  <c r="H63" i="33"/>
  <c r="AX63" i="33" s="1"/>
  <c r="I63" i="36" s="1"/>
  <c r="H64" i="34"/>
  <c r="H61" i="33"/>
  <c r="AX61" i="33" s="1"/>
  <c r="I61" i="36" s="1"/>
  <c r="H62" i="34"/>
  <c r="H75" i="33"/>
  <c r="AX75" i="33" s="1"/>
  <c r="I74" i="36" s="1"/>
  <c r="H76" i="34"/>
  <c r="H51" i="33"/>
  <c r="C140" i="17" s="1"/>
  <c r="G140" i="17" s="1"/>
  <c r="H50" i="34"/>
  <c r="H101" i="33"/>
  <c r="C190" i="17" s="1"/>
  <c r="G190" i="17" s="1"/>
  <c r="H103" i="34"/>
  <c r="H53" i="33"/>
  <c r="C142" i="17" s="1"/>
  <c r="G142" i="17" s="1"/>
  <c r="H53" i="34"/>
  <c r="H79" i="33"/>
  <c r="C168" i="17" s="1"/>
  <c r="G168" i="17" s="1"/>
  <c r="H80" i="34"/>
  <c r="C278" i="17"/>
  <c r="G278" i="17" s="1"/>
  <c r="BA79" i="34"/>
  <c r="C275" i="17"/>
  <c r="G275" i="17" s="1"/>
  <c r="C165" i="6"/>
  <c r="G165" i="6" s="1"/>
  <c r="C159" i="6"/>
  <c r="G159" i="6" s="1"/>
  <c r="AX188" i="33"/>
  <c r="I186" i="36" s="1"/>
  <c r="C148" i="6"/>
  <c r="G148" i="6" s="1"/>
  <c r="AX177" i="33"/>
  <c r="C125" i="6"/>
  <c r="G125" i="6" s="1"/>
  <c r="C101" i="6"/>
  <c r="G101" i="6" s="1"/>
  <c r="AX130" i="33"/>
  <c r="AX89" i="33"/>
  <c r="I89" i="36" s="1"/>
  <c r="C124" i="6"/>
  <c r="G124" i="6" s="1"/>
  <c r="AX153" i="33"/>
  <c r="C201" i="17"/>
  <c r="G201" i="17" s="1"/>
  <c r="C166" i="17"/>
  <c r="G166" i="17" s="1"/>
  <c r="AX209" i="33"/>
  <c r="I219" i="36" s="1"/>
  <c r="C170" i="6"/>
  <c r="G170" i="6" s="1"/>
  <c r="AX199" i="33"/>
  <c r="I200" i="36" s="1"/>
  <c r="C146" i="6"/>
  <c r="G146" i="6" s="1"/>
  <c r="C141" i="6"/>
  <c r="G141" i="6" s="1"/>
  <c r="AX170" i="33"/>
  <c r="I171" i="36" s="1"/>
  <c r="C132" i="6"/>
  <c r="G132" i="6" s="1"/>
  <c r="AX161" i="33"/>
  <c r="I163" i="36" s="1"/>
  <c r="AX54" i="33"/>
  <c r="I53" i="36" s="1"/>
  <c r="C143" i="17"/>
  <c r="G143" i="17" s="1"/>
  <c r="C123" i="17"/>
  <c r="G123" i="17" s="1"/>
  <c r="AX39" i="33"/>
  <c r="I37" i="36" s="1"/>
  <c r="C128" i="17"/>
  <c r="G128" i="17" s="1"/>
  <c r="C187" i="17"/>
  <c r="G187" i="17" s="1"/>
  <c r="AX55" i="33"/>
  <c r="I54" i="36" s="1"/>
  <c r="C144" i="17"/>
  <c r="G144" i="17" s="1"/>
  <c r="C111" i="17"/>
  <c r="G111" i="17" s="1"/>
  <c r="C165" i="17"/>
  <c r="G165" i="17" s="1"/>
  <c r="AX31" i="33"/>
  <c r="I30" i="36" s="1"/>
  <c r="C120" i="17"/>
  <c r="G120" i="17" s="1"/>
  <c r="C181" i="6"/>
  <c r="G181" i="6" s="1"/>
  <c r="C172" i="6"/>
  <c r="G172" i="6" s="1"/>
  <c r="AX201" i="33"/>
  <c r="I204" i="36" s="1"/>
  <c r="C167" i="6"/>
  <c r="G167" i="6" s="1"/>
  <c r="C166" i="6"/>
  <c r="G166" i="6" s="1"/>
  <c r="C164" i="6"/>
  <c r="G164" i="6" s="1"/>
  <c r="C162" i="6"/>
  <c r="G162" i="6" s="1"/>
  <c r="C157" i="6"/>
  <c r="G157" i="6" s="1"/>
  <c r="AX186" i="33"/>
  <c r="I184" i="36" s="1"/>
  <c r="C149" i="6"/>
  <c r="G149" i="6" s="1"/>
  <c r="C144" i="6"/>
  <c r="G144" i="6" s="1"/>
  <c r="AX173" i="33"/>
  <c r="I173" i="36" s="1"/>
  <c r="AX171" i="33"/>
  <c r="C142" i="6"/>
  <c r="G142" i="6" s="1"/>
  <c r="C140" i="6"/>
  <c r="G140" i="6" s="1"/>
  <c r="AX93" i="33"/>
  <c r="I92" i="36" s="1"/>
  <c r="C182" i="17"/>
  <c r="G182" i="17" s="1"/>
  <c r="AX82" i="33"/>
  <c r="I81" i="36" s="1"/>
  <c r="C171" i="17"/>
  <c r="G171" i="17" s="1"/>
  <c r="AX74" i="33"/>
  <c r="I73" i="36" s="1"/>
  <c r="AX72" i="33"/>
  <c r="I71" i="36" s="1"/>
  <c r="C161" i="17"/>
  <c r="G161" i="17" s="1"/>
  <c r="AX67" i="33"/>
  <c r="C147" i="17"/>
  <c r="G147" i="17" s="1"/>
  <c r="AX41" i="33"/>
  <c r="I39" i="36" s="1"/>
  <c r="C130" i="17"/>
  <c r="G130" i="17" s="1"/>
  <c r="C119" i="17"/>
  <c r="G119" i="17" s="1"/>
  <c r="C116" i="17"/>
  <c r="G116" i="17" s="1"/>
  <c r="C108" i="17"/>
  <c r="G108" i="17" s="1"/>
  <c r="C107" i="6"/>
  <c r="G107" i="6" s="1"/>
  <c r="AX136" i="33"/>
  <c r="I142" i="36" s="1"/>
  <c r="C121" i="17"/>
  <c r="G121" i="17" s="1"/>
  <c r="AX40" i="33"/>
  <c r="I38" i="36" s="1"/>
  <c r="C129" i="17"/>
  <c r="G129" i="17" s="1"/>
  <c r="C151" i="6"/>
  <c r="G151" i="6" s="1"/>
  <c r="AX180" i="33"/>
  <c r="I178" i="36" s="1"/>
  <c r="G2" i="17"/>
  <c r="C106" i="17"/>
  <c r="BA214" i="32"/>
  <c r="C110" i="17" l="1"/>
  <c r="G110" i="17" s="1"/>
  <c r="AX83" i="33"/>
  <c r="I82" i="36" s="1"/>
  <c r="AX182" i="33"/>
  <c r="I234" i="36" s="1"/>
  <c r="BA234" i="36" s="1"/>
  <c r="C396" i="17"/>
  <c r="G396" i="17" s="1"/>
  <c r="I164" i="34"/>
  <c r="C217" i="6" s="1"/>
  <c r="G217" i="6" s="1"/>
  <c r="C112" i="17"/>
  <c r="G112" i="17" s="1"/>
  <c r="C112" i="6"/>
  <c r="G112" i="6" s="1"/>
  <c r="C107" i="17"/>
  <c r="G107" i="17" s="1"/>
  <c r="C316" i="17"/>
  <c r="G316" i="17" s="1"/>
  <c r="BA63" i="34"/>
  <c r="J62" i="35" s="1"/>
  <c r="AZ62" i="35" s="1"/>
  <c r="K62" i="36" s="1"/>
  <c r="C141" i="17"/>
  <c r="G141" i="17" s="1"/>
  <c r="C176" i="17"/>
  <c r="G176" i="17" s="1"/>
  <c r="C118" i="17"/>
  <c r="G118" i="17" s="1"/>
  <c r="AX172" i="33"/>
  <c r="I172" i="36" s="1"/>
  <c r="C152" i="6"/>
  <c r="G152" i="6" s="1"/>
  <c r="C261" i="17"/>
  <c r="G261" i="17" s="1"/>
  <c r="BA65" i="34"/>
  <c r="C113" i="17"/>
  <c r="G113" i="17" s="1"/>
  <c r="C125" i="17"/>
  <c r="G125" i="17" s="1"/>
  <c r="AX176" i="33"/>
  <c r="I175" i="36" s="1"/>
  <c r="C184" i="17"/>
  <c r="G184" i="17" s="1"/>
  <c r="AX198" i="33"/>
  <c r="I199" i="36" s="1"/>
  <c r="AX208" i="33"/>
  <c r="I216" i="36" s="1"/>
  <c r="C150" i="17"/>
  <c r="G150" i="17" s="1"/>
  <c r="AZ189" i="35"/>
  <c r="K181" i="36" s="1"/>
  <c r="C322" i="6"/>
  <c r="G322" i="6" s="1"/>
  <c r="C148" i="17"/>
  <c r="G148" i="17" s="1"/>
  <c r="C180" i="17"/>
  <c r="G180" i="17" s="1"/>
  <c r="C99" i="6"/>
  <c r="G99" i="6" s="1"/>
  <c r="BA164" i="34"/>
  <c r="J164" i="36" s="1"/>
  <c r="BA61" i="34"/>
  <c r="H213" i="33"/>
  <c r="S3" i="33" s="1"/>
  <c r="D2" i="33" s="1"/>
  <c r="D14" i="33" s="1"/>
  <c r="J78" i="35"/>
  <c r="AZ78" i="35" s="1"/>
  <c r="K77" i="36" s="1"/>
  <c r="C508" i="17" s="1"/>
  <c r="G508" i="17" s="1"/>
  <c r="J77" i="36"/>
  <c r="C351" i="17"/>
  <c r="G351" i="17" s="1"/>
  <c r="C425" i="17"/>
  <c r="G425" i="17" s="1"/>
  <c r="H234" i="35"/>
  <c r="S3" i="35" s="1"/>
  <c r="C286" i="17"/>
  <c r="G286" i="17" s="1"/>
  <c r="J156" i="35"/>
  <c r="AZ156" i="35" s="1"/>
  <c r="K150" i="36" s="1"/>
  <c r="J150" i="36"/>
  <c r="J146" i="35"/>
  <c r="AZ146" i="35" s="1"/>
  <c r="K140" i="36" s="1"/>
  <c r="J140" i="36"/>
  <c r="J48" i="35"/>
  <c r="J48" i="36"/>
  <c r="C421" i="6"/>
  <c r="G421" i="6" s="1"/>
  <c r="BA185" i="36"/>
  <c r="H225" i="36"/>
  <c r="J81" i="35"/>
  <c r="AZ81" i="35" s="1"/>
  <c r="K80" i="36" s="1"/>
  <c r="J80" i="36"/>
  <c r="J60" i="35"/>
  <c r="AZ60" i="35" s="1"/>
  <c r="K60" i="36" s="1"/>
  <c r="J60" i="36"/>
  <c r="J121" i="35"/>
  <c r="J119" i="36"/>
  <c r="J89" i="35"/>
  <c r="J88" i="36"/>
  <c r="C544" i="17"/>
  <c r="G544" i="17" s="1"/>
  <c r="BA113" i="36"/>
  <c r="C384" i="17"/>
  <c r="G384" i="17" s="1"/>
  <c r="AZ73" i="35"/>
  <c r="K72" i="36" s="1"/>
  <c r="C366" i="17"/>
  <c r="G366" i="17" s="1"/>
  <c r="AZ55" i="35"/>
  <c r="K55" i="36" s="1"/>
  <c r="C471" i="17"/>
  <c r="G471" i="17" s="1"/>
  <c r="BA40" i="36"/>
  <c r="C515" i="17"/>
  <c r="G515" i="17" s="1"/>
  <c r="BA84" i="36"/>
  <c r="I40" i="34"/>
  <c r="C236" i="17" s="1"/>
  <c r="G236" i="17" s="1"/>
  <c r="I39" i="35"/>
  <c r="I68" i="34"/>
  <c r="I67" i="35"/>
  <c r="I73" i="34"/>
  <c r="BA73" i="34" s="1"/>
  <c r="I72" i="35"/>
  <c r="I75" i="34"/>
  <c r="BA75" i="34" s="1"/>
  <c r="I74" i="35"/>
  <c r="I83" i="34"/>
  <c r="BA83" i="34" s="1"/>
  <c r="I82" i="35"/>
  <c r="I84" i="34"/>
  <c r="I83" i="35"/>
  <c r="I95" i="34"/>
  <c r="BA95" i="34" s="1"/>
  <c r="I93" i="35"/>
  <c r="I223" i="34"/>
  <c r="I243" i="35"/>
  <c r="AZ243" i="35" s="1"/>
  <c r="I184" i="34"/>
  <c r="C237" i="6" s="1"/>
  <c r="G237" i="6" s="1"/>
  <c r="I192" i="35"/>
  <c r="I200" i="34"/>
  <c r="C253" i="6" s="1"/>
  <c r="G253" i="6" s="1"/>
  <c r="I211" i="35"/>
  <c r="I208" i="34"/>
  <c r="C261" i="6" s="1"/>
  <c r="G261" i="6" s="1"/>
  <c r="I222" i="35"/>
  <c r="I89" i="34"/>
  <c r="C285" i="17" s="1"/>
  <c r="G285" i="17" s="1"/>
  <c r="I88" i="35"/>
  <c r="I31" i="34"/>
  <c r="I30" i="35"/>
  <c r="I29" i="34"/>
  <c r="C225" i="17" s="1"/>
  <c r="G225" i="17" s="1"/>
  <c r="I28" i="35"/>
  <c r="I163" i="34"/>
  <c r="I170" i="35"/>
  <c r="I171" i="34"/>
  <c r="C224" i="6" s="1"/>
  <c r="G224" i="6" s="1"/>
  <c r="I178" i="35"/>
  <c r="I210" i="34"/>
  <c r="I224" i="35"/>
  <c r="I157" i="34"/>
  <c r="C210" i="6" s="1"/>
  <c r="G210" i="6" s="1"/>
  <c r="I164" i="35"/>
  <c r="I176" i="34"/>
  <c r="BA176" i="34" s="1"/>
  <c r="I183" i="35"/>
  <c r="I76" i="34"/>
  <c r="BA76" i="34" s="1"/>
  <c r="I75" i="35"/>
  <c r="I62" i="34"/>
  <c r="BA62" i="34" s="1"/>
  <c r="I61" i="35"/>
  <c r="I64" i="34"/>
  <c r="I63" i="35"/>
  <c r="I71" i="34"/>
  <c r="BA71" i="34" s="1"/>
  <c r="I70" i="35"/>
  <c r="I87" i="34"/>
  <c r="I86" i="35"/>
  <c r="I106" i="34"/>
  <c r="BA106" i="34" s="1"/>
  <c r="I103" i="35"/>
  <c r="I109" i="34"/>
  <c r="BA109" i="34" s="1"/>
  <c r="I108" i="35"/>
  <c r="I113" i="34"/>
  <c r="BA113" i="34" s="1"/>
  <c r="I113" i="35"/>
  <c r="I133" i="34"/>
  <c r="BA133" i="34" s="1"/>
  <c r="I138" i="35"/>
  <c r="I135" i="34"/>
  <c r="C188" i="6" s="1"/>
  <c r="G188" i="6" s="1"/>
  <c r="I140" i="35"/>
  <c r="I141" i="34"/>
  <c r="I147" i="35"/>
  <c r="I221" i="34"/>
  <c r="BA221" i="34" s="1"/>
  <c r="I241" i="35"/>
  <c r="AZ241" i="35" s="1"/>
  <c r="I146" i="34"/>
  <c r="I153" i="35"/>
  <c r="I148" i="34"/>
  <c r="BA148" i="34" s="1"/>
  <c r="I155" i="35"/>
  <c r="I153" i="34"/>
  <c r="I160" i="35"/>
  <c r="I28" i="34"/>
  <c r="BA28" i="34" s="1"/>
  <c r="I27" i="35"/>
  <c r="I20" i="34"/>
  <c r="BA20" i="34" s="1"/>
  <c r="I19" i="35"/>
  <c r="I57" i="34"/>
  <c r="BA57" i="34" s="1"/>
  <c r="I56" i="35"/>
  <c r="I85" i="34"/>
  <c r="I84" i="35"/>
  <c r="I18" i="34"/>
  <c r="C214" i="17" s="1"/>
  <c r="G214" i="17" s="1"/>
  <c r="I237" i="35"/>
  <c r="I123" i="34"/>
  <c r="BA123" i="34" s="1"/>
  <c r="I125" i="35"/>
  <c r="I131" i="34"/>
  <c r="C327" i="17" s="1"/>
  <c r="G327" i="17" s="1"/>
  <c r="I136" i="35"/>
  <c r="I81" i="34"/>
  <c r="I80" i="35"/>
  <c r="I136" i="34"/>
  <c r="C189" i="6" s="1"/>
  <c r="G189" i="6" s="1"/>
  <c r="I141" i="35"/>
  <c r="I144" i="34"/>
  <c r="I150" i="35"/>
  <c r="I147" i="34"/>
  <c r="C200" i="6" s="1"/>
  <c r="G200" i="6" s="1"/>
  <c r="I154" i="35"/>
  <c r="I150" i="34"/>
  <c r="BA150" i="34" s="1"/>
  <c r="I157" i="35"/>
  <c r="I152" i="34"/>
  <c r="BA152" i="34" s="1"/>
  <c r="I159" i="35"/>
  <c r="I142" i="34"/>
  <c r="BA142" i="34" s="1"/>
  <c r="I148" i="35"/>
  <c r="I35" i="34"/>
  <c r="C231" i="17" s="1"/>
  <c r="G231" i="17" s="1"/>
  <c r="I34" i="35"/>
  <c r="I179" i="34"/>
  <c r="I186" i="35"/>
  <c r="I39" i="34"/>
  <c r="BA39" i="34" s="1"/>
  <c r="I38" i="35"/>
  <c r="I23" i="34"/>
  <c r="I22" i="35"/>
  <c r="I21" i="34"/>
  <c r="C217" i="17" s="1"/>
  <c r="G217" i="17" s="1"/>
  <c r="I20" i="35"/>
  <c r="I170" i="34"/>
  <c r="I177" i="35"/>
  <c r="I173" i="34"/>
  <c r="C226" i="6" s="1"/>
  <c r="G226" i="6" s="1"/>
  <c r="I180" i="35"/>
  <c r="I175" i="34"/>
  <c r="I182" i="35"/>
  <c r="I189" i="34"/>
  <c r="C242" i="6" s="1"/>
  <c r="G242" i="6" s="1"/>
  <c r="I197" i="35"/>
  <c r="I194" i="34"/>
  <c r="I203" i="35"/>
  <c r="I22" i="34"/>
  <c r="C218" i="17" s="1"/>
  <c r="G218" i="17" s="1"/>
  <c r="I21" i="35"/>
  <c r="I55" i="34"/>
  <c r="I54" i="35"/>
  <c r="I100" i="34"/>
  <c r="BA100" i="34" s="1"/>
  <c r="I98" i="35"/>
  <c r="I38" i="34"/>
  <c r="I37" i="35"/>
  <c r="I219" i="34"/>
  <c r="BA219" i="34" s="1"/>
  <c r="I239" i="35"/>
  <c r="AZ239" i="35" s="1"/>
  <c r="I54" i="34"/>
  <c r="I53" i="35"/>
  <c r="I198" i="34"/>
  <c r="C251" i="6" s="1"/>
  <c r="G251" i="6" s="1"/>
  <c r="I207" i="35"/>
  <c r="I91" i="34"/>
  <c r="I90" i="35"/>
  <c r="I186" i="34"/>
  <c r="BA186" i="34" s="1"/>
  <c r="I194" i="35"/>
  <c r="I165" i="34"/>
  <c r="I172" i="35"/>
  <c r="I174" i="34"/>
  <c r="BA174" i="34" s="1"/>
  <c r="I181" i="35"/>
  <c r="I178" i="34"/>
  <c r="I185" i="35"/>
  <c r="I196" i="34"/>
  <c r="C249" i="6" s="1"/>
  <c r="G249" i="6" s="1"/>
  <c r="I205" i="35"/>
  <c r="I24" i="34"/>
  <c r="I23" i="35"/>
  <c r="I32" i="34"/>
  <c r="C228" i="17" s="1"/>
  <c r="G228" i="17" s="1"/>
  <c r="I31" i="35"/>
  <c r="I60" i="34"/>
  <c r="BA60" i="34" s="1"/>
  <c r="I59" i="35"/>
  <c r="I97" i="34"/>
  <c r="C293" i="17" s="1"/>
  <c r="G293" i="17" s="1"/>
  <c r="I95" i="35"/>
  <c r="I19" i="34"/>
  <c r="I18" i="35"/>
  <c r="I27" i="34"/>
  <c r="BA27" i="34" s="1"/>
  <c r="I26" i="35"/>
  <c r="I93" i="34"/>
  <c r="C289" i="17" s="1"/>
  <c r="G289" i="17" s="1"/>
  <c r="I91" i="35"/>
  <c r="I30" i="34"/>
  <c r="C226" i="17" s="1"/>
  <c r="G226" i="17" s="1"/>
  <c r="I29" i="35"/>
  <c r="I52" i="34"/>
  <c r="C248" i="17" s="1"/>
  <c r="G248" i="17" s="1"/>
  <c r="I51" i="35"/>
  <c r="I58" i="34"/>
  <c r="C254" i="17" s="1"/>
  <c r="G254" i="17" s="1"/>
  <c r="I57" i="35"/>
  <c r="I177" i="34"/>
  <c r="C230" i="6" s="1"/>
  <c r="G230" i="6" s="1"/>
  <c r="I184" i="35"/>
  <c r="I192" i="34"/>
  <c r="C245" i="6" s="1"/>
  <c r="G245" i="6" s="1"/>
  <c r="I201" i="35"/>
  <c r="I195" i="34"/>
  <c r="C248" i="6" s="1"/>
  <c r="G248" i="6" s="1"/>
  <c r="I204" i="35"/>
  <c r="I211" i="34"/>
  <c r="C264" i="6" s="1"/>
  <c r="G264" i="6" s="1"/>
  <c r="I225" i="35"/>
  <c r="I77" i="34"/>
  <c r="BA77" i="34" s="1"/>
  <c r="I76" i="35"/>
  <c r="I180" i="34"/>
  <c r="BA180" i="34" s="1"/>
  <c r="I188" i="35"/>
  <c r="I193" i="34"/>
  <c r="C246" i="6" s="1"/>
  <c r="G246" i="6" s="1"/>
  <c r="I202" i="35"/>
  <c r="I78" i="34"/>
  <c r="BA78" i="34" s="1"/>
  <c r="I77" i="35"/>
  <c r="BA145" i="34"/>
  <c r="C198" i="6"/>
  <c r="G198" i="6" s="1"/>
  <c r="C389" i="17"/>
  <c r="G389" i="17" s="1"/>
  <c r="AX185" i="33"/>
  <c r="I183" i="36" s="1"/>
  <c r="AX79" i="33"/>
  <c r="I78" i="36" s="1"/>
  <c r="C193" i="17"/>
  <c r="G193" i="17" s="1"/>
  <c r="C98" i="6"/>
  <c r="G98" i="6" s="1"/>
  <c r="AX158" i="33"/>
  <c r="I160" i="36" s="1"/>
  <c r="AX25" i="33"/>
  <c r="I24" i="36" s="1"/>
  <c r="AX107" i="33"/>
  <c r="I109" i="36" s="1"/>
  <c r="C134" i="6"/>
  <c r="G134" i="6" s="1"/>
  <c r="AX156" i="33"/>
  <c r="I233" i="36" s="1"/>
  <c r="BA233" i="36" s="1"/>
  <c r="C150" i="6"/>
  <c r="G150" i="6" s="1"/>
  <c r="AX101" i="33"/>
  <c r="I99" i="36" s="1"/>
  <c r="C159" i="17"/>
  <c r="G159" i="17" s="1"/>
  <c r="C198" i="17"/>
  <c r="G198" i="17" s="1"/>
  <c r="AX124" i="33"/>
  <c r="I131" i="36" s="1"/>
  <c r="C106" i="6"/>
  <c r="G106" i="6" s="1"/>
  <c r="C119" i="6"/>
  <c r="G119" i="6" s="1"/>
  <c r="C117" i="17"/>
  <c r="G117" i="17" s="1"/>
  <c r="AX43" i="33"/>
  <c r="I41" i="36" s="1"/>
  <c r="C146" i="17"/>
  <c r="G146" i="17" s="1"/>
  <c r="AX99" i="33"/>
  <c r="I229" i="36" s="1"/>
  <c r="C212" i="17"/>
  <c r="G212" i="17" s="1"/>
  <c r="C116" i="6"/>
  <c r="G116" i="6" s="1"/>
  <c r="AX203" i="33"/>
  <c r="I206" i="36" s="1"/>
  <c r="C272" i="17"/>
  <c r="G272" i="17" s="1"/>
  <c r="C256" i="17"/>
  <c r="G256" i="17" s="1"/>
  <c r="AX53" i="33"/>
  <c r="I52" i="36" s="1"/>
  <c r="AX51" i="33"/>
  <c r="I49" i="36" s="1"/>
  <c r="C152" i="17"/>
  <c r="G152" i="17" s="1"/>
  <c r="C175" i="17"/>
  <c r="G175" i="17" s="1"/>
  <c r="C195" i="17"/>
  <c r="G195" i="17" s="1"/>
  <c r="C96" i="6"/>
  <c r="G96" i="6" s="1"/>
  <c r="AX129" i="33"/>
  <c r="I136" i="36" s="1"/>
  <c r="C109" i="6"/>
  <c r="G109" i="6" s="1"/>
  <c r="AX146" i="33"/>
  <c r="I152" i="36" s="1"/>
  <c r="AX150" i="33"/>
  <c r="I156" i="36" s="1"/>
  <c r="AX160" i="33"/>
  <c r="I162" i="36" s="1"/>
  <c r="AX92" i="33"/>
  <c r="I91" i="36" s="1"/>
  <c r="AX38" i="33"/>
  <c r="I36" i="36" s="1"/>
  <c r="AX47" i="33"/>
  <c r="I45" i="36" s="1"/>
  <c r="AX69" i="33"/>
  <c r="I68" i="36" s="1"/>
  <c r="C173" i="17"/>
  <c r="G173" i="17" s="1"/>
  <c r="AX94" i="33"/>
  <c r="I93" i="36" s="1"/>
  <c r="AX105" i="33"/>
  <c r="I106" i="36" s="1"/>
  <c r="AX111" i="33"/>
  <c r="I116" i="36" s="1"/>
  <c r="AX126" i="33"/>
  <c r="I133" i="36" s="1"/>
  <c r="C110" i="6"/>
  <c r="G110" i="6" s="1"/>
  <c r="AX149" i="33"/>
  <c r="I155" i="36" s="1"/>
  <c r="C168" i="6"/>
  <c r="G168" i="6" s="1"/>
  <c r="AX212" i="33"/>
  <c r="I223" i="36" s="1"/>
  <c r="C224" i="17"/>
  <c r="G224" i="17" s="1"/>
  <c r="C122" i="6"/>
  <c r="G122" i="6" s="1"/>
  <c r="C164" i="17"/>
  <c r="G164" i="17" s="1"/>
  <c r="C114" i="6"/>
  <c r="G114" i="6" s="1"/>
  <c r="C109" i="17"/>
  <c r="G109" i="17" s="1"/>
  <c r="C204" i="17"/>
  <c r="G204" i="17" s="1"/>
  <c r="C113" i="6"/>
  <c r="G113" i="6" s="1"/>
  <c r="C118" i="6"/>
  <c r="G118" i="6" s="1"/>
  <c r="C169" i="17"/>
  <c r="G169" i="17" s="1"/>
  <c r="C186" i="6"/>
  <c r="G186" i="6" s="1"/>
  <c r="C203" i="6"/>
  <c r="G203" i="6" s="1"/>
  <c r="C201" i="6"/>
  <c r="G201" i="6" s="1"/>
  <c r="C216" i="17"/>
  <c r="G216" i="17" s="1"/>
  <c r="C319" i="17"/>
  <c r="G319" i="17" s="1"/>
  <c r="C205" i="6"/>
  <c r="G205" i="6" s="1"/>
  <c r="H216" i="34"/>
  <c r="S3" i="34" s="1"/>
  <c r="AX103" i="33"/>
  <c r="I101" i="36" s="1"/>
  <c r="C192" i="17"/>
  <c r="G192" i="17" s="1"/>
  <c r="C220" i="17"/>
  <c r="G220" i="17" s="1"/>
  <c r="BA24" i="34"/>
  <c r="C215" i="17"/>
  <c r="G215" i="17" s="1"/>
  <c r="BA19" i="34"/>
  <c r="BA179" i="34"/>
  <c r="C232" i="6"/>
  <c r="G232" i="6" s="1"/>
  <c r="C219" i="17"/>
  <c r="G219" i="17" s="1"/>
  <c r="BA23" i="34"/>
  <c r="C223" i="6"/>
  <c r="G223" i="6" s="1"/>
  <c r="BA170" i="34"/>
  <c r="BA173" i="34"/>
  <c r="C228" i="6"/>
  <c r="G228" i="6" s="1"/>
  <c r="BA175" i="34"/>
  <c r="C247" i="6"/>
  <c r="G247" i="6" s="1"/>
  <c r="BA194" i="34"/>
  <c r="C251" i="17"/>
  <c r="G251" i="17" s="1"/>
  <c r="BA55" i="34"/>
  <c r="C234" i="17"/>
  <c r="G234" i="17" s="1"/>
  <c r="BA38" i="34"/>
  <c r="C250" i="17"/>
  <c r="G250" i="17" s="1"/>
  <c r="BA54" i="34"/>
  <c r="C216" i="6"/>
  <c r="G216" i="6" s="1"/>
  <c r="BA163" i="34"/>
  <c r="BA171" i="34"/>
  <c r="C287" i="17"/>
  <c r="G287" i="17" s="1"/>
  <c r="BA91" i="34"/>
  <c r="BA157" i="34"/>
  <c r="C195" i="6"/>
  <c r="G195" i="6" s="1"/>
  <c r="BA40" i="34"/>
  <c r="BA68" i="34"/>
  <c r="C264" i="17"/>
  <c r="G264" i="17" s="1"/>
  <c r="C269" i="17"/>
  <c r="G269" i="17" s="1"/>
  <c r="C271" i="17"/>
  <c r="G271" i="17" s="1"/>
  <c r="C280" i="17"/>
  <c r="G280" i="17" s="1"/>
  <c r="BA84" i="34"/>
  <c r="BA223" i="34"/>
  <c r="BA200" i="34"/>
  <c r="BA208" i="34"/>
  <c r="C227" i="17"/>
  <c r="G227" i="17" s="1"/>
  <c r="BA31" i="34"/>
  <c r="C227" i="6"/>
  <c r="G227" i="6" s="1"/>
  <c r="C231" i="6"/>
  <c r="G231" i="6" s="1"/>
  <c r="BA178" i="34"/>
  <c r="C263" i="6"/>
  <c r="G263" i="6" s="1"/>
  <c r="BA210" i="34"/>
  <c r="BA64" i="34"/>
  <c r="C260" i="17"/>
  <c r="G260" i="17" s="1"/>
  <c r="BA87" i="34"/>
  <c r="C283" i="17"/>
  <c r="G283" i="17" s="1"/>
  <c r="C305" i="17"/>
  <c r="G305" i="17" s="1"/>
  <c r="BA135" i="34"/>
  <c r="C194" i="6"/>
  <c r="G194" i="6" s="1"/>
  <c r="BA141" i="34"/>
  <c r="C199" i="6"/>
  <c r="G199" i="6" s="1"/>
  <c r="BA146" i="34"/>
  <c r="C206" i="6"/>
  <c r="G206" i="6" s="1"/>
  <c r="BA153" i="34"/>
  <c r="C253" i="17"/>
  <c r="G253" i="17" s="1"/>
  <c r="C281" i="17"/>
  <c r="G281" i="17" s="1"/>
  <c r="BA85" i="34"/>
  <c r="BA131" i="34"/>
  <c r="C197" i="6"/>
  <c r="G197" i="6" s="1"/>
  <c r="BA144" i="34"/>
  <c r="C218" i="6"/>
  <c r="G218" i="6" s="1"/>
  <c r="BA165" i="34"/>
  <c r="BA81" i="34"/>
  <c r="C277" i="17"/>
  <c r="G277" i="17" s="1"/>
  <c r="G48" i="6"/>
  <c r="G16" i="17"/>
  <c r="G46" i="6"/>
  <c r="BA77" i="36" l="1"/>
  <c r="J62" i="36"/>
  <c r="BA196" i="34"/>
  <c r="BA189" i="34"/>
  <c r="BA147" i="34"/>
  <c r="J154" i="35" s="1"/>
  <c r="AZ154" i="35" s="1"/>
  <c r="K148" i="36" s="1"/>
  <c r="I179" i="35"/>
  <c r="J171" i="35"/>
  <c r="AZ171" i="35" s="1"/>
  <c r="K164" i="36" s="1"/>
  <c r="BA89" i="34"/>
  <c r="BA22" i="34"/>
  <c r="J21" i="35" s="1"/>
  <c r="AZ21" i="35" s="1"/>
  <c r="K21" i="36" s="1"/>
  <c r="I172" i="34"/>
  <c r="I197" i="34"/>
  <c r="BA29" i="34"/>
  <c r="C291" i="17"/>
  <c r="G291" i="17" s="1"/>
  <c r="C279" i="17"/>
  <c r="G279" i="17" s="1"/>
  <c r="C229" i="6"/>
  <c r="G229" i="6" s="1"/>
  <c r="C309" i="17"/>
  <c r="G309" i="17" s="1"/>
  <c r="BA136" i="34"/>
  <c r="J141" i="35" s="1"/>
  <c r="AZ141" i="35" s="1"/>
  <c r="K135" i="36" s="1"/>
  <c r="I206" i="35"/>
  <c r="C302" i="17"/>
  <c r="G302" i="17" s="1"/>
  <c r="C267" i="17"/>
  <c r="G267" i="17" s="1"/>
  <c r="C258" i="17"/>
  <c r="G258" i="17" s="1"/>
  <c r="BA35" i="34"/>
  <c r="J34" i="36" s="1"/>
  <c r="C235" i="17"/>
  <c r="G235" i="17" s="1"/>
  <c r="C239" i="6"/>
  <c r="G239" i="6" s="1"/>
  <c r="C296" i="17"/>
  <c r="G296" i="17" s="1"/>
  <c r="BA21" i="34"/>
  <c r="J20" i="36" s="1"/>
  <c r="BA93" i="34"/>
  <c r="C417" i="6"/>
  <c r="G417" i="6" s="1"/>
  <c r="BA181" i="36"/>
  <c r="J64" i="35"/>
  <c r="J64" i="36"/>
  <c r="BA193" i="34"/>
  <c r="BA184" i="34"/>
  <c r="J184" i="36" s="1"/>
  <c r="S14" i="33"/>
  <c r="BA198" i="34"/>
  <c r="J200" i="36" s="1"/>
  <c r="BA97" i="34"/>
  <c r="J95" i="35" s="1"/>
  <c r="AZ95" i="35" s="1"/>
  <c r="K94" i="36" s="1"/>
  <c r="BA18" i="34"/>
  <c r="J228" i="36" s="1"/>
  <c r="BA228" i="36" s="1"/>
  <c r="BA32" i="34"/>
  <c r="J31" i="36" s="1"/>
  <c r="BA30" i="34"/>
  <c r="C289" i="6"/>
  <c r="G289" i="6" s="1"/>
  <c r="C373" i="17"/>
  <c r="G373" i="17" s="1"/>
  <c r="C279" i="6"/>
  <c r="G279" i="6" s="1"/>
  <c r="C304" i="6"/>
  <c r="G304" i="6" s="1"/>
  <c r="C371" i="17"/>
  <c r="G371" i="17" s="1"/>
  <c r="C392" i="17"/>
  <c r="G392" i="17" s="1"/>
  <c r="J56" i="35"/>
  <c r="AZ56" i="35" s="1"/>
  <c r="K56" i="36" s="1"/>
  <c r="J56" i="36"/>
  <c r="J140" i="35"/>
  <c r="AZ140" i="35" s="1"/>
  <c r="K134" i="36" s="1"/>
  <c r="J134" i="36"/>
  <c r="J103" i="35"/>
  <c r="AZ103" i="35" s="1"/>
  <c r="K102" i="36" s="1"/>
  <c r="J102" i="36"/>
  <c r="J86" i="35"/>
  <c r="AZ86" i="35" s="1"/>
  <c r="K85" i="36" s="1"/>
  <c r="J85" i="36"/>
  <c r="J70" i="35"/>
  <c r="AZ70" i="35" s="1"/>
  <c r="K69" i="36" s="1"/>
  <c r="J69" i="36"/>
  <c r="J63" i="35"/>
  <c r="AZ63" i="35" s="1"/>
  <c r="K63" i="36" s="1"/>
  <c r="J63" i="36"/>
  <c r="J61" i="35"/>
  <c r="AZ61" i="35" s="1"/>
  <c r="K61" i="36" s="1"/>
  <c r="J61" i="36"/>
  <c r="J88" i="35"/>
  <c r="AZ88" i="35" s="1"/>
  <c r="K87" i="36" s="1"/>
  <c r="J87" i="36"/>
  <c r="J211" i="35"/>
  <c r="AZ211" i="35" s="1"/>
  <c r="J204" i="36"/>
  <c r="J93" i="35"/>
  <c r="AZ93" i="35" s="1"/>
  <c r="K92" i="36" s="1"/>
  <c r="J92" i="36"/>
  <c r="J82" i="35"/>
  <c r="AZ82" i="35" s="1"/>
  <c r="K81" i="36" s="1"/>
  <c r="J81" i="36"/>
  <c r="J39" i="35"/>
  <c r="AZ39" i="35" s="1"/>
  <c r="K39" i="36" s="1"/>
  <c r="J39" i="36"/>
  <c r="J164" i="35"/>
  <c r="AZ164" i="35" s="1"/>
  <c r="K158" i="36" s="1"/>
  <c r="J158" i="36"/>
  <c r="J178" i="35"/>
  <c r="AZ178" i="35" s="1"/>
  <c r="K171" i="36" s="1"/>
  <c r="J171" i="36"/>
  <c r="J37" i="35"/>
  <c r="AZ37" i="35" s="1"/>
  <c r="K37" i="36" s="1"/>
  <c r="J37" i="36"/>
  <c r="J54" i="35"/>
  <c r="AZ54" i="35" s="1"/>
  <c r="K54" i="36" s="1"/>
  <c r="J54" i="36"/>
  <c r="J21" i="36"/>
  <c r="J203" i="35"/>
  <c r="AZ203" i="35" s="1"/>
  <c r="K195" i="36" s="1"/>
  <c r="J195" i="36"/>
  <c r="J197" i="35"/>
  <c r="AZ197" i="35" s="1"/>
  <c r="K189" i="36" s="1"/>
  <c r="J189" i="36"/>
  <c r="J182" i="35"/>
  <c r="AZ182" i="35" s="1"/>
  <c r="K175" i="36" s="1"/>
  <c r="J175" i="36"/>
  <c r="J180" i="35"/>
  <c r="AZ180" i="35" s="1"/>
  <c r="K173" i="36" s="1"/>
  <c r="J173" i="36"/>
  <c r="J177" i="35"/>
  <c r="AZ177" i="35" s="1"/>
  <c r="K170" i="36" s="1"/>
  <c r="J170" i="36"/>
  <c r="J22" i="35"/>
  <c r="AZ22" i="35" s="1"/>
  <c r="K22" i="36" s="1"/>
  <c r="J22" i="36"/>
  <c r="J18" i="35"/>
  <c r="AZ18" i="35" s="1"/>
  <c r="K18" i="36" s="1"/>
  <c r="J18" i="36"/>
  <c r="J23" i="35"/>
  <c r="AZ23" i="35" s="1"/>
  <c r="K23" i="36" s="1"/>
  <c r="J23" i="36"/>
  <c r="J148" i="36"/>
  <c r="J31" i="35"/>
  <c r="AZ31" i="35" s="1"/>
  <c r="K31" i="36" s="1"/>
  <c r="J29" i="35"/>
  <c r="AZ29" i="35" s="1"/>
  <c r="K29" i="36" s="1"/>
  <c r="J29" i="36"/>
  <c r="J91" i="35"/>
  <c r="AZ91" i="35" s="1"/>
  <c r="K90" i="36" s="1"/>
  <c r="J90" i="36"/>
  <c r="J159" i="35"/>
  <c r="J153" i="36"/>
  <c r="J157" i="35"/>
  <c r="J151" i="36"/>
  <c r="J125" i="35"/>
  <c r="AZ125" i="35" s="1"/>
  <c r="K123" i="36" s="1"/>
  <c r="J123" i="36"/>
  <c r="J19" i="35"/>
  <c r="AZ19" i="35" s="1"/>
  <c r="K19" i="36" s="1"/>
  <c r="J19" i="36"/>
  <c r="J27" i="35"/>
  <c r="AZ27" i="35" s="1"/>
  <c r="K27" i="36" s="1"/>
  <c r="J27" i="36"/>
  <c r="J155" i="35"/>
  <c r="AZ155" i="35" s="1"/>
  <c r="K149" i="36" s="1"/>
  <c r="J149" i="36"/>
  <c r="J138" i="35"/>
  <c r="AZ138" i="35" s="1"/>
  <c r="K132" i="36" s="1"/>
  <c r="J132" i="36"/>
  <c r="J113" i="35"/>
  <c r="AZ113" i="35" s="1"/>
  <c r="K112" i="36" s="1"/>
  <c r="J112" i="36"/>
  <c r="J108" i="35"/>
  <c r="AZ108" i="35" s="1"/>
  <c r="K107" i="36" s="1"/>
  <c r="J107" i="36"/>
  <c r="J75" i="35"/>
  <c r="AZ75" i="35" s="1"/>
  <c r="K74" i="36" s="1"/>
  <c r="J74" i="36"/>
  <c r="J74" i="35"/>
  <c r="AZ74" i="35" s="1"/>
  <c r="K73" i="36" s="1"/>
  <c r="J73" i="36"/>
  <c r="C486" i="17"/>
  <c r="G486" i="17" s="1"/>
  <c r="BA55" i="36"/>
  <c r="C503" i="17"/>
  <c r="G503" i="17" s="1"/>
  <c r="BA72" i="36"/>
  <c r="I225" i="36"/>
  <c r="S4" i="36" s="1"/>
  <c r="S3" i="36"/>
  <c r="C359" i="17"/>
  <c r="G359" i="17" s="1"/>
  <c r="AZ48" i="35"/>
  <c r="K48" i="36" s="1"/>
  <c r="C376" i="6"/>
  <c r="G376" i="6" s="1"/>
  <c r="BA140" i="36"/>
  <c r="C386" i="6"/>
  <c r="G386" i="6" s="1"/>
  <c r="BA150" i="36"/>
  <c r="J80" i="35"/>
  <c r="AZ80" i="35" s="1"/>
  <c r="K79" i="36" s="1"/>
  <c r="J79" i="36"/>
  <c r="J147" i="35"/>
  <c r="AZ147" i="35" s="1"/>
  <c r="K141" i="36" s="1"/>
  <c r="J141" i="36"/>
  <c r="J205" i="35"/>
  <c r="AZ205" i="35" s="1"/>
  <c r="K197" i="36" s="1"/>
  <c r="J197" i="36"/>
  <c r="J194" i="35"/>
  <c r="AZ194" i="35" s="1"/>
  <c r="K186" i="36" s="1"/>
  <c r="J186" i="36"/>
  <c r="J172" i="35"/>
  <c r="AZ172" i="35" s="1"/>
  <c r="K165" i="36" s="1"/>
  <c r="J165" i="36"/>
  <c r="J150" i="35"/>
  <c r="AZ150" i="35" s="1"/>
  <c r="K144" i="36" s="1"/>
  <c r="J144" i="36"/>
  <c r="J136" i="35"/>
  <c r="AZ136" i="35" s="1"/>
  <c r="K130" i="36" s="1"/>
  <c r="J130" i="36"/>
  <c r="J84" i="35"/>
  <c r="AZ84" i="35" s="1"/>
  <c r="K83" i="36" s="1"/>
  <c r="J83" i="36"/>
  <c r="J160" i="35"/>
  <c r="AZ160" i="35" s="1"/>
  <c r="K154" i="36" s="1"/>
  <c r="J154" i="36"/>
  <c r="J153" i="35"/>
  <c r="AZ153" i="35" s="1"/>
  <c r="K147" i="36" s="1"/>
  <c r="J147" i="36"/>
  <c r="J224" i="35"/>
  <c r="AZ224" i="35" s="1"/>
  <c r="K219" i="36" s="1"/>
  <c r="J219" i="36"/>
  <c r="J185" i="35"/>
  <c r="AZ185" i="35" s="1"/>
  <c r="K177" i="36" s="1"/>
  <c r="J177" i="36"/>
  <c r="J181" i="35"/>
  <c r="AZ181" i="35" s="1"/>
  <c r="K174" i="36" s="1"/>
  <c r="J174" i="36"/>
  <c r="J28" i="35"/>
  <c r="AZ28" i="35" s="1"/>
  <c r="K28" i="36" s="1"/>
  <c r="J28" i="36"/>
  <c r="J30" i="35"/>
  <c r="AZ30" i="35" s="1"/>
  <c r="K30" i="36" s="1"/>
  <c r="J30" i="36"/>
  <c r="J222" i="35"/>
  <c r="AZ222" i="35" s="1"/>
  <c r="K216" i="36" s="1"/>
  <c r="J216" i="36"/>
  <c r="J192" i="35"/>
  <c r="AZ192" i="35" s="1"/>
  <c r="K184" i="36" s="1"/>
  <c r="J83" i="35"/>
  <c r="AZ83" i="35" s="1"/>
  <c r="K82" i="36" s="1"/>
  <c r="J82" i="36"/>
  <c r="J72" i="35"/>
  <c r="AZ72" i="35" s="1"/>
  <c r="K71" i="36" s="1"/>
  <c r="J71" i="36"/>
  <c r="J67" i="35"/>
  <c r="AZ67" i="35" s="1"/>
  <c r="J90" i="35"/>
  <c r="AZ90" i="35" s="1"/>
  <c r="K89" i="36" s="1"/>
  <c r="J89" i="36"/>
  <c r="J207" i="35"/>
  <c r="AZ207" i="35" s="1"/>
  <c r="K200" i="36" s="1"/>
  <c r="J170" i="35"/>
  <c r="AZ170" i="35" s="1"/>
  <c r="K163" i="36" s="1"/>
  <c r="J163" i="36"/>
  <c r="J53" i="35"/>
  <c r="AZ53" i="35" s="1"/>
  <c r="K53" i="36" s="1"/>
  <c r="J53" i="36"/>
  <c r="J98" i="35"/>
  <c r="AZ98" i="35" s="1"/>
  <c r="K97" i="36" s="1"/>
  <c r="J97" i="36"/>
  <c r="J38" i="35"/>
  <c r="AZ38" i="35" s="1"/>
  <c r="K38" i="36" s="1"/>
  <c r="J38" i="36"/>
  <c r="J186" i="35"/>
  <c r="AZ186" i="35" s="1"/>
  <c r="K178" i="36" s="1"/>
  <c r="J178" i="36"/>
  <c r="J94" i="36"/>
  <c r="J135" i="36"/>
  <c r="J202" i="35"/>
  <c r="AZ202" i="35" s="1"/>
  <c r="K194" i="36" s="1"/>
  <c r="J194" i="36"/>
  <c r="J152" i="35"/>
  <c r="AZ152" i="35" s="1"/>
  <c r="K146" i="36" s="1"/>
  <c r="J146" i="36"/>
  <c r="J77" i="35"/>
  <c r="J76" i="36"/>
  <c r="J188" i="35"/>
  <c r="AZ188" i="35" s="1"/>
  <c r="K180" i="36" s="1"/>
  <c r="J180" i="36"/>
  <c r="J76" i="35"/>
  <c r="J75" i="36"/>
  <c r="J26" i="35"/>
  <c r="AZ26" i="35" s="1"/>
  <c r="K26" i="36" s="1"/>
  <c r="J26" i="36"/>
  <c r="J59" i="35"/>
  <c r="J59" i="36"/>
  <c r="J148" i="35"/>
  <c r="J142" i="36"/>
  <c r="C400" i="17"/>
  <c r="G400" i="17" s="1"/>
  <c r="AZ89" i="35"/>
  <c r="K88" i="36" s="1"/>
  <c r="C432" i="17"/>
  <c r="G432" i="17" s="1"/>
  <c r="AZ121" i="35"/>
  <c r="K119" i="36" s="1"/>
  <c r="C491" i="17"/>
  <c r="G491" i="17" s="1"/>
  <c r="BA60" i="36"/>
  <c r="C400" i="6"/>
  <c r="G400" i="6" s="1"/>
  <c r="BA164" i="36"/>
  <c r="C511" i="17"/>
  <c r="G511" i="17" s="1"/>
  <c r="BA80" i="36"/>
  <c r="C493" i="17"/>
  <c r="G493" i="17" s="1"/>
  <c r="BA62" i="36"/>
  <c r="BA192" i="34"/>
  <c r="C273" i="17"/>
  <c r="G273" i="17" s="1"/>
  <c r="C233" i="6"/>
  <c r="G233" i="6" s="1"/>
  <c r="I118" i="34"/>
  <c r="BA118" i="34" s="1"/>
  <c r="I118" i="35"/>
  <c r="I96" i="34"/>
  <c r="BA96" i="34" s="1"/>
  <c r="I94" i="35"/>
  <c r="I70" i="34"/>
  <c r="C266" i="17" s="1"/>
  <c r="G266" i="17" s="1"/>
  <c r="I69" i="35"/>
  <c r="I37" i="34"/>
  <c r="C233" i="17" s="1"/>
  <c r="G233" i="17" s="1"/>
  <c r="I36" i="35"/>
  <c r="I162" i="34"/>
  <c r="BA162" i="34" s="1"/>
  <c r="I169" i="35"/>
  <c r="I151" i="34"/>
  <c r="C204" i="6" s="1"/>
  <c r="G204" i="6" s="1"/>
  <c r="I158" i="35"/>
  <c r="I137" i="34"/>
  <c r="BA137" i="34" s="1"/>
  <c r="I142" i="35"/>
  <c r="I53" i="34"/>
  <c r="C249" i="17" s="1"/>
  <c r="G249" i="17" s="1"/>
  <c r="I52" i="35"/>
  <c r="BA211" i="34"/>
  <c r="BA58" i="34"/>
  <c r="C223" i="17"/>
  <c r="G223" i="17" s="1"/>
  <c r="I101" i="34"/>
  <c r="BA101" i="34" s="1"/>
  <c r="I238" i="35"/>
  <c r="I42" i="34"/>
  <c r="BA42" i="34" s="1"/>
  <c r="I41" i="35"/>
  <c r="I132" i="34"/>
  <c r="C185" i="6" s="1"/>
  <c r="G185" i="6" s="1"/>
  <c r="I137" i="35"/>
  <c r="BA177" i="34"/>
  <c r="BA52" i="34"/>
  <c r="BA195" i="34"/>
  <c r="I25" i="34"/>
  <c r="C221" i="17" s="1"/>
  <c r="G221" i="17" s="1"/>
  <c r="I24" i="35"/>
  <c r="I80" i="34"/>
  <c r="BA80" i="34" s="1"/>
  <c r="I79" i="35"/>
  <c r="C274" i="17"/>
  <c r="G274" i="17" s="1"/>
  <c r="I105" i="34"/>
  <c r="C301" i="17" s="1"/>
  <c r="G301" i="17" s="1"/>
  <c r="I102" i="35"/>
  <c r="I215" i="34"/>
  <c r="C268" i="6" s="1"/>
  <c r="G268" i="6" s="1"/>
  <c r="I231" i="35"/>
  <c r="I154" i="34"/>
  <c r="BA154" i="34" s="1"/>
  <c r="I161" i="35"/>
  <c r="I134" i="34"/>
  <c r="BA134" i="34" s="1"/>
  <c r="I139" i="35"/>
  <c r="I108" i="34"/>
  <c r="BA108" i="34" s="1"/>
  <c r="I107" i="35"/>
  <c r="I46" i="34"/>
  <c r="C242" i="17" s="1"/>
  <c r="G242" i="17" s="1"/>
  <c r="I45" i="35"/>
  <c r="I94" i="34"/>
  <c r="C290" i="17" s="1"/>
  <c r="G290" i="17" s="1"/>
  <c r="I92" i="35"/>
  <c r="I155" i="34"/>
  <c r="C208" i="6" s="1"/>
  <c r="G208" i="6" s="1"/>
  <c r="I162" i="35"/>
  <c r="I50" i="34"/>
  <c r="C246" i="17" s="1"/>
  <c r="G246" i="17" s="1"/>
  <c r="I49" i="35"/>
  <c r="I202" i="34"/>
  <c r="C255" i="6" s="1"/>
  <c r="G255" i="6" s="1"/>
  <c r="I213" i="35"/>
  <c r="I103" i="34"/>
  <c r="BA103" i="34" s="1"/>
  <c r="I100" i="35"/>
  <c r="I222" i="34"/>
  <c r="BA222" i="34" s="1"/>
  <c r="I242" i="35"/>
  <c r="AZ242" i="35" s="1"/>
  <c r="I110" i="34"/>
  <c r="I110" i="35"/>
  <c r="I160" i="34"/>
  <c r="I167" i="35"/>
  <c r="I183" i="34"/>
  <c r="I191" i="35"/>
  <c r="C316" i="6"/>
  <c r="G316" i="6" s="1"/>
  <c r="C348" i="17"/>
  <c r="G348" i="17" s="1"/>
  <c r="J237" i="35"/>
  <c r="AZ237" i="35" s="1"/>
  <c r="C409" i="17"/>
  <c r="G409" i="17" s="1"/>
  <c r="C276" i="17"/>
  <c r="G276" i="17" s="1"/>
  <c r="BA202" i="34"/>
  <c r="C213" i="17"/>
  <c r="C184" i="6"/>
  <c r="C292" i="17"/>
  <c r="G292" i="17" s="1"/>
  <c r="C215" i="6"/>
  <c r="G215" i="6" s="1"/>
  <c r="BA53" i="34"/>
  <c r="G213" i="17"/>
  <c r="G184" i="6"/>
  <c r="C187" i="6"/>
  <c r="G187" i="6" s="1"/>
  <c r="AX213" i="33"/>
  <c r="G33" i="6"/>
  <c r="C297" i="17" l="1"/>
  <c r="G297" i="17" s="1"/>
  <c r="C381" i="17"/>
  <c r="G381" i="17" s="1"/>
  <c r="J20" i="35"/>
  <c r="AZ20" i="35" s="1"/>
  <c r="K20" i="36" s="1"/>
  <c r="J34" i="35"/>
  <c r="AZ34" i="35" s="1"/>
  <c r="K34" i="36" s="1"/>
  <c r="BA172" i="34"/>
  <c r="C225" i="6"/>
  <c r="G225" i="6" s="1"/>
  <c r="C314" i="17"/>
  <c r="G314" i="17" s="1"/>
  <c r="C414" i="17"/>
  <c r="G414" i="17" s="1"/>
  <c r="BA155" i="34"/>
  <c r="J162" i="35" s="1"/>
  <c r="C367" i="17"/>
  <c r="G367" i="17" s="1"/>
  <c r="C250" i="6"/>
  <c r="G250" i="6" s="1"/>
  <c r="BA197" i="34"/>
  <c r="BA215" i="34"/>
  <c r="J231" i="35" s="1"/>
  <c r="AZ231" i="35" s="1"/>
  <c r="K223" i="36" s="1"/>
  <c r="C304" i="17"/>
  <c r="G304" i="17" s="1"/>
  <c r="C274" i="6"/>
  <c r="G274" i="6" s="1"/>
  <c r="AZ64" i="35"/>
  <c r="K64" i="36" s="1"/>
  <c r="C375" i="17"/>
  <c r="G375" i="17" s="1"/>
  <c r="I216" i="34"/>
  <c r="S4" i="34" s="1"/>
  <c r="D2" i="34" s="1"/>
  <c r="D14" i="34" s="1"/>
  <c r="C299" i="17"/>
  <c r="G299" i="17" s="1"/>
  <c r="C238" i="17"/>
  <c r="G238" i="17" s="1"/>
  <c r="BA132" i="34"/>
  <c r="J137" i="35" s="1"/>
  <c r="C337" i="17"/>
  <c r="G337" i="17" s="1"/>
  <c r="BA105" i="34"/>
  <c r="J102" i="35" s="1"/>
  <c r="AZ102" i="35" s="1"/>
  <c r="K101" i="36" s="1"/>
  <c r="BA50" i="34"/>
  <c r="J49" i="35" s="1"/>
  <c r="C330" i="6"/>
  <c r="G330" i="6" s="1"/>
  <c r="C393" i="17"/>
  <c r="G393" i="17" s="1"/>
  <c r="BA46" i="34"/>
  <c r="C207" i="6"/>
  <c r="G207" i="6" s="1"/>
  <c r="BA94" i="34"/>
  <c r="J92" i="35" s="1"/>
  <c r="AZ92" i="35" s="1"/>
  <c r="K91" i="36" s="1"/>
  <c r="C335" i="6"/>
  <c r="G335" i="6" s="1"/>
  <c r="C319" i="6"/>
  <c r="G319" i="6" s="1"/>
  <c r="C303" i="6"/>
  <c r="G303" i="6" s="1"/>
  <c r="C340" i="6"/>
  <c r="G340" i="6" s="1"/>
  <c r="C374" i="17"/>
  <c r="G374" i="17" s="1"/>
  <c r="C397" i="17"/>
  <c r="G397" i="17" s="1"/>
  <c r="C273" i="6"/>
  <c r="G273" i="6" s="1"/>
  <c r="C297" i="6"/>
  <c r="G297" i="6" s="1"/>
  <c r="C365" i="17"/>
  <c r="G365" i="17" s="1"/>
  <c r="C345" i="17"/>
  <c r="G345" i="17" s="1"/>
  <c r="C399" i="17"/>
  <c r="G399" i="17" s="1"/>
  <c r="C331" i="17"/>
  <c r="G331" i="17" s="1"/>
  <c r="C318" i="6"/>
  <c r="G318" i="6" s="1"/>
  <c r="C329" i="17"/>
  <c r="C315" i="6"/>
  <c r="G315" i="6" s="1"/>
  <c r="C340" i="17"/>
  <c r="G340" i="17" s="1"/>
  <c r="C310" i="6"/>
  <c r="G310" i="6" s="1"/>
  <c r="C332" i="17"/>
  <c r="G332" i="17" s="1"/>
  <c r="C404" i="17"/>
  <c r="G404" i="17" s="1"/>
  <c r="C344" i="6"/>
  <c r="G344" i="6" s="1"/>
  <c r="C372" i="17"/>
  <c r="G372" i="17" s="1"/>
  <c r="C334" i="17"/>
  <c r="G334" i="17" s="1"/>
  <c r="C333" i="17"/>
  <c r="G333" i="17" s="1"/>
  <c r="C313" i="6"/>
  <c r="G313" i="6" s="1"/>
  <c r="C336" i="6"/>
  <c r="G336" i="6" s="1"/>
  <c r="C311" i="6"/>
  <c r="G311" i="6" s="1"/>
  <c r="C350" i="17"/>
  <c r="G350" i="17" s="1"/>
  <c r="K204" i="36"/>
  <c r="C402" i="17"/>
  <c r="G402" i="17" s="1"/>
  <c r="C378" i="17"/>
  <c r="G378" i="17" s="1"/>
  <c r="C327" i="6"/>
  <c r="G327" i="6" s="1"/>
  <c r="C342" i="17"/>
  <c r="G342" i="17" s="1"/>
  <c r="C287" i="6"/>
  <c r="G287" i="6" s="1"/>
  <c r="C419" i="17"/>
  <c r="G419" i="17" s="1"/>
  <c r="C354" i="6"/>
  <c r="G354" i="6" s="1"/>
  <c r="C395" i="17"/>
  <c r="G395" i="17" s="1"/>
  <c r="C288" i="6"/>
  <c r="G288" i="6" s="1"/>
  <c r="C394" i="17"/>
  <c r="G394" i="17" s="1"/>
  <c r="C339" i="17"/>
  <c r="G339" i="17" s="1"/>
  <c r="C286" i="6"/>
  <c r="G286" i="6" s="1"/>
  <c r="C283" i="6"/>
  <c r="G283" i="6" s="1"/>
  <c r="C280" i="6"/>
  <c r="G280" i="6" s="1"/>
  <c r="C391" i="17"/>
  <c r="G391" i="17" s="1"/>
  <c r="C338" i="17"/>
  <c r="G338" i="17" s="1"/>
  <c r="C330" i="17"/>
  <c r="G330" i="17" s="1"/>
  <c r="J52" i="35"/>
  <c r="AZ52" i="35" s="1"/>
  <c r="K52" i="36" s="1"/>
  <c r="J52" i="36"/>
  <c r="J49" i="36"/>
  <c r="J79" i="35"/>
  <c r="AZ79" i="35" s="1"/>
  <c r="K78" i="36" s="1"/>
  <c r="J78" i="36"/>
  <c r="J225" i="35"/>
  <c r="J220" i="36"/>
  <c r="J142" i="35"/>
  <c r="J136" i="36"/>
  <c r="J94" i="35"/>
  <c r="J93" i="36"/>
  <c r="J201" i="35"/>
  <c r="J193" i="36"/>
  <c r="C457" i="17"/>
  <c r="G457" i="17" s="1"/>
  <c r="BA26" i="36"/>
  <c r="C387" i="17"/>
  <c r="G387" i="17" s="1"/>
  <c r="AZ76" i="35"/>
  <c r="K75" i="36" s="1"/>
  <c r="C382" i="6"/>
  <c r="G382" i="6" s="1"/>
  <c r="BA146" i="36"/>
  <c r="C371" i="6"/>
  <c r="G371" i="6" s="1"/>
  <c r="BA135" i="36"/>
  <c r="C414" i="6"/>
  <c r="G414" i="6" s="1"/>
  <c r="BA178" i="36"/>
  <c r="C528" i="17"/>
  <c r="G528" i="17" s="1"/>
  <c r="BA97" i="36"/>
  <c r="C399" i="6"/>
  <c r="G399" i="6" s="1"/>
  <c r="BA163" i="36"/>
  <c r="C520" i="17"/>
  <c r="G520" i="17" s="1"/>
  <c r="BA89" i="36"/>
  <c r="C502" i="17"/>
  <c r="G502" i="17" s="1"/>
  <c r="BA71" i="36"/>
  <c r="C420" i="6"/>
  <c r="G420" i="6" s="1"/>
  <c r="BA184" i="36"/>
  <c r="C461" i="17"/>
  <c r="G461" i="17" s="1"/>
  <c r="BA30" i="36"/>
  <c r="C410" i="6"/>
  <c r="G410" i="6" s="1"/>
  <c r="BA174" i="36"/>
  <c r="C453" i="6"/>
  <c r="G453" i="6" s="1"/>
  <c r="BA219" i="36"/>
  <c r="C390" i="6"/>
  <c r="G390" i="6" s="1"/>
  <c r="BA154" i="36"/>
  <c r="C561" i="17"/>
  <c r="G561" i="17" s="1"/>
  <c r="BA130" i="36"/>
  <c r="BA165" i="36"/>
  <c r="C401" i="6"/>
  <c r="G401" i="6" s="1"/>
  <c r="C433" i="6"/>
  <c r="G433" i="6" s="1"/>
  <c r="BA197" i="36"/>
  <c r="J101" i="36"/>
  <c r="C190" i="6"/>
  <c r="G190" i="6" s="1"/>
  <c r="BA37" i="34"/>
  <c r="J213" i="35"/>
  <c r="AZ213" i="35" s="1"/>
  <c r="K206" i="36" s="1"/>
  <c r="J206" i="36"/>
  <c r="BA151" i="34"/>
  <c r="BA70" i="34"/>
  <c r="BA25" i="34"/>
  <c r="C406" i="17"/>
  <c r="G406" i="17" s="1"/>
  <c r="C349" i="17"/>
  <c r="G349" i="17" s="1"/>
  <c r="C364" i="17"/>
  <c r="G364" i="17" s="1"/>
  <c r="C401" i="17"/>
  <c r="G401" i="17" s="1"/>
  <c r="C383" i="17"/>
  <c r="G383" i="17" s="1"/>
  <c r="C325" i="6"/>
  <c r="G325" i="6" s="1"/>
  <c r="C341" i="17"/>
  <c r="G341" i="17" s="1"/>
  <c r="C314" i="6"/>
  <c r="G314" i="6" s="1"/>
  <c r="C356" i="6"/>
  <c r="G356" i="6" s="1"/>
  <c r="C293" i="6"/>
  <c r="G293" i="6" s="1"/>
  <c r="C447" i="17"/>
  <c r="G447" i="17" s="1"/>
  <c r="C305" i="6"/>
  <c r="G305" i="6" s="1"/>
  <c r="C338" i="6"/>
  <c r="G338" i="6" s="1"/>
  <c r="C285" i="6"/>
  <c r="G285" i="6" s="1"/>
  <c r="J100" i="35"/>
  <c r="AZ100" i="35" s="1"/>
  <c r="K99" i="36" s="1"/>
  <c r="J99" i="36"/>
  <c r="J107" i="35"/>
  <c r="AZ107" i="35" s="1"/>
  <c r="K106" i="36" s="1"/>
  <c r="J106" i="36"/>
  <c r="J139" i="35"/>
  <c r="AZ139" i="35" s="1"/>
  <c r="K133" i="36" s="1"/>
  <c r="J133" i="36"/>
  <c r="J161" i="35"/>
  <c r="AZ161" i="35" s="1"/>
  <c r="K155" i="36" s="1"/>
  <c r="J155" i="36"/>
  <c r="J204" i="35"/>
  <c r="J196" i="36"/>
  <c r="J184" i="35"/>
  <c r="AZ184" i="35" s="1"/>
  <c r="K176" i="36" s="1"/>
  <c r="J176" i="36"/>
  <c r="J41" i="35"/>
  <c r="AZ41" i="35" s="1"/>
  <c r="K41" i="36" s="1"/>
  <c r="J41" i="36"/>
  <c r="J238" i="35"/>
  <c r="AZ238" i="35" s="1"/>
  <c r="J229" i="36"/>
  <c r="BA229" i="36" s="1"/>
  <c r="J57" i="35"/>
  <c r="J57" i="36"/>
  <c r="C321" i="6"/>
  <c r="G321" i="6" s="1"/>
  <c r="C436" i="17"/>
  <c r="G436" i="17" s="1"/>
  <c r="C385" i="17"/>
  <c r="G385" i="17" s="1"/>
  <c r="C271" i="6"/>
  <c r="G271" i="6" s="1"/>
  <c r="C386" i="17"/>
  <c r="G386" i="17" s="1"/>
  <c r="C424" i="17"/>
  <c r="G424" i="17" s="1"/>
  <c r="C550" i="17"/>
  <c r="G550" i="17" s="1"/>
  <c r="BA119" i="36"/>
  <c r="C519" i="17"/>
  <c r="G519" i="17" s="1"/>
  <c r="BA88" i="36"/>
  <c r="C479" i="17"/>
  <c r="G479" i="17" s="1"/>
  <c r="BA48" i="36"/>
  <c r="J45" i="35"/>
  <c r="AZ45" i="35" s="1"/>
  <c r="K45" i="36" s="1"/>
  <c r="J45" i="36"/>
  <c r="J51" i="35"/>
  <c r="J51" i="36"/>
  <c r="J169" i="35"/>
  <c r="J162" i="36"/>
  <c r="J118" i="35"/>
  <c r="J116" i="36"/>
  <c r="C281" i="6"/>
  <c r="G281" i="6" s="1"/>
  <c r="AZ148" i="35"/>
  <c r="K142" i="36" s="1"/>
  <c r="C370" i="17"/>
  <c r="G370" i="17" s="1"/>
  <c r="AZ59" i="35"/>
  <c r="K59" i="36" s="1"/>
  <c r="C416" i="6"/>
  <c r="G416" i="6" s="1"/>
  <c r="BA180" i="36"/>
  <c r="C388" i="17"/>
  <c r="G388" i="17" s="1"/>
  <c r="AZ77" i="35"/>
  <c r="K76" i="36" s="1"/>
  <c r="C430" i="6"/>
  <c r="G430" i="6" s="1"/>
  <c r="BA194" i="36"/>
  <c r="C525" i="17"/>
  <c r="G525" i="17" s="1"/>
  <c r="BA94" i="36"/>
  <c r="C469" i="17"/>
  <c r="G469" i="17" s="1"/>
  <c r="BA38" i="36"/>
  <c r="C484" i="17"/>
  <c r="G484" i="17" s="1"/>
  <c r="BA53" i="36"/>
  <c r="C435" i="6"/>
  <c r="G435" i="6" s="1"/>
  <c r="BA200" i="36"/>
  <c r="C513" i="17"/>
  <c r="G513" i="17" s="1"/>
  <c r="BA82" i="36"/>
  <c r="C450" i="6"/>
  <c r="G450" i="6" s="1"/>
  <c r="BA216" i="36"/>
  <c r="C459" i="17"/>
  <c r="G459" i="17" s="1"/>
  <c r="BA28" i="36"/>
  <c r="C413" i="6"/>
  <c r="G413" i="6" s="1"/>
  <c r="BA177" i="36"/>
  <c r="C383" i="6"/>
  <c r="G383" i="6" s="1"/>
  <c r="BA147" i="36"/>
  <c r="C514" i="17"/>
  <c r="G514" i="17" s="1"/>
  <c r="BA83" i="36"/>
  <c r="C380" i="6"/>
  <c r="G380" i="6" s="1"/>
  <c r="BA144" i="36"/>
  <c r="C422" i="6"/>
  <c r="G422" i="6" s="1"/>
  <c r="BA186" i="36"/>
  <c r="C377" i="6"/>
  <c r="G377" i="6" s="1"/>
  <c r="BA141" i="36"/>
  <c r="C510" i="17"/>
  <c r="G510" i="17" s="1"/>
  <c r="BA79" i="36"/>
  <c r="C504" i="17"/>
  <c r="G504" i="17" s="1"/>
  <c r="BA73" i="36"/>
  <c r="C505" i="17"/>
  <c r="G505" i="17" s="1"/>
  <c r="BA74" i="36"/>
  <c r="C538" i="17"/>
  <c r="G538" i="17" s="1"/>
  <c r="BA107" i="36"/>
  <c r="C543" i="17"/>
  <c r="G543" i="17" s="1"/>
  <c r="BA112" i="36"/>
  <c r="C368" i="6"/>
  <c r="G368" i="6" s="1"/>
  <c r="BA132" i="36"/>
  <c r="C385" i="6"/>
  <c r="G385" i="6" s="1"/>
  <c r="BA149" i="36"/>
  <c r="C458" i="17"/>
  <c r="G458" i="17" s="1"/>
  <c r="BA27" i="36"/>
  <c r="C450" i="17"/>
  <c r="G450" i="17" s="1"/>
  <c r="BA19" i="36"/>
  <c r="C554" i="17"/>
  <c r="G554" i="17" s="1"/>
  <c r="BA123" i="36"/>
  <c r="C290" i="6"/>
  <c r="G290" i="6" s="1"/>
  <c r="AZ157" i="35"/>
  <c r="K151" i="36" s="1"/>
  <c r="C292" i="6"/>
  <c r="G292" i="6" s="1"/>
  <c r="AZ159" i="35"/>
  <c r="K153" i="36" s="1"/>
  <c r="C521" i="17"/>
  <c r="G521" i="17" s="1"/>
  <c r="BA90" i="36"/>
  <c r="C460" i="17"/>
  <c r="G460" i="17" s="1"/>
  <c r="BA29" i="36"/>
  <c r="C462" i="17"/>
  <c r="G462" i="17" s="1"/>
  <c r="BA31" i="36"/>
  <c r="C384" i="6"/>
  <c r="G384" i="6" s="1"/>
  <c r="BA148" i="36"/>
  <c r="C454" i="17"/>
  <c r="G454" i="17" s="1"/>
  <c r="BA23" i="36"/>
  <c r="C449" i="17"/>
  <c r="BA18" i="36"/>
  <c r="C453" i="17"/>
  <c r="G453" i="17" s="1"/>
  <c r="BA22" i="36"/>
  <c r="BA20" i="36"/>
  <c r="C451" i="17"/>
  <c r="G451" i="17" s="1"/>
  <c r="C406" i="6"/>
  <c r="G406" i="6" s="1"/>
  <c r="BA170" i="36"/>
  <c r="C409" i="6"/>
  <c r="G409" i="6" s="1"/>
  <c r="BA173" i="36"/>
  <c r="C411" i="6"/>
  <c r="G411" i="6" s="1"/>
  <c r="BA175" i="36"/>
  <c r="C425" i="6"/>
  <c r="G425" i="6" s="1"/>
  <c r="BA189" i="36"/>
  <c r="C431" i="6"/>
  <c r="G431" i="6" s="1"/>
  <c r="BA195" i="36"/>
  <c r="C452" i="17"/>
  <c r="G452" i="17" s="1"/>
  <c r="BA21" i="36"/>
  <c r="C485" i="17"/>
  <c r="G485" i="17" s="1"/>
  <c r="BA54" i="36"/>
  <c r="C468" i="17"/>
  <c r="G468" i="17" s="1"/>
  <c r="BA37" i="36"/>
  <c r="C407" i="6"/>
  <c r="G407" i="6" s="1"/>
  <c r="BA171" i="36"/>
  <c r="C394" i="6"/>
  <c r="G394" i="6" s="1"/>
  <c r="BA158" i="36"/>
  <c r="C465" i="17"/>
  <c r="G465" i="17" s="1"/>
  <c r="BA34" i="36"/>
  <c r="C470" i="17"/>
  <c r="G470" i="17" s="1"/>
  <c r="BA39" i="36"/>
  <c r="C512" i="17"/>
  <c r="G512" i="17" s="1"/>
  <c r="BA81" i="36"/>
  <c r="C523" i="17"/>
  <c r="G523" i="17" s="1"/>
  <c r="BA92" i="36"/>
  <c r="C439" i="6"/>
  <c r="BA204" i="36"/>
  <c r="C518" i="17"/>
  <c r="G518" i="17" s="1"/>
  <c r="BA87" i="36"/>
  <c r="C492" i="17"/>
  <c r="G492" i="17" s="1"/>
  <c r="BA61" i="36"/>
  <c r="C494" i="17"/>
  <c r="G494" i="17" s="1"/>
  <c r="BA63" i="36"/>
  <c r="C500" i="17"/>
  <c r="G500" i="17" s="1"/>
  <c r="BA69" i="36"/>
  <c r="C516" i="17"/>
  <c r="G516" i="17" s="1"/>
  <c r="BA85" i="36"/>
  <c r="C533" i="17"/>
  <c r="G533" i="17" s="1"/>
  <c r="BA102" i="36"/>
  <c r="C370" i="6"/>
  <c r="G370" i="6" s="1"/>
  <c r="BA134" i="36"/>
  <c r="C487" i="17"/>
  <c r="G487" i="17" s="1"/>
  <c r="BA56" i="36"/>
  <c r="C317" i="6"/>
  <c r="G317" i="6" s="1"/>
  <c r="BA183" i="34"/>
  <c r="C236" i="6"/>
  <c r="G236" i="6" s="1"/>
  <c r="C213" i="6"/>
  <c r="G213" i="6" s="1"/>
  <c r="BA160" i="34"/>
  <c r="BA110" i="34"/>
  <c r="C306" i="17"/>
  <c r="G306" i="17" s="1"/>
  <c r="G328" i="17" s="1"/>
  <c r="I234" i="35"/>
  <c r="G329" i="17"/>
  <c r="C363" i="17"/>
  <c r="G363" i="17" s="1"/>
  <c r="S14" i="34"/>
  <c r="G53" i="17"/>
  <c r="AZ49" i="35" l="1"/>
  <c r="K49" i="36" s="1"/>
  <c r="C360" i="17"/>
  <c r="G360" i="17" s="1"/>
  <c r="AZ162" i="35"/>
  <c r="K156" i="36" s="1"/>
  <c r="BA156" i="36" s="1"/>
  <c r="C295" i="6"/>
  <c r="G295" i="6" s="1"/>
  <c r="J172" i="36"/>
  <c r="J179" i="35"/>
  <c r="J131" i="36"/>
  <c r="J223" i="36"/>
  <c r="J156" i="36"/>
  <c r="J199" i="36"/>
  <c r="J206" i="35"/>
  <c r="C272" i="6"/>
  <c r="G272" i="6" s="1"/>
  <c r="BA64" i="36"/>
  <c r="C495" i="17"/>
  <c r="G495" i="17" s="1"/>
  <c r="AZ137" i="35"/>
  <c r="K131" i="36" s="1"/>
  <c r="C270" i="6"/>
  <c r="C346" i="6"/>
  <c r="G346" i="6" s="1"/>
  <c r="J91" i="36"/>
  <c r="C390" i="17"/>
  <c r="G390" i="17" s="1"/>
  <c r="C294" i="6"/>
  <c r="G294" i="6" s="1"/>
  <c r="C411" i="17"/>
  <c r="G411" i="17" s="1"/>
  <c r="C352" i="17"/>
  <c r="G352" i="17" s="1"/>
  <c r="C418" i="17"/>
  <c r="G418" i="17" s="1"/>
  <c r="C403" i="17"/>
  <c r="G403" i="17" s="1"/>
  <c r="C356" i="17"/>
  <c r="G356" i="17" s="1"/>
  <c r="S4" i="35"/>
  <c r="G439" i="6"/>
  <c r="C363" i="6"/>
  <c r="G363" i="6" s="1"/>
  <c r="C413" i="17"/>
  <c r="G413" i="17" s="1"/>
  <c r="BA41" i="36"/>
  <c r="C472" i="17"/>
  <c r="G472" i="17" s="1"/>
  <c r="J191" i="35"/>
  <c r="AZ191" i="35" s="1"/>
  <c r="K183" i="36" s="1"/>
  <c r="J183" i="36"/>
  <c r="C389" i="6"/>
  <c r="G389" i="6" s="1"/>
  <c r="BA153" i="36"/>
  <c r="C387" i="6"/>
  <c r="G387" i="6" s="1"/>
  <c r="BA151" i="36"/>
  <c r="C507" i="17"/>
  <c r="G507" i="17" s="1"/>
  <c r="BA76" i="36"/>
  <c r="C490" i="17"/>
  <c r="G490" i="17" s="1"/>
  <c r="BA59" i="36"/>
  <c r="C378" i="6"/>
  <c r="G378" i="6" s="1"/>
  <c r="BA142" i="36"/>
  <c r="AZ57" i="35"/>
  <c r="K57" i="36" s="1"/>
  <c r="C368" i="17"/>
  <c r="G368" i="17" s="1"/>
  <c r="C412" i="6"/>
  <c r="G412" i="6" s="1"/>
  <c r="BA176" i="36"/>
  <c r="C337" i="6"/>
  <c r="G337" i="6" s="1"/>
  <c r="AZ204" i="35"/>
  <c r="K196" i="36" s="1"/>
  <c r="C391" i="6"/>
  <c r="G391" i="6" s="1"/>
  <c r="BA155" i="36"/>
  <c r="C369" i="6"/>
  <c r="G369" i="6" s="1"/>
  <c r="BA133" i="36"/>
  <c r="C537" i="17"/>
  <c r="G537" i="17" s="1"/>
  <c r="BA106" i="36"/>
  <c r="C530" i="17"/>
  <c r="G530" i="17" s="1"/>
  <c r="BA99" i="36"/>
  <c r="J69" i="35"/>
  <c r="J68" i="36"/>
  <c r="C367" i="6"/>
  <c r="BA131" i="36"/>
  <c r="J36" i="35"/>
  <c r="J36" i="36"/>
  <c r="C506" i="17"/>
  <c r="G506" i="17" s="1"/>
  <c r="BA75" i="36"/>
  <c r="J110" i="35"/>
  <c r="AZ110" i="35" s="1"/>
  <c r="K109" i="36" s="1"/>
  <c r="J109" i="36"/>
  <c r="J167" i="35"/>
  <c r="AZ167" i="35" s="1"/>
  <c r="K160" i="36" s="1"/>
  <c r="J160" i="36"/>
  <c r="G449" i="17"/>
  <c r="C429" i="17"/>
  <c r="G429" i="17" s="1"/>
  <c r="AZ118" i="35"/>
  <c r="K116" i="36" s="1"/>
  <c r="C302" i="6"/>
  <c r="G302" i="6" s="1"/>
  <c r="AZ169" i="35"/>
  <c r="K162" i="36" s="1"/>
  <c r="C362" i="17"/>
  <c r="G362" i="17" s="1"/>
  <c r="AZ51" i="35"/>
  <c r="K51" i="36" s="1"/>
  <c r="C522" i="17"/>
  <c r="G522" i="17" s="1"/>
  <c r="BA91" i="36"/>
  <c r="C476" i="17"/>
  <c r="G476" i="17" s="1"/>
  <c r="BA45" i="36"/>
  <c r="J24" i="35"/>
  <c r="J24" i="36"/>
  <c r="J158" i="35"/>
  <c r="J152" i="36"/>
  <c r="C441" i="6"/>
  <c r="G441" i="6" s="1"/>
  <c r="BA206" i="36"/>
  <c r="C457" i="6"/>
  <c r="G457" i="6" s="1"/>
  <c r="BA223" i="36"/>
  <c r="C392" i="6"/>
  <c r="G392" i="6" s="1"/>
  <c r="C532" i="17"/>
  <c r="G532" i="17" s="1"/>
  <c r="BA101" i="36"/>
  <c r="AZ201" i="35"/>
  <c r="K193" i="36" s="1"/>
  <c r="C334" i="6"/>
  <c r="G334" i="6" s="1"/>
  <c r="C405" i="17"/>
  <c r="G405" i="17" s="1"/>
  <c r="AZ94" i="35"/>
  <c r="K93" i="36" s="1"/>
  <c r="C275" i="6"/>
  <c r="G275" i="6" s="1"/>
  <c r="AZ142" i="35"/>
  <c r="K136" i="36" s="1"/>
  <c r="C357" i="6"/>
  <c r="G357" i="6" s="1"/>
  <c r="AZ225" i="35"/>
  <c r="K220" i="36" s="1"/>
  <c r="C509" i="17"/>
  <c r="G509" i="17" s="1"/>
  <c r="BA78" i="36"/>
  <c r="C480" i="17"/>
  <c r="G480" i="17" s="1"/>
  <c r="BA49" i="36"/>
  <c r="C483" i="17"/>
  <c r="G483" i="17" s="1"/>
  <c r="BA52" i="36"/>
  <c r="C269" i="6"/>
  <c r="G269" i="6"/>
  <c r="C328" i="17"/>
  <c r="BA216" i="34"/>
  <c r="G270" i="6"/>
  <c r="H78" i="4"/>
  <c r="I78" i="4" s="1"/>
  <c r="J78" i="3"/>
  <c r="C324" i="6" l="1"/>
  <c r="G324" i="6" s="1"/>
  <c r="AZ206" i="35"/>
  <c r="K199" i="36" s="1"/>
  <c r="C339" i="6"/>
  <c r="G339" i="6" s="1"/>
  <c r="AZ179" i="35"/>
  <c r="K172" i="36" s="1"/>
  <c r="C312" i="6"/>
  <c r="G312" i="6" s="1"/>
  <c r="J234" i="35"/>
  <c r="S5" i="35" s="1"/>
  <c r="C300" i="6"/>
  <c r="G300" i="6" s="1"/>
  <c r="C421" i="17"/>
  <c r="G421" i="17" s="1"/>
  <c r="C454" i="6"/>
  <c r="G454" i="6" s="1"/>
  <c r="BA220" i="36"/>
  <c r="C524" i="17"/>
  <c r="G524" i="17" s="1"/>
  <c r="BA93" i="36"/>
  <c r="C429" i="6"/>
  <c r="G429" i="6" s="1"/>
  <c r="BA193" i="36"/>
  <c r="AZ158" i="35"/>
  <c r="K152" i="36" s="1"/>
  <c r="C291" i="6"/>
  <c r="G291" i="6" s="1"/>
  <c r="AZ24" i="35"/>
  <c r="C335" i="17"/>
  <c r="G335" i="17" s="1"/>
  <c r="C396" i="6"/>
  <c r="G396" i="6" s="1"/>
  <c r="BA160" i="36"/>
  <c r="C540" i="17"/>
  <c r="G540" i="17" s="1"/>
  <c r="BA109" i="36"/>
  <c r="AZ36" i="35"/>
  <c r="K36" i="36" s="1"/>
  <c r="C347" i="17"/>
  <c r="G347" i="17" s="1"/>
  <c r="G367" i="6"/>
  <c r="AZ69" i="35"/>
  <c r="K68" i="36" s="1"/>
  <c r="C380" i="17"/>
  <c r="G380" i="17" s="1"/>
  <c r="C488" i="17"/>
  <c r="G488" i="17" s="1"/>
  <c r="BA57" i="36"/>
  <c r="C372" i="6"/>
  <c r="G372" i="6" s="1"/>
  <c r="BA136" i="36"/>
  <c r="J225" i="36"/>
  <c r="S5" i="36" s="1"/>
  <c r="C482" i="17"/>
  <c r="G482" i="17" s="1"/>
  <c r="BA51" i="36"/>
  <c r="C398" i="6"/>
  <c r="G398" i="6" s="1"/>
  <c r="BA162" i="36"/>
  <c r="C547" i="17"/>
  <c r="G547" i="17" s="1"/>
  <c r="BA116" i="36"/>
  <c r="C432" i="6"/>
  <c r="G432" i="6" s="1"/>
  <c r="BA196" i="36"/>
  <c r="C419" i="6"/>
  <c r="G419" i="6" s="1"/>
  <c r="BA183" i="36"/>
  <c r="G69" i="6"/>
  <c r="C408" i="6" l="1"/>
  <c r="G408" i="6" s="1"/>
  <c r="BA172" i="36"/>
  <c r="BA199" i="36"/>
  <c r="C434" i="6"/>
  <c r="G434" i="6" s="1"/>
  <c r="G366" i="6"/>
  <c r="D2" i="35"/>
  <c r="D14" i="35" s="1"/>
  <c r="S14" i="35"/>
  <c r="K24" i="36"/>
  <c r="AZ234" i="35"/>
  <c r="C366" i="6"/>
  <c r="C448" i="17"/>
  <c r="G448" i="17"/>
  <c r="C388" i="6"/>
  <c r="G388" i="6" s="1"/>
  <c r="BA152" i="36"/>
  <c r="C499" i="17"/>
  <c r="G499" i="17" s="1"/>
  <c r="BA68" i="36"/>
  <c r="C467" i="17"/>
  <c r="G467" i="17" s="1"/>
  <c r="BA36" i="36"/>
  <c r="G53" i="6"/>
  <c r="G71" i="6"/>
  <c r="G459" i="6" l="1"/>
  <c r="K225" i="36"/>
  <c r="S6" i="36" s="1"/>
  <c r="D2" i="36" s="1"/>
  <c r="D14" i="36" s="1"/>
  <c r="C455" i="17"/>
  <c r="C562" i="17" s="1"/>
  <c r="C459" i="6"/>
  <c r="BA24" i="36"/>
  <c r="BA225" i="36" s="1"/>
  <c r="G455" i="17"/>
  <c r="G562" i="17" s="1"/>
  <c r="G104" i="17"/>
  <c r="S14" i="36" l="1"/>
  <c r="G12" i="6"/>
  <c r="H76" i="4" l="1"/>
  <c r="I76" i="4" s="1"/>
  <c r="G51" i="6" l="1"/>
  <c r="G19" i="6" l="1"/>
  <c r="G65" i="6"/>
  <c r="G13" i="6"/>
  <c r="G21" i="6"/>
  <c r="G50" i="17" l="1"/>
  <c r="G75" i="6"/>
  <c r="G78" i="17"/>
  <c r="H79" i="4"/>
  <c r="I79" i="4" s="1"/>
  <c r="H77" i="4"/>
  <c r="G81" i="17" l="1"/>
  <c r="I77" i="4"/>
  <c r="G71" i="17" l="1"/>
  <c r="G47" i="6" l="1"/>
  <c r="G31" i="17"/>
  <c r="G73" i="17" l="1"/>
  <c r="G46" i="17"/>
  <c r="G75" i="17" l="1"/>
  <c r="G25" i="6" l="1"/>
  <c r="G38" i="17" l="1"/>
  <c r="G27" i="17" l="1"/>
  <c r="G74" i="4" l="1"/>
  <c r="G72" i="4"/>
  <c r="H71" i="4"/>
  <c r="I71" i="4" s="1"/>
  <c r="H70" i="4"/>
  <c r="I70" i="4" s="1"/>
  <c r="H69" i="4"/>
  <c r="I69" i="4" s="1"/>
  <c r="H68" i="4"/>
  <c r="I68" i="4" s="1"/>
  <c r="H67" i="4"/>
  <c r="I67" i="4" s="1"/>
  <c r="H66" i="4"/>
  <c r="I66" i="4" s="1"/>
  <c r="H65" i="4"/>
  <c r="I65" i="4" s="1"/>
  <c r="H64" i="4"/>
  <c r="I64" i="4" s="1"/>
  <c r="H63" i="4"/>
  <c r="I63" i="4" s="1"/>
  <c r="H62" i="4"/>
  <c r="I62" i="4" s="1"/>
  <c r="I61" i="4"/>
  <c r="H60" i="4"/>
  <c r="I60" i="4" s="1"/>
  <c r="H58" i="4"/>
  <c r="I58" i="4" s="1"/>
  <c r="H57" i="4"/>
  <c r="I57" i="4" s="1"/>
  <c r="H56" i="4"/>
  <c r="I56" i="4" s="1"/>
  <c r="H54" i="4"/>
  <c r="I54" i="4" s="1"/>
  <c r="H53" i="4"/>
  <c r="I53" i="4" s="1"/>
  <c r="H51" i="4"/>
  <c r="I51" i="4" s="1"/>
  <c r="H47" i="4"/>
  <c r="I47" i="4" s="1"/>
  <c r="H46" i="4"/>
  <c r="I46" i="4" s="1"/>
  <c r="H45" i="4"/>
  <c r="I45" i="4" s="1"/>
  <c r="G44" i="4"/>
  <c r="H44" i="4" s="1"/>
  <c r="I44" i="4" s="1"/>
  <c r="G43" i="4"/>
  <c r="H42" i="4"/>
  <c r="I42" i="4" s="1"/>
  <c r="H41" i="4"/>
  <c r="I41" i="4" s="1"/>
  <c r="H40" i="4"/>
  <c r="I40" i="4" s="1"/>
  <c r="H38" i="4"/>
  <c r="I38" i="4" s="1"/>
  <c r="H37" i="4"/>
  <c r="I37" i="4" s="1"/>
  <c r="H36" i="4"/>
  <c r="I36" i="4" s="1"/>
  <c r="G35" i="4"/>
  <c r="H34" i="4"/>
  <c r="I34" i="4" s="1"/>
  <c r="H33" i="4"/>
  <c r="I33" i="4" s="1"/>
  <c r="H32" i="4"/>
  <c r="I32" i="4" s="1"/>
  <c r="H31" i="4"/>
  <c r="I31" i="4" s="1"/>
  <c r="G30" i="4"/>
  <c r="H30" i="4" s="1"/>
  <c r="I30" i="4" s="1"/>
  <c r="H27" i="4"/>
  <c r="I27" i="4" s="1"/>
  <c r="H26" i="4"/>
  <c r="I26" i="4" s="1"/>
  <c r="H25" i="4"/>
  <c r="I25" i="4" s="1"/>
  <c r="H24" i="4"/>
  <c r="I24" i="4" s="1"/>
  <c r="I23" i="4"/>
  <c r="H22" i="4"/>
  <c r="I22" i="4" s="1"/>
  <c r="H21" i="4"/>
  <c r="I21" i="4" s="1"/>
  <c r="H20" i="4"/>
  <c r="I20" i="4" s="1"/>
  <c r="H18" i="4"/>
  <c r="I18" i="4" s="1"/>
  <c r="H17" i="4"/>
  <c r="I17" i="4" s="1"/>
  <c r="G16" i="4"/>
  <c r="H16" i="4" s="1"/>
  <c r="I16" i="4" s="1"/>
  <c r="H15" i="4"/>
  <c r="I15" i="4" s="1"/>
  <c r="H14" i="4"/>
  <c r="I14" i="4" s="1"/>
  <c r="H12" i="4"/>
  <c r="I12" i="4" s="1"/>
  <c r="G10" i="4"/>
  <c r="H10" i="4" s="1"/>
  <c r="G9" i="4"/>
  <c r="H8" i="4"/>
  <c r="I8" i="4" s="1"/>
  <c r="H5" i="4"/>
  <c r="I5" i="4" s="1"/>
  <c r="H4" i="4"/>
  <c r="I4" i="4" s="1"/>
  <c r="H3" i="4"/>
  <c r="I3" i="4" s="1"/>
  <c r="J66" i="3"/>
  <c r="J65" i="3"/>
  <c r="J56" i="3"/>
  <c r="J38" i="3"/>
  <c r="J36" i="3"/>
  <c r="J33" i="3"/>
  <c r="J30" i="3"/>
  <c r="J26" i="3"/>
  <c r="J25" i="3"/>
  <c r="J21" i="3"/>
  <c r="J19" i="3"/>
  <c r="J17" i="3"/>
  <c r="J7" i="3"/>
  <c r="I10" i="4" l="1"/>
  <c r="G64" i="17" l="1"/>
  <c r="G87" i="6" l="1"/>
  <c r="G86" i="17"/>
  <c r="G89" i="17"/>
  <c r="G87" i="17"/>
  <c r="G63" i="6"/>
  <c r="G62" i="17"/>
  <c r="G68" i="17"/>
  <c r="G82" i="17"/>
  <c r="G93" i="17"/>
  <c r="G40" i="6"/>
  <c r="G78" i="6"/>
  <c r="G99" i="17"/>
  <c r="G8" i="6"/>
  <c r="G93" i="6"/>
  <c r="G85" i="6"/>
  <c r="G95" i="17"/>
  <c r="G76" i="6"/>
  <c r="G45" i="6"/>
  <c r="G58" i="17"/>
  <c r="G54" i="17"/>
  <c r="G9" i="6"/>
  <c r="G50" i="6"/>
  <c r="G72" i="6"/>
  <c r="G97" i="17"/>
  <c r="G17" i="6"/>
  <c r="G60" i="17"/>
  <c r="G57" i="6"/>
  <c r="G88" i="17"/>
  <c r="G42" i="6"/>
  <c r="G32" i="17"/>
  <c r="G19" i="17"/>
  <c r="G77" i="17"/>
  <c r="G36" i="17"/>
  <c r="G3" i="6"/>
  <c r="G26" i="17"/>
  <c r="G8" i="17"/>
  <c r="G20" i="17"/>
  <c r="G24" i="17"/>
  <c r="G33" i="17"/>
  <c r="G39" i="17"/>
  <c r="G72" i="17"/>
  <c r="G57" i="17"/>
  <c r="G9" i="17"/>
  <c r="G21" i="17"/>
  <c r="G42" i="17"/>
  <c r="G94" i="17"/>
  <c r="G62" i="6"/>
  <c r="G37" i="17"/>
  <c r="G15" i="6"/>
  <c r="G11" i="17"/>
  <c r="G35" i="17"/>
  <c r="G44" i="17"/>
  <c r="G47" i="17"/>
  <c r="G7" i="17"/>
  <c r="G17" i="17"/>
  <c r="G28" i="17"/>
  <c r="G34" i="17"/>
  <c r="G76" i="17"/>
  <c r="G91" i="17"/>
  <c r="G96" i="17"/>
  <c r="G34" i="6"/>
  <c r="G70" i="6"/>
  <c r="G89" i="6"/>
  <c r="G18" i="17"/>
  <c r="G81" i="6"/>
  <c r="G65" i="17"/>
  <c r="G82" i="6" l="1"/>
  <c r="G60" i="6"/>
  <c r="G38" i="6"/>
  <c r="G30" i="6"/>
  <c r="G56" i="6"/>
  <c r="G12" i="17"/>
  <c r="G58" i="6"/>
  <c r="G5" i="6"/>
  <c r="G69" i="17"/>
  <c r="G48" i="17"/>
  <c r="G86" i="6"/>
  <c r="G98" i="17"/>
  <c r="G29" i="6"/>
  <c r="G63" i="17"/>
  <c r="G43" i="17"/>
  <c r="G83" i="6"/>
  <c r="G70" i="17"/>
  <c r="G64" i="6"/>
  <c r="G23" i="17"/>
  <c r="G44" i="6"/>
  <c r="G7" i="6"/>
  <c r="G84" i="17"/>
  <c r="G18" i="6"/>
  <c r="G4" i="6"/>
  <c r="G24" i="6"/>
  <c r="G54" i="6"/>
  <c r="G22" i="6"/>
  <c r="G90" i="6"/>
  <c r="G4" i="17"/>
  <c r="G41" i="17"/>
  <c r="G14" i="17"/>
  <c r="G37" i="6"/>
  <c r="G31" i="6"/>
  <c r="G28" i="6"/>
  <c r="G67" i="6"/>
  <c r="G73" i="6"/>
  <c r="G80" i="17"/>
  <c r="G15" i="17"/>
  <c r="G55" i="6"/>
  <c r="G20" i="6"/>
  <c r="G74" i="6"/>
  <c r="G105" i="17"/>
  <c r="G80" i="6"/>
  <c r="G66" i="17"/>
  <c r="G39" i="6"/>
  <c r="G27" i="6"/>
  <c r="G56" i="17"/>
  <c r="G92" i="17"/>
  <c r="G22" i="17"/>
  <c r="G13" i="17"/>
  <c r="G49" i="17"/>
  <c r="G61" i="6"/>
  <c r="G10" i="17"/>
  <c r="G59" i="6"/>
  <c r="G77" i="6"/>
  <c r="G25" i="17"/>
  <c r="G5" i="17"/>
  <c r="G43" i="6"/>
  <c r="G35" i="6"/>
  <c r="G74" i="17"/>
  <c r="G84" i="6"/>
  <c r="G61" i="17"/>
  <c r="G45" i="17"/>
  <c r="G32" i="6"/>
  <c r="G59" i="17"/>
  <c r="G40" i="17"/>
  <c r="G79" i="6"/>
  <c r="G3" i="17"/>
  <c r="G23" i="6"/>
  <c r="G2" i="6"/>
  <c r="G41" i="6"/>
  <c r="G6" i="17"/>
  <c r="G51" i="17"/>
  <c r="G67" i="17"/>
  <c r="G26" i="6"/>
  <c r="G88" i="6"/>
  <c r="G68" i="6"/>
  <c r="G6" i="6"/>
  <c r="G14" i="6"/>
  <c r="S4" i="32" l="1"/>
  <c r="G90" i="17"/>
  <c r="G100" i="17"/>
  <c r="G106" i="17" l="1"/>
  <c r="S5" i="32"/>
  <c r="S6" i="32" l="1"/>
  <c r="S7" i="32" l="1"/>
  <c r="S8" i="32" l="1"/>
  <c r="S9" i="32" l="1"/>
  <c r="S10" i="32" l="1"/>
  <c r="S11" i="32" l="1"/>
  <c r="S12" i="32" l="1"/>
  <c r="C94" i="6" l="1"/>
  <c r="S13" i="32"/>
  <c r="S14" i="32" l="1"/>
  <c r="D2" i="32"/>
  <c r="D14" i="32" s="1"/>
  <c r="G52" i="6"/>
  <c r="G9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Luffi</author>
    <author>Usuario de Windows</author>
    <author>UBITEC</author>
  </authors>
  <commentList>
    <comment ref="E18" authorId="0" shapeId="0" xr:uid="{00000000-0006-0000-0000-000001000000}">
      <text>
        <r>
          <rPr>
            <b/>
            <sz val="9"/>
            <color indexed="81"/>
            <rFont val="Tahoma"/>
            <family val="2"/>
          </rPr>
          <t>PC:</t>
        </r>
        <r>
          <rPr>
            <sz val="9"/>
            <color indexed="81"/>
            <rFont val="Tahoma"/>
            <family val="2"/>
          </rPr>
          <t xml:space="preserve">
INGRESA EL 01-FEBRERO-2024
EQUIPO $1,200.00+IVA
MENSUALIDAD $250.00+IVA</t>
        </r>
      </text>
    </comment>
    <comment ref="E19" authorId="1" shapeId="0" xr:uid="{00000000-0006-0000-0000-000002000000}">
      <text>
        <r>
          <rPr>
            <b/>
            <sz val="9"/>
            <color indexed="81"/>
            <rFont val="Tahoma"/>
            <family val="2"/>
          </rPr>
          <t>Luffi:</t>
        </r>
        <r>
          <rPr>
            <sz val="9"/>
            <color indexed="81"/>
            <rFont val="Tahoma"/>
            <family val="2"/>
          </rPr>
          <t xml:space="preserve">
</t>
        </r>
        <r>
          <rPr>
            <sz val="10"/>
            <color indexed="81"/>
            <rFont val="Tahoma"/>
            <family val="2"/>
          </rPr>
          <t xml:space="preserve">EQUIPO $1,800.00
MENDUALIDAD $300.00
REVISIONES $500.00
RE-INSTALACION $500.00
CAMBIA A ESQUEMA DE FACTURACION EL DIA 06-AGOSTO-2024
1er INSTALACION 23-FEB-2021 
5 EQUIPOS 
2da INSTALACION 02-MAR-2021
5 EQUIPO 
</t>
        </r>
        <r>
          <rPr>
            <b/>
            <sz val="10"/>
            <color indexed="81"/>
            <rFont val="Tahoma"/>
            <family val="2"/>
          </rPr>
          <t xml:space="preserve">COBRANZA HASTA ABRIL´2021
</t>
        </r>
        <r>
          <rPr>
            <b/>
            <sz val="10"/>
            <color indexed="10"/>
            <rFont val="Tahoma"/>
            <family val="2"/>
          </rPr>
          <t>*PENDIENTE POR INSTALAR 1 EQUIPO</t>
        </r>
        <r>
          <rPr>
            <sz val="10"/>
            <color indexed="81"/>
            <rFont val="Tahoma"/>
            <family val="2"/>
          </rPr>
          <t xml:space="preserve"> </t>
        </r>
      </text>
    </comment>
    <comment ref="T19" authorId="1" shapeId="0" xr:uid="{00000000-0006-0000-0000-000003000000}">
      <text>
        <r>
          <rPr>
            <b/>
            <sz val="9"/>
            <color indexed="81"/>
            <rFont val="Tahoma"/>
            <family val="2"/>
          </rPr>
          <t>Luffi:</t>
        </r>
        <r>
          <rPr>
            <sz val="9"/>
            <color indexed="81"/>
            <rFont val="Tahoma"/>
            <family val="2"/>
          </rPr>
          <t xml:space="preserve">
REVISION DE UNIDAD $500.00 04-ENERO-2023 
 </t>
        </r>
        <r>
          <rPr>
            <b/>
            <sz val="9"/>
            <color indexed="81"/>
            <rFont val="Tahoma"/>
            <family val="2"/>
          </rPr>
          <t>$450</t>
        </r>
        <r>
          <rPr>
            <sz val="9"/>
            <color indexed="81"/>
            <rFont val="Tahoma"/>
            <family val="2"/>
          </rPr>
          <t xml:space="preserve"> </t>
        </r>
        <r>
          <rPr>
            <sz val="10"/>
            <color indexed="81"/>
            <rFont val="Tahoma"/>
            <family val="2"/>
          </rPr>
          <t>17-MAYO-2021 
Revisión de unidad No. 13 
Manipulación de equipo, desencintado, desconexión de arnés)</t>
        </r>
      </text>
    </comment>
    <comment ref="E20" authorId="1" shapeId="0" xr:uid="{00000000-0006-0000-0000-000004000000}">
      <text>
        <r>
          <rPr>
            <b/>
            <sz val="9"/>
            <color indexed="81"/>
            <rFont val="Tahoma"/>
            <family val="2"/>
          </rPr>
          <t>Luffi:</t>
        </r>
        <r>
          <rPr>
            <sz val="9"/>
            <color indexed="81"/>
            <rFont val="Tahoma"/>
            <family val="2"/>
          </rPr>
          <t xml:space="preserve">
2 EQUIPOS $2,000 + IVA $2,320.00
2 EQUIPO USO RUDO $3,400 + IVA 
4 RENTAS $280 + IVA $324.80
EQUIPO PORTATIL $3,400.00+IVA
MENSUALIDAD $649.60</t>
        </r>
      </text>
    </comment>
    <comment ref="E21" authorId="0" shapeId="0" xr:uid="{00000000-0006-0000-0000-000005000000}">
      <text>
        <r>
          <rPr>
            <b/>
            <sz val="9"/>
            <color indexed="81"/>
            <rFont val="Tahoma"/>
            <family val="2"/>
          </rPr>
          <t>PC:</t>
        </r>
        <r>
          <rPr>
            <sz val="9"/>
            <color indexed="81"/>
            <rFont val="Tahoma"/>
            <family val="2"/>
          </rPr>
          <t xml:space="preserve">
INICA EL 13-MARZO-2023 
COMODATO
INSTALACION $650.00+IVA= $S754.00
MENSUALIDAD $299.00+IVA= $346.84</t>
        </r>
      </text>
    </comment>
    <comment ref="E22" authorId="0" shapeId="0" xr:uid="{00000000-0006-0000-0000-000006000000}">
      <text>
        <r>
          <rPr>
            <b/>
            <sz val="9"/>
            <color indexed="81"/>
            <rFont val="Tahoma"/>
            <family val="2"/>
          </rPr>
          <t>PC:</t>
        </r>
        <r>
          <rPr>
            <sz val="9"/>
            <color indexed="81"/>
            <rFont val="Tahoma"/>
            <family val="2"/>
          </rPr>
          <t xml:space="preserve">
INICIA EL 27-OCTUBRE-2023
COMODATO
INSTALACION $500.00+IVA
MENSUALIDAD $270.00+IVA</t>
        </r>
      </text>
    </comment>
    <comment ref="E23" authorId="0" shapeId="0" xr:uid="{00000000-0006-0000-0000-000007000000}">
      <text>
        <r>
          <rPr>
            <b/>
            <sz val="9"/>
            <color indexed="81"/>
            <rFont val="Tahoma"/>
            <family val="2"/>
          </rPr>
          <t>PC:</t>
        </r>
        <r>
          <rPr>
            <sz val="9"/>
            <color indexed="81"/>
            <rFont val="Tahoma"/>
            <family val="2"/>
          </rPr>
          <t xml:space="preserve">
INSTALACIÓN $650.00+IVA=$754.00
EQUIPOS COMODATOS 
MENSUALIDAD $300.00+IVA=$348.00</t>
        </r>
      </text>
    </comment>
    <comment ref="T23" authorId="0" shapeId="0" xr:uid="{00000000-0006-0000-0000-000008000000}">
      <text>
        <r>
          <rPr>
            <b/>
            <sz val="9"/>
            <color indexed="81"/>
            <rFont val="Tahoma"/>
            <family val="2"/>
          </rPr>
          <t xml:space="preserve">PC:
Instalacion de 3 equipos </t>
        </r>
        <r>
          <rPr>
            <sz val="9"/>
            <color indexed="81"/>
            <rFont val="Tahoma"/>
            <family val="2"/>
          </rPr>
          <t xml:space="preserve">
</t>
        </r>
      </text>
    </comment>
    <comment ref="E24" authorId="0" shapeId="0" xr:uid="{00000000-0006-0000-0000-000009000000}">
      <text>
        <r>
          <rPr>
            <b/>
            <sz val="9"/>
            <color indexed="81"/>
            <rFont val="Tahoma"/>
            <family val="2"/>
          </rPr>
          <t>PC:</t>
        </r>
        <r>
          <rPr>
            <sz val="9"/>
            <color indexed="81"/>
            <rFont val="Tahoma"/>
            <family val="2"/>
          </rPr>
          <t xml:space="preserve">
INICIA EL 15-NOVIEMBRE-2023
EQUIPO $2,200.00+IVA
MENSUALIDAD $250.00+IVA
</t>
        </r>
      </text>
    </comment>
    <comment ref="E25" authorId="0" shapeId="0" xr:uid="{00000000-0006-0000-0000-00000A000000}">
      <text>
        <r>
          <rPr>
            <b/>
            <sz val="9"/>
            <color indexed="81"/>
            <rFont val="Tahoma"/>
            <family val="2"/>
          </rPr>
          <t>PC:</t>
        </r>
        <r>
          <rPr>
            <sz val="9"/>
            <color indexed="81"/>
            <rFont val="Tahoma"/>
            <family val="2"/>
          </rPr>
          <t xml:space="preserve">
INGRESA EL 22-MAYO-2024
EQUIPO $1,850.00+IVA
MENSUALIDAD $250.00+IVA
EQUIPO USO RUDO $3,450.00+IVA</t>
        </r>
      </text>
    </comment>
    <comment ref="E26" authorId="0" shapeId="0" xr:uid="{00000000-0006-0000-0000-00000B000000}">
      <text>
        <r>
          <rPr>
            <b/>
            <sz val="9"/>
            <color indexed="81"/>
            <rFont val="Tahoma"/>
            <family val="2"/>
          </rPr>
          <t>PC:</t>
        </r>
        <r>
          <rPr>
            <sz val="9"/>
            <color indexed="81"/>
            <rFont val="Tahoma"/>
            <family val="2"/>
          </rPr>
          <t xml:space="preserve">
INICA EL 23-NOVIEMBRE-2023
COMODATO
INSTALACION $650.00+IVA
MENSUALIDAD $279.00+IVA</t>
        </r>
      </text>
    </comment>
    <comment ref="E27" authorId="2" shapeId="0" xr:uid="{00000000-0006-0000-0000-00000C000000}">
      <text>
        <r>
          <rPr>
            <b/>
            <sz val="9"/>
            <color indexed="81"/>
            <rFont val="Tahoma"/>
            <family val="2"/>
          </rPr>
          <t>Usuario de Windows:</t>
        </r>
        <r>
          <rPr>
            <sz val="9"/>
            <color indexed="81"/>
            <rFont val="Tahoma"/>
            <family val="2"/>
          </rPr>
          <t xml:space="preserve">
</t>
        </r>
        <r>
          <rPr>
            <b/>
            <sz val="9"/>
            <color indexed="81"/>
            <rFont val="Tahoma"/>
            <family val="2"/>
          </rPr>
          <t xml:space="preserve">ESQUEMA COMODATO
</t>
        </r>
        <r>
          <rPr>
            <sz val="9"/>
            <color indexed="81"/>
            <rFont val="Tahoma"/>
            <family val="2"/>
          </rPr>
          <t xml:space="preserve">INSTALACION $650 + IVA
MENSUALIDAD $280 + IVA
DES-INSTALACION $500.0+IVA
INSTALACIONES 28-FEB-2022 Y 1-MAR-2022
</t>
        </r>
        <r>
          <rPr>
            <b/>
            <sz val="9"/>
            <color indexed="81"/>
            <rFont val="Tahoma"/>
            <family val="2"/>
          </rPr>
          <t>*FACTURADO 01-MAR-2022*</t>
        </r>
      </text>
    </comment>
    <comment ref="E28" authorId="0" shapeId="0" xr:uid="{00000000-0006-0000-0000-00000D000000}">
      <text>
        <r>
          <rPr>
            <b/>
            <sz val="9"/>
            <color indexed="81"/>
            <rFont val="Tahoma"/>
            <family val="2"/>
          </rPr>
          <t>PC:</t>
        </r>
        <r>
          <rPr>
            <sz val="9"/>
            <color indexed="81"/>
            <rFont val="Tahoma"/>
            <family val="2"/>
          </rPr>
          <t xml:space="preserve">
INCIA EL 21-ENERO-2023
1 UNIDAD 
FALTANDO 4 UNIDADES 
COMODATO 
INSTALACIÓN $650.00+IVA=$754.00
MENSUALIDAD $300.00+IVA=$348.00
REVISIONES $650.00+IVA</t>
        </r>
      </text>
    </comment>
    <comment ref="E29" authorId="0" shapeId="0" xr:uid="{00000000-0006-0000-0000-00000E000000}">
      <text>
        <r>
          <rPr>
            <b/>
            <sz val="9"/>
            <color indexed="81"/>
            <rFont val="Tahoma"/>
            <family val="2"/>
          </rPr>
          <t xml:space="preserve">PC:
</t>
        </r>
        <r>
          <rPr>
            <sz val="9"/>
            <color indexed="81"/>
            <rFont val="Tahoma"/>
            <family val="2"/>
          </rPr>
          <t xml:space="preserve">CUENTA SEPARADA DE DEX MATERIALES 06-SEPTIEMBRE-2024
</t>
        </r>
        <r>
          <rPr>
            <b/>
            <sz val="9"/>
            <color indexed="81"/>
            <rFont val="Tahoma"/>
            <family val="2"/>
          </rPr>
          <t xml:space="preserve">PAGO TRIMESTRAL 
MENSUALIDAD $300.00+IVA 
3 MESES $900.00+IVA
</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0" authorId="0" shapeId="0" xr:uid="{00000000-0006-0000-0000-00000F000000}">
      <text>
        <r>
          <rPr>
            <b/>
            <sz val="9"/>
            <color indexed="81"/>
            <rFont val="Tahoma"/>
            <family val="2"/>
          </rPr>
          <t>PC:</t>
        </r>
        <r>
          <rPr>
            <sz val="9"/>
            <color indexed="81"/>
            <rFont val="Tahoma"/>
            <family val="2"/>
          </rPr>
          <t xml:space="preserve">
RENTA 7 $350.00
1 GPS EN PLAN $650.00
1 UNIDAD MAS OCTUBRE
CAMBIO DE RAZON SOCIAL MARZO´2022
SE DIVIDE CUENTA ACERTRANS - SILVIA NERIA - AGOSTO 2023
</t>
        </r>
      </text>
    </comment>
    <comment ref="E31" authorId="0" shapeId="0" xr:uid="{00000000-0006-0000-0000-000010000000}">
      <text>
        <r>
          <rPr>
            <b/>
            <sz val="9"/>
            <color indexed="81"/>
            <rFont val="Tahoma"/>
            <family val="2"/>
          </rPr>
          <t>PC:</t>
        </r>
        <r>
          <rPr>
            <sz val="9"/>
            <color indexed="81"/>
            <rFont val="Tahoma"/>
            <family val="2"/>
          </rPr>
          <t xml:space="preserve">
INICIA EL 26-DICIEMBRE-2023
INSTALACION $650.00+IVA
MENSUALIDAD $250.00+IVA
MICROFONO $399.00
MENSUALIDAD CON MICROFONO $300.00+IVA</t>
        </r>
      </text>
    </comment>
    <comment ref="E32" authorId="0" shapeId="0" xr:uid="{00000000-0006-0000-0000-000011000000}">
      <text>
        <r>
          <rPr>
            <b/>
            <sz val="9"/>
            <color indexed="81"/>
            <rFont val="Tahoma"/>
            <family val="2"/>
          </rPr>
          <t>PC:</t>
        </r>
        <r>
          <rPr>
            <sz val="9"/>
            <color indexed="81"/>
            <rFont val="Tahoma"/>
            <family val="2"/>
          </rPr>
          <t xml:space="preserve">
RE-INGRESA EL 25-NOVIEMBRE-2024
EQUIPO $1,500.00+IVA
MENSUALIDAD $279.00+IVA</t>
        </r>
      </text>
    </comment>
    <comment ref="E33" authorId="0" shapeId="0" xr:uid="{00000000-0006-0000-0000-000012000000}">
      <text>
        <r>
          <rPr>
            <b/>
            <sz val="9"/>
            <color indexed="81"/>
            <rFont val="Tahoma"/>
            <family val="2"/>
          </rPr>
          <t>PC:</t>
        </r>
        <r>
          <rPr>
            <sz val="9"/>
            <color indexed="81"/>
            <rFont val="Tahoma"/>
            <family val="2"/>
          </rPr>
          <t xml:space="preserve">
CLIENTE DE SEPARACIÓN DE CUENTA DEL SR. LUIS BOLAÑOS, SE PONE EN CONTACTO EL 05-MARZO-2024 
MENSUALIDAD $280.00+IVA</t>
        </r>
      </text>
    </comment>
    <comment ref="E34" authorId="0" shapeId="0" xr:uid="{00000000-0006-0000-0000-000013000000}">
      <text>
        <r>
          <rPr>
            <b/>
            <sz val="9"/>
            <color indexed="81"/>
            <rFont val="Tahoma"/>
            <family val="2"/>
          </rPr>
          <t>PC:</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5" authorId="0" shapeId="0" xr:uid="{00000000-0006-0000-0000-000014000000}">
      <text>
        <r>
          <rPr>
            <b/>
            <sz val="9"/>
            <color indexed="81"/>
            <rFont val="Tahoma"/>
            <family val="2"/>
          </rPr>
          <t>PC:</t>
        </r>
        <r>
          <rPr>
            <sz val="9"/>
            <color indexed="81"/>
            <rFont val="Tahoma"/>
            <family val="2"/>
          </rPr>
          <t xml:space="preserve">
INGRESA EL 11-MAYO-2024
EQUIPO $1,850.00+IVA
MENSUALIDAD $250.00+IVA
CAMBIA A ESQUEMA DE FACTURACIÓN EL 02-JULIO-2024</t>
        </r>
      </text>
    </comment>
    <comment ref="E36" authorId="1" shapeId="0" xr:uid="{00000000-0006-0000-0000-000015000000}">
      <text>
        <r>
          <rPr>
            <b/>
            <sz val="9"/>
            <color indexed="81"/>
            <rFont val="Tahoma"/>
            <family val="2"/>
          </rPr>
          <t>Luffi:</t>
        </r>
        <r>
          <rPr>
            <sz val="9"/>
            <color indexed="81"/>
            <rFont val="Tahoma"/>
            <family val="2"/>
          </rPr>
          <t xml:space="preserve">
1 EQUIPO $1,850.00
1 RENTA $250.00+ IVA $290.00
</t>
        </r>
        <r>
          <rPr>
            <b/>
            <sz val="9"/>
            <color indexed="81"/>
            <rFont val="Tahoma"/>
            <family val="2"/>
          </rPr>
          <t xml:space="preserve">MENSUALIDAD $290.00 </t>
        </r>
      </text>
    </comment>
    <comment ref="E37" authorId="2" shapeId="0" xr:uid="{00000000-0006-0000-0000-000016000000}">
      <text>
        <r>
          <rPr>
            <b/>
            <sz val="9"/>
            <color indexed="81"/>
            <rFont val="Tahoma"/>
            <family val="2"/>
          </rPr>
          <t>Usuario de Windows:</t>
        </r>
        <r>
          <rPr>
            <sz val="9"/>
            <color indexed="81"/>
            <rFont val="Tahoma"/>
            <family val="2"/>
          </rPr>
          <t xml:space="preserve">
</t>
        </r>
        <r>
          <rPr>
            <b/>
            <sz val="9"/>
            <color indexed="81"/>
            <rFont val="Tahoma"/>
            <family val="2"/>
          </rPr>
          <t xml:space="preserve">5 EQUIPOS COMODATO 
INSTALACION $650 + IVA
MENSUALIDAD $350 + IVA 
03-MAYO-2022 </t>
        </r>
        <r>
          <rPr>
            <sz val="9"/>
            <color indexed="81"/>
            <rFont val="Tahoma"/>
            <family val="2"/>
          </rPr>
          <t xml:space="preserve">DEPOSITO $5,800 
</t>
        </r>
        <r>
          <rPr>
            <b/>
            <sz val="9"/>
            <color indexed="81"/>
            <rFont val="Tahoma"/>
            <family val="2"/>
          </rPr>
          <t xml:space="preserve">INSTALACIONES 
</t>
        </r>
        <r>
          <rPr>
            <sz val="9"/>
            <color indexed="81"/>
            <rFont val="Tahoma"/>
            <family val="2"/>
          </rPr>
          <t xml:space="preserve">09-Mayo-2022 Unidad 02
10-Mayo-2022 Unidad 01, 05 y 03
CAMBIO DE RAZON SOCIAL SINERGIZ - ENDER INDUSTRIAL FEBRERO 2023 
</t>
        </r>
        <r>
          <rPr>
            <b/>
            <sz val="9"/>
            <color indexed="81"/>
            <rFont val="Tahoma"/>
            <family val="2"/>
          </rPr>
          <t>*PENDIENTE POR INSTALAR 1 UNIDAD*</t>
        </r>
      </text>
    </comment>
    <comment ref="T37" authorId="0" shapeId="0" xr:uid="{00000000-0006-0000-0000-000017000000}">
      <text>
        <r>
          <rPr>
            <b/>
            <sz val="9"/>
            <color indexed="81"/>
            <rFont val="Tahoma"/>
            <family val="2"/>
          </rPr>
          <t>PC:</t>
        </r>
        <r>
          <rPr>
            <sz val="9"/>
            <color indexed="81"/>
            <rFont val="Tahoma"/>
            <family val="2"/>
          </rPr>
          <t xml:space="preserve">
Reinstalación Moto 
15-Julio-2022 
Unidad 03 
Placas 91CLJ1</t>
        </r>
      </text>
    </comment>
    <comment ref="E38" authorId="0" shapeId="0" xr:uid="{00000000-0006-0000-0000-000018000000}">
      <text>
        <r>
          <rPr>
            <b/>
            <sz val="9"/>
            <color indexed="81"/>
            <rFont val="Tahoma"/>
            <family val="2"/>
          </rPr>
          <t>PC:</t>
        </r>
        <r>
          <rPr>
            <sz val="9"/>
            <color indexed="81"/>
            <rFont val="Tahoma"/>
            <family val="2"/>
          </rPr>
          <t xml:space="preserve">
INICIA EL 25-ENERO-2024
EQUIPO $2,250.00+IVA
MENSUALIDAD $249.00+IVA</t>
        </r>
      </text>
    </comment>
    <comment ref="E39" authorId="0" shapeId="0" xr:uid="{00000000-0006-0000-0000-000019000000}">
      <text>
        <r>
          <rPr>
            <b/>
            <sz val="9"/>
            <color indexed="81"/>
            <rFont val="Tahoma"/>
            <family val="2"/>
          </rPr>
          <t>PC:</t>
        </r>
        <r>
          <rPr>
            <sz val="9"/>
            <color indexed="81"/>
            <rFont val="Tahoma"/>
            <family val="2"/>
          </rPr>
          <t xml:space="preserve">
INGRESA EL 13-SEPTIEMBRE-2024
COMODATO 
INSTALACION $549.00+IVA
MENSUALIDAD $300.00+IVA</t>
        </r>
      </text>
    </comment>
    <comment ref="E40" authorId="0" shapeId="0" xr:uid="{00000000-0006-0000-0000-00001A000000}">
      <text>
        <r>
          <rPr>
            <b/>
            <sz val="9"/>
            <color indexed="81"/>
            <rFont val="Tahoma"/>
            <family val="2"/>
          </rPr>
          <t>PC:</t>
        </r>
        <r>
          <rPr>
            <sz val="9"/>
            <color indexed="81"/>
            <rFont val="Tahoma"/>
            <family val="2"/>
          </rPr>
          <t xml:space="preserve">
MENSUALIDAD $60.00
10 UNIDADES EN JULIO'22
40 UNIDADES EN AGOSTO'22
50 UNIDADES EN SEPT'22
25 UNIDADES EN OCTUBRE'22
10 UNIDADES EN NOVIEMBRE'22
20 UNIDADES EN DICIEMBRE'22
26 UNIDADES EN ENERO'23
26 UNIDADES EN FEBRERO'23
40 UNIDADES EN MARZO'23
28 UNIDADES EN ABRIL'23
25 UNIDADES EN MAYO'23
40 UNIDADES EN JUNIO'23
19 UNIDADES EN JULIO'23
42 UNIDADES EN AGOSTO'23
24 UNIDADES EN SEPT'23
27 UNIDADES EN OCTUBRE'23
26 UNIDADES EN NOVIEMBRE'23
37 UNIDADES EN DICIEMBRE'23
- EN ENERO 2024 SE CAMBIO EL COSTO DE LA MENSUALDIAD A $40.00
- SE LE EMPIEZA A FACTURAR EN FEBRERO 2024
- CAMBIA COSTO DE MENSUALIDAD A $38.80+IVA
19 UNIDADES EN ENERO'24
52 UNIDADES EN FEBRERO'24
17 UNIDADES EN MARZO'24
25 UNIDADES EN ABRIL'24
32 UNIDADES EN MAYO'24
13 UNIDADES EN JUNIO'24
1 UNIDAD EN DICIEMBRE'24</t>
        </r>
      </text>
    </comment>
    <comment ref="T40" authorId="0" shapeId="0" xr:uid="{00000000-0006-0000-0000-00001B000000}">
      <text>
        <r>
          <rPr>
            <b/>
            <sz val="9"/>
            <color indexed="81"/>
            <rFont val="Tahoma"/>
            <family val="2"/>
          </rPr>
          <t>PC:</t>
        </r>
        <r>
          <rPr>
            <sz val="9"/>
            <color indexed="81"/>
            <rFont val="Tahoma"/>
            <family val="2"/>
          </rPr>
          <t xml:space="preserve">
REMISION ADICIONAL POR UNIDADES FALTANTES DE COBRAR 
Saldo de meses arrastrados desde julio'22</t>
        </r>
      </text>
    </comment>
    <comment ref="E41" authorId="0" shapeId="0" xr:uid="{00000000-0006-0000-0000-00001C000000}">
      <text>
        <r>
          <rPr>
            <b/>
            <sz val="9"/>
            <color indexed="81"/>
            <rFont val="Tahoma"/>
            <family val="2"/>
          </rPr>
          <t>PC:</t>
        </r>
        <r>
          <rPr>
            <sz val="9"/>
            <color indexed="81"/>
            <rFont val="Tahoma"/>
            <family val="2"/>
          </rPr>
          <t xml:space="preserve">
INGRESA EL 03-OCTUBRE-2024
COMODATO 
INSTALACION $549.00+IVA
MENSUALIDAD $300.00+IVA</t>
        </r>
      </text>
    </comment>
    <comment ref="E42" authorId="0" shapeId="0" xr:uid="{00000000-0006-0000-0000-00001D000000}">
      <text>
        <r>
          <rPr>
            <b/>
            <sz val="9"/>
            <color indexed="81"/>
            <rFont val="Tahoma"/>
            <family val="2"/>
          </rPr>
          <t>PC:</t>
        </r>
        <r>
          <rPr>
            <sz val="9"/>
            <color indexed="81"/>
            <rFont val="Tahoma"/>
            <family val="2"/>
          </rPr>
          <t xml:space="preserve">
INICA CUENTA DEMO EL 24-FEB-23
INGRESA A LA COBRANZA EL 13-ABRIL-23
INSTALACION $650.00+IVA=$754.00
MENSUALIDAD $320.00+IVA=$371.20
*COMODATO
VISITA EN FALSO $250.00+IVA</t>
        </r>
      </text>
    </comment>
    <comment ref="T42" authorId="0" shapeId="0" xr:uid="{00000000-0006-0000-0000-00001E000000}">
      <text>
        <r>
          <rPr>
            <b/>
            <sz val="9"/>
            <color indexed="81"/>
            <rFont val="Tahoma"/>
            <family val="2"/>
          </rPr>
          <t>PC:</t>
        </r>
        <r>
          <rPr>
            <sz val="9"/>
            <color indexed="81"/>
            <rFont val="Tahoma"/>
            <family val="2"/>
          </rPr>
          <t xml:space="preserve">
INSTALACIONES
PDTES- 5 
$650.00+IVA</t>
        </r>
      </text>
    </comment>
    <comment ref="E43" authorId="0" shapeId="0" xr:uid="{00000000-0006-0000-0000-00001F000000}">
      <text>
        <r>
          <rPr>
            <b/>
            <sz val="9"/>
            <color indexed="81"/>
            <rFont val="Tahoma"/>
            <family val="2"/>
          </rPr>
          <t>PC:</t>
        </r>
        <r>
          <rPr>
            <sz val="9"/>
            <color indexed="81"/>
            <rFont val="Tahoma"/>
            <family val="2"/>
          </rPr>
          <t xml:space="preserve">
INGRESA EL 14-DICIEMBRE-2024
EQUIPO $2,200.00+IVA
MENSUALIDAD $290.00</t>
        </r>
      </text>
    </comment>
    <comment ref="E44" authorId="0" shapeId="0" xr:uid="{00000000-0006-0000-0000-000020000000}">
      <text>
        <r>
          <rPr>
            <b/>
            <sz val="9"/>
            <color indexed="81"/>
            <rFont val="Tahoma"/>
            <family val="2"/>
          </rPr>
          <t>PC:</t>
        </r>
        <r>
          <rPr>
            <sz val="9"/>
            <color indexed="81"/>
            <rFont val="Tahoma"/>
            <family val="2"/>
          </rPr>
          <t xml:space="preserve">
INGRESA EL 19-OCTUBRE-2024
COMODATO 
INSTALACION $549.00+IVA
MENSUALIDAD $300.00+IVA
NOVIEMBRE 2024 INSTALACION CON DESCUENTO UNICO -30%
INSTALACION $384.30+IVA 
REVISION $650.00+IVA
RE-INSTALACION $500.00+IVA
DES-INSTALACION $500.00+IVA</t>
        </r>
      </text>
    </comment>
    <comment ref="E45" authorId="0" shapeId="0" xr:uid="{00000000-0006-0000-0000-000021000000}">
      <text>
        <r>
          <rPr>
            <b/>
            <sz val="9"/>
            <color indexed="81"/>
            <rFont val="Tahoma"/>
            <family val="2"/>
          </rPr>
          <t>PC:</t>
        </r>
        <r>
          <rPr>
            <sz val="9"/>
            <color indexed="81"/>
            <rFont val="Tahoma"/>
            <family val="2"/>
          </rPr>
          <t xml:space="preserve">
ALTA 14-ENERO-2025 
COMODATO
INSTALACION $549.00+IVA
MENSUALIDAD $279.00+IVA</t>
        </r>
      </text>
    </comment>
    <comment ref="E46" authorId="3" shapeId="0" xr:uid="{00000000-0006-0000-0000-000022000000}">
      <text>
        <r>
          <rPr>
            <b/>
            <sz val="9"/>
            <color indexed="81"/>
            <rFont val="Tahoma"/>
            <family val="2"/>
          </rPr>
          <t>UBITEC:</t>
        </r>
        <r>
          <rPr>
            <sz val="9"/>
            <color indexed="81"/>
            <rFont val="Tahoma"/>
            <family val="2"/>
          </rPr>
          <t xml:space="preserve">
</t>
        </r>
        <r>
          <rPr>
            <sz val="10"/>
            <color indexed="81"/>
            <rFont val="Tahoma"/>
            <family val="2"/>
          </rPr>
          <t xml:space="preserve">EQUIPO $2,300 + IVA $2,668.00
MENSUALIDAD $250.00+ IVA $290.00
</t>
        </r>
        <r>
          <rPr>
            <b/>
            <sz val="10"/>
            <color indexed="81"/>
            <rFont val="Tahoma"/>
            <family val="2"/>
          </rPr>
          <t xml:space="preserve">1er SERVICIO 14-JUN-2022 
</t>
        </r>
        <r>
          <rPr>
            <sz val="10"/>
            <color indexed="81"/>
            <rFont val="Tahoma"/>
            <family val="2"/>
          </rPr>
          <t xml:space="preserve">Instalación 2 unidades </t>
        </r>
        <r>
          <rPr>
            <b/>
            <sz val="10"/>
            <color indexed="81"/>
            <rFont val="Tahoma"/>
            <family val="2"/>
          </rPr>
          <t xml:space="preserve">
2do SERVICIO 17-JUN-2022
</t>
        </r>
        <r>
          <rPr>
            <sz val="10"/>
            <color indexed="81"/>
            <rFont val="Tahoma"/>
            <family val="2"/>
          </rPr>
          <t xml:space="preserve">Instalación 1 unidad
</t>
        </r>
      </text>
    </comment>
    <comment ref="T46" authorId="0" shapeId="0" xr:uid="{00000000-0006-0000-0000-000023000000}">
      <text>
        <r>
          <rPr>
            <b/>
            <sz val="9"/>
            <color indexed="81"/>
            <rFont val="Tahoma"/>
            <family val="2"/>
          </rPr>
          <t>PC:</t>
        </r>
        <r>
          <rPr>
            <sz val="9"/>
            <color indexed="81"/>
            <rFont val="Tahoma"/>
            <family val="2"/>
          </rPr>
          <t xml:space="preserve">
INSTALACIONES 25-NOVIEMBRE-22
EQUIPO $2,300.00+IVA 
MENSUALIDAD PROPORCIONAL $41.66+IVA 
INSTALACIONES 03-DICIEMBRE-22
4 EQUIPOS $2,300.00+IVA 
MENSUALIDAD PROPORCIONAL 27 DÍAS $225.00+IVA </t>
        </r>
      </text>
    </comment>
    <comment ref="E47" authorId="1" shapeId="0" xr:uid="{00000000-0006-0000-0000-000024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8" authorId="1" shapeId="0" xr:uid="{00000000-0006-0000-0000-000025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9" authorId="0" shapeId="0" xr:uid="{00000000-0006-0000-0000-000026000000}">
      <text>
        <r>
          <rPr>
            <b/>
            <sz val="9"/>
            <color indexed="81"/>
            <rFont val="Tahoma"/>
            <family val="2"/>
          </rPr>
          <t>PC:</t>
        </r>
        <r>
          <rPr>
            <sz val="9"/>
            <color indexed="81"/>
            <rFont val="Tahoma"/>
            <family val="2"/>
          </rPr>
          <t xml:space="preserve">
INGRESA EL 07-OCTUBRE-2024 
COMODATO 
INSTALACION $549.00+IVA
MENSUALIDAD $300.00+IVA</t>
        </r>
      </text>
    </comment>
    <comment ref="E50" authorId="0" shapeId="0" xr:uid="{00000000-0006-0000-0000-000027000000}">
      <text>
        <r>
          <rPr>
            <b/>
            <sz val="9"/>
            <color indexed="81"/>
            <rFont val="Tahoma"/>
            <family val="2"/>
          </rPr>
          <t>PC:</t>
        </r>
        <r>
          <rPr>
            <sz val="9"/>
            <color indexed="81"/>
            <rFont val="Tahoma"/>
            <family val="2"/>
          </rPr>
          <t xml:space="preserve">
RE-INSTALACIÓN Y MIGRACIÓN $650.00+IVA
INICIO 03-AGOSTO-22
RENTA $300.00 MENSUAL +IVA </t>
        </r>
      </text>
    </comment>
    <comment ref="E51" authorId="0" shapeId="0" xr:uid="{00000000-0006-0000-0000-000028000000}">
      <text>
        <r>
          <rPr>
            <b/>
            <sz val="9"/>
            <color indexed="81"/>
            <rFont val="Tahoma"/>
            <family val="2"/>
          </rPr>
          <t>PC:</t>
        </r>
        <r>
          <rPr>
            <sz val="9"/>
            <color indexed="81"/>
            <rFont val="Tahoma"/>
            <family val="2"/>
          </rPr>
          <t xml:space="preserve">
INGRESA EL 16-NOVIEMBRE-2023
EQUIPO $1,950.00+IVA
MENSUALIDAD $300.00+IVA
VIATICOS $1,000.00+IVA</t>
        </r>
      </text>
    </comment>
    <comment ref="E52" authorId="0" shapeId="0" xr:uid="{00000000-0006-0000-0000-000029000000}">
      <text>
        <r>
          <rPr>
            <b/>
            <sz val="9"/>
            <color indexed="81"/>
            <rFont val="Tahoma"/>
            <family val="2"/>
          </rPr>
          <t>PC:</t>
        </r>
        <r>
          <rPr>
            <sz val="9"/>
            <color indexed="81"/>
            <rFont val="Tahoma"/>
            <family val="2"/>
          </rPr>
          <t xml:space="preserve">
INICIA EL 03-MAYO-2023
EQUIPO $1,590.00+IVA
MENSUALIDAD $250.00+IVA</t>
        </r>
      </text>
    </comment>
    <comment ref="E53" authorId="0" shapeId="0" xr:uid="{00000000-0006-0000-0000-00002A000000}">
      <text>
        <r>
          <rPr>
            <b/>
            <sz val="9"/>
            <color indexed="81"/>
            <rFont val="Tahoma"/>
            <family val="2"/>
          </rPr>
          <t>PC:</t>
        </r>
        <r>
          <rPr>
            <sz val="9"/>
            <color indexed="81"/>
            <rFont val="Tahoma"/>
            <family val="2"/>
          </rPr>
          <t xml:space="preserve">
INICIA EL 05-JUNIO-2023
EQUIPO $1,200.00+IVA
MENSUALIDAD $300.00+IVA
</t>
        </r>
      </text>
    </comment>
    <comment ref="C54" authorId="0" shapeId="0" xr:uid="{00000000-0006-0000-0000-00002B000000}">
      <text>
        <r>
          <rPr>
            <b/>
            <sz val="9"/>
            <color indexed="81"/>
            <rFont val="Tahoma"/>
            <family val="2"/>
          </rPr>
          <t>PC:</t>
        </r>
        <r>
          <rPr>
            <sz val="9"/>
            <color indexed="81"/>
            <rFont val="Tahoma"/>
            <family val="2"/>
          </rPr>
          <t xml:space="preserve">
DOMICILIO: CARRETERA ESTATAL LIBRE MIGUEL ALEMAN #2526
PESQUERIA, N.L.
C.P.66650</t>
        </r>
      </text>
    </comment>
    <comment ref="E54" authorId="0" shapeId="0" xr:uid="{00000000-0006-0000-0000-00002C000000}">
      <text>
        <r>
          <rPr>
            <b/>
            <sz val="9"/>
            <color indexed="81"/>
            <rFont val="Tahoma"/>
            <family val="2"/>
          </rPr>
          <t>PC:</t>
        </r>
        <r>
          <rPr>
            <sz val="9"/>
            <color indexed="81"/>
            <rFont val="Tahoma"/>
            <family val="2"/>
          </rPr>
          <t xml:space="preserve">
INSTALACION EQP. MULTIMODAL 5 PUERTOS USO RUDO $2,149.00+IVA= $2,492.84
MENSUALIDAD $349.00+IVA= $404.84
SENSOR DE COMBUSTIBLE DE VARILLA CONFIGURACION INDUCTIVA INSTALACION Y CALIBRACION A 20 LTS $5,450.00+IVA= $6,322.00
1er. INSTALACION 22-DICIEMBRE-2022 
*SE LE COBRA Y FACTURA HASTA EL 04-ENERO-2023</t>
        </r>
      </text>
    </comment>
    <comment ref="T54" authorId="0" shapeId="0" xr:uid="{00000000-0006-0000-0000-00002D000000}">
      <text>
        <r>
          <rPr>
            <b/>
            <sz val="9"/>
            <color indexed="81"/>
            <rFont val="Tahoma"/>
            <family val="2"/>
          </rPr>
          <t>PC:</t>
        </r>
        <r>
          <rPr>
            <sz val="9"/>
            <color indexed="81"/>
            <rFont val="Tahoma"/>
            <family val="2"/>
          </rPr>
          <t xml:space="preserve">
INSTALACION EQP. MULTIMODAL 5 PUERTOS USO RUDO $2,149.00+IVA= $2,492.84
SENSOR DE COMBUSTIBLE DE VARILLA CONFIGURACION INDUCTIVA INSTALACION Y CALIBRACION A 20 LTS $5,450.00+IVA= $6,322.00
INSTALCION 17-FEBRERO-2023 
1 INSTALACION $2,149.00+IVA
1 MENS. $349.00+IVA
</t>
        </r>
      </text>
    </comment>
    <comment ref="AL54" authorId="0" shapeId="0" xr:uid="{00000000-0006-0000-0000-00002E000000}">
      <text>
        <r>
          <rPr>
            <b/>
            <sz val="9"/>
            <color indexed="81"/>
            <rFont val="Tahoma"/>
            <family val="2"/>
          </rPr>
          <t>PC:</t>
        </r>
        <r>
          <rPr>
            <sz val="9"/>
            <color indexed="81"/>
            <rFont val="Tahoma"/>
            <family val="2"/>
          </rPr>
          <t xml:space="preserve">
DEVOLUCIÓN POR PAGO DUPLICADO 
SE ENVIÓ CORREO EL 17-FEB-23 </t>
        </r>
      </text>
    </comment>
    <comment ref="E55" authorId="0" shapeId="0" xr:uid="{00000000-0006-0000-0000-00002F000000}">
      <text>
        <r>
          <rPr>
            <b/>
            <sz val="9"/>
            <color indexed="81"/>
            <rFont val="Tahoma"/>
            <family val="2"/>
          </rPr>
          <t>PC:</t>
        </r>
        <r>
          <rPr>
            <sz val="9"/>
            <color indexed="81"/>
            <rFont val="Tahoma"/>
            <family val="2"/>
          </rPr>
          <t xml:space="preserve">
INGRESA EL 18-SEPTIEMBRE-2024
COMODATO 
INSTALACIÓN $549.00+IVA
MENSUALIDAD $250.00+IVA
SE LE INSTALA EL 24-SEPTIEMBRE-2024 
04 UNIDADES
25-SEPTIEMBRE-2024 05 UNIDADES</t>
        </r>
      </text>
    </comment>
    <comment ref="D56" authorId="1" shapeId="0" xr:uid="{00000000-0006-0000-0000-000030000000}">
      <text>
        <r>
          <rPr>
            <b/>
            <sz val="9"/>
            <color indexed="81"/>
            <rFont val="Tahoma"/>
            <family val="2"/>
          </rPr>
          <t>Luffi:</t>
        </r>
        <r>
          <rPr>
            <sz val="9"/>
            <color indexed="81"/>
            <rFont val="Tahoma"/>
            <family val="2"/>
          </rPr>
          <t xml:space="preserve">
Ricardo Gonzalez 818 029 3441
</t>
        </r>
        <r>
          <rPr>
            <b/>
            <sz val="9"/>
            <color indexed="10"/>
            <rFont val="Tahoma"/>
            <family val="2"/>
          </rPr>
          <t xml:space="preserve">ricardo.g@quinexus.mx; ricardo.g@quimbo.mx
</t>
        </r>
        <r>
          <rPr>
            <b/>
            <sz val="9"/>
            <color indexed="81"/>
            <rFont val="Tahoma"/>
            <family val="2"/>
          </rPr>
          <t xml:space="preserve">
</t>
        </r>
        <r>
          <rPr>
            <sz val="9"/>
            <color indexed="81"/>
            <rFont val="Tahoma"/>
            <family val="2"/>
          </rPr>
          <t>Arely López</t>
        </r>
        <r>
          <rPr>
            <sz val="9"/>
            <color indexed="10"/>
            <rFont val="Tahoma"/>
            <family val="2"/>
          </rPr>
          <t xml:space="preserve"> </t>
        </r>
        <r>
          <rPr>
            <sz val="9"/>
            <color indexed="81"/>
            <rFont val="Tahoma"/>
            <family val="2"/>
          </rPr>
          <t xml:space="preserve">811 499 1431
</t>
        </r>
        <r>
          <rPr>
            <b/>
            <sz val="9"/>
            <color indexed="10"/>
            <rFont val="Tahoma"/>
            <family val="2"/>
          </rPr>
          <t>arely.lr@quinexus.mx;</t>
        </r>
        <r>
          <rPr>
            <b/>
            <sz val="9"/>
            <color indexed="81"/>
            <rFont val="Tahoma"/>
            <family val="2"/>
          </rPr>
          <t xml:space="preserve"> 
</t>
        </r>
        <r>
          <rPr>
            <sz val="9"/>
            <color indexed="81"/>
            <rFont val="Tahoma"/>
            <family val="2"/>
          </rPr>
          <t xml:space="preserve">Juan Carlos 818 280 5631 
</t>
        </r>
        <r>
          <rPr>
            <b/>
            <sz val="9"/>
            <color indexed="10"/>
            <rFont val="Tahoma"/>
            <family val="2"/>
          </rPr>
          <t>juan.cf@quinexus.mx</t>
        </r>
        <r>
          <rPr>
            <b/>
            <sz val="9"/>
            <color indexed="81"/>
            <rFont val="Tahoma"/>
            <family val="2"/>
          </rPr>
          <t xml:space="preserve"> </t>
        </r>
      </text>
    </comment>
    <comment ref="E56" authorId="1" shapeId="0" xr:uid="{00000000-0006-0000-0000-000031000000}">
      <text>
        <r>
          <rPr>
            <b/>
            <sz val="9"/>
            <color indexed="81"/>
            <rFont val="Tahoma"/>
            <family val="2"/>
          </rPr>
          <t>Luffi:</t>
        </r>
        <r>
          <rPr>
            <sz val="9"/>
            <color indexed="81"/>
            <rFont val="Tahoma"/>
            <family val="2"/>
          </rPr>
          <t xml:space="preserve">
</t>
        </r>
        <r>
          <rPr>
            <sz val="10"/>
            <color indexed="81"/>
            <rFont val="Tahoma"/>
            <family val="2"/>
          </rPr>
          <t>RENTA $220.00
26 UNIDADES</t>
        </r>
      </text>
    </comment>
    <comment ref="N56" authorId="0" shapeId="0" xr:uid="{00000000-0006-0000-0000-000032000000}">
      <text>
        <r>
          <rPr>
            <b/>
            <sz val="9"/>
            <color indexed="81"/>
            <rFont val="Tahoma"/>
            <family val="2"/>
          </rPr>
          <t>PC:</t>
        </r>
        <r>
          <rPr>
            <sz val="9"/>
            <color indexed="81"/>
            <rFont val="Tahoma"/>
            <family val="2"/>
          </rPr>
          <t xml:space="preserve">
REMISION 61
</t>
        </r>
      </text>
    </comment>
    <comment ref="T56" authorId="1" shapeId="0" xr:uid="{00000000-0006-0000-0000-000033000000}">
      <text>
        <r>
          <rPr>
            <b/>
            <sz val="9"/>
            <color indexed="81"/>
            <rFont val="Tahoma"/>
            <family val="2"/>
          </rPr>
          <t>Luffi:</t>
        </r>
        <r>
          <rPr>
            <sz val="9"/>
            <color indexed="81"/>
            <rFont val="Tahoma"/>
            <family val="2"/>
          </rPr>
          <t xml:space="preserve">
REMISION 66 ENERO'22
REMISION 64 NOV-22 $32,012.00
13 INSTALACION
7 DES-INSTALACION
7-RE-INSTALACION
2 VISITA EN FALSO 
REMISION 60 02-JULIO-2022
$33,632.00
18 INSTALSACIONES
3 DES-INSTALACIONES 
1 RE-INSTALACION 
</t>
        </r>
        <r>
          <rPr>
            <sz val="10"/>
            <color indexed="81"/>
            <rFont val="Tahoma"/>
            <family val="2"/>
          </rPr>
          <t xml:space="preserve">
</t>
        </r>
      </text>
    </comment>
    <comment ref="U56" authorId="1" shapeId="0" xr:uid="{00000000-0006-0000-0000-000034000000}">
      <text>
        <r>
          <rPr>
            <b/>
            <sz val="9"/>
            <color indexed="81"/>
            <rFont val="Tahoma"/>
            <family val="2"/>
          </rPr>
          <t>Luffi:</t>
        </r>
        <r>
          <rPr>
            <sz val="9"/>
            <color indexed="81"/>
            <rFont val="Tahoma"/>
            <family val="2"/>
          </rPr>
          <t xml:space="preserve">
</t>
        </r>
        <r>
          <rPr>
            <sz val="10"/>
            <color indexed="81"/>
            <rFont val="Tahoma"/>
            <family val="2"/>
          </rPr>
          <t>29-JULIO-20 $3,448.00
10-AGOSTO-20 $5,940.00</t>
        </r>
      </text>
    </comment>
    <comment ref="E57" authorId="1" shapeId="0" xr:uid="{00000000-0006-0000-0000-000035000000}">
      <text>
        <r>
          <rPr>
            <b/>
            <sz val="9"/>
            <color indexed="81"/>
            <rFont val="Tahoma"/>
            <family val="2"/>
          </rPr>
          <t>Luffi:</t>
        </r>
        <r>
          <rPr>
            <sz val="9"/>
            <color indexed="81"/>
            <rFont val="Tahoma"/>
            <family val="2"/>
          </rPr>
          <t xml:space="preserve">
3 EQUIPOS $1,999.00 + IVA $2,318.84
4 RENTA $330.00 + IVA $382.80
CON CANAL DE VOZ
MENSUALIDAD $1,531.20</t>
        </r>
      </text>
    </comment>
    <comment ref="E58" authorId="0" shapeId="0" xr:uid="{00000000-0006-0000-0000-000036000000}">
      <text>
        <r>
          <rPr>
            <b/>
            <sz val="9"/>
            <color indexed="81"/>
            <rFont val="Tahoma"/>
            <family val="2"/>
          </rPr>
          <t>PC:</t>
        </r>
        <r>
          <rPr>
            <sz val="9"/>
            <color indexed="81"/>
            <rFont val="Tahoma"/>
            <family val="2"/>
          </rPr>
          <t xml:space="preserve">
INGRESA EL 26-ABRIL-2024 
EQUIPO $3,500.00+IVA
MENSUALIDAD $300.00+IVA
SENSOR DE DIESEL PRIMARIO $8,500.00+IVA
SENSOR DE DIESEL SECUNDARIO $8,000.00+IVA</t>
        </r>
      </text>
    </comment>
    <comment ref="E59" authorId="1" shapeId="0" xr:uid="{00000000-0006-0000-0000-000037000000}">
      <text>
        <r>
          <rPr>
            <b/>
            <sz val="9"/>
            <color indexed="81"/>
            <rFont val="Tahoma"/>
            <family val="2"/>
          </rPr>
          <t>Luffi:</t>
        </r>
        <r>
          <rPr>
            <sz val="9"/>
            <color indexed="81"/>
            <rFont val="Tahoma"/>
            <family val="2"/>
          </rPr>
          <t xml:space="preserve">
</t>
        </r>
        <r>
          <rPr>
            <sz val="10"/>
            <color indexed="81"/>
            <rFont val="Tahoma"/>
            <family val="2"/>
          </rPr>
          <t>EQ. $1,800
MEN $300
2do EQUIPO COMPRADO 17-DIC-2020 
3er EQUIPO COMPRADO 30-ENE-2021</t>
        </r>
      </text>
    </comment>
    <comment ref="E60" authorId="0" shapeId="0" xr:uid="{00000000-0006-0000-0000-000038000000}">
      <text>
        <r>
          <rPr>
            <b/>
            <sz val="9"/>
            <color indexed="81"/>
            <rFont val="Tahoma"/>
            <family val="2"/>
          </rPr>
          <t>PC:</t>
        </r>
        <r>
          <rPr>
            <sz val="9"/>
            <color indexed="81"/>
            <rFont val="Tahoma"/>
            <family val="2"/>
          </rPr>
          <t xml:space="preserve">
INICA EL 11-NOVIEMBRE-2023
EQUIPO $2,100.00+IVA
MENSUALIDAD $330.00+IVA</t>
        </r>
      </text>
    </comment>
    <comment ref="E61" authorId="0" shapeId="0" xr:uid="{00000000-0006-0000-0000-000039000000}">
      <text>
        <r>
          <rPr>
            <sz val="9"/>
            <color indexed="81"/>
            <rFont val="Tahoma"/>
            <family val="2"/>
          </rPr>
          <t xml:space="preserve">INICIA 19 NOVIEMBRE'2022 
+COMODATO 
MENSUALIDAD $289.00+IVA 
INSTALACION $500.00+IVA </t>
        </r>
      </text>
    </comment>
    <comment ref="T61" authorId="0" shapeId="0" xr:uid="{00000000-0006-0000-0000-00003A000000}">
      <text>
        <r>
          <rPr>
            <b/>
            <sz val="9"/>
            <color indexed="81"/>
            <rFont val="Tahoma"/>
            <family val="2"/>
          </rPr>
          <t xml:space="preserve">PC:
</t>
        </r>
        <r>
          <rPr>
            <sz val="9"/>
            <color indexed="81"/>
            <rFont val="Tahoma"/>
            <family val="2"/>
          </rPr>
          <t>INSTALACION 09-FEB-2023 $500.00+IVA 
MENS. PROP. $202.30+IVA (21 DIAS $9.63 C/U) 
MENSUALIDAD PROPORCIONAL INSTALACIONES 19 NOV 2022 
11 DÍAS $105.96+IVA= $1,059.66</t>
        </r>
      </text>
    </comment>
    <comment ref="E62" authorId="0" shapeId="0" xr:uid="{00000000-0006-0000-0000-00003B000000}">
      <text>
        <r>
          <rPr>
            <b/>
            <sz val="9"/>
            <color indexed="81"/>
            <rFont val="Tahoma"/>
            <family val="2"/>
          </rPr>
          <t>PC:</t>
        </r>
        <r>
          <rPr>
            <sz val="9"/>
            <color indexed="81"/>
            <rFont val="Tahoma"/>
            <family val="2"/>
          </rPr>
          <t xml:space="preserve">
INGRESA EL 11-OCTUBRE-2024
COMODATO
INSTALACIÓN $549.00+IVA
MENSUALIDAD $300.00+IVA</t>
        </r>
      </text>
    </comment>
    <comment ref="E63" authorId="0" shapeId="0" xr:uid="{00000000-0006-0000-0000-00003C000000}">
      <text>
        <r>
          <rPr>
            <b/>
            <sz val="9"/>
            <color indexed="81"/>
            <rFont val="Tahoma"/>
            <family val="2"/>
          </rPr>
          <t>PC:</t>
        </r>
        <r>
          <rPr>
            <sz val="9"/>
            <color indexed="81"/>
            <rFont val="Tahoma"/>
            <family val="2"/>
          </rPr>
          <t xml:space="preserve">
INGRESA EL 30-SEPTIEMBRE-2023
EQUIPO $1,850.00+IVA
MENSUALIDAD $300.00+IVA</t>
        </r>
      </text>
    </comment>
    <comment ref="E64" authorId="0" shapeId="0" xr:uid="{00000000-0006-0000-0000-00003D000000}">
      <text>
        <r>
          <rPr>
            <b/>
            <sz val="9"/>
            <color indexed="81"/>
            <rFont val="Tahoma"/>
            <family val="2"/>
          </rPr>
          <t>PC:</t>
        </r>
        <r>
          <rPr>
            <sz val="9"/>
            <color indexed="81"/>
            <rFont val="Tahoma"/>
            <family val="2"/>
          </rPr>
          <t xml:space="preserve">
INGRESA EL 21-OCTUBRE-2024
EQUIPO $1,850.00+IVA
MENSUALIDAD $200.00+IVA
REVISION, RECONFIGURACION Y REACTIVACION DE EQUIPO Y CUENTA $1,000.00+IVA</t>
        </r>
      </text>
    </comment>
    <comment ref="E65" authorId="0" shapeId="0" xr:uid="{00000000-0006-0000-0000-00003E000000}">
      <text>
        <r>
          <rPr>
            <b/>
            <sz val="9"/>
            <color indexed="81"/>
            <rFont val="Tahoma"/>
            <family val="2"/>
          </rPr>
          <t>PC:</t>
        </r>
        <r>
          <rPr>
            <sz val="9"/>
            <color indexed="81"/>
            <rFont val="Tahoma"/>
            <family val="2"/>
          </rPr>
          <t xml:space="preserve">
RE-INGRESO 05-DICIEMBRE-2024
EQUIPO $1,989.00+IVA
MENSUALIDAD $300.00+IVA</t>
        </r>
      </text>
    </comment>
    <comment ref="E66" authorId="0" shapeId="0" xr:uid="{00000000-0006-0000-0000-00003F000000}">
      <text>
        <r>
          <rPr>
            <b/>
            <sz val="9"/>
            <color indexed="81"/>
            <rFont val="Tahoma"/>
            <family val="2"/>
          </rPr>
          <t>PC:</t>
        </r>
        <r>
          <rPr>
            <sz val="9"/>
            <color indexed="81"/>
            <rFont val="Tahoma"/>
            <family val="2"/>
          </rPr>
          <t xml:space="preserve">
INGRESA EL 21-NOVIEMBRE-2024 
EQUIPO $2,000.00+IVA
MENSUALIDAD $250.00+IVA</t>
        </r>
      </text>
    </comment>
    <comment ref="E67" authorId="0" shapeId="0" xr:uid="{00000000-0006-0000-0000-000040000000}">
      <text>
        <r>
          <rPr>
            <b/>
            <sz val="9"/>
            <color indexed="81"/>
            <rFont val="Tahoma"/>
            <family val="2"/>
          </rPr>
          <t>PC:</t>
        </r>
        <r>
          <rPr>
            <sz val="9"/>
            <color indexed="81"/>
            <rFont val="Tahoma"/>
            <family val="2"/>
          </rPr>
          <t xml:space="preserve">
INGRESO 12-JUNIO-2023 PDTES. INST. 
MIGRACION DE LINEA $450.00+IVA
MENSUALIDAD $249.00+IVA
EQUIPO $1,999.00+IVA
NOTA: A 1 INSTALACION SE LE REBAJO EL COSTO DE MIGRACION EN EL EQUIPO, PORQUE ELLOS PENSABAN QUE SI TENIA, FUERON A REVISAR Y LA UNIDAD NO CONTABA CON GPS </t>
        </r>
      </text>
    </comment>
    <comment ref="E68" authorId="0" shapeId="0" xr:uid="{00000000-0006-0000-0000-000041000000}">
      <text>
        <r>
          <rPr>
            <b/>
            <sz val="9"/>
            <color indexed="81"/>
            <rFont val="Tahoma"/>
            <family val="2"/>
          </rPr>
          <t>PC:</t>
        </r>
        <r>
          <rPr>
            <sz val="9"/>
            <color indexed="81"/>
            <rFont val="Tahoma"/>
            <family val="2"/>
          </rPr>
          <t xml:space="preserve">
INGRESA EL 09-DICIEMBRE-2024   (RECOMENDADO DE ALBERTO PEREZ) 
EQUIPO $1,800.00+IVA
MENSUALIDAD $300.00+IVA</t>
        </r>
      </text>
    </comment>
    <comment ref="E69" authorId="0" shapeId="0" xr:uid="{00000000-0006-0000-0000-000042000000}">
      <text>
        <r>
          <rPr>
            <b/>
            <sz val="9"/>
            <color indexed="81"/>
            <rFont val="Tahoma"/>
            <family val="2"/>
          </rPr>
          <t>PC:</t>
        </r>
        <r>
          <rPr>
            <sz val="9"/>
            <color indexed="81"/>
            <rFont val="Tahoma"/>
            <family val="2"/>
          </rPr>
          <t xml:space="preserve">
INICIA EL 24-MAYO-2023 
EQUIPO  $1,879.00+IVA=$2,179.64
MENSUALIDAD  $249.00+IVA=$288.84</t>
        </r>
      </text>
    </comment>
    <comment ref="E70" authorId="0" shapeId="0" xr:uid="{00000000-0006-0000-0000-000043000000}">
      <text>
        <r>
          <rPr>
            <b/>
            <sz val="9"/>
            <color indexed="81"/>
            <rFont val="Tahoma"/>
            <family val="2"/>
          </rPr>
          <t>PC:</t>
        </r>
        <r>
          <rPr>
            <sz val="9"/>
            <color indexed="81"/>
            <rFont val="Tahoma"/>
            <family val="2"/>
          </rPr>
          <t xml:space="preserve">
INICIA EL 02-MARZO-2023 
EQUIPO $1,724+IVA=$1,999.84
MENSUALIDAD $249.00+IVA=$288.84</t>
        </r>
      </text>
    </comment>
    <comment ref="E71" authorId="1" shapeId="0" xr:uid="{00000000-0006-0000-0000-000044000000}">
      <text>
        <r>
          <rPr>
            <b/>
            <sz val="9"/>
            <color indexed="81"/>
            <rFont val="Tahoma"/>
            <family val="2"/>
          </rPr>
          <t>Luffi:</t>
        </r>
        <r>
          <rPr>
            <sz val="9"/>
            <color indexed="81"/>
            <rFont val="Tahoma"/>
            <family val="2"/>
          </rPr>
          <t xml:space="preserve">
1 RENTA $300.00
23-JUNIO-2020
INCLUYE 2 UNIDADES </t>
        </r>
      </text>
    </comment>
    <comment ref="E72" authorId="0" shapeId="0" xr:uid="{00000000-0006-0000-0000-000045000000}">
      <text>
        <r>
          <rPr>
            <b/>
            <sz val="9"/>
            <color indexed="81"/>
            <rFont val="Tahoma"/>
            <family val="2"/>
          </rPr>
          <t>PC:</t>
        </r>
        <r>
          <rPr>
            <sz val="9"/>
            <color indexed="81"/>
            <rFont val="Tahoma"/>
            <family val="2"/>
          </rPr>
          <t xml:space="preserve">
1er INSTALACIÓN 
 22-AGOSTO-2022
Equipo: $1,800.00+IVA 
Renta: $300.00+IVA </t>
        </r>
      </text>
    </comment>
    <comment ref="E73" authorId="0" shapeId="0" xr:uid="{00000000-0006-0000-0000-000046000000}">
      <text>
        <r>
          <rPr>
            <b/>
            <sz val="9"/>
            <color indexed="81"/>
            <rFont val="Tahoma"/>
            <family val="2"/>
          </rPr>
          <t>PC:</t>
        </r>
        <r>
          <rPr>
            <sz val="9"/>
            <color indexed="81"/>
            <rFont val="Tahoma"/>
            <family val="2"/>
          </rPr>
          <t xml:space="preserve">
</t>
        </r>
        <r>
          <rPr>
            <b/>
            <sz val="9"/>
            <color indexed="81"/>
            <rFont val="Tahoma"/>
            <family val="2"/>
          </rPr>
          <t>INICA EL 24-JULIO-2023
MIGRADO DE BDB 
REACTIVACION $350.00+IVA
EQUIPO $1,800.00+IVA
MENSUALIDAD $250.00+IVA</t>
        </r>
      </text>
    </comment>
    <comment ref="E74" authorId="0" shapeId="0" xr:uid="{00000000-0006-0000-0000-000047000000}">
      <text>
        <r>
          <rPr>
            <b/>
            <sz val="9"/>
            <color indexed="81"/>
            <rFont val="Tahoma"/>
            <family val="2"/>
          </rPr>
          <t>PC:</t>
        </r>
        <r>
          <rPr>
            <sz val="9"/>
            <color indexed="81"/>
            <rFont val="Tahoma"/>
            <family val="2"/>
          </rPr>
          <t xml:space="preserve">
INGRESA EL 10-JULIO-2023
EQUIPO $1,850.00
MENSUALIDAD $250.00</t>
        </r>
      </text>
    </comment>
    <comment ref="E75" authorId="0" shapeId="0" xr:uid="{00000000-0006-0000-0000-000048000000}">
      <text>
        <r>
          <rPr>
            <b/>
            <sz val="9"/>
            <color indexed="81"/>
            <rFont val="Tahoma"/>
            <family val="2"/>
          </rPr>
          <t>PC:</t>
        </r>
        <r>
          <rPr>
            <sz val="9"/>
            <color indexed="81"/>
            <rFont val="Tahoma"/>
            <family val="2"/>
          </rPr>
          <t xml:space="preserve">
INICIA EL 07-MARZO-2024
EQUIPO $2,250.00+IVA
MENSUALIDAD CON CANAL DE VOZ $300.00+IVA</t>
        </r>
      </text>
    </comment>
    <comment ref="E76" authorId="0" shapeId="0" xr:uid="{00000000-0006-0000-0000-000049000000}">
      <text>
        <r>
          <rPr>
            <b/>
            <sz val="9"/>
            <color indexed="81"/>
            <rFont val="Tahoma"/>
            <family val="2"/>
          </rPr>
          <t>PC:</t>
        </r>
        <r>
          <rPr>
            <sz val="9"/>
            <color indexed="81"/>
            <rFont val="Tahoma"/>
            <family val="2"/>
          </rPr>
          <t xml:space="preserve">
INGRESA EL 09-ABRIL-2024 
COMODATO 
INSTALACION $500.00+IVA
MENSUALIDAD $279.00+IVA</t>
        </r>
      </text>
    </comment>
    <comment ref="E77" authorId="0" shapeId="0" xr:uid="{00000000-0006-0000-0000-00004A000000}">
      <text>
        <r>
          <rPr>
            <b/>
            <sz val="9"/>
            <color indexed="81"/>
            <rFont val="Tahoma"/>
            <family val="2"/>
          </rPr>
          <t>PC:</t>
        </r>
        <r>
          <rPr>
            <sz val="9"/>
            <color indexed="81"/>
            <rFont val="Tahoma"/>
            <family val="2"/>
          </rPr>
          <t xml:space="preserve">
INICIA EL 11-NOVIEMBRE.2023
COMODATO
INSTALACION $499.00+IVA
MENSUALIDAD $269.00+IVA
DES-INSTALACION $650.00+IVA</t>
        </r>
      </text>
    </comment>
    <comment ref="T77" authorId="0" shapeId="0" xr:uid="{00000000-0006-0000-0000-00004B000000}">
      <text>
        <r>
          <rPr>
            <b/>
            <sz val="9"/>
            <color indexed="81"/>
            <rFont val="Tahoma"/>
            <family val="2"/>
          </rPr>
          <t>PC:</t>
        </r>
        <r>
          <rPr>
            <sz val="9"/>
            <color indexed="81"/>
            <rFont val="Tahoma"/>
            <family val="2"/>
          </rPr>
          <t xml:space="preserve">
FACTURA 2424 CORRESPONDE A SERVICIO DE DES-INSTALACIONES</t>
        </r>
      </text>
    </comment>
    <comment ref="E78" authorId="0" shapeId="0" xr:uid="{00000000-0006-0000-0000-00004C000000}">
      <text>
        <r>
          <rPr>
            <b/>
            <sz val="9"/>
            <color indexed="81"/>
            <rFont val="Tahoma"/>
            <family val="2"/>
          </rPr>
          <t>PC:</t>
        </r>
        <r>
          <rPr>
            <sz val="9"/>
            <color indexed="81"/>
            <rFont val="Tahoma"/>
            <family val="2"/>
          </rPr>
          <t xml:space="preserve">
RE-INGRESO 04-AGOSTO-2022 
MENSUALIDAD $289.00+IVA 
EQUIPO $2,000.00+IVA INSTALACION DE EQUIPO $361.00+IVA 
REVISON $300.00+IVA=$348.00
FACTURAS PENDIENTES JUNIO'2020 </t>
        </r>
      </text>
    </comment>
    <comment ref="T78" authorId="0" shapeId="0" xr:uid="{00000000-0006-0000-0000-00004D000000}">
      <text>
        <r>
          <rPr>
            <b/>
            <sz val="9"/>
            <color indexed="81"/>
            <rFont val="Tahoma"/>
            <family val="2"/>
          </rPr>
          <t>PC:</t>
        </r>
        <r>
          <rPr>
            <sz val="9"/>
            <color indexed="81"/>
            <rFont val="Tahoma"/>
            <family val="2"/>
          </rPr>
          <t xml:space="preserve">
INSTALACION DE 2 EQUIPOS 04-AGOSTO-22 
ABONO A FACTURAS JUNIO'20 $968.00</t>
        </r>
      </text>
    </comment>
    <comment ref="E79" authorId="1" shapeId="0" xr:uid="{00000000-0006-0000-0000-00004E000000}">
      <text>
        <r>
          <rPr>
            <b/>
            <sz val="9"/>
            <color indexed="81"/>
            <rFont val="Tahoma"/>
            <family val="2"/>
          </rPr>
          <t>Luffi:</t>
        </r>
        <r>
          <rPr>
            <sz val="9"/>
            <color indexed="81"/>
            <rFont val="Tahoma"/>
            <family val="2"/>
          </rPr>
          <t xml:space="preserve">
MAR´2021
11 EQUIPOS COMODATO Y MONITOREO DE COMBUSTIBLE $406
UNIDADES: ECO 08, 09, 10, 11, 12, 14, 15, 16, 17 y No. 1 y 2
04 EQUIPOS COMODATO $348
UNIDADES: No. 3, 4, 6 y TOYOTA YARIS 
FEB´2021
11 EQUIPOS COMODATO Y MONITOREO DE COMBUSTIBLE $406
03 EQUIPO COMODATO $348 
11 MENSUALIDAD FIJA POR $350 + IVA = $406.00 
04 MENSUALIDAD FIJA POR $300 + IVA = $348.00 
INSTALACION $500 + IVA $580.00 C/U
MENSUALIDAD SIN SENSOR $300 + IVA $348.00 C/U
MENSUALIDAD CON SENSOR $350 + IVA $406.00 C/U
SENSORES COMBUSTIBLE $5,600 + IVA $6,496.00 C/U</t>
        </r>
      </text>
    </comment>
    <comment ref="T79" authorId="0" shapeId="0" xr:uid="{00000000-0006-0000-0000-00004F000000}">
      <text>
        <r>
          <rPr>
            <b/>
            <sz val="9"/>
            <color indexed="81"/>
            <rFont val="Tahoma"/>
            <family val="2"/>
          </rPr>
          <t>PC:</t>
        </r>
        <r>
          <rPr>
            <sz val="9"/>
            <color indexed="81"/>
            <rFont val="Tahoma"/>
            <family val="2"/>
          </rPr>
          <t xml:space="preserve">
COBRO DE RE-INSTALACIÓN POR MANIPULACIÓN 
26-AGOSTO-22
UNIDAD 07 Y UNIDAD 11  
650+IVA</t>
        </r>
      </text>
    </comment>
    <comment ref="E80" authorId="0" shapeId="0" xr:uid="{00000000-0006-0000-0000-000050000000}">
      <text>
        <r>
          <rPr>
            <b/>
            <sz val="9"/>
            <color indexed="81"/>
            <rFont val="Tahoma"/>
            <family val="2"/>
          </rPr>
          <t>PC:</t>
        </r>
        <r>
          <rPr>
            <sz val="9"/>
            <color indexed="81"/>
            <rFont val="Tahoma"/>
            <family val="2"/>
          </rPr>
          <t xml:space="preserve">
INGRESA EL 25-SEPTIEMBRE-2024
COMODATO
INSTALACIÓN $549.00+IVA
MENSUALIDAD $300.00+IVA</t>
        </r>
      </text>
    </comment>
    <comment ref="E81" authorId="1" shapeId="0" xr:uid="{00000000-0006-0000-0000-000051000000}">
      <text>
        <r>
          <rPr>
            <b/>
            <sz val="9"/>
            <color indexed="81"/>
            <rFont val="Tahoma"/>
            <family val="2"/>
          </rPr>
          <t>Luffi:</t>
        </r>
        <r>
          <rPr>
            <sz val="9"/>
            <color indexed="81"/>
            <rFont val="Tahoma"/>
            <family val="2"/>
          </rPr>
          <t xml:space="preserve">
MEN $300.00
EQUIPO $1,800</t>
        </r>
      </text>
    </comment>
    <comment ref="T81" authorId="1" shapeId="0" xr:uid="{00000000-0006-0000-0000-000052000000}">
      <text>
        <r>
          <rPr>
            <b/>
            <sz val="9"/>
            <color indexed="81"/>
            <rFont val="Tahoma"/>
            <family val="2"/>
          </rPr>
          <t>Luffi:</t>
        </r>
        <r>
          <rPr>
            <sz val="9"/>
            <color indexed="81"/>
            <rFont val="Tahoma"/>
            <family val="2"/>
          </rPr>
          <t xml:space="preserve">
</t>
        </r>
        <r>
          <rPr>
            <b/>
            <sz val="9"/>
            <color indexed="81"/>
            <rFont val="Tahoma"/>
            <family val="2"/>
          </rPr>
          <t>20-ENERO-2022</t>
        </r>
        <r>
          <rPr>
            <sz val="9"/>
            <color indexed="81"/>
            <rFont val="Tahoma"/>
            <family val="2"/>
          </rPr>
          <t xml:space="preserve">
DES-INSTALACION Y RE-INSTALACION
(NISSAN RH-55-927 / NISSAN RA-0631-A) 
$1,000.00 + IVA </t>
        </r>
        <r>
          <rPr>
            <b/>
            <sz val="9"/>
            <color indexed="81"/>
            <rFont val="Tahoma"/>
            <family val="2"/>
          </rPr>
          <t>$1,160.00</t>
        </r>
        <r>
          <rPr>
            <sz val="9"/>
            <color indexed="81"/>
            <rFont val="Tahoma"/>
            <family val="2"/>
          </rPr>
          <t xml:space="preserve">
INSTALACION (NISSAN RA-0630-A)
$1,800.00 + IVA </t>
        </r>
        <r>
          <rPr>
            <b/>
            <sz val="9"/>
            <color indexed="81"/>
            <rFont val="Tahoma"/>
            <family val="2"/>
          </rPr>
          <t xml:space="preserve">$2,088.00
31-ENERO-2022
</t>
        </r>
        <r>
          <rPr>
            <sz val="9"/>
            <color indexed="81"/>
            <rFont val="Tahoma"/>
            <family val="2"/>
          </rPr>
          <t xml:space="preserve">DES-INSTALACION Y RE-INSTALACION 
(NISSAN RD-92-855 / NISSAN PW-3723-A)
$1,000.00 + IVA </t>
        </r>
        <r>
          <rPr>
            <b/>
            <sz val="9"/>
            <color indexed="81"/>
            <rFont val="Tahoma"/>
            <family val="2"/>
          </rPr>
          <t xml:space="preserve">$1,160.00
</t>
        </r>
        <r>
          <rPr>
            <sz val="9"/>
            <color indexed="81"/>
            <rFont val="Tahoma"/>
            <family val="2"/>
          </rPr>
          <t xml:space="preserve">
INSTALACION (NISSAN RA-0887-A)
$1,800.00 + IVA  </t>
        </r>
        <r>
          <rPr>
            <b/>
            <sz val="9"/>
            <color indexed="81"/>
            <rFont val="Tahoma"/>
            <family val="2"/>
          </rPr>
          <t>$2,088.00</t>
        </r>
      </text>
    </comment>
    <comment ref="E82" authorId="0" shapeId="0" xr:uid="{00000000-0006-0000-0000-000053000000}">
      <text>
        <r>
          <rPr>
            <b/>
            <sz val="9"/>
            <color indexed="81"/>
            <rFont val="Tahoma"/>
            <family val="2"/>
          </rPr>
          <t>PC:</t>
        </r>
        <r>
          <rPr>
            <sz val="9"/>
            <color indexed="81"/>
            <rFont val="Tahoma"/>
            <family val="2"/>
          </rPr>
          <t xml:space="preserve">
INGRESA EL 12-MAYO-2024  
COMODATO
INSTALACION $650.00+IVA
MENSUALIDAD $220.00+IVA</t>
        </r>
      </text>
    </comment>
    <comment ref="E83" authorId="0" shapeId="0" xr:uid="{00000000-0006-0000-0000-000054000000}">
      <text>
        <r>
          <rPr>
            <b/>
            <sz val="9"/>
            <color indexed="81"/>
            <rFont val="Tahoma"/>
            <family val="2"/>
          </rPr>
          <t>PC:</t>
        </r>
        <r>
          <rPr>
            <sz val="9"/>
            <color indexed="81"/>
            <rFont val="Tahoma"/>
            <family val="2"/>
          </rPr>
          <t xml:space="preserve">
INGRESA EL 20-AGOSTO-2024
EQUIPO $1,850.00+IVA
MENSUALIDAD $300.00+IVA</t>
        </r>
      </text>
    </comment>
    <comment ref="E84" authorId="0" shapeId="0" xr:uid="{00000000-0006-0000-0000-000055000000}">
      <text>
        <r>
          <rPr>
            <b/>
            <sz val="9"/>
            <color indexed="81"/>
            <rFont val="Tahoma"/>
            <family val="2"/>
          </rPr>
          <t>PC:</t>
        </r>
        <r>
          <rPr>
            <sz val="9"/>
            <color indexed="81"/>
            <rFont val="Tahoma"/>
            <family val="2"/>
          </rPr>
          <t xml:space="preserve">
INICIA EL 08-SEP-2023
EQUIPO $1,850.00+IVA
MENSUALIDAD $250.00+IVA
</t>
        </r>
      </text>
    </comment>
    <comment ref="E85" authorId="0" shapeId="0" xr:uid="{00000000-0006-0000-0000-000056000000}">
      <text>
        <r>
          <rPr>
            <b/>
            <sz val="9"/>
            <color indexed="81"/>
            <rFont val="Tahoma"/>
            <family val="2"/>
          </rPr>
          <t>PC:</t>
        </r>
        <r>
          <rPr>
            <sz val="9"/>
            <color indexed="81"/>
            <rFont val="Tahoma"/>
            <family val="2"/>
          </rPr>
          <t xml:space="preserve">
INGRESA EL 21-OCTUBRE-2024
COMODATO
INSTALACION $549.00+IVA
MENSUALIDAD $300.00+IVA</t>
        </r>
      </text>
    </comment>
    <comment ref="E86" authorId="0" shapeId="0" xr:uid="{00000000-0006-0000-0000-000057000000}">
      <text>
        <r>
          <rPr>
            <b/>
            <sz val="9"/>
            <color indexed="81"/>
            <rFont val="Tahoma"/>
            <family val="2"/>
          </rPr>
          <t>PC:</t>
        </r>
        <r>
          <rPr>
            <sz val="9"/>
            <color indexed="81"/>
            <rFont val="Tahoma"/>
            <family val="2"/>
          </rPr>
          <t xml:space="preserve">
INGRESA EL 12-ENERO-2024
SE LE INSTALA EL 15-ENERO-2024
EQUIPO E INST. $2,550.00+IVA
MENSUALIDAD $300.00+IVA</t>
        </r>
      </text>
    </comment>
    <comment ref="E87" authorId="0" shapeId="0" xr:uid="{00000000-0006-0000-0000-000058000000}">
      <text>
        <r>
          <rPr>
            <b/>
            <sz val="9"/>
            <color indexed="81"/>
            <rFont val="Tahoma"/>
            <family val="2"/>
          </rPr>
          <t>PC:</t>
        </r>
        <r>
          <rPr>
            <sz val="9"/>
            <color indexed="81"/>
            <rFont val="Tahoma"/>
            <family val="2"/>
          </rPr>
          <t xml:space="preserve">
INGRESA EL 11-OCTUBRE-2024
COMODATO
INSTALACIÓN $549.00+IVA
MENSUALIDAD $300.00+IVA
VISITA EN FALSO $250.00+IVA</t>
        </r>
      </text>
    </comment>
    <comment ref="E88" authorId="0" shapeId="0" xr:uid="{00000000-0006-0000-0000-000059000000}">
      <text>
        <r>
          <rPr>
            <b/>
            <sz val="9"/>
            <color indexed="81"/>
            <rFont val="Tahoma"/>
            <family val="2"/>
          </rPr>
          <t>PC:</t>
        </r>
        <r>
          <rPr>
            <sz val="9"/>
            <color indexed="81"/>
            <rFont val="Tahoma"/>
            <family val="2"/>
          </rPr>
          <t xml:space="preserve">
INGRESA EL 10-OCTUBRE-2024
COMODATO 
INSTALACION $549.00+IVA
MENSUALIDAD $300.00+IVA</t>
        </r>
      </text>
    </comment>
    <comment ref="E89" authorId="0" shapeId="0" xr:uid="{00000000-0006-0000-0000-00005A000000}">
      <text>
        <r>
          <rPr>
            <b/>
            <sz val="9"/>
            <color indexed="81"/>
            <rFont val="Tahoma"/>
            <family val="2"/>
          </rPr>
          <t>PC:</t>
        </r>
        <r>
          <rPr>
            <sz val="9"/>
            <color indexed="81"/>
            <rFont val="Tahoma"/>
            <family val="2"/>
          </rPr>
          <t xml:space="preserve">
INGRESA EL 10-OCTUBRE-2023
EQUIPO $2,000.00+IVA
MENSUALIDAD $250.00+IVA</t>
        </r>
      </text>
    </comment>
    <comment ref="E90" authorId="0" shapeId="0" xr:uid="{00000000-0006-0000-0000-00005B000000}">
      <text>
        <r>
          <rPr>
            <b/>
            <sz val="9"/>
            <color indexed="81"/>
            <rFont val="Tahoma"/>
            <family val="2"/>
          </rPr>
          <t>PC:</t>
        </r>
        <r>
          <rPr>
            <sz val="9"/>
            <color indexed="81"/>
            <rFont val="Tahoma"/>
            <family val="2"/>
          </rPr>
          <t xml:space="preserve">
INICA EL 13-NOVIEMBRE-2023
EQUIPO $2,200.00+IVA
MENSUALIDAD $250.00+IVA</t>
        </r>
      </text>
    </comment>
    <comment ref="E91" authorId="1" shapeId="0" xr:uid="{00000000-0006-0000-0000-00005C000000}">
      <text>
        <r>
          <rPr>
            <b/>
            <sz val="9"/>
            <color indexed="81"/>
            <rFont val="Tahoma"/>
            <family val="2"/>
          </rPr>
          <t>Luffi:</t>
        </r>
        <r>
          <rPr>
            <sz val="9"/>
            <color indexed="81"/>
            <rFont val="Tahoma"/>
            <family val="2"/>
          </rPr>
          <t xml:space="preserve">
EQUIPO $2,200.00+IVA
MENSUALIDAD 
$250.00 C/U + IVA 
</t>
        </r>
      </text>
    </comment>
    <comment ref="E92" authorId="0" shapeId="0" xr:uid="{00000000-0006-0000-0000-00005D000000}">
      <text>
        <r>
          <rPr>
            <b/>
            <sz val="9"/>
            <color indexed="81"/>
            <rFont val="Tahoma"/>
            <family val="2"/>
          </rPr>
          <t>PC:</t>
        </r>
        <r>
          <rPr>
            <sz val="9"/>
            <color indexed="81"/>
            <rFont val="Tahoma"/>
            <family val="2"/>
          </rPr>
          <t xml:space="preserve">
INICA EL 22-MARZO-2023
EQUIPO: $2,500.00+IVA= $2,900.00
MENSUALIDAD: $350.00+IVA= $406.00
EQUIPO PORTATIL $5,420.00+IVA
REVISION $450.00+IVA</t>
        </r>
      </text>
    </comment>
    <comment ref="E93" authorId="0" shapeId="0" xr:uid="{00000000-0006-0000-0000-00005E000000}">
      <text>
        <r>
          <rPr>
            <b/>
            <sz val="9"/>
            <color indexed="81"/>
            <rFont val="Tahoma"/>
            <family val="2"/>
          </rPr>
          <t>PC:</t>
        </r>
        <r>
          <rPr>
            <sz val="9"/>
            <color indexed="81"/>
            <rFont val="Tahoma"/>
            <family val="2"/>
          </rPr>
          <t xml:space="preserve">
INICA EL 22-MARZO-2023
EQUIPO: $2,500.00+IVA= $2,900.00
MENSUALIDAD: $350.00+IVA= $406.00</t>
        </r>
      </text>
    </comment>
    <comment ref="E94" authorId="1" shapeId="0" xr:uid="{00000000-0006-0000-0000-00005F000000}">
      <text>
        <r>
          <rPr>
            <b/>
            <sz val="9"/>
            <color indexed="81"/>
            <rFont val="Tahoma"/>
            <family val="2"/>
          </rPr>
          <t>Luffi:</t>
        </r>
        <r>
          <rPr>
            <sz val="9"/>
            <color indexed="81"/>
            <rFont val="Tahoma"/>
            <family val="2"/>
          </rPr>
          <t xml:space="preserve">
RENTA 7 $350.00
1 GPS EN PLAN $650.00
EQUIPO $1,800.00+IVA
1 UNIDAD MAS OCTUBRE
</t>
        </r>
        <r>
          <rPr>
            <b/>
            <sz val="9"/>
            <color indexed="81"/>
            <rFont val="Tahoma"/>
            <family val="2"/>
          </rPr>
          <t xml:space="preserve">CAMBIO DE RAZON SOCIAL MARZO´2022
SE DIVIDE CUENTA ACERTRANS - SILVIA NERIA - AGOSTO 2023
</t>
        </r>
      </text>
    </comment>
    <comment ref="E95" authorId="0" shapeId="0" xr:uid="{00000000-0006-0000-0000-000060000000}">
      <text>
        <r>
          <rPr>
            <b/>
            <sz val="9"/>
            <color indexed="81"/>
            <rFont val="Tahoma"/>
            <family val="2"/>
          </rPr>
          <t>PC:</t>
        </r>
        <r>
          <rPr>
            <sz val="9"/>
            <color indexed="81"/>
            <rFont val="Tahoma"/>
            <family val="2"/>
          </rPr>
          <t xml:space="preserve">
INGRESA EL  08-ENERO-2025
EQUIPO $1,850.00+IVA
MENSUALIDAD $249.00+IVA</t>
        </r>
      </text>
    </comment>
    <comment ref="E96" authorId="0" shapeId="0" xr:uid="{00000000-0006-0000-0000-000061000000}">
      <text>
        <r>
          <rPr>
            <b/>
            <sz val="9"/>
            <color indexed="81"/>
            <rFont val="Tahoma"/>
            <family val="2"/>
          </rPr>
          <t>PC:</t>
        </r>
        <r>
          <rPr>
            <sz val="9"/>
            <color indexed="81"/>
            <rFont val="Tahoma"/>
            <family val="2"/>
          </rPr>
          <t xml:space="preserve">
INGRESA EL 23-OCTUBRE-2024
COMODATO
INSTALACION $549.00+IVA
MENSUALIDAD $300.00+IVA
SE ENVIAN EQUIPOS EL 30-OCTUBRE-2024 A HIDALGO 
</t>
        </r>
      </text>
    </comment>
    <comment ref="E97" authorId="0" shapeId="0" xr:uid="{00000000-0006-0000-0000-000062000000}">
      <text>
        <r>
          <rPr>
            <b/>
            <sz val="9"/>
            <color indexed="81"/>
            <rFont val="Tahoma"/>
            <family val="2"/>
          </rPr>
          <t>PC:</t>
        </r>
        <r>
          <rPr>
            <sz val="9"/>
            <color indexed="81"/>
            <rFont val="Tahoma"/>
            <family val="2"/>
          </rPr>
          <t xml:space="preserve">
INICIA EL 10-MARZO-2023 
COMODATO 
INSTALACIÓN $650.00+IVA= $754.00
MENSUALIDAD $300.00+IVA= $348.00</t>
        </r>
      </text>
    </comment>
    <comment ref="E98" authorId="0" shapeId="0" xr:uid="{00000000-0006-0000-0000-000063000000}">
      <text>
        <r>
          <rPr>
            <b/>
            <sz val="9"/>
            <color indexed="81"/>
            <rFont val="Tahoma"/>
            <family val="2"/>
          </rPr>
          <t xml:space="preserve">PC:
</t>
        </r>
        <r>
          <rPr>
            <sz val="10"/>
            <color indexed="81"/>
            <rFont val="Tahoma"/>
            <family val="2"/>
          </rPr>
          <t>INICIA EL 02-MAYO-2023 SR. VICTOR DAMIAN ZAPATA NORIEGA
EQUIPO $1,850.00
MENSUALIDAD $250.00
RE-INGRESO SR. ISMAEL ESCAREÑO  19-OCTUBRE-2024</t>
        </r>
      </text>
    </comment>
    <comment ref="E99" authorId="0" shapeId="0" xr:uid="{00000000-0006-0000-0000-000064000000}">
      <text>
        <r>
          <rPr>
            <b/>
            <sz val="9"/>
            <color indexed="81"/>
            <rFont val="Tahoma"/>
            <family val="2"/>
          </rPr>
          <t>PC:</t>
        </r>
        <r>
          <rPr>
            <sz val="9"/>
            <color indexed="81"/>
            <rFont val="Tahoma"/>
            <family val="2"/>
          </rPr>
          <t xml:space="preserve">
UNIDADES DE ERNESTO GOMEZ SE LE INSTALA EL 09-ENERO-2025
COMODATO 
INSTALACION $549.0+IVA
MENSUALIDAD $250.00´+IVA</t>
        </r>
      </text>
    </comment>
    <comment ref="E100" authorId="0" shapeId="0" xr:uid="{00000000-0006-0000-0000-000065000000}">
      <text>
        <r>
          <rPr>
            <b/>
            <sz val="9"/>
            <color indexed="81"/>
            <rFont val="Tahoma"/>
            <family val="2"/>
          </rPr>
          <t xml:space="preserve">PC:
</t>
        </r>
        <r>
          <rPr>
            <sz val="9"/>
            <color indexed="81"/>
            <rFont val="Tahoma"/>
            <family val="2"/>
          </rPr>
          <t>INICIA EL 23-NOVIEMBRE-2022 
3 UNIDADES 
EQUIPO E INSTALACIÓN $1,900.00+IVA = "2,204.00
MENSUALIDAD $275.00+IVA= $319.00 
DES-INSTALACION $650.00+IVA
RE-INSTALACION $650.00+IVA</t>
        </r>
      </text>
    </comment>
    <comment ref="T100" authorId="0" shapeId="0" xr:uid="{00000000-0006-0000-0000-000066000000}">
      <text>
        <r>
          <rPr>
            <b/>
            <sz val="9"/>
            <color indexed="81"/>
            <rFont val="Tahoma"/>
            <family val="2"/>
          </rPr>
          <t>PC:</t>
        </r>
        <r>
          <rPr>
            <sz val="9"/>
            <color indexed="81"/>
            <rFont val="Tahoma"/>
            <family val="2"/>
          </rPr>
          <t xml:space="preserve">
REVISION DE UNIDAD 30-ENE-23 *EQUIPO MANIPULADO $350.00+IVA=$406.00INCREMENTA 3 UNIDADES 07-DICIEMBRE-22 
3 EQUIPOS $1,900.00+IVA 
MENSUALIDAD PROPORCIONAL $210.83+IVA
MENSUALIDAD PROPORCIONAL 
INST. 3 UNIDADES 23-NOV-22 (7 DÍAS) $64.16 c/u = $192.50+IVA:$223.30
INST. 3 UNIDADES 25-NOV-22 /5 DÍAS) $45.83 c/U = $137.50+IVA:$159.42 
INCREMENTO DE 3 EQUIPO $1,900.00+IVA
3 MESNS. $275.00+IVA </t>
        </r>
      </text>
    </comment>
    <comment ref="E101" authorId="0" shapeId="0" xr:uid="{00000000-0006-0000-0000-000067000000}">
      <text>
        <r>
          <rPr>
            <b/>
            <sz val="9"/>
            <color indexed="81"/>
            <rFont val="Tahoma"/>
            <family val="2"/>
          </rPr>
          <t>PC:</t>
        </r>
        <r>
          <rPr>
            <sz val="9"/>
            <color indexed="81"/>
            <rFont val="Tahoma"/>
            <family val="2"/>
          </rPr>
          <t xml:space="preserve">
INGRESA EL 11-ENERO-2025
INSTALACION $549.00+IVA
MENSUALIDAD $299.00+IVA</t>
        </r>
      </text>
    </comment>
    <comment ref="E102" authorId="1" shapeId="0" xr:uid="{00000000-0006-0000-0000-000068000000}">
      <text>
        <r>
          <rPr>
            <b/>
            <sz val="9"/>
            <color indexed="81"/>
            <rFont val="Tahoma"/>
            <family val="2"/>
          </rPr>
          <t>Luffi:</t>
        </r>
        <r>
          <rPr>
            <sz val="9"/>
            <color indexed="81"/>
            <rFont val="Tahoma"/>
            <family val="2"/>
          </rPr>
          <t xml:space="preserve">
</t>
        </r>
        <r>
          <rPr>
            <sz val="10"/>
            <color indexed="81"/>
            <rFont val="Tahoma"/>
            <family val="2"/>
          </rPr>
          <t xml:space="preserve">4 RENTA $300.00 c/u
EQUIPO $1,800.00
SENSOR DE TEMPERATURA $900.00
SEPTIEMBRE 2024: INGRESA A ESQUEMA DE FACTURACIÓN Y SE LE COBRA +IVA
21-JULIO-2020 1 UNIDAD MAS 
16-FEBRERO-2023 1 UNIDAD MAS *SE LE COBRA MENS. PROPR. DE 9 DÍAS PORQUE LA UNIDAD NO REPORTABA Y SE FUE A REVISAR </t>
        </r>
      </text>
    </comment>
    <comment ref="E103" authorId="1" shapeId="0" xr:uid="{00000000-0006-0000-0000-000069000000}">
      <text>
        <r>
          <rPr>
            <b/>
            <sz val="9"/>
            <color indexed="81"/>
            <rFont val="Tahoma"/>
            <family val="2"/>
          </rPr>
          <t>Luffi:</t>
        </r>
        <r>
          <rPr>
            <sz val="9"/>
            <color indexed="81"/>
            <rFont val="Tahoma"/>
            <family val="2"/>
          </rPr>
          <t xml:space="preserve">
</t>
        </r>
        <r>
          <rPr>
            <b/>
            <sz val="10"/>
            <color indexed="81"/>
            <rFont val="Tahoma"/>
            <family val="2"/>
          </rPr>
          <t>6 UNIDADES COMODATO</t>
        </r>
        <r>
          <rPr>
            <sz val="9"/>
            <color indexed="81"/>
            <rFont val="Tahoma"/>
            <family val="2"/>
          </rPr>
          <t xml:space="preserve">
INSTALACION $500 + IVA
DESINSTALACIONES $500+IVA
RE-INSTALACIONES $500.00+IVA
MENSUALIDAD $350 + IVA
 AGRAGA 1 UNID. 10-OCT-22
INSTALACIONES 
26 Y 27 FEBRERO´2021
SE LE FACTURA HASTA ABRIL´2021|</t>
        </r>
      </text>
    </comment>
    <comment ref="E104" authorId="1" shapeId="0" xr:uid="{00000000-0006-0000-0000-00006A000000}">
      <text>
        <r>
          <rPr>
            <b/>
            <sz val="9"/>
            <color indexed="81"/>
            <rFont val="Tahoma"/>
            <family val="2"/>
          </rPr>
          <t>Luffi:</t>
        </r>
        <r>
          <rPr>
            <sz val="9"/>
            <color indexed="81"/>
            <rFont val="Tahoma"/>
            <family val="2"/>
          </rPr>
          <t xml:space="preserve">
EMPIEZA ESQUEMA EN PLAN 
PLATAFORMA NUEVA NOVIEMBRE´2020 
*MENSUALIDAD        $150.00   +  IVA = $174.00
*EQUIPO                 $1,724.00 + IVA = $1,999.84
*INSTALACION         $600.00   + IVA = $696.00
*RE-INSTALACION    $600.00   + IVA = $696.00
*DES-INSTALACION  $650.00   + IVA = $754.00
*REVISION              $450.00   + IVA = $522.00
*VISITA EN FALSO   $250.00   + IVA = $290.00
*MIGRACION            $450.00   + IVA = $522.00
</t>
        </r>
      </text>
    </comment>
    <comment ref="T104" authorId="0" shapeId="0" xr:uid="{00000000-0006-0000-0000-00006B000000}">
      <text>
        <r>
          <rPr>
            <b/>
            <sz val="9"/>
            <color indexed="81"/>
            <rFont val="Tahoma"/>
            <family val="2"/>
          </rPr>
          <t>PC:</t>
        </r>
        <r>
          <rPr>
            <sz val="9"/>
            <color indexed="81"/>
            <rFont val="Tahoma"/>
            <family val="2"/>
          </rPr>
          <t xml:space="preserve">
7 EQUIPOS 
1 DES-INSTALACIÓN U.364 9-AGO-22 $650+IVA
1 RE-INSTALACIÓN U.368 9-AGO-22 $600+IVA
2 VISITA EN FALSO 13-AGO-22 $250 c/u +IVA </t>
        </r>
      </text>
    </comment>
    <comment ref="E105" authorId="1" shapeId="0" xr:uid="{00000000-0006-0000-0000-00006C000000}">
      <text>
        <r>
          <rPr>
            <b/>
            <sz val="9"/>
            <color indexed="81"/>
            <rFont val="Tahoma"/>
            <family val="2"/>
          </rPr>
          <t>Luffi:</t>
        </r>
        <r>
          <rPr>
            <sz val="9"/>
            <color indexed="81"/>
            <rFont val="Tahoma"/>
            <family val="2"/>
          </rPr>
          <t xml:space="preserve">
1 UNIDAD 
EQUIPO $1,879 + IVA  $2,179.64
RENTA   $300 + IVA    $348.00
 REVISIONES $450.0+IVA = $522.00
</t>
        </r>
        <r>
          <rPr>
            <b/>
            <sz val="9"/>
            <color indexed="81"/>
            <rFont val="Tahoma"/>
            <family val="2"/>
          </rPr>
          <t>INSTALACION 12-FEB-2021</t>
        </r>
      </text>
    </comment>
    <comment ref="E106" authorId="1" shapeId="0" xr:uid="{00000000-0006-0000-0000-00006D000000}">
      <text>
        <r>
          <rPr>
            <b/>
            <sz val="9"/>
            <color indexed="81"/>
            <rFont val="Tahoma"/>
            <family val="2"/>
          </rPr>
          <t>Luffi:</t>
        </r>
        <r>
          <rPr>
            <sz val="9"/>
            <color indexed="81"/>
            <rFont val="Tahoma"/>
            <family val="2"/>
          </rPr>
          <t xml:space="preserve">
22 MIGRACIONES $350.00 + IVA
44 MENSUALIDAD $200.00 + IVA
1 EQUIPO $1,850.00 + IVA 
INSTALACION $650.00+IVA
RE-INSTALACIONES $650.00 + IVA
DES-INTALACIONES $
REVISIONES $450.00+IVA 
</t>
        </r>
        <r>
          <rPr>
            <b/>
            <sz val="9"/>
            <color indexed="81"/>
            <rFont val="Tahoma"/>
            <family val="2"/>
          </rPr>
          <t>*INICIA SEPTIEMBRE´2021*</t>
        </r>
      </text>
    </comment>
    <comment ref="T106" authorId="0" shapeId="0" xr:uid="{00000000-0006-0000-0000-00006E000000}">
      <text>
        <r>
          <rPr>
            <b/>
            <sz val="9"/>
            <color indexed="81"/>
            <rFont val="Tahoma"/>
            <family val="2"/>
          </rPr>
          <t>PC:</t>
        </r>
        <r>
          <rPr>
            <sz val="9"/>
            <color indexed="81"/>
            <rFont val="Tahoma"/>
            <family val="2"/>
          </rPr>
          <t xml:space="preserve">
FACTURA ADICIONAL MAYO 2023
7 EQUIPOES E INST. DIF. DE $1,200.00+IVA POR CADA UNO </t>
        </r>
      </text>
    </comment>
    <comment ref="D107" authorId="1" shapeId="0" xr:uid="{00000000-0006-0000-0000-00006F000000}">
      <text>
        <r>
          <rPr>
            <b/>
            <sz val="9"/>
            <color indexed="81"/>
            <rFont val="Tahoma"/>
            <family val="2"/>
          </rPr>
          <t>Luffi:</t>
        </r>
        <r>
          <rPr>
            <sz val="9"/>
            <color indexed="81"/>
            <rFont val="Tahoma"/>
            <family val="2"/>
          </rPr>
          <t xml:space="preserve">
</t>
        </r>
        <r>
          <rPr>
            <sz val="9"/>
            <color indexed="10"/>
            <rFont val="Tahoma"/>
            <family val="2"/>
          </rPr>
          <t>Romeo Sierra - 811 591 1798
romeo.sierra@molldelvalle.com;</t>
        </r>
        <r>
          <rPr>
            <sz val="9"/>
            <color indexed="81"/>
            <rFont val="Tahoma"/>
            <family val="2"/>
          </rPr>
          <t xml:space="preserve">
YA NO LABORA AHÍ </t>
        </r>
      </text>
    </comment>
    <comment ref="E107" authorId="1" shapeId="0" xr:uid="{00000000-0006-0000-0000-000070000000}">
      <text>
        <r>
          <rPr>
            <b/>
            <sz val="9"/>
            <color indexed="81"/>
            <rFont val="Tahoma"/>
            <family val="2"/>
          </rPr>
          <t>Luffi:</t>
        </r>
        <r>
          <rPr>
            <sz val="9"/>
            <color indexed="81"/>
            <rFont val="Tahoma"/>
            <family val="2"/>
          </rPr>
          <t xml:space="preserve">
EQUIPO COMODATO
MENSUALIDAD $350 + IVA $406.00
INSTALACION $650 + IVA $754.00
</t>
        </r>
        <r>
          <rPr>
            <b/>
            <sz val="9"/>
            <color indexed="81"/>
            <rFont val="Tahoma"/>
            <family val="2"/>
          </rPr>
          <t>INSTALACION 25-AGOSTO-2021</t>
        </r>
      </text>
    </comment>
    <comment ref="E108" authorId="1" shapeId="0" xr:uid="{00000000-0006-0000-0000-000071000000}">
      <text>
        <r>
          <rPr>
            <b/>
            <sz val="9"/>
            <color indexed="81"/>
            <rFont val="Tahoma"/>
            <family val="2"/>
          </rPr>
          <t>Luffi:</t>
        </r>
        <r>
          <rPr>
            <sz val="9"/>
            <color indexed="81"/>
            <rFont val="Tahoma"/>
            <family val="2"/>
          </rPr>
          <t xml:space="preserve">
EQUIPO. $2,400 + IVA
MENSUALIDAD $250 + IVA 
</t>
        </r>
        <r>
          <rPr>
            <b/>
            <sz val="9"/>
            <color indexed="81"/>
            <rFont val="Tahoma"/>
            <family val="2"/>
          </rPr>
          <t>FACTURACION 28-SEP-2021
INSTALACION 29-SEP-2021
*COBRANZA HASTA NOV´2021</t>
        </r>
      </text>
    </comment>
    <comment ref="E109" authorId="1" shapeId="0" xr:uid="{00000000-0006-0000-0000-000072000000}">
      <text>
        <r>
          <rPr>
            <b/>
            <sz val="9"/>
            <color indexed="81"/>
            <rFont val="Tahoma"/>
            <family val="2"/>
          </rPr>
          <t>Luffi:</t>
        </r>
        <r>
          <rPr>
            <sz val="9"/>
            <color indexed="81"/>
            <rFont val="Tahoma"/>
            <family val="2"/>
          </rPr>
          <t xml:space="preserve">
</t>
        </r>
        <r>
          <rPr>
            <sz val="10"/>
            <color indexed="81"/>
            <rFont val="Tahoma"/>
            <family val="2"/>
          </rPr>
          <t>6</t>
        </r>
        <r>
          <rPr>
            <sz val="9"/>
            <color indexed="81"/>
            <rFont val="Tahoma"/>
            <family val="2"/>
          </rPr>
          <t xml:space="preserve"> </t>
        </r>
        <r>
          <rPr>
            <sz val="10"/>
            <color indexed="81"/>
            <rFont val="Tahoma"/>
            <family val="2"/>
          </rPr>
          <t xml:space="preserve">EQUIPOS $1,810.35 + IVA
6 MENSUALIDAD $315.00 + IVA
RE-INSTALACIÓN $650.00+ÍVA
DES-INSTALACIÓN $650.00+IVA 
INSTALACIONES SE REALIZARANA 31-MAY-2021
NO SE COBRA EN JUNIO POR FECHA DE INSTALACION
</t>
        </r>
        <r>
          <rPr>
            <b/>
            <sz val="10"/>
            <color indexed="81"/>
            <rFont val="Tahoma"/>
            <family val="2"/>
          </rPr>
          <t>*INSTALADAS 4 HASTA JUNIO*
2 INSTALACIONES 28-ENE-2022
FACTURADOS FEB´2022 - F. 
INSTALACIÓN 06-JULIO-2022</t>
        </r>
      </text>
    </comment>
    <comment ref="T109" authorId="0" shapeId="0" xr:uid="{00000000-0006-0000-0000-000073000000}">
      <text>
        <r>
          <rPr>
            <b/>
            <sz val="9"/>
            <color indexed="81"/>
            <rFont val="Tahoma"/>
            <family val="2"/>
          </rPr>
          <t xml:space="preserve">PC:
</t>
        </r>
        <r>
          <rPr>
            <sz val="9"/>
            <color indexed="81"/>
            <rFont val="Tahoma"/>
            <family val="2"/>
          </rPr>
          <t xml:space="preserve">DES-INSTALACION 12-OCT-22 FORD FIESTA $650.00+IVA 
RE-INSTALACION 12-OCT-22 CHEVROLET AVEO $650.00+IVA
INSTALACIÓN 06-JULIO-2022 MOTO HONDA BLANCO 67RZP2
3 INSTALACIONES 20-JULIO-2022
Dodge Ram 700 Blanco PS-9110-A 
Renault Kangoo Blanca RB-6974-A 
Renault Kangoo Blanca RB-6975-A
</t>
        </r>
      </text>
    </comment>
    <comment ref="E110" authorId="1" shapeId="0" xr:uid="{00000000-0006-0000-0000-000074000000}">
      <text>
        <r>
          <rPr>
            <b/>
            <sz val="9"/>
            <color indexed="81"/>
            <rFont val="Tahoma"/>
            <family val="2"/>
          </rPr>
          <t>Luffi:</t>
        </r>
        <r>
          <rPr>
            <sz val="9"/>
            <color indexed="81"/>
            <rFont val="Tahoma"/>
            <family val="2"/>
          </rPr>
          <t xml:space="preserve">
</t>
        </r>
        <r>
          <rPr>
            <sz val="10"/>
            <color indexed="81"/>
            <rFont val="Tahoma"/>
            <family val="2"/>
          </rPr>
          <t xml:space="preserve">EQUIPO $1,850 + IVA
RENTA $299 + IVA
</t>
        </r>
        <r>
          <rPr>
            <b/>
            <sz val="10"/>
            <color indexed="81"/>
            <rFont val="Tahoma"/>
            <family val="2"/>
          </rPr>
          <t>INSTALACIÓN SABADO 
13-FEB-2021</t>
        </r>
      </text>
    </comment>
    <comment ref="E111" authorId="1" shapeId="0" xr:uid="{00000000-0006-0000-0000-000075000000}">
      <text>
        <r>
          <rPr>
            <b/>
            <sz val="9"/>
            <color indexed="81"/>
            <rFont val="Tahoma"/>
            <family val="2"/>
          </rPr>
          <t>Luffi:</t>
        </r>
        <r>
          <rPr>
            <sz val="9"/>
            <color indexed="81"/>
            <rFont val="Tahoma"/>
            <family val="2"/>
          </rPr>
          <t xml:space="preserve">
</t>
        </r>
        <r>
          <rPr>
            <sz val="10"/>
            <color indexed="81"/>
            <rFont val="Tahoma"/>
            <family val="2"/>
          </rPr>
          <t xml:space="preserve">RECONFIGURACION DE EQUIPO Y MENSUALIDAD $1,136.80
EQUIPO $1,800.00 + IVA $2,088.00
RECONFIGURACION $650.00 + IVA $754.00
MENSUALIDAD $330.00 + IVA $382.80
SERVICIO 27-ENE-2021
</t>
        </r>
        <r>
          <rPr>
            <b/>
            <sz val="10"/>
            <color indexed="81"/>
            <rFont val="Tahoma"/>
            <family val="2"/>
          </rPr>
          <t xml:space="preserve">GENERAR COBRANZA EN MARZO´2021           
</t>
        </r>
        <r>
          <rPr>
            <sz val="10"/>
            <color indexed="81"/>
            <rFont val="Tahoma"/>
            <family val="2"/>
          </rPr>
          <t xml:space="preserve">SERVICIO 10-JUNIO-2022 (Se Integra en Julio)
</t>
        </r>
        <r>
          <rPr>
            <b/>
            <sz val="10"/>
            <color indexed="81"/>
            <rFont val="Tahoma"/>
            <family val="2"/>
          </rPr>
          <t>GENERA COBRANZA EN JULIO´2022</t>
        </r>
      </text>
    </comment>
    <comment ref="T111" authorId="0" shapeId="0" xr:uid="{00000000-0006-0000-0000-000076000000}">
      <text>
        <r>
          <rPr>
            <b/>
            <sz val="9"/>
            <color indexed="81"/>
            <rFont val="Tahoma"/>
            <family val="2"/>
          </rPr>
          <t>PC:</t>
        </r>
        <r>
          <rPr>
            <sz val="9"/>
            <color indexed="81"/>
            <rFont val="Tahoma"/>
            <family val="2"/>
          </rPr>
          <t xml:space="preserve">
INSTALACIÓN 10-JUNIO-2022 $1,800.00 + MENSUALIDAD $330.00 </t>
        </r>
      </text>
    </comment>
    <comment ref="E112" authorId="1" shapeId="0" xr:uid="{00000000-0006-0000-0000-000077000000}">
      <text>
        <r>
          <rPr>
            <b/>
            <sz val="9"/>
            <color indexed="81"/>
            <rFont val="Tahoma"/>
            <family val="2"/>
          </rPr>
          <t>Luffi:</t>
        </r>
        <r>
          <rPr>
            <sz val="9"/>
            <color indexed="81"/>
            <rFont val="Tahoma"/>
            <family val="2"/>
          </rPr>
          <t xml:space="preserve">
EQUIPO $2,000.00
RENTA $270.00
SENSOR DE COMBUSTUBLE $5,600.00+IVA
MENSUALIDAD CON SENSOR DE COMBUSTIBLE $320.00+IVA
INSTALACION 25-NOV-2021
</t>
        </r>
        <r>
          <rPr>
            <b/>
            <sz val="9"/>
            <color indexed="81"/>
            <rFont val="Tahoma"/>
            <family val="2"/>
          </rPr>
          <t>*SE EMPIEZA A COBRA MENSUALIDAD EN ENERO´2022*</t>
        </r>
      </text>
    </comment>
    <comment ref="E113" authorId="2" shapeId="0" xr:uid="{00000000-0006-0000-0000-000078000000}">
      <text>
        <r>
          <rPr>
            <b/>
            <sz val="9"/>
            <color indexed="81"/>
            <rFont val="Tahoma"/>
            <family val="2"/>
          </rPr>
          <t>Usuario de Windows:</t>
        </r>
        <r>
          <rPr>
            <sz val="9"/>
            <color indexed="81"/>
            <rFont val="Tahoma"/>
            <family val="2"/>
          </rPr>
          <t xml:space="preserve">
</t>
        </r>
        <r>
          <rPr>
            <b/>
            <sz val="10"/>
            <color indexed="81"/>
            <rFont val="Tahoma"/>
            <family val="2"/>
          </rPr>
          <t>INSTALACION 01-MARZO-2022</t>
        </r>
        <r>
          <rPr>
            <sz val="10"/>
            <color indexed="81"/>
            <rFont val="Tahoma"/>
            <family val="2"/>
          </rPr>
          <t xml:space="preserve">
EQUIPO $2,241.38 + IVA
SENSOR DE TEMPERATURA CAJA REF. $899 + IVA
SENSOR DE SOMBUSTIBLE $4,827.59 + IVA
MENSUALIDAD SENSOR COMBUSTIBLE  $350 + IVA 
MENSUALIDAD SENSOR COMBUSTIBLE Y TEMPERTAURA $400 + IVA 
RE-INSTALACIONES $650.00+IVA
SENSOR DE COMBUSTIBLE $5,900.00+IVA COTIZACION NOV 2022 Y MARZO 2023 
SENSOR DE COMBUSTIBLE ABRIL 2023 $5,600.00+IVA
</t>
        </r>
        <r>
          <rPr>
            <b/>
            <sz val="10"/>
            <color indexed="81"/>
            <rFont val="Tahoma"/>
            <family val="2"/>
          </rPr>
          <t xml:space="preserve">FACTURA 05-ABRIL-2022
CORTE 15 DE CADA MES </t>
        </r>
      </text>
    </comment>
    <comment ref="T113" authorId="0" shapeId="0" xr:uid="{00000000-0006-0000-0000-000079000000}">
      <text>
        <r>
          <rPr>
            <b/>
            <sz val="9"/>
            <color indexed="81"/>
            <rFont val="Tahoma"/>
            <family val="2"/>
          </rPr>
          <t>PC:</t>
        </r>
        <r>
          <rPr>
            <sz val="9"/>
            <color indexed="81"/>
            <rFont val="Tahoma"/>
            <family val="2"/>
          </rPr>
          <t xml:space="preserve">
FACTURA 1653 POR COTIZACION 
2 EQUIPOS
2 MENS
2 SENSOR DE VARILLA
EQUIPO E INSTALACION $1,900.00+IVA
SENSOR DE COMBUSTIBLE DE VARILLA $5,900.00+IVA</t>
        </r>
      </text>
    </comment>
    <comment ref="AH113" authorId="0" shapeId="0" xr:uid="{00000000-0006-0000-0000-00007A000000}">
      <text>
        <r>
          <rPr>
            <b/>
            <sz val="9"/>
            <color indexed="81"/>
            <rFont val="Tahoma"/>
            <family val="2"/>
          </rPr>
          <t>PC:</t>
        </r>
        <r>
          <rPr>
            <sz val="9"/>
            <color indexed="81"/>
            <rFont val="Tahoma"/>
            <family val="2"/>
          </rPr>
          <t xml:space="preserve">
SENSOR DE DIESEL 
INSTALADO 09-MAYO-2023
</t>
        </r>
      </text>
    </comment>
    <comment ref="E114" authorId="1" shapeId="0" xr:uid="{00000000-0006-0000-0000-00007B000000}">
      <text>
        <r>
          <rPr>
            <b/>
            <sz val="9"/>
            <color indexed="81"/>
            <rFont val="Tahoma"/>
            <family val="2"/>
          </rPr>
          <t>Luffi:</t>
        </r>
        <r>
          <rPr>
            <sz val="9"/>
            <color indexed="81"/>
            <rFont val="Tahoma"/>
            <family val="2"/>
          </rPr>
          <t xml:space="preserve">
EQUIPO $1900 + IVA
MENSUALIDAD $250 + IVA 
*</t>
        </r>
        <r>
          <rPr>
            <b/>
            <sz val="9"/>
            <color indexed="81"/>
            <rFont val="Tahoma"/>
            <family val="2"/>
          </rPr>
          <t>INSTALACION 29-JUNIO-2021*
COBRAR HASTA AGOSTO</t>
        </r>
      </text>
    </comment>
    <comment ref="E115" authorId="1" shapeId="0" xr:uid="{00000000-0006-0000-0000-00007C000000}">
      <text>
        <r>
          <rPr>
            <b/>
            <sz val="9"/>
            <color indexed="81"/>
            <rFont val="Tahoma"/>
            <family val="2"/>
          </rPr>
          <t>Luffi:</t>
        </r>
        <r>
          <rPr>
            <sz val="9"/>
            <color indexed="81"/>
            <rFont val="Tahoma"/>
            <family val="2"/>
          </rPr>
          <t xml:space="preserve">
</t>
        </r>
        <r>
          <rPr>
            <sz val="10"/>
            <color indexed="81"/>
            <rFont val="Tahoma"/>
            <family val="2"/>
          </rPr>
          <t xml:space="preserve">1 UNIDAD 
EQUIPO $1,879 + IVA
MENSUALIDAD $350 + IVA
4 MENSUALIDADES $300.00C/U+IVA
2 MENS. DASH CAM $900.00C/U+IVA
CAMARA DASH CAM $8,790.00+IVA
</t>
        </r>
        <r>
          <rPr>
            <b/>
            <sz val="10"/>
            <color indexed="81"/>
            <rFont val="Tahoma"/>
            <family val="2"/>
          </rPr>
          <t>INSTLACION 20-OCTUBRE-2020
*COBRA PROPORCIONAL EN NOV´2020</t>
        </r>
      </text>
    </comment>
    <comment ref="E116" authorId="0" shapeId="0" xr:uid="{00000000-0006-0000-0000-00007D000000}">
      <text>
        <r>
          <rPr>
            <b/>
            <sz val="9"/>
            <color indexed="81"/>
            <rFont val="Tahoma"/>
            <family val="2"/>
          </rPr>
          <t>PC:</t>
        </r>
        <r>
          <rPr>
            <sz val="9"/>
            <color indexed="81"/>
            <rFont val="Tahoma"/>
            <family val="2"/>
          </rPr>
          <t xml:space="preserve">
INGRESA EL 17-OCTUBRE-2024
SERVICIOS EXTERNOS SIN MENSUALIDAD Y SIN PLATAFORMA 
INSTALACION $700.00+IVA
DES-INSTALACION $500.00+IVA
VISITA EN FALSO $250.00+IVA
RE-INSTALACION $700.00+IVA</t>
        </r>
      </text>
    </comment>
    <comment ref="E117" authorId="0" shapeId="0" xr:uid="{00000000-0006-0000-0000-00007E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E118" authorId="0" shapeId="0" xr:uid="{00000000-0006-0000-0000-00007F000000}">
      <text>
        <r>
          <rPr>
            <b/>
            <sz val="9"/>
            <color indexed="81"/>
            <rFont val="Tahoma"/>
            <family val="2"/>
          </rPr>
          <t>PC:</t>
        </r>
        <r>
          <rPr>
            <sz val="9"/>
            <color indexed="81"/>
            <rFont val="Tahoma"/>
            <family val="2"/>
          </rPr>
          <t xml:space="preserve">
SE DIVIDE CUENTA DE 360 LOGISTICS EL 06-DICIEMBRE-2024
EQUIPO $1,800.00+IVA
ANUALIDAD $2,790.00+IVA</t>
        </r>
      </text>
    </comment>
    <comment ref="E119" authorId="0" shapeId="0" xr:uid="{00000000-0006-0000-0000-000080000000}">
      <text>
        <r>
          <rPr>
            <b/>
            <sz val="9"/>
            <color indexed="81"/>
            <rFont val="Tahoma"/>
            <family val="2"/>
          </rPr>
          <t>PC:</t>
        </r>
        <r>
          <rPr>
            <sz val="9"/>
            <color indexed="81"/>
            <rFont val="Tahoma"/>
            <family val="2"/>
          </rPr>
          <t xml:space="preserve">
INGRESA EL 08-ENERO-2025
EQUIPO $2,099.00+IVA
ANUALIDAD $3,000.00+IVA-2 MESES DE BONIFICACION </t>
        </r>
      </text>
    </comment>
    <comment ref="E120" authorId="0" shapeId="0" xr:uid="{00000000-0006-0000-0000-000081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E121" authorId="1" shapeId="0" xr:uid="{00000000-0006-0000-0000-000082000000}">
      <text>
        <r>
          <rPr>
            <b/>
            <sz val="9"/>
            <color indexed="81"/>
            <rFont val="Tahoma"/>
            <family val="2"/>
          </rPr>
          <t>Luffi:</t>
        </r>
        <r>
          <rPr>
            <sz val="9"/>
            <color indexed="81"/>
            <rFont val="Tahoma"/>
            <family val="2"/>
          </rPr>
          <t xml:space="preserve">
25-OCTUBRE-2022 
1 REVISION Y RE-INSTALACIÓN $650.00+IVA
</t>
        </r>
        <r>
          <rPr>
            <sz val="10"/>
            <color indexed="81"/>
            <rFont val="Tahoma"/>
            <family val="2"/>
          </rPr>
          <t xml:space="preserve">INSTALACION 14-MAYO-2021
2 EQUIPO NUEVOS  $1,850 + IVA 
1 MIGRACION          $ 450 + IVA
3 MENSUALIDAD $300 + IVA C/U 
</t>
        </r>
        <r>
          <rPr>
            <b/>
            <sz val="10"/>
            <color indexed="81"/>
            <rFont val="Tahoma"/>
            <family val="2"/>
          </rPr>
          <t>*ESTA PENDIENTE LA MIGRACION EL EQUIPO ESTA BLOQUEADO SOLO SE COBRARAN 2 RENTAS</t>
        </r>
      </text>
    </comment>
    <comment ref="T121" authorId="0" shapeId="0" xr:uid="{00000000-0006-0000-0000-000083000000}">
      <text>
        <r>
          <rPr>
            <b/>
            <sz val="9"/>
            <color indexed="81"/>
            <rFont val="Tahoma"/>
            <family val="2"/>
          </rPr>
          <t>PC:</t>
        </r>
        <r>
          <rPr>
            <sz val="9"/>
            <color indexed="81"/>
            <rFont val="Tahoma"/>
            <family val="2"/>
          </rPr>
          <t xml:space="preserve">
REVISIÓN Y RE-INSTALACION 25-OCT-22 $650.00+IVA</t>
        </r>
      </text>
    </comment>
    <comment ref="E122" authorId="0" shapeId="0" xr:uid="{00000000-0006-0000-0000-000084000000}">
      <text>
        <r>
          <rPr>
            <b/>
            <sz val="9"/>
            <color indexed="81"/>
            <rFont val="Tahoma"/>
            <family val="2"/>
          </rPr>
          <t>PC:</t>
        </r>
        <r>
          <rPr>
            <sz val="9"/>
            <color indexed="81"/>
            <rFont val="Tahoma"/>
            <family val="2"/>
          </rPr>
          <t xml:space="preserve">
INGRESA EL 17-MAYO-2024
EQUIPO $1,500.00
MENSUALIDAD $250.00</t>
        </r>
      </text>
    </comment>
    <comment ref="E123" authorId="0" shapeId="0" xr:uid="{00000000-0006-0000-0000-000085000000}">
      <text>
        <r>
          <rPr>
            <b/>
            <sz val="9"/>
            <color indexed="81"/>
            <rFont val="Tahoma"/>
            <family val="2"/>
          </rPr>
          <t>PC:</t>
        </r>
        <r>
          <rPr>
            <sz val="9"/>
            <color indexed="81"/>
            <rFont val="Tahoma"/>
            <family val="2"/>
          </rPr>
          <t xml:space="preserve">
INGRESA EL 13-SEPTIEMBRE-2024
COMODATO
INSTALACIÓN $549.00+IVA
MENSUALIDAD $300.00+IVA</t>
        </r>
      </text>
    </comment>
    <comment ref="E124" authorId="0" shapeId="0" xr:uid="{00000000-0006-0000-0000-000086000000}">
      <text>
        <r>
          <rPr>
            <b/>
            <sz val="9"/>
            <color indexed="81"/>
            <rFont val="Tahoma"/>
            <family val="2"/>
          </rPr>
          <t>PC:</t>
        </r>
        <r>
          <rPr>
            <sz val="9"/>
            <color indexed="81"/>
            <rFont val="Tahoma"/>
            <family val="2"/>
          </rPr>
          <t xml:space="preserve">
INGRESA EL 30-JUNIO-2023
EQUIPO $1,950.00+IVA
MENSUALIDAD $300.00+IVA</t>
        </r>
      </text>
    </comment>
    <comment ref="E125" authorId="1" shapeId="0" xr:uid="{00000000-0006-0000-0000-000087000000}">
      <text>
        <r>
          <rPr>
            <b/>
            <sz val="9"/>
            <color indexed="81"/>
            <rFont val="Tahoma"/>
            <family val="2"/>
          </rPr>
          <t>Luffi:</t>
        </r>
        <r>
          <rPr>
            <sz val="9"/>
            <color indexed="81"/>
            <rFont val="Tahoma"/>
            <family val="2"/>
          </rPr>
          <t xml:space="preserve">
RENTA $300.00
INSTALACION $350.00 COMODATO
EQUIPO $1,850.00
SERVICIOS $350.00
PEPE $200.00
OLID $100.00
</t>
        </r>
      </text>
    </comment>
    <comment ref="S125" authorId="1" shapeId="0" xr:uid="{00000000-0006-0000-0000-000088000000}">
      <text>
        <r>
          <rPr>
            <b/>
            <sz val="9"/>
            <color indexed="81"/>
            <rFont val="Tahoma"/>
            <family val="2"/>
          </rPr>
          <t>Luffi:</t>
        </r>
        <r>
          <rPr>
            <sz val="9"/>
            <color indexed="81"/>
            <rFont val="Tahoma"/>
            <family val="2"/>
          </rPr>
          <t xml:space="preserve">
</t>
        </r>
        <r>
          <rPr>
            <b/>
            <sz val="9"/>
            <color indexed="81"/>
            <rFont val="Tahoma"/>
            <family val="2"/>
          </rPr>
          <t xml:space="preserve">MAYO (COMODATO)
42 UNIDADES RASTREO $300
1 UNIDAD CON MICROFONO $350
</t>
        </r>
        <r>
          <rPr>
            <sz val="9"/>
            <color indexed="81"/>
            <rFont val="Tahoma"/>
            <family val="2"/>
          </rPr>
          <t xml:space="preserve">
</t>
        </r>
        <r>
          <rPr>
            <b/>
            <sz val="10"/>
            <color indexed="81"/>
            <rFont val="Tahoma"/>
            <family val="2"/>
          </rPr>
          <t xml:space="preserve">AJUSTE </t>
        </r>
        <r>
          <rPr>
            <b/>
            <sz val="10"/>
            <color indexed="10"/>
            <rFont val="Tahoma"/>
            <family val="2"/>
          </rPr>
          <t>-$900.00</t>
        </r>
        <r>
          <rPr>
            <sz val="10"/>
            <color indexed="81"/>
            <rFont val="Tahoma"/>
            <family val="2"/>
          </rPr>
          <t xml:space="preserve">
3 UNIDADES QUE NO REPORTAN </t>
        </r>
      </text>
    </comment>
    <comment ref="T125" authorId="1" shapeId="0" xr:uid="{00000000-0006-0000-0000-000089000000}">
      <text>
        <r>
          <rPr>
            <b/>
            <sz val="9"/>
            <color indexed="81"/>
            <rFont val="Tahoma"/>
            <family val="2"/>
          </rPr>
          <t xml:space="preserve">Luffi:
REMISION 50 DIC'22
</t>
        </r>
        <r>
          <rPr>
            <sz val="9"/>
            <color indexed="81"/>
            <rFont val="Tahoma"/>
            <family val="2"/>
          </rPr>
          <t>3 DES-INSTALACIONES $1,050.00
1 MIGRACIÓN JAIR MARTÍNEZ -$350.00</t>
        </r>
        <r>
          <rPr>
            <b/>
            <sz val="9"/>
            <color indexed="81"/>
            <rFont val="Tahoma"/>
            <family val="2"/>
          </rPr>
          <t xml:space="preserve">
REMISION 49 NOV'22</t>
        </r>
        <r>
          <rPr>
            <sz val="9"/>
            <color indexed="81"/>
            <rFont val="Tahoma"/>
            <family val="2"/>
          </rPr>
          <t xml:space="preserve">
2 INSTALACIONES
3DES-INSTALACIONES
1MIGRACIÓN -$350.00
04-AGO-22 $2,100.00 
SERVICIOS ADICIONALES REMISION 47 
</t>
        </r>
        <r>
          <rPr>
            <b/>
            <sz val="9"/>
            <color indexed="81"/>
            <rFont val="Tahoma"/>
            <family val="2"/>
          </rPr>
          <t xml:space="preserve">
02-FEB-2022 $1,800 PAGO DE EQUIPO 
</t>
        </r>
        <r>
          <rPr>
            <sz val="9"/>
            <color indexed="81"/>
            <rFont val="Tahoma"/>
            <family val="2"/>
          </rPr>
          <t>UNIDAD 032 ALBERTO VAZQUEZ SIERRA DENALI BLANCA´2018</t>
        </r>
        <r>
          <rPr>
            <b/>
            <sz val="9"/>
            <color indexed="81"/>
            <rFont val="Tahoma"/>
            <family val="2"/>
          </rPr>
          <t xml:space="preserve">
JUNIO´2021 $2,490
SERVICIOS ADICIONALES REMISION 35
MAYO´2021 $1,630.00
SERVICIOS ADICIONALES REMISION 34
</t>
        </r>
        <r>
          <rPr>
            <sz val="9"/>
            <color indexed="81"/>
            <rFont val="Tahoma"/>
            <family val="2"/>
          </rPr>
          <t xml:space="preserve">
</t>
        </r>
        <r>
          <rPr>
            <b/>
            <sz val="10"/>
            <color indexed="81"/>
            <rFont val="Tahoma"/>
            <family val="2"/>
          </rPr>
          <t>FEB-2021 $2,820.00</t>
        </r>
        <r>
          <rPr>
            <sz val="9"/>
            <color indexed="81"/>
            <rFont val="Tahoma"/>
            <family val="2"/>
          </rPr>
          <t xml:space="preserve">
</t>
        </r>
        <r>
          <rPr>
            <sz val="10"/>
            <color indexed="81"/>
            <rFont val="Tahoma"/>
            <family val="2"/>
          </rPr>
          <t xml:space="preserve">5 DES-INSTALACIONES $0.00
4 RE-INSTALACIONES $350 = $1,400.00
3 INSTALACIONES $1,420.00
</t>
        </r>
        <r>
          <rPr>
            <sz val="9"/>
            <color indexed="81"/>
            <rFont val="Tahoma"/>
            <family val="2"/>
          </rPr>
          <t xml:space="preserve">
2</t>
        </r>
        <r>
          <rPr>
            <sz val="10"/>
            <color indexed="81"/>
            <rFont val="Tahoma"/>
            <family val="2"/>
          </rPr>
          <t xml:space="preserve"> INSTALACIONES NUEVAS $890.00
14-SEP-2020  $350 + $160.00 = $510.00
28-SEP-2020  $350 + $ 30.00  = $380.00
</t>
        </r>
        <r>
          <rPr>
            <sz val="9"/>
            <color indexed="81"/>
            <rFont val="Tahoma"/>
            <family val="2"/>
          </rPr>
          <t xml:space="preserve">
5</t>
        </r>
        <r>
          <rPr>
            <sz val="10"/>
            <color indexed="81"/>
            <rFont val="Tahoma"/>
            <family val="2"/>
          </rPr>
          <t xml:space="preserve"> INSTALACIONES NUEVAS 
03-AGO-2020  $350.00 + $300.00
08-AGO-2020  $350.00 + $220.00
08-AGO-2020  $350.00 + $220.00
26-AGO-2020  $350.00 + $ 40.00
27-AGO-2020  $350.00 + $ 30.00
04-JUNIO-2020 $350.00 + $260.00
22-JUNIO-2020 $350.00 + $ 80.00
25-JUNIO-2020 $350.00 + $ 50.00
</t>
        </r>
        <r>
          <rPr>
            <b/>
            <sz val="10"/>
            <color indexed="81"/>
            <rFont val="Tahoma"/>
            <family val="2"/>
          </rPr>
          <t>TOTAL $1,440.00
OLID $3,750.00 + $129.87 =$3,879.87
PEPE $5,400.00 + $260.13 =$5,660.13</t>
        </r>
      </text>
    </comment>
    <comment ref="U125" authorId="1" shapeId="0" xr:uid="{00000000-0006-0000-0000-00008A000000}">
      <text>
        <r>
          <rPr>
            <b/>
            <sz val="9"/>
            <color indexed="81"/>
            <rFont val="Tahoma"/>
            <family val="2"/>
          </rPr>
          <t>Luffi:</t>
        </r>
        <r>
          <rPr>
            <sz val="9"/>
            <color indexed="81"/>
            <rFont val="Tahoma"/>
            <family val="2"/>
          </rPr>
          <t xml:space="preserve">
</t>
        </r>
        <r>
          <rPr>
            <sz val="9"/>
            <color indexed="81"/>
            <rFont val="Tahoma"/>
            <family val="2"/>
          </rPr>
          <t>COBRO DE EXTRAVIO DE EQUIPO 
CTE. ALBERTO VAZQUEZ 
AGOSTO´2021</t>
        </r>
      </text>
    </comment>
    <comment ref="E126" authorId="1" shapeId="0" xr:uid="{00000000-0006-0000-0000-00008B000000}">
      <text>
        <r>
          <rPr>
            <b/>
            <sz val="9"/>
            <color indexed="81"/>
            <rFont val="Tahoma"/>
            <family val="2"/>
          </rPr>
          <t>Luffi:</t>
        </r>
        <r>
          <rPr>
            <sz val="9"/>
            <color indexed="81"/>
            <rFont val="Tahoma"/>
            <family val="2"/>
          </rPr>
          <t xml:space="preserve">
</t>
        </r>
        <r>
          <rPr>
            <sz val="10"/>
            <color indexed="81"/>
            <rFont val="Tahoma"/>
            <family val="2"/>
          </rPr>
          <t xml:space="preserve">4 RENTA $250.00 + IVA
2 BAJAS PROVICIONALES
SE REACTIVARAN EN MARZO
06-JULIO-2022 INSTALACION NVO EQP. </t>
        </r>
      </text>
    </comment>
    <comment ref="E127" authorId="0" shapeId="0" xr:uid="{00000000-0006-0000-0000-00008C000000}">
      <text>
        <r>
          <rPr>
            <b/>
            <sz val="9"/>
            <color indexed="81"/>
            <rFont val="Tahoma"/>
            <family val="2"/>
          </rPr>
          <t>PC:</t>
        </r>
        <r>
          <rPr>
            <sz val="9"/>
            <color indexed="81"/>
            <rFont val="Tahoma"/>
            <family val="2"/>
          </rPr>
          <t xml:space="preserve">
EQUIPO $1,800.00+IVA 
MENSUALIDAD $300.00+IVA 
11-MARZO-2023
2 GPS REMOLQUE $3,400.00+IVA c/u =$3,944.00
1 GPS TRACTO $1,800.00+IVA= $2,088.00
3 MENSUALIDADES $300.00+IVA= $348.00
REVISION $450.00+IVA
</t>
        </r>
      </text>
    </comment>
    <comment ref="T127" authorId="0" shapeId="0" xr:uid="{00000000-0006-0000-0000-00008D000000}">
      <text>
        <r>
          <rPr>
            <b/>
            <sz val="9"/>
            <color indexed="81"/>
            <rFont val="Tahoma"/>
            <family val="2"/>
          </rPr>
          <t>PC:</t>
        </r>
        <r>
          <rPr>
            <sz val="9"/>
            <color indexed="81"/>
            <rFont val="Tahoma"/>
            <family val="2"/>
          </rPr>
          <t xml:space="preserve">
30-SEPTIEMBRE-2023 2 GPS REMOLQUE $3,400.00+IVA C/U 
11-MARZO-2023 
2 GPS REMOLQUES $3,400.00 C/U
</t>
        </r>
      </text>
    </comment>
    <comment ref="AG127" authorId="0" shapeId="0" xr:uid="{00000000-0006-0000-0000-00008E000000}">
      <text>
        <r>
          <rPr>
            <b/>
            <sz val="9"/>
            <color indexed="81"/>
            <rFont val="Tahoma"/>
            <family val="2"/>
          </rPr>
          <t>PC:</t>
        </r>
        <r>
          <rPr>
            <sz val="9"/>
            <color indexed="81"/>
            <rFont val="Tahoma"/>
            <family val="2"/>
          </rPr>
          <t xml:space="preserve">
VENTA DE EQUIPO PAGADO EN EFECTIVO EL MISMO DIA </t>
        </r>
      </text>
    </comment>
    <comment ref="AL127" authorId="0" shapeId="0" xr:uid="{00000000-0006-0000-0000-00008F000000}">
      <text>
        <r>
          <rPr>
            <b/>
            <sz val="9"/>
            <color indexed="81"/>
            <rFont val="Tahoma"/>
            <family val="2"/>
          </rPr>
          <t>PC:</t>
        </r>
        <r>
          <rPr>
            <sz val="9"/>
            <color indexed="81"/>
            <rFont val="Tahoma"/>
            <family val="2"/>
          </rPr>
          <t xml:space="preserve">
REVISION DE UNIDADES PAGO EN EFECTIVO A JESUS GALVAN </t>
        </r>
      </text>
    </comment>
    <comment ref="E128" authorId="0" shapeId="0" xr:uid="{00000000-0006-0000-0000-000090000000}">
      <text>
        <r>
          <rPr>
            <b/>
            <sz val="9"/>
            <color indexed="81"/>
            <rFont val="Tahoma"/>
            <family val="2"/>
          </rPr>
          <t>PC:</t>
        </r>
        <r>
          <rPr>
            <sz val="9"/>
            <color indexed="81"/>
            <rFont val="Tahoma"/>
            <family val="2"/>
          </rPr>
          <t xml:space="preserve">
INGRESA EL 23-JULIO-2024
EQUIPO $1,000.00
MENSUALIDAD $300.00
</t>
        </r>
      </text>
    </comment>
    <comment ref="E129" authorId="0" shapeId="0" xr:uid="{00000000-0006-0000-0000-000091000000}">
      <text>
        <r>
          <rPr>
            <b/>
            <sz val="9"/>
            <color indexed="81"/>
            <rFont val="Tahoma"/>
            <family val="2"/>
          </rPr>
          <t>PC:</t>
        </r>
        <r>
          <rPr>
            <sz val="9"/>
            <color indexed="81"/>
            <rFont val="Tahoma"/>
            <family val="2"/>
          </rPr>
          <t xml:space="preserve">
INGRESA EL 05-JULIO-2024
BAJA 05-SEPTIEMBRE-2024
RE-INGRESO 24-SEPTIEMBRE-2024
EQUIPO $1,800.00
RENTA $250.00</t>
        </r>
      </text>
    </comment>
    <comment ref="E130" authorId="0" shapeId="0" xr:uid="{00000000-0006-0000-0000-000092000000}">
      <text>
        <r>
          <rPr>
            <b/>
            <sz val="9"/>
            <color indexed="81"/>
            <rFont val="Tahoma"/>
            <family val="2"/>
          </rPr>
          <t>PC:</t>
        </r>
        <r>
          <rPr>
            <sz val="9"/>
            <color indexed="81"/>
            <rFont val="Tahoma"/>
            <family val="2"/>
          </rPr>
          <t xml:space="preserve">
CLIENTE MIGRADO DE  ALEJANDRO MARMOLEJO 17-ENERO-2025
EQUIPO $1,800.00
MENSUALIDAD $350.00</t>
        </r>
      </text>
    </comment>
    <comment ref="E131" authorId="0" shapeId="0" xr:uid="{00000000-0006-0000-0000-000093000000}">
      <text>
        <r>
          <rPr>
            <b/>
            <sz val="9"/>
            <color indexed="81"/>
            <rFont val="Tahoma"/>
            <family val="2"/>
          </rPr>
          <t>PC:</t>
        </r>
        <r>
          <rPr>
            <sz val="9"/>
            <color indexed="81"/>
            <rFont val="Tahoma"/>
            <family val="2"/>
          </rPr>
          <t xml:space="preserve">
CLIENTE NUEVO 06-DICIEMBRE-2024
EQUIPO $1,850.00
MENSUALIDAD CON CANAL DE VOZ $250.00</t>
        </r>
      </text>
    </comment>
    <comment ref="E132" authorId="0" shapeId="0" xr:uid="{00000000-0006-0000-0000-000094000000}">
      <text>
        <r>
          <rPr>
            <b/>
            <sz val="9"/>
            <color indexed="81"/>
            <rFont val="Tahoma"/>
            <family val="2"/>
          </rPr>
          <t>PC:</t>
        </r>
        <r>
          <rPr>
            <sz val="9"/>
            <color indexed="81"/>
            <rFont val="Tahoma"/>
            <family val="2"/>
          </rPr>
          <t xml:space="preserve">
CLIENTE MIGRADO DEL SR. EDGAR MURO 
01-NOVIEMBRE-2024
MENSUALIDAD $300.00+IVA
MIGRACION $350.00+IVA</t>
        </r>
      </text>
    </comment>
    <comment ref="E133" authorId="0" shapeId="0" xr:uid="{00000000-0006-0000-0000-000095000000}">
      <text>
        <r>
          <rPr>
            <b/>
            <sz val="9"/>
            <color indexed="81"/>
            <rFont val="Tahoma"/>
            <family val="2"/>
          </rPr>
          <t>PC:</t>
        </r>
        <r>
          <rPr>
            <sz val="9"/>
            <color indexed="81"/>
            <rFont val="Tahoma"/>
            <family val="2"/>
          </rPr>
          <t xml:space="preserve">
INGRESA EL 29-OCTUBRE-2024
EQUIPO $2,100.00
MENSUALIDAD $150.00</t>
        </r>
      </text>
    </comment>
    <comment ref="E134" authorId="0" shapeId="0" xr:uid="{00000000-0006-0000-0000-000096000000}">
      <text>
        <r>
          <rPr>
            <b/>
            <sz val="9"/>
            <color indexed="81"/>
            <rFont val="Tahoma"/>
            <family val="2"/>
          </rPr>
          <t>PC:</t>
        </r>
        <r>
          <rPr>
            <sz val="9"/>
            <color indexed="81"/>
            <rFont val="Tahoma"/>
            <family val="2"/>
          </rPr>
          <t xml:space="preserve">
INGRESA EL 09-JULIO-2024
COMODATO
INSTALACION $500.00
MENS. $250.00</t>
        </r>
      </text>
    </comment>
    <comment ref="E135" authorId="0" shapeId="0" xr:uid="{00000000-0006-0000-0000-000097000000}">
      <text>
        <r>
          <rPr>
            <b/>
            <sz val="9"/>
            <color indexed="81"/>
            <rFont val="Tahoma"/>
            <family val="2"/>
          </rPr>
          <t>PC:</t>
        </r>
        <r>
          <rPr>
            <sz val="9"/>
            <color indexed="81"/>
            <rFont val="Tahoma"/>
            <family val="2"/>
          </rPr>
          <t xml:space="preserve">
SE LE INSTALA EL 07-JUNIO-2024 EQUIPO USO RUDO
EL 11-JUNIO-2024 INSTALA EQP. DASH CAM
SE AGREGA A LA COBRANZA EL 10-JUNIO-2024
EQUIPO 3ER GENERACION USO RUDO PARA REMOLQUE $3,600.00
MENSUALIDAD $250.00
EQUIPO DASH CAM $8,790.00
MENSUALIDAD DASH CAM $900.00
</t>
        </r>
      </text>
    </comment>
    <comment ref="E136" authorId="0" shapeId="0" xr:uid="{00000000-0006-0000-0000-000098000000}">
      <text>
        <r>
          <rPr>
            <b/>
            <sz val="9"/>
            <color indexed="81"/>
            <rFont val="Tahoma"/>
            <family val="2"/>
          </rPr>
          <t>PC:</t>
        </r>
        <r>
          <rPr>
            <sz val="9"/>
            <color indexed="81"/>
            <rFont val="Tahoma"/>
            <family val="2"/>
          </rPr>
          <t xml:space="preserve">
INGRESA EL 30-ENERO-2025
EQUIPO $1,800.00
MENSUALIDAD $350.00</t>
        </r>
      </text>
    </comment>
    <comment ref="E137" authorId="0" shapeId="0" xr:uid="{00000000-0006-0000-0000-000099000000}">
      <text>
        <r>
          <rPr>
            <b/>
            <sz val="9"/>
            <color indexed="81"/>
            <rFont val="Tahoma"/>
            <family val="2"/>
          </rPr>
          <t>PC:</t>
        </r>
        <r>
          <rPr>
            <sz val="9"/>
            <color indexed="81"/>
            <rFont val="Tahoma"/>
            <family val="2"/>
          </rPr>
          <t xml:space="preserve">
INICIA EL 18-ENERO-2024.EQUIPO $2,200.00
MENSUALIDAD $300.00
CANAL DE VOZ $50.00</t>
        </r>
      </text>
    </comment>
    <comment ref="E138" authorId="0" shapeId="0" xr:uid="{00000000-0006-0000-0000-00009A000000}">
      <text>
        <r>
          <rPr>
            <b/>
            <sz val="9"/>
            <color indexed="81"/>
            <rFont val="Tahoma"/>
            <family val="2"/>
          </rPr>
          <t>PC:</t>
        </r>
        <r>
          <rPr>
            <sz val="9"/>
            <color indexed="81"/>
            <rFont val="Tahoma"/>
            <family val="2"/>
          </rPr>
          <t xml:space="preserve">
INICIA EL 05-JUNIO-2023
MENSUALIDAD $300.00
EQUIPO $1,850.00</t>
        </r>
      </text>
    </comment>
    <comment ref="E139" authorId="0" shapeId="0" xr:uid="{00000000-0006-0000-0000-00009B000000}">
      <text>
        <r>
          <rPr>
            <b/>
            <sz val="9"/>
            <color indexed="81"/>
            <rFont val="Tahoma"/>
            <family val="2"/>
          </rPr>
          <t>PC:</t>
        </r>
        <r>
          <rPr>
            <sz val="9"/>
            <color indexed="81"/>
            <rFont val="Tahoma"/>
            <family val="2"/>
          </rPr>
          <t xml:space="preserve">
INGRESA EL 31-OCTUBRE-2024
EQUIPO $1,850.0+IVA
MENSUALIDAD $300.00+IVA</t>
        </r>
      </text>
    </comment>
    <comment ref="E140" authorId="0" shapeId="0" xr:uid="{00000000-0006-0000-0000-00009C000000}">
      <text>
        <r>
          <rPr>
            <b/>
            <sz val="9"/>
            <color indexed="81"/>
            <rFont val="Tahoma"/>
            <family val="2"/>
          </rPr>
          <t xml:space="preserve">PC:
</t>
        </r>
        <r>
          <rPr>
            <sz val="9"/>
            <color indexed="81"/>
            <rFont val="Tahoma"/>
            <family val="2"/>
          </rPr>
          <t xml:space="preserve">20-Junio-2022  Instalación 
Equipo $2,000.00
Mensualidad $300.00 </t>
        </r>
      </text>
    </comment>
    <comment ref="E141" authorId="0" shapeId="0" xr:uid="{00000000-0006-0000-0000-00009D000000}">
      <text>
        <r>
          <rPr>
            <b/>
            <sz val="9"/>
            <color indexed="81"/>
            <rFont val="Tahoma"/>
            <family val="2"/>
          </rPr>
          <t>PC:</t>
        </r>
        <r>
          <rPr>
            <sz val="9"/>
            <color indexed="81"/>
            <rFont val="Tahoma"/>
            <family val="2"/>
          </rPr>
          <t xml:space="preserve">
INGRESA EL 29-OCTUBRE-2024
EQUIPO $1,850.00
MENSUALIDAD $299.00</t>
        </r>
      </text>
    </comment>
    <comment ref="E142" authorId="1" shapeId="0" xr:uid="{00000000-0006-0000-0000-00009E000000}">
      <text>
        <r>
          <rPr>
            <b/>
            <sz val="9"/>
            <color indexed="81"/>
            <rFont val="Tahoma"/>
            <family val="2"/>
          </rPr>
          <t>Luffi:</t>
        </r>
        <r>
          <rPr>
            <sz val="9"/>
            <color indexed="81"/>
            <rFont val="Tahoma"/>
            <family val="2"/>
          </rPr>
          <t xml:space="preserve">
EQUIPO TRASPASADO POR CHUY SOCIO JOSE LUIS 
MENSUALIDAD $300.00
RE-INSTALACION $650.00
</t>
        </r>
        <r>
          <rPr>
            <b/>
            <sz val="9"/>
            <color indexed="81"/>
            <rFont val="Tahoma"/>
            <family val="2"/>
          </rPr>
          <t>*INSTALACION 20-DIC-2021 
*SE LE COBRA HASTA FEB´2022</t>
        </r>
      </text>
    </comment>
    <comment ref="E143" authorId="0" shapeId="0" xr:uid="{00000000-0006-0000-0000-00009F000000}">
      <text>
        <r>
          <rPr>
            <b/>
            <sz val="9"/>
            <color indexed="81"/>
            <rFont val="Tahoma"/>
            <family val="2"/>
          </rPr>
          <t>PC:</t>
        </r>
        <r>
          <rPr>
            <sz val="9"/>
            <color indexed="81"/>
            <rFont val="Tahoma"/>
            <family val="2"/>
          </rPr>
          <t xml:space="preserve">
INGRESA EL 14-SEPTIEMBRE-2024 
COMODATO 
INSTALACIÓN $549.00
MENSUALIDAD $300.00</t>
        </r>
      </text>
    </comment>
    <comment ref="E144" authorId="1" shapeId="0" xr:uid="{00000000-0006-0000-0000-0000A0000000}">
      <text>
        <r>
          <rPr>
            <b/>
            <sz val="9"/>
            <color indexed="81"/>
            <rFont val="Tahoma"/>
            <family val="2"/>
          </rPr>
          <t>Luffi:</t>
        </r>
        <r>
          <rPr>
            <sz val="9"/>
            <color indexed="81"/>
            <rFont val="Tahoma"/>
            <family val="2"/>
          </rPr>
          <t xml:space="preserve">
TRASPASO DE CLIENTE DE PLAY MOTORS 
EQUIPO $1,850
MENSUALIDAD $300</t>
        </r>
      </text>
    </comment>
    <comment ref="E145" authorId="0" shapeId="0" xr:uid="{00000000-0006-0000-0000-0000A1000000}">
      <text>
        <r>
          <rPr>
            <b/>
            <sz val="9"/>
            <color indexed="81"/>
            <rFont val="Tahoma"/>
            <family val="2"/>
          </rPr>
          <t>PC:</t>
        </r>
        <r>
          <rPr>
            <sz val="9"/>
            <color indexed="81"/>
            <rFont val="Tahoma"/>
            <family val="2"/>
          </rPr>
          <t xml:space="preserve">
INGRESA EL 09-OCTUBRE-2024
EQUIPOS DASH CAM $7,000.00
MENSUALIDAD $900.00</t>
        </r>
      </text>
    </comment>
    <comment ref="E146" authorId="0" shapeId="0" xr:uid="{00000000-0006-0000-0000-0000A2000000}">
      <text>
        <r>
          <rPr>
            <b/>
            <sz val="9"/>
            <color indexed="81"/>
            <rFont val="Tahoma"/>
            <family val="2"/>
          </rPr>
          <t>PC:</t>
        </r>
        <r>
          <rPr>
            <sz val="9"/>
            <color indexed="81"/>
            <rFont val="Tahoma"/>
            <family val="2"/>
          </rPr>
          <t xml:space="preserve">
INICIA EL 29-AGOSTO-2023
EQUIPO $1,850.00
MENSUALIDAD $250.00</t>
        </r>
      </text>
    </comment>
    <comment ref="E147" authorId="0" shapeId="0" xr:uid="{00000000-0006-0000-0000-0000A3000000}">
      <text>
        <r>
          <rPr>
            <b/>
            <sz val="9"/>
            <color indexed="81"/>
            <rFont val="Tahoma"/>
            <family val="2"/>
          </rPr>
          <t>PC:</t>
        </r>
        <r>
          <rPr>
            <sz val="9"/>
            <color indexed="81"/>
            <rFont val="Tahoma"/>
            <family val="2"/>
          </rPr>
          <t xml:space="preserve">
COMODATO 
INGRESA EL 27-SEPTIEMBRE-2024
INSTALACION $549.00
MENSUALIDAD $300.00</t>
        </r>
      </text>
    </comment>
    <comment ref="E148" authorId="1" shapeId="0" xr:uid="{00000000-0006-0000-0000-0000A4000000}">
      <text>
        <r>
          <rPr>
            <b/>
            <sz val="9"/>
            <color indexed="81"/>
            <rFont val="Tahoma"/>
            <family val="2"/>
          </rPr>
          <t>Luffi:</t>
        </r>
        <r>
          <rPr>
            <sz val="9"/>
            <color indexed="81"/>
            <rFont val="Tahoma"/>
            <family val="2"/>
          </rPr>
          <t xml:space="preserve">
</t>
        </r>
        <r>
          <rPr>
            <sz val="10"/>
            <color indexed="81"/>
            <rFont val="Tahoma"/>
            <family val="2"/>
          </rPr>
          <t>8 RENTAS $297.00 
DES-INSTALACIÓN $500.00
REVISIONES $500.00</t>
        </r>
      </text>
    </comment>
    <comment ref="T148" authorId="0" shapeId="0" xr:uid="{00000000-0006-0000-0000-0000A5000000}">
      <text>
        <r>
          <rPr>
            <b/>
            <sz val="9"/>
            <color indexed="81"/>
            <rFont val="Tahoma"/>
            <family val="2"/>
          </rPr>
          <t>PC:</t>
        </r>
        <r>
          <rPr>
            <sz val="9"/>
            <color indexed="81"/>
            <rFont val="Tahoma"/>
            <family val="2"/>
          </rPr>
          <t xml:space="preserve">
REVISION DE UNIDAD 15-NOV-22 FROD BCO. PLACAS 25AG2W $500.00</t>
        </r>
      </text>
    </comment>
    <comment ref="E149" authorId="1" shapeId="0" xr:uid="{00000000-0006-0000-0000-0000A6000000}">
      <text>
        <r>
          <rPr>
            <b/>
            <sz val="9"/>
            <color indexed="81"/>
            <rFont val="Tahoma"/>
            <family val="2"/>
          </rPr>
          <t>Luffi:</t>
        </r>
        <r>
          <rPr>
            <sz val="9"/>
            <color indexed="81"/>
            <rFont val="Tahoma"/>
            <family val="2"/>
          </rPr>
          <t xml:space="preserve">
</t>
        </r>
        <r>
          <rPr>
            <b/>
            <sz val="9"/>
            <color indexed="81"/>
            <rFont val="Tahoma"/>
            <family val="2"/>
          </rPr>
          <t xml:space="preserve">CLIENTE DE PRESTACOCHE MIGRADO
</t>
        </r>
        <r>
          <rPr>
            <sz val="9"/>
            <color indexed="81"/>
            <rFont val="Tahoma"/>
            <family val="2"/>
          </rPr>
          <t xml:space="preserve">MIGRADO $650.00
MENSUALIDAD $300.00
EQUIPO $2,100.00
</t>
        </r>
        <r>
          <rPr>
            <b/>
            <sz val="9"/>
            <color indexed="81"/>
            <rFont val="Tahoma"/>
            <family val="2"/>
          </rPr>
          <t>RECONFIGURACION 05-ENERO-2022</t>
        </r>
      </text>
    </comment>
    <comment ref="E150" authorId="0" shapeId="0" xr:uid="{00000000-0006-0000-0000-0000A7000000}">
      <text>
        <r>
          <rPr>
            <b/>
            <sz val="9"/>
            <color indexed="81"/>
            <rFont val="Tahoma"/>
            <family val="2"/>
          </rPr>
          <t>PC:</t>
        </r>
        <r>
          <rPr>
            <sz val="9"/>
            <color indexed="81"/>
            <rFont val="Tahoma"/>
            <family val="2"/>
          </rPr>
          <t xml:space="preserve">
INICIA EL 09-MARZO-2023 
EQUIPO $2,200.00
MENSUALIDAD $249.00</t>
        </r>
      </text>
    </comment>
    <comment ref="E151" authorId="0" shapeId="0" xr:uid="{00000000-0006-0000-0000-0000A8000000}">
      <text>
        <r>
          <rPr>
            <b/>
            <sz val="9"/>
            <color indexed="81"/>
            <rFont val="Tahoma"/>
            <family val="2"/>
          </rPr>
          <t>PC:</t>
        </r>
        <r>
          <rPr>
            <sz val="9"/>
            <color indexed="81"/>
            <rFont val="Tahoma"/>
            <family val="2"/>
          </rPr>
          <t xml:space="preserve">
INICIA EL 12-NOV-22 
1er.Pago $1,769.00 11-Nov-22
2do. Pago $1,769.00 14-Nov-22
EQUIPO $1,800.00+IVA 
MESUALIDAD $250.00+IVA 
VIÁTICOS $1,000.00</t>
        </r>
      </text>
    </comment>
    <comment ref="S151" authorId="0" shapeId="0" xr:uid="{00000000-0006-0000-0000-0000A9000000}">
      <text>
        <r>
          <rPr>
            <b/>
            <sz val="9"/>
            <color indexed="81"/>
            <rFont val="Tahoma"/>
            <family val="2"/>
          </rPr>
          <t>PC:</t>
        </r>
        <r>
          <rPr>
            <sz val="9"/>
            <color indexed="81"/>
            <rFont val="Tahoma"/>
            <family val="2"/>
          </rPr>
          <t xml:space="preserve">
INICIA 12-NOV-22
MENSUALIDAD $250.00+IVA=$290.00</t>
        </r>
      </text>
    </comment>
    <comment ref="T151" authorId="0" shapeId="0" xr:uid="{00000000-0006-0000-0000-0000AA000000}">
      <text>
        <r>
          <rPr>
            <b/>
            <sz val="9"/>
            <color indexed="81"/>
            <rFont val="Tahoma"/>
            <family val="2"/>
          </rPr>
          <t>PC:</t>
        </r>
        <r>
          <rPr>
            <sz val="9"/>
            <color indexed="81"/>
            <rFont val="Tahoma"/>
            <family val="2"/>
          </rPr>
          <t xml:space="preserve">
INSTALACION Y EQUIPO $1,800.00
MENSUALIDAD $250.00
</t>
        </r>
      </text>
    </comment>
    <comment ref="E152" authorId="0" shapeId="0" xr:uid="{00000000-0006-0000-0000-0000AB000000}">
      <text>
        <r>
          <rPr>
            <b/>
            <sz val="9"/>
            <color indexed="81"/>
            <rFont val="Tahoma"/>
            <family val="2"/>
          </rPr>
          <t>PC:</t>
        </r>
        <r>
          <rPr>
            <sz val="9"/>
            <color indexed="81"/>
            <rFont val="Tahoma"/>
            <family val="2"/>
          </rPr>
          <t xml:space="preserve">
INGRESA EL 14-SEPTIEMBRE-2024
COMODATO
INSTALACIÓN $549.00
MENSUALIDAD $300.00</t>
        </r>
      </text>
    </comment>
    <comment ref="E153" authorId="0" shapeId="0" xr:uid="{00000000-0006-0000-0000-0000AC000000}">
      <text>
        <r>
          <rPr>
            <b/>
            <sz val="9"/>
            <color indexed="81"/>
            <rFont val="Tahoma"/>
            <family val="2"/>
          </rPr>
          <t>PC:</t>
        </r>
        <r>
          <rPr>
            <sz val="9"/>
            <color indexed="81"/>
            <rFont val="Tahoma"/>
            <family val="2"/>
          </rPr>
          <t xml:space="preserve">
INGRESA EL 22-NOVIEMBRE-2024
EQUIPO $1.850.00
MENSUALIDAD $300.00</t>
        </r>
      </text>
    </comment>
    <comment ref="E154" authorId="0" shapeId="0" xr:uid="{00000000-0006-0000-0000-0000AD000000}">
      <text>
        <r>
          <rPr>
            <b/>
            <sz val="9"/>
            <color indexed="81"/>
            <rFont val="Tahoma"/>
            <family val="2"/>
          </rPr>
          <t>PC:</t>
        </r>
        <r>
          <rPr>
            <sz val="9"/>
            <color indexed="81"/>
            <rFont val="Tahoma"/>
            <family val="2"/>
          </rPr>
          <t xml:space="preserve">
INGRESA EL 31-ENERO-2024
EQUIPOS SE FACTURA $3,000.00+IVA
MENSUALIDAD REMISIONADA $300.00 SIN IVA </t>
        </r>
      </text>
    </comment>
    <comment ref="E155" authorId="0" shapeId="0" xr:uid="{00000000-0006-0000-0000-0000AE000000}">
      <text>
        <r>
          <rPr>
            <b/>
            <sz val="9"/>
            <color indexed="81"/>
            <rFont val="Tahoma"/>
            <family val="2"/>
          </rPr>
          <t>PC:</t>
        </r>
        <r>
          <rPr>
            <sz val="9"/>
            <color indexed="81"/>
            <rFont val="Tahoma"/>
            <family val="2"/>
          </rPr>
          <t xml:space="preserve">
INICA EL 21-SEP-2022 
EQUIPO $1,800.00
RENTA $280.00
REVISION Y CAMBIO DE MICRÓFONO $250.00</t>
        </r>
      </text>
    </comment>
    <comment ref="T155" authorId="0" shapeId="0" xr:uid="{00000000-0006-0000-0000-0000AF000000}">
      <text>
        <r>
          <rPr>
            <b/>
            <sz val="9"/>
            <color indexed="81"/>
            <rFont val="Tahoma"/>
            <family val="2"/>
          </rPr>
          <t>PC:</t>
        </r>
        <r>
          <rPr>
            <sz val="9"/>
            <color indexed="81"/>
            <rFont val="Tahoma"/>
            <family val="2"/>
          </rPr>
          <t xml:space="preserve">
REVISION Y CAMBIO DE MICROFONO 
13-ENERO-2023
$250.00</t>
        </r>
      </text>
    </comment>
    <comment ref="E156" authorId="0" shapeId="0" xr:uid="{00000000-0006-0000-0000-0000B0000000}">
      <text>
        <r>
          <rPr>
            <b/>
            <sz val="9"/>
            <color indexed="81"/>
            <rFont val="Tahoma"/>
            <family val="2"/>
          </rPr>
          <t>PC:</t>
        </r>
        <r>
          <rPr>
            <sz val="9"/>
            <color indexed="81"/>
            <rFont val="Tahoma"/>
            <family val="2"/>
          </rPr>
          <t xml:space="preserve">
INICIA EL 26-DICIEMBRE-2024
EQUIPO $1,850.00
MENSUALIDAD $300.00</t>
        </r>
      </text>
    </comment>
    <comment ref="E157" authorId="0" shapeId="0" xr:uid="{00000000-0006-0000-0000-0000B1000000}">
      <text>
        <r>
          <rPr>
            <b/>
            <sz val="9"/>
            <color indexed="81"/>
            <rFont val="Tahoma"/>
            <family val="2"/>
          </rPr>
          <t>PC:</t>
        </r>
        <r>
          <rPr>
            <sz val="9"/>
            <color indexed="81"/>
            <rFont val="Tahoma"/>
            <family val="2"/>
          </rPr>
          <t xml:space="preserve">
MIGRACIÓN CLIENTE DE ANUALIDAD 
JAIR MARTINEZ LE VENDIO LA UNIDAD
EL SR. GUILLERMO REHLAENDER SE QUEDO CON EL SERVICIO EN FORMA MENSUAL 
MENSUALIDAD $280.00+IVA
ANUALIDAD $3,000.00+IVA</t>
        </r>
      </text>
    </comment>
    <comment ref="E158" authorId="0" shapeId="0" xr:uid="{00000000-0006-0000-0000-0000B2000000}">
      <text>
        <r>
          <rPr>
            <b/>
            <sz val="9"/>
            <color indexed="81"/>
            <rFont val="Tahoma"/>
            <family val="2"/>
          </rPr>
          <t>PC:</t>
        </r>
        <r>
          <rPr>
            <sz val="9"/>
            <color indexed="81"/>
            <rFont val="Tahoma"/>
            <family val="2"/>
          </rPr>
          <t xml:space="preserve">
INGRESA EL 04-JUNIO-2024
EQUIPO $2,150.00+IVA
MENSUALIDAD$300.00+IVA
REVISION $650.00+IVA</t>
        </r>
      </text>
    </comment>
    <comment ref="E159" authorId="0" shapeId="0" xr:uid="{00000000-0006-0000-0000-0000B3000000}">
      <text>
        <r>
          <rPr>
            <b/>
            <sz val="9"/>
            <color indexed="81"/>
            <rFont val="Tahoma"/>
            <family val="2"/>
          </rPr>
          <t>PC:</t>
        </r>
        <r>
          <rPr>
            <sz val="9"/>
            <color indexed="81"/>
            <rFont val="Tahoma"/>
            <family val="2"/>
          </rPr>
          <t xml:space="preserve">
INGRESA EL 18-SEPTIEMBRE-2024
COMODATO
INSTALACION $549.00
MENSUALIDAD $300.00</t>
        </r>
      </text>
    </comment>
    <comment ref="E160" authorId="0" shapeId="0" xr:uid="{00000000-0006-0000-0000-0000B4000000}">
      <text>
        <r>
          <rPr>
            <b/>
            <sz val="9"/>
            <color indexed="81"/>
            <rFont val="Tahoma"/>
            <family val="2"/>
          </rPr>
          <t>PC:</t>
        </r>
        <r>
          <rPr>
            <sz val="9"/>
            <color indexed="81"/>
            <rFont val="Tahoma"/>
            <family val="2"/>
          </rPr>
          <t xml:space="preserve">
Tecnico de Saltillo
Instala el 27-enero-2024
Se le empieza a cobrar en Marzo 2024
Mensualidad $200.00</t>
        </r>
      </text>
    </comment>
    <comment ref="E161" authorId="0" shapeId="0" xr:uid="{00000000-0006-0000-0000-0000B5000000}">
      <text>
        <r>
          <rPr>
            <b/>
            <sz val="9"/>
            <color indexed="81"/>
            <rFont val="Tahoma"/>
            <family val="2"/>
          </rPr>
          <t>PC:</t>
        </r>
        <r>
          <rPr>
            <sz val="9"/>
            <color indexed="81"/>
            <rFont val="Tahoma"/>
            <family val="2"/>
          </rPr>
          <t xml:space="preserve">
CONTACTO DE BDB 
SE AGREGA A LA COBRANZA EL 14-JUNIO-2024
EQUIPO $1,850.00
MENSUALIDAD $250.00</t>
        </r>
      </text>
    </comment>
    <comment ref="E162" authorId="1" shapeId="0" xr:uid="{00000000-0006-0000-0000-0000B6000000}">
      <text>
        <r>
          <rPr>
            <b/>
            <sz val="9"/>
            <color indexed="81"/>
            <rFont val="Tahoma"/>
            <family val="2"/>
          </rPr>
          <t>Luffi:</t>
        </r>
        <r>
          <rPr>
            <sz val="9"/>
            <color indexed="81"/>
            <rFont val="Tahoma"/>
            <family val="2"/>
          </rPr>
          <t xml:space="preserve">
4</t>
        </r>
        <r>
          <rPr>
            <sz val="10"/>
            <color indexed="81"/>
            <rFont val="Tahoma"/>
            <family val="2"/>
          </rPr>
          <t xml:space="preserve"> RENTA $350.00</t>
        </r>
        <r>
          <rPr>
            <sz val="9"/>
            <color indexed="81"/>
            <rFont val="Tahoma"/>
            <family val="2"/>
          </rPr>
          <t xml:space="preserve"> 
SE DAN DE BAJA 2 UNIDADES 
</t>
        </r>
        <r>
          <rPr>
            <b/>
            <sz val="9"/>
            <color indexed="81"/>
            <rFont val="Tahoma"/>
            <family val="2"/>
          </rPr>
          <t>2-OCT-2020 (SENTRA Y MARCH)</t>
        </r>
        <r>
          <rPr>
            <sz val="9"/>
            <color indexed="81"/>
            <rFont val="Tahoma"/>
            <family val="2"/>
          </rPr>
          <t xml:space="preserve">
</t>
        </r>
        <r>
          <rPr>
            <b/>
            <sz val="9"/>
            <color indexed="81"/>
            <rFont val="Tahoma"/>
            <family val="2"/>
          </rPr>
          <t xml:space="preserve">1 INSTALACION 22-MAR-2022
AVEO ROJO 
EQUIPO $1,500.00 </t>
        </r>
      </text>
    </comment>
    <comment ref="T162" authorId="2" shapeId="0" xr:uid="{00000000-0006-0000-0000-0000B7000000}">
      <text>
        <r>
          <rPr>
            <b/>
            <sz val="9"/>
            <color indexed="81"/>
            <rFont val="Tahoma"/>
            <family val="2"/>
          </rPr>
          <t>Usuario de Windows:</t>
        </r>
        <r>
          <rPr>
            <sz val="9"/>
            <color indexed="81"/>
            <rFont val="Tahoma"/>
            <family val="2"/>
          </rPr>
          <t xml:space="preserve">
EQUIPO GPS</t>
        </r>
      </text>
    </comment>
    <comment ref="E163" authorId="0" shapeId="0" xr:uid="{00000000-0006-0000-0000-0000B8000000}">
      <text>
        <r>
          <rPr>
            <b/>
            <sz val="9"/>
            <color indexed="81"/>
            <rFont val="Tahoma"/>
            <family val="2"/>
          </rPr>
          <t>PC:</t>
        </r>
        <r>
          <rPr>
            <sz val="9"/>
            <color indexed="81"/>
            <rFont val="Tahoma"/>
            <family val="2"/>
          </rPr>
          <t xml:space="preserve">
INICIA EL 08-SEP-2023
EQUIPO $2,199.00
MENSUALIDAD $250.00</t>
        </r>
      </text>
    </comment>
    <comment ref="E164" authorId="0" shapeId="0" xr:uid="{00000000-0006-0000-0000-0000B9000000}">
      <text>
        <r>
          <rPr>
            <b/>
            <sz val="9"/>
            <color indexed="81"/>
            <rFont val="Tahoma"/>
            <family val="2"/>
          </rPr>
          <t>PC:</t>
        </r>
        <r>
          <rPr>
            <sz val="9"/>
            <color indexed="81"/>
            <rFont val="Tahoma"/>
            <family val="2"/>
          </rPr>
          <t xml:space="preserve">
COMODATO
INGRESA EL 11-SEPTIEMBRE-2024
INSTALACIÓN $549.00
MENSUALIDAD $300.00</t>
        </r>
      </text>
    </comment>
    <comment ref="E165" authorId="0" shapeId="0" xr:uid="{00000000-0006-0000-0000-0000BA000000}">
      <text>
        <r>
          <rPr>
            <b/>
            <sz val="9"/>
            <color indexed="81"/>
            <rFont val="Tahoma"/>
            <family val="2"/>
          </rPr>
          <t>PC:</t>
        </r>
        <r>
          <rPr>
            <sz val="9"/>
            <color indexed="81"/>
            <rFont val="Tahoma"/>
            <family val="2"/>
          </rPr>
          <t xml:space="preserve">
INGRESA EL 14-FEBRERO-2024
EQUIPO $1,600.00
MENSUALIDAD $250.00</t>
        </r>
      </text>
    </comment>
    <comment ref="E166" authorId="0" shapeId="0" xr:uid="{00000000-0006-0000-0000-0000BB000000}">
      <text>
        <r>
          <rPr>
            <b/>
            <sz val="9"/>
            <color indexed="81"/>
            <rFont val="Tahoma"/>
            <family val="2"/>
          </rPr>
          <t>PC:</t>
        </r>
        <r>
          <rPr>
            <sz val="9"/>
            <color indexed="81"/>
            <rFont val="Tahoma"/>
            <family val="2"/>
          </rPr>
          <t xml:space="preserve">
CLIENTE NUEVO 26-NOVIEMBRE-2024
EQUIPO $2,200.00 
MENSUALIDAD $300.00</t>
        </r>
      </text>
    </comment>
    <comment ref="E167" authorId="0" shapeId="0" xr:uid="{00000000-0006-0000-0000-0000BC000000}">
      <text>
        <r>
          <rPr>
            <b/>
            <sz val="9"/>
            <color indexed="81"/>
            <rFont val="Tahoma"/>
            <family val="2"/>
          </rPr>
          <t>PC:</t>
        </r>
        <r>
          <rPr>
            <sz val="9"/>
            <color indexed="81"/>
            <rFont val="Tahoma"/>
            <family val="2"/>
          </rPr>
          <t xml:space="preserve">
INGRESA EL 18-OCTUBRE-2024
EQUIPO $1,850.00+IVA
MENSUALIDAD $249.00+IVA</t>
        </r>
      </text>
    </comment>
    <comment ref="E168" authorId="0" shapeId="0" xr:uid="{00000000-0006-0000-0000-0000BD000000}">
      <text>
        <r>
          <rPr>
            <b/>
            <sz val="9"/>
            <color indexed="81"/>
            <rFont val="Tahoma"/>
            <family val="2"/>
          </rPr>
          <t>PC:</t>
        </r>
        <r>
          <rPr>
            <sz val="9"/>
            <color indexed="81"/>
            <rFont val="Tahoma"/>
            <family val="2"/>
          </rPr>
          <t xml:space="preserve">
INGRESA EL 25-NOVIEMBRE-2024
MIGRACION $650.00
MENSUALIDAD $300.00</t>
        </r>
      </text>
    </comment>
    <comment ref="E169" authorId="0" shapeId="0" xr:uid="{00000000-0006-0000-0000-0000BE000000}">
      <text>
        <r>
          <rPr>
            <b/>
            <sz val="9"/>
            <color indexed="81"/>
            <rFont val="Tahoma"/>
            <family val="2"/>
          </rPr>
          <t>PC:</t>
        </r>
        <r>
          <rPr>
            <sz val="9"/>
            <color indexed="81"/>
            <rFont val="Tahoma"/>
            <family val="2"/>
          </rPr>
          <t xml:space="preserve">
INGRESA EL 10-ENERO-2025
EQUIPO $2,000.00
MENSUALIDAD $250.00
RECOMENDADO DE EDUARDO ALMAGUER</t>
        </r>
      </text>
    </comment>
    <comment ref="D170" authorId="1" shapeId="0" xr:uid="{00000000-0006-0000-0000-0000BF000000}">
      <text>
        <r>
          <rPr>
            <b/>
            <sz val="9"/>
            <color indexed="81"/>
            <rFont val="Tahoma"/>
            <family val="2"/>
          </rPr>
          <t>Luffi:</t>
        </r>
        <r>
          <rPr>
            <sz val="9"/>
            <color indexed="81"/>
            <rFont val="Tahoma"/>
            <family val="2"/>
          </rPr>
          <t xml:space="preserve">
</t>
        </r>
        <r>
          <rPr>
            <b/>
            <sz val="9"/>
            <color indexed="10"/>
            <rFont val="Tahoma"/>
            <family val="2"/>
          </rPr>
          <t xml:space="preserve">rafacova@live.com.mx 
NO MANDAR CORREOS AQUÍ </t>
        </r>
      </text>
    </comment>
    <comment ref="E170" authorId="1" shapeId="0" xr:uid="{00000000-0006-0000-0000-0000C0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E171" authorId="0" shapeId="0" xr:uid="{00000000-0006-0000-0000-0000C1000000}">
      <text>
        <r>
          <rPr>
            <b/>
            <sz val="9"/>
            <color indexed="81"/>
            <rFont val="Tahoma"/>
            <family val="2"/>
          </rPr>
          <t>PC:</t>
        </r>
        <r>
          <rPr>
            <sz val="9"/>
            <color indexed="81"/>
            <rFont val="Tahoma"/>
            <family val="2"/>
          </rPr>
          <t xml:space="preserve">
INGRESA EL 01-NOVIEMBRE-2024
EQUIPO $1,850.00
MENSUALIDAD $300.00</t>
        </r>
      </text>
    </comment>
    <comment ref="E172" authorId="0" shapeId="0" xr:uid="{00000000-0006-0000-0000-0000C2000000}">
      <text>
        <r>
          <rPr>
            <b/>
            <sz val="9"/>
            <color indexed="81"/>
            <rFont val="Tahoma"/>
            <family val="2"/>
          </rPr>
          <t>PC:</t>
        </r>
        <r>
          <rPr>
            <sz val="9"/>
            <color indexed="81"/>
            <rFont val="Tahoma"/>
            <family val="2"/>
          </rPr>
          <t xml:space="preserve">
INICIA EL 16-MAYO-2023
EQUIPO $1,800.00+IVA
MENSUALIDAD $350.00+IVA
SE LE COBRO 6 MESES ADELANTADOS COBRAR HASTA NOVIEMBRE 2023</t>
        </r>
      </text>
    </comment>
    <comment ref="E173" authorId="0" shapeId="0" xr:uid="{00000000-0006-0000-0000-0000C3000000}">
      <text>
        <r>
          <rPr>
            <b/>
            <sz val="9"/>
            <color indexed="81"/>
            <rFont val="Tahoma"/>
            <family val="2"/>
          </rPr>
          <t>PC:</t>
        </r>
        <r>
          <rPr>
            <sz val="9"/>
            <color indexed="81"/>
            <rFont val="Tahoma"/>
            <family val="2"/>
          </rPr>
          <t xml:space="preserve">
INGRESA EL 05-NOVIEMBRE-2024
EQUIPO $1,850.00+IVA
MENSUALIDAD $300.00+IVA</t>
        </r>
      </text>
    </comment>
    <comment ref="E174" authorId="0" shapeId="0" xr:uid="{00000000-0006-0000-0000-0000C4000000}">
      <text>
        <r>
          <rPr>
            <b/>
            <sz val="9"/>
            <color indexed="81"/>
            <rFont val="Tahoma"/>
            <family val="2"/>
          </rPr>
          <t>PC:</t>
        </r>
        <r>
          <rPr>
            <sz val="9"/>
            <color indexed="81"/>
            <rFont val="Tahoma"/>
            <family val="2"/>
          </rPr>
          <t xml:space="preserve">
CLIENTE MIGRADO DE PREPAGO 
14 Y 22 DE DICIEMBRE'22 
EQUIPO $1,920.00
MENSUALIDAD $300.00
SIM $100.00</t>
        </r>
      </text>
    </comment>
    <comment ref="T174" authorId="0" shapeId="0" xr:uid="{00000000-0006-0000-0000-0000C5000000}">
      <text>
        <r>
          <rPr>
            <b/>
            <sz val="9"/>
            <color indexed="81"/>
            <rFont val="Tahoma"/>
            <family val="2"/>
          </rPr>
          <t>PC:</t>
        </r>
        <r>
          <rPr>
            <sz val="9"/>
            <color indexed="81"/>
            <rFont val="Tahoma"/>
            <family val="2"/>
          </rPr>
          <t xml:space="preserve">
RE-INSTALACION 28-DICIEMBRE-2022
$500.00</t>
        </r>
      </text>
    </comment>
    <comment ref="E175" authorId="0" shapeId="0" xr:uid="{00000000-0006-0000-0000-0000C6000000}">
      <text>
        <r>
          <rPr>
            <b/>
            <sz val="9"/>
            <color indexed="81"/>
            <rFont val="Tahoma"/>
            <family val="2"/>
          </rPr>
          <t>PC:</t>
        </r>
        <r>
          <rPr>
            <sz val="9"/>
            <color indexed="81"/>
            <rFont val="Tahoma"/>
            <family val="2"/>
          </rPr>
          <t xml:space="preserve">
PRIMA DE JOSE LUIS 
INGRESA EL 09-SEPTIEMBRE-2024
EQUIPO $1,000.00
MENSUALIDAD $250.00</t>
        </r>
      </text>
    </comment>
    <comment ref="E176" authorId="0" shapeId="0" xr:uid="{00000000-0006-0000-0000-0000C7000000}">
      <text>
        <r>
          <rPr>
            <b/>
            <sz val="9"/>
            <color indexed="81"/>
            <rFont val="Tahoma"/>
            <family val="2"/>
          </rPr>
          <t>PC:</t>
        </r>
        <r>
          <rPr>
            <sz val="9"/>
            <color indexed="81"/>
            <rFont val="Tahoma"/>
            <family val="2"/>
          </rPr>
          <t xml:space="preserve">
INICIA EL 18-OCTUBRE-2023
EQUIPO $2,100.00
MENSUALIDAD $300.00</t>
        </r>
      </text>
    </comment>
    <comment ref="E177" authorId="0" shapeId="0" xr:uid="{00000000-0006-0000-0000-0000C8000000}">
      <text>
        <r>
          <rPr>
            <b/>
            <sz val="9"/>
            <color indexed="81"/>
            <rFont val="Tahoma"/>
            <family val="2"/>
          </rPr>
          <t>PC:</t>
        </r>
        <r>
          <rPr>
            <sz val="9"/>
            <color indexed="81"/>
            <rFont val="Tahoma"/>
            <family val="2"/>
          </rPr>
          <t xml:space="preserve">
INGRESA EL 21-SEPTIEMBRE-2024
EQUIPO $2,200.00
MENSUALIDAD $300.00</t>
        </r>
      </text>
    </comment>
    <comment ref="E178" authorId="1" shapeId="0" xr:uid="{00000000-0006-0000-0000-0000C9000000}">
      <text>
        <r>
          <rPr>
            <b/>
            <sz val="9"/>
            <color indexed="81"/>
            <rFont val="Tahoma"/>
            <family val="2"/>
          </rPr>
          <t>Luffi:</t>
        </r>
        <r>
          <rPr>
            <sz val="9"/>
            <color indexed="81"/>
            <rFont val="Tahoma"/>
            <family val="2"/>
          </rPr>
          <t xml:space="preserve">
</t>
        </r>
        <r>
          <rPr>
            <sz val="10"/>
            <color indexed="81"/>
            <rFont val="Tahoma"/>
            <family val="2"/>
          </rPr>
          <t xml:space="preserve">INSTALACIÓN 21-FEB-2021
2da UNIDAD 
AJUSTE SOBRE RENTA A $250.00 
</t>
        </r>
        <r>
          <rPr>
            <b/>
            <sz val="10"/>
            <color indexed="81"/>
            <rFont val="Tahoma"/>
            <family val="2"/>
          </rPr>
          <t>SE COBRA EN ABRIL 
EQUIPO $1,900.00
MENSUALIDAD $250.00</t>
        </r>
      </text>
    </comment>
    <comment ref="E179" authorId="0" shapeId="0" xr:uid="{00000000-0006-0000-0000-0000CA000000}">
      <text>
        <r>
          <rPr>
            <b/>
            <sz val="9"/>
            <color indexed="81"/>
            <rFont val="Tahoma"/>
            <family val="2"/>
          </rPr>
          <t>PC:</t>
        </r>
        <r>
          <rPr>
            <sz val="9"/>
            <color indexed="81"/>
            <rFont val="Tahoma"/>
            <family val="2"/>
          </rPr>
          <t xml:space="preserve">
INGRESA EL 11-JUNIO-2024
PRIMO DE JOSE LUIS 
$250.00</t>
        </r>
      </text>
    </comment>
    <comment ref="E180" authorId="0" shapeId="0" xr:uid="{00000000-0006-0000-0000-0000CB000000}">
      <text>
        <r>
          <rPr>
            <b/>
            <sz val="9"/>
            <color indexed="81"/>
            <rFont val="Tahoma"/>
            <family val="2"/>
          </rPr>
          <t>PC:</t>
        </r>
        <r>
          <rPr>
            <sz val="9"/>
            <color indexed="81"/>
            <rFont val="Tahoma"/>
            <family val="2"/>
          </rPr>
          <t xml:space="preserve">
INGRESA EL 11-JULIO-2024
EQUIPO $1,800.00
MENS. $250.00</t>
        </r>
      </text>
    </comment>
    <comment ref="E181" authorId="0" shapeId="0" xr:uid="{00000000-0006-0000-0000-0000CC000000}">
      <text>
        <r>
          <rPr>
            <b/>
            <sz val="9"/>
            <color indexed="81"/>
            <rFont val="Tahoma"/>
            <family val="2"/>
          </rPr>
          <t>PC:</t>
        </r>
        <r>
          <rPr>
            <sz val="9"/>
            <color indexed="81"/>
            <rFont val="Tahoma"/>
            <family val="2"/>
          </rPr>
          <t xml:space="preserve">
SE INSTALO EL 01-MARZO-2024
EQUIPOS PAR A COBRAR A MARCO ESQUIVEL 
EQUIPO $1,724.00+IVA(EN CASO DE REQUERIR FACTURA)
ANUALIDAD $1,800.00($150.00XMES)+IVA/EN CASO DE REQUERIR FACTURA
</t>
        </r>
      </text>
    </comment>
    <comment ref="E182" authorId="0" shapeId="0" xr:uid="{00000000-0006-0000-0000-0000CD000000}">
      <text>
        <r>
          <rPr>
            <b/>
            <sz val="9"/>
            <color indexed="81"/>
            <rFont val="Tahoma"/>
            <family val="2"/>
          </rPr>
          <t>PC:</t>
        </r>
        <r>
          <rPr>
            <sz val="9"/>
            <color indexed="81"/>
            <rFont val="Tahoma"/>
            <family val="2"/>
          </rPr>
          <t xml:space="preserve">
INICIO 01-NOVIEMBRE-2023
SEPARACION DE CUENTA MONICA BECERRA SOLICITADO EL 10-OCTUBRE-2023 
MENSUALIDAD $250.00</t>
        </r>
      </text>
    </comment>
    <comment ref="E183" authorId="0" shapeId="0" xr:uid="{00000000-0006-0000-0000-0000CE000000}">
      <text>
        <r>
          <rPr>
            <b/>
            <sz val="9"/>
            <color indexed="81"/>
            <rFont val="Tahoma"/>
            <family val="2"/>
          </rPr>
          <t>PC:</t>
        </r>
        <r>
          <rPr>
            <sz val="9"/>
            <color indexed="81"/>
            <rFont val="Tahoma"/>
            <family val="2"/>
          </rPr>
          <t xml:space="preserve">
INGRESA EL 13-SEPTIEMBRE-2024
COMODATO
INSTALACIÓN $549.00+IVA
MENSUALIDAD $300.00+IVA</t>
        </r>
      </text>
    </comment>
    <comment ref="E184" authorId="0" shapeId="0" xr:uid="{00000000-0006-0000-0000-0000CF000000}">
      <text>
        <r>
          <rPr>
            <b/>
            <sz val="9"/>
            <color indexed="81"/>
            <rFont val="Tahoma"/>
            <family val="2"/>
          </rPr>
          <t>PC:</t>
        </r>
        <r>
          <rPr>
            <sz val="9"/>
            <color indexed="81"/>
            <rFont val="Tahoma"/>
            <family val="2"/>
          </rPr>
          <t xml:space="preserve">
REACTIVACIÓN DE EQUIPO 
14-JUNIO-2024
THERMO
REACTIVACIÓN $650.00
MENSUALIDAD $300.00</t>
        </r>
      </text>
    </comment>
    <comment ref="E185" authorId="0" shapeId="0" xr:uid="{00000000-0006-0000-0000-0000D0000000}">
      <text>
        <r>
          <rPr>
            <b/>
            <sz val="9"/>
            <color indexed="81"/>
            <rFont val="Tahoma"/>
            <family val="2"/>
          </rPr>
          <t>PC:</t>
        </r>
        <r>
          <rPr>
            <sz val="9"/>
            <color indexed="81"/>
            <rFont val="Tahoma"/>
            <family val="2"/>
          </rPr>
          <t xml:space="preserve">
INGRESA EL 29-OCTUBRE-2024
EQUIPO $1,850.00
MENSUALIDAD $300.00</t>
        </r>
      </text>
    </comment>
    <comment ref="E186" authorId="0" shapeId="0" xr:uid="{00000000-0006-0000-0000-0000D1000000}">
      <text>
        <r>
          <rPr>
            <b/>
            <sz val="9"/>
            <color indexed="81"/>
            <rFont val="Tahoma"/>
            <family val="2"/>
          </rPr>
          <t>PC:</t>
        </r>
        <r>
          <rPr>
            <sz val="9"/>
            <color indexed="81"/>
            <rFont val="Tahoma"/>
            <family val="2"/>
          </rPr>
          <t xml:space="preserve">
CLIENTE PREPAGO CAMBIA A ESQUEMA MENSUAL EL 03-ENERO-2024
MENSUALIDAD $250.00
EQUIPO $1,800.00
DES-INSTALACION $650.00
RE-INSTALACION $650.00</t>
        </r>
      </text>
    </comment>
    <comment ref="D187" authorId="1" shapeId="0" xr:uid="{00000000-0006-0000-0000-0000D2000000}">
      <text>
        <r>
          <rPr>
            <b/>
            <sz val="9"/>
            <color indexed="81"/>
            <rFont val="Tahoma"/>
            <family val="2"/>
          </rPr>
          <t>Luffi:</t>
        </r>
        <r>
          <rPr>
            <sz val="9"/>
            <color indexed="81"/>
            <rFont val="Tahoma"/>
            <family val="2"/>
          </rPr>
          <t xml:space="preserve">
RODRIGO MORENO  
811 600 1270
</t>
        </r>
        <r>
          <rPr>
            <b/>
            <u/>
            <sz val="9"/>
            <color indexed="81"/>
            <rFont val="Tahoma"/>
            <family val="2"/>
          </rPr>
          <t>rodrigo.moreno.v88@gmail.com</t>
        </r>
      </text>
    </comment>
    <comment ref="E187" authorId="1" shapeId="0" xr:uid="{00000000-0006-0000-0000-0000D3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S187" authorId="1" shapeId="0" xr:uid="{00000000-0006-0000-0000-0000D4000000}">
      <text>
        <r>
          <rPr>
            <b/>
            <sz val="9"/>
            <color indexed="81"/>
            <rFont val="Tahoma"/>
            <family val="2"/>
          </rPr>
          <t>Luffi:</t>
        </r>
        <r>
          <rPr>
            <sz val="9"/>
            <color indexed="81"/>
            <rFont val="Tahoma"/>
            <family val="2"/>
          </rPr>
          <t xml:space="preserve">
</t>
        </r>
        <r>
          <rPr>
            <sz val="10"/>
            <color indexed="81"/>
            <rFont val="Tahoma"/>
            <family val="2"/>
          </rPr>
          <t xml:space="preserve">MENSUALIDAD $1,450 
05-SEP-20
FINANCIAMIENTO EQ $200 
9-SEP-20 ULTIMO PAGO </t>
        </r>
      </text>
    </comment>
    <comment ref="T187" authorId="1" shapeId="0" xr:uid="{00000000-0006-0000-0000-0000D5000000}">
      <text>
        <r>
          <rPr>
            <b/>
            <sz val="9"/>
            <color indexed="81"/>
            <rFont val="Tahoma"/>
            <family val="2"/>
          </rPr>
          <t xml:space="preserve">Luffi:
RE-INSTALACIÓN 02-DIC-22
DES-INSTALACIÓN KIA SORENTO 14-OCTUBRE-22 PAGO EFECTIVO 
</t>
        </r>
        <r>
          <rPr>
            <sz val="9"/>
            <color indexed="81"/>
            <rFont val="Tahoma"/>
            <family val="2"/>
          </rPr>
          <t xml:space="preserve">
</t>
        </r>
        <r>
          <rPr>
            <sz val="10"/>
            <color indexed="81"/>
            <rFont val="Tahoma"/>
            <family val="2"/>
          </rPr>
          <t xml:space="preserve">2 PAGOS DE FINANCIAMIENTOS EQUIPOS QUEDAN LIBERADOS EL 09-SEP-2020 </t>
        </r>
      </text>
    </comment>
    <comment ref="U187" authorId="1" shapeId="0" xr:uid="{00000000-0006-0000-0000-0000D6000000}">
      <text>
        <r>
          <rPr>
            <b/>
            <sz val="9"/>
            <color indexed="81"/>
            <rFont val="Tahoma"/>
            <family val="2"/>
          </rPr>
          <t>Luffi:</t>
        </r>
        <r>
          <rPr>
            <sz val="9"/>
            <color indexed="81"/>
            <rFont val="Tahoma"/>
            <family val="2"/>
          </rPr>
          <t xml:space="preserve">
</t>
        </r>
        <r>
          <rPr>
            <sz val="10"/>
            <color indexed="81"/>
            <rFont val="Tahoma"/>
            <family val="2"/>
          </rPr>
          <t>ABONO 04-AGO-20 $1,450.00 MONICA BERCERRA</t>
        </r>
        <r>
          <rPr>
            <sz val="9"/>
            <color indexed="81"/>
            <rFont val="Tahoma"/>
            <family val="2"/>
          </rPr>
          <t xml:space="preserve">
</t>
        </r>
        <r>
          <rPr>
            <sz val="10"/>
            <color indexed="81"/>
            <rFont val="Tahoma"/>
            <family val="2"/>
          </rPr>
          <t>ABONO 14-AGO-20 $1,450.00 RODRIGO MORENO</t>
        </r>
      </text>
    </comment>
    <comment ref="E188" authorId="0" shapeId="0" xr:uid="{00000000-0006-0000-0000-0000D7000000}">
      <text>
        <r>
          <rPr>
            <b/>
            <sz val="9"/>
            <color indexed="81"/>
            <rFont val="Tahoma"/>
            <family val="2"/>
          </rPr>
          <t>PC:</t>
        </r>
        <r>
          <rPr>
            <sz val="9"/>
            <color indexed="81"/>
            <rFont val="Tahoma"/>
            <family val="2"/>
          </rPr>
          <t xml:space="preserve">
INGRESA EL 04-MAYO-2024
EQUIPO $2,200.00
MENSUALDIAD $300.00</t>
        </r>
      </text>
    </comment>
    <comment ref="E189" authorId="0" shapeId="0" xr:uid="{00000000-0006-0000-0000-0000D8000000}">
      <text>
        <r>
          <rPr>
            <b/>
            <sz val="9"/>
            <color indexed="81"/>
            <rFont val="Tahoma"/>
            <family val="2"/>
          </rPr>
          <t>PC:</t>
        </r>
        <r>
          <rPr>
            <sz val="9"/>
            <color indexed="81"/>
            <rFont val="Tahoma"/>
            <family val="2"/>
          </rPr>
          <t xml:space="preserve">
INGRESA EL 12-NOVIEMBRE-2024
COMODATO
INSTALACION $549.00+IVA
MENSUALIDAD $300.00+IVA</t>
        </r>
      </text>
    </comment>
    <comment ref="E190" authorId="0" shapeId="0" xr:uid="{00000000-0006-0000-0000-0000D9000000}">
      <text>
        <r>
          <rPr>
            <b/>
            <sz val="9"/>
            <color indexed="81"/>
            <rFont val="Tahoma"/>
            <family val="2"/>
          </rPr>
          <t>PC:</t>
        </r>
        <r>
          <rPr>
            <sz val="9"/>
            <color indexed="81"/>
            <rFont val="Tahoma"/>
            <family val="2"/>
          </rPr>
          <t xml:space="preserve">
INICA EL 29-FEBRERO-2024 
EQUIPO $2,250.00
MESNUALIDAD $299.00
</t>
        </r>
      </text>
    </comment>
    <comment ref="E191" authorId="0" shapeId="0" xr:uid="{00000000-0006-0000-0000-0000DA000000}">
      <text>
        <r>
          <rPr>
            <b/>
            <sz val="9"/>
            <color indexed="81"/>
            <rFont val="Tahoma"/>
            <family val="2"/>
          </rPr>
          <t>PC:</t>
        </r>
        <r>
          <rPr>
            <sz val="9"/>
            <color indexed="81"/>
            <rFont val="Tahoma"/>
            <family val="2"/>
          </rPr>
          <t xml:space="preserve">
CLIENTE MIGRADO DE PLAY MOTORS 05-NOVIEMBRE-2024
EQUIPO $1,950.00
MENSUALIDAD $300.00</t>
        </r>
      </text>
    </comment>
    <comment ref="E192" authorId="1" shapeId="0" xr:uid="{00000000-0006-0000-0000-0000DB000000}">
      <text>
        <r>
          <rPr>
            <b/>
            <sz val="9"/>
            <color indexed="81"/>
            <rFont val="Tahoma"/>
            <family val="2"/>
          </rPr>
          <t>Luffi:</t>
        </r>
        <r>
          <rPr>
            <sz val="9"/>
            <color indexed="81"/>
            <rFont val="Tahoma"/>
            <family val="2"/>
          </rPr>
          <t xml:space="preserve">
</t>
        </r>
        <r>
          <rPr>
            <sz val="10"/>
            <color indexed="81"/>
            <rFont val="Tahoma"/>
            <family val="2"/>
          </rPr>
          <t xml:space="preserve">MEN. $350.00 CANAL DE VOZ
PEPE: $250.00
OLID: $100.00
</t>
        </r>
      </text>
    </comment>
    <comment ref="E193" authorId="0" shapeId="0" xr:uid="{00000000-0006-0000-0000-0000DC000000}">
      <text>
        <r>
          <rPr>
            <b/>
            <sz val="9"/>
            <color indexed="81"/>
            <rFont val="Tahoma"/>
            <family val="2"/>
          </rPr>
          <t>PC:</t>
        </r>
        <r>
          <rPr>
            <sz val="9"/>
            <color indexed="81"/>
            <rFont val="Tahoma"/>
            <family val="2"/>
          </rPr>
          <t xml:space="preserve">
INGRESA EL 05-JULIO-2023
EQUIPO $2,200.00
MENSUALIDAD $249.00</t>
        </r>
      </text>
    </comment>
    <comment ref="E194" authorId="0" shapeId="0" xr:uid="{00000000-0006-0000-0000-0000DD000000}">
      <text>
        <r>
          <rPr>
            <b/>
            <sz val="9"/>
            <color indexed="81"/>
            <rFont val="Tahoma"/>
            <family val="2"/>
          </rPr>
          <t>PC:</t>
        </r>
        <r>
          <rPr>
            <sz val="9"/>
            <color indexed="81"/>
            <rFont val="Tahoma"/>
            <family val="2"/>
          </rPr>
          <t xml:space="preserve">
INICA EL 12-JUNIO-2023
INSTALACION $650.00
MENSUALIDAD $300.00
INST. PDTES.
</t>
        </r>
      </text>
    </comment>
    <comment ref="E195" authorId="0" shapeId="0" xr:uid="{00000000-0006-0000-0000-0000DE000000}">
      <text>
        <r>
          <rPr>
            <b/>
            <sz val="9"/>
            <color indexed="81"/>
            <rFont val="Tahoma"/>
            <family val="2"/>
          </rPr>
          <t>PC:</t>
        </r>
        <r>
          <rPr>
            <sz val="9"/>
            <color indexed="81"/>
            <rFont val="Tahoma"/>
            <family val="2"/>
          </rPr>
          <t xml:space="preserve">
INGRESA EL 24-OCTUBRE-2024
EQUIPO $1,850.00
MENSUALIDAD CON MICROFONO $300.00</t>
        </r>
      </text>
    </comment>
    <comment ref="E196" authorId="0" shapeId="0" xr:uid="{00000000-0006-0000-0000-0000DF000000}">
      <text>
        <r>
          <rPr>
            <b/>
            <sz val="9"/>
            <color indexed="81"/>
            <rFont val="Tahoma"/>
            <family val="2"/>
          </rPr>
          <t>PC:</t>
        </r>
        <r>
          <rPr>
            <sz val="9"/>
            <color indexed="81"/>
            <rFont val="Tahoma"/>
            <family val="2"/>
          </rPr>
          <t xml:space="preserve">
INGRESA EL 25-JUNIO-2024
SE LE INSTALA EL 26-JUNIO-2024
COMODATO
INSTALACION $499.00+IVA
MENSUALIDAD $300.00+IVA</t>
        </r>
      </text>
    </comment>
    <comment ref="E197" authorId="0" shapeId="0" xr:uid="{00000000-0006-0000-0000-0000E0000000}">
      <text>
        <r>
          <rPr>
            <b/>
            <sz val="9"/>
            <color indexed="81"/>
            <rFont val="Tahoma"/>
            <family val="2"/>
          </rPr>
          <t xml:space="preserve">PI
</t>
        </r>
        <r>
          <rPr>
            <sz val="9"/>
            <color indexed="81"/>
            <rFont val="Tahoma"/>
            <family val="2"/>
          </rPr>
          <t>INGRESA EL 21-MARZO-2024 
EQUIPO $2,250.00
MENSUALIDAD $250.00</t>
        </r>
      </text>
    </comment>
    <comment ref="E198" authorId="0" shapeId="0" xr:uid="{00000000-0006-0000-0000-0000E1000000}">
      <text>
        <r>
          <rPr>
            <b/>
            <sz val="9"/>
            <color indexed="81"/>
            <rFont val="Tahoma"/>
            <family val="2"/>
          </rPr>
          <t>PC:</t>
        </r>
        <r>
          <rPr>
            <sz val="9"/>
            <color indexed="81"/>
            <rFont val="Tahoma"/>
            <family val="2"/>
          </rPr>
          <t xml:space="preserve">
INGRESA EL 24-ABRIL-2024
EQUIPO $1,800.00
MENSUALIDAD $250.00</t>
        </r>
      </text>
    </comment>
    <comment ref="D199" authorId="1" shapeId="0" xr:uid="{00000000-0006-0000-0000-0000E2000000}">
      <text>
        <r>
          <rPr>
            <b/>
            <sz val="9"/>
            <color indexed="81"/>
            <rFont val="Tahoma"/>
            <family val="2"/>
          </rPr>
          <t>Luffi:</t>
        </r>
        <r>
          <rPr>
            <sz val="9"/>
            <color indexed="81"/>
            <rFont val="Tahoma"/>
            <family val="2"/>
          </rPr>
          <t xml:space="preserve">
Srta. Fernanda 444-257-8489</t>
        </r>
      </text>
    </comment>
    <comment ref="E199" authorId="1" shapeId="0" xr:uid="{00000000-0006-0000-0000-0000E3000000}">
      <text>
        <r>
          <rPr>
            <b/>
            <sz val="9"/>
            <color indexed="81"/>
            <rFont val="Tahoma"/>
            <family val="2"/>
          </rPr>
          <t xml:space="preserve">Luffi:
AJUSTE SOBRE RENTA JUNIO´2021
DE $450.00 A $390.00
</t>
        </r>
        <r>
          <rPr>
            <sz val="9"/>
            <color indexed="81"/>
            <rFont val="Tahoma"/>
            <family val="2"/>
          </rPr>
          <t xml:space="preserve">
22 </t>
        </r>
        <r>
          <rPr>
            <sz val="10"/>
            <color indexed="81"/>
            <rFont val="Tahoma"/>
            <family val="2"/>
          </rPr>
          <t xml:space="preserve"> RENTA $450.00</t>
        </r>
      </text>
    </comment>
    <comment ref="T199" authorId="1" shapeId="0" xr:uid="{00000000-0006-0000-0000-0000E4000000}">
      <text>
        <r>
          <rPr>
            <b/>
            <sz val="9"/>
            <color indexed="81"/>
            <rFont val="Tahoma"/>
            <family val="2"/>
          </rPr>
          <t>Luffi:</t>
        </r>
        <r>
          <rPr>
            <sz val="9"/>
            <color indexed="81"/>
            <rFont val="Tahoma"/>
            <family val="2"/>
          </rPr>
          <t xml:space="preserve">
</t>
        </r>
        <r>
          <rPr>
            <b/>
            <sz val="9"/>
            <color indexed="81"/>
            <rFont val="Tahoma"/>
            <family val="2"/>
          </rPr>
          <t xml:space="preserve">CARGOS NOVIEMBRE´2020
</t>
        </r>
        <r>
          <rPr>
            <sz val="9"/>
            <color indexed="81"/>
            <rFont val="Tahoma"/>
            <family val="2"/>
          </rPr>
          <t xml:space="preserve">
</t>
        </r>
        <r>
          <rPr>
            <b/>
            <sz val="9"/>
            <color indexed="81"/>
            <rFont val="Tahoma"/>
            <family val="2"/>
          </rPr>
          <t>CARGOS AGOSTO´2020</t>
        </r>
        <r>
          <rPr>
            <sz val="9"/>
            <color indexed="81"/>
            <rFont val="Tahoma"/>
            <family val="2"/>
          </rPr>
          <t xml:space="preserve">
</t>
        </r>
        <r>
          <rPr>
            <sz val="10"/>
            <color indexed="81"/>
            <rFont val="Tahoma"/>
            <family val="2"/>
          </rPr>
          <t xml:space="preserve">REVISIONES 
SAN LUIS POTOSI UNIDADES:
</t>
        </r>
        <r>
          <rPr>
            <sz val="9"/>
            <color indexed="81"/>
            <rFont val="Tahoma"/>
            <family val="2"/>
          </rPr>
          <t xml:space="preserve">12 Y 29 NO TENIAN BATERIAL (SIN CARGOS)
07 REVISION POR DESCONEXION $450.00
1902 REVISION POR DESCONEXION $450.00
TC 040 REVISION POR DESCONEXION $450.00
TC12 REVISION POR MANIPULACION $650.00
</t>
        </r>
        <r>
          <rPr>
            <sz val="10"/>
            <color indexed="81"/>
            <rFont val="Tahoma"/>
            <family val="2"/>
          </rPr>
          <t xml:space="preserve">REVISIONES
QUERETARO UNIDADES:
</t>
        </r>
        <r>
          <rPr>
            <sz val="9"/>
            <color indexed="81"/>
            <rFont val="Tahoma"/>
            <family val="2"/>
          </rPr>
          <t xml:space="preserve">033 REVISION POR MANIPULACION $650.00
05   REVISION POR MANIPULACION $650.00
144 REVISION POR MANIPULACION $650.00
TC NEGRO INSTALACION NUEVA COMODATO $650.00
PROPORCIONAL $150.00
</t>
        </r>
        <r>
          <rPr>
            <b/>
            <sz val="9"/>
            <color indexed="81"/>
            <rFont val="Tahoma"/>
            <family val="2"/>
          </rPr>
          <t>TOTAL $4,750.00</t>
        </r>
        <r>
          <rPr>
            <sz val="10"/>
            <color indexed="81"/>
            <rFont val="Tahoma"/>
            <family val="2"/>
          </rPr>
          <t xml:space="preserve">
</t>
        </r>
        <r>
          <rPr>
            <sz val="9"/>
            <color indexed="81"/>
            <rFont val="Tahoma"/>
            <family val="2"/>
          </rPr>
          <t xml:space="preserve">
</t>
        </r>
      </text>
    </comment>
    <comment ref="E200" authorId="0" shapeId="0" xr:uid="{00000000-0006-0000-0000-0000E5000000}">
      <text>
        <r>
          <rPr>
            <b/>
            <sz val="9"/>
            <color indexed="81"/>
            <rFont val="Tahoma"/>
            <family val="2"/>
          </rPr>
          <t>PC:</t>
        </r>
        <r>
          <rPr>
            <sz val="9"/>
            <color indexed="81"/>
            <rFont val="Tahoma"/>
            <family val="2"/>
          </rPr>
          <t xml:space="preserve">
INGRESA EL 09-SEPTIEMBRE-2024 
EQUIPO $2,200.00
MENSUALIDAD $280.00</t>
        </r>
      </text>
    </comment>
    <comment ref="E201" authorId="0" shapeId="0" xr:uid="{00000000-0006-0000-0000-0000E6000000}">
      <text>
        <r>
          <rPr>
            <b/>
            <sz val="9"/>
            <color indexed="81"/>
            <rFont val="Tahoma"/>
            <family val="2"/>
          </rPr>
          <t>PC:</t>
        </r>
        <r>
          <rPr>
            <sz val="9"/>
            <color indexed="81"/>
            <rFont val="Tahoma"/>
            <family val="2"/>
          </rPr>
          <t xml:space="preserve">
INICIA EL 01-AGOSTO-2023
EQUIPO $2,200.00
MENSUALIDAD $300.00</t>
        </r>
      </text>
    </comment>
    <comment ref="E202" authorId="1" shapeId="0" xr:uid="{00000000-0006-0000-0000-0000E7000000}">
      <text>
        <r>
          <rPr>
            <b/>
            <sz val="9"/>
            <color indexed="81"/>
            <rFont val="Tahoma"/>
            <family val="2"/>
          </rPr>
          <t>Luffi:</t>
        </r>
        <r>
          <rPr>
            <sz val="9"/>
            <color indexed="81"/>
            <rFont val="Tahoma"/>
            <family val="2"/>
          </rPr>
          <t xml:space="preserve">
NUEVO COBRO DE MENSUALIDAD A PARTIR DE MARZO 2023 $120.00
MENSUALIDAD $80.00
PLATAFORMA TRACKERHOME 
RE-CONFIGURACIONES$350.00
ENERO´2020 
1 DES Y RE - INSTALACIÓN $700.00
SEBRING-FOCUS
</t>
        </r>
        <r>
          <rPr>
            <sz val="10"/>
            <color indexed="81"/>
            <rFont val="Tahoma"/>
            <family val="2"/>
          </rPr>
          <t>BAJA 9 UNIDADES 28-JULIO-2020 (47)</t>
        </r>
      </text>
    </comment>
    <comment ref="S202" authorId="1" shapeId="0" xr:uid="{00000000-0006-0000-0000-0000E8000000}">
      <text>
        <r>
          <rPr>
            <b/>
            <sz val="9"/>
            <color indexed="81"/>
            <rFont val="Tahoma"/>
            <family val="2"/>
          </rPr>
          <t xml:space="preserve">Luffi:
</t>
        </r>
        <r>
          <rPr>
            <sz val="10"/>
            <color indexed="81"/>
            <rFont val="Tahoma"/>
            <family val="2"/>
          </rPr>
          <t>ABONO 18-ENE-2021 $1,900
ABONO 14-ENE-2021 $6,500
ABONO 04-ENE-2021 $7,000</t>
        </r>
        <r>
          <rPr>
            <sz val="9"/>
            <color indexed="81"/>
            <rFont val="Tahoma"/>
            <family val="2"/>
          </rPr>
          <t xml:space="preserve">
</t>
        </r>
        <r>
          <rPr>
            <sz val="10"/>
            <color indexed="81"/>
            <rFont val="Tahoma"/>
            <family val="2"/>
          </rPr>
          <t>ABONO 18-DIC-2020 $5,000
ABONO 05-DIC-2020 $10,000
ABONO 21-NOV-2020 $5,000
ABONO 05-NOV-2020 $5,000
ABONO 02-NOV-2020 $1,500
ABONO 15-OCT-2020 $1,200
(MANDA 1,900 SOLO SE TOMAN 1,200 DE ABONO SE COBRAN 2 SERVICIOS 350 POR DES-INSTALACION Y RE-INSTALACION) 
ABONO 08-OCT-2020 $4,000</t>
        </r>
        <r>
          <rPr>
            <sz val="9"/>
            <color indexed="81"/>
            <rFont val="Tahoma"/>
            <family val="2"/>
          </rPr>
          <t xml:space="preserve">
</t>
        </r>
        <r>
          <rPr>
            <sz val="10"/>
            <color indexed="81"/>
            <rFont val="Tahoma"/>
            <family val="2"/>
          </rPr>
          <t>ABONO 21-SEP-2020 $5,700
ABONO 14-SEP-2020 $1,500
ABONO 10-SEP-2020 $3,200
ABONO 03-SEP-2020 $7,000
ABONO 20-JUL-2020 $7,000</t>
        </r>
      </text>
    </comment>
    <comment ref="T202" authorId="1" shapeId="0" xr:uid="{00000000-0006-0000-0000-0000E9000000}">
      <text>
        <r>
          <rPr>
            <b/>
            <sz val="9"/>
            <color indexed="81"/>
            <rFont val="Tahoma"/>
            <family val="2"/>
          </rPr>
          <t xml:space="preserve">Luffi:
TOTAL $2,100.00 MAYO´2021
</t>
        </r>
        <r>
          <rPr>
            <sz val="9"/>
            <color indexed="81"/>
            <rFont val="Tahoma"/>
            <family val="2"/>
          </rPr>
          <t xml:space="preserve">23-ABR-2021 DES-INSTALACION VW PASSAT BCO $350
28-ABR-2021 RE-INSTALACION CHEVROLET EQUINOX NEGRO $350
07-MAY-2021 DES-INSTALACION CHEVROLET MAILBU BCO $350
07-MAY-2021 RE-INSTALACION NISSAN SENTRA BCO $350
17-MAY-2021 DES-INSTALACION HYUNDAI ATTIUD BLANCO $350
17-MAY-2021 RE-INSTALACION CHEVROLET AVEO BCO $350
</t>
        </r>
        <r>
          <rPr>
            <b/>
            <sz val="9"/>
            <color indexed="81"/>
            <rFont val="Tahoma"/>
            <family val="2"/>
          </rPr>
          <t xml:space="preserve">
COBRANZA AGOSTO2022 1ER QUINCENA
10 INSTALACIONES 
6 RE-INSTALACIONES 
6-DES-INSTALACIONES </t>
        </r>
      </text>
    </comment>
    <comment ref="U202" authorId="1" shapeId="0" xr:uid="{00000000-0006-0000-0000-0000EA000000}">
      <text>
        <r>
          <rPr>
            <b/>
            <sz val="9"/>
            <color indexed="81"/>
            <rFont val="Tahoma"/>
            <family val="2"/>
          </rPr>
          <t>Luffi:</t>
        </r>
        <r>
          <rPr>
            <sz val="9"/>
            <color indexed="81"/>
            <rFont val="Tahoma"/>
            <family val="2"/>
          </rPr>
          <t xml:space="preserve">
MIGRACION DE 67 UNIDADES 
23-JULIO-2021
</t>
        </r>
      </text>
    </comment>
    <comment ref="E203" authorId="1" shapeId="0" xr:uid="{00000000-0006-0000-0000-0000EB000000}">
      <text>
        <r>
          <rPr>
            <b/>
            <sz val="9"/>
            <color indexed="81"/>
            <rFont val="Tahoma"/>
            <family val="2"/>
          </rPr>
          <t>Luffi:</t>
        </r>
        <r>
          <rPr>
            <sz val="9"/>
            <color indexed="81"/>
            <rFont val="Tahoma"/>
            <family val="2"/>
          </rPr>
          <t xml:space="preserve">
NUEVO COBRO DE MENSUALIDAD A PARTIR DE MARZO 2023 $120.00 INSTALACIONES $1,900.00
RE-INSTALACIONES $500.00
DES-INSTALACIONES $500.00
RENTA X UNIDAD $80.00
TRACKERHOME
18 UNIDADES INSTALADAS EN AGOSTO 
</t>
        </r>
        <r>
          <rPr>
            <b/>
            <sz val="9"/>
            <color indexed="81"/>
            <rFont val="Tahoma"/>
            <family val="2"/>
          </rPr>
          <t xml:space="preserve">TOTAL 88 UNDADES </t>
        </r>
      </text>
    </comment>
    <comment ref="S203" authorId="1" shapeId="0" xr:uid="{00000000-0006-0000-0000-0000EC000000}">
      <text>
        <r>
          <rPr>
            <b/>
            <sz val="9"/>
            <color indexed="81"/>
            <rFont val="Tahoma"/>
            <family val="2"/>
          </rPr>
          <t xml:space="preserve">Luffi:
</t>
        </r>
        <r>
          <rPr>
            <sz val="10"/>
            <color indexed="81"/>
            <rFont val="Tahoma"/>
            <family val="2"/>
          </rPr>
          <t>ABONO 22-OCT-2020 $10,000.00
ABONO 22-SEP-2020  $10,800.00</t>
        </r>
        <r>
          <rPr>
            <b/>
            <sz val="9"/>
            <color indexed="81"/>
            <rFont val="Tahoma"/>
            <family val="2"/>
          </rPr>
          <t xml:space="preserve">
</t>
        </r>
        <r>
          <rPr>
            <sz val="10"/>
            <color indexed="81"/>
            <rFont val="Tahoma"/>
            <family val="2"/>
          </rPr>
          <t>ABONO 12-SEP-2020    $5,700.00</t>
        </r>
        <r>
          <rPr>
            <sz val="9"/>
            <color indexed="81"/>
            <rFont val="Tahoma"/>
            <family val="2"/>
          </rPr>
          <t xml:space="preserve">
</t>
        </r>
        <r>
          <rPr>
            <sz val="10"/>
            <color indexed="81"/>
            <rFont val="Tahoma"/>
            <family val="2"/>
          </rPr>
          <t>ABONO 20-JULIO-2020 $13,000.00
ABONO 23-JULIO-2020 $7,000.00
ABONO 21-NOV-2020 $14,600.00</t>
        </r>
      </text>
    </comment>
    <comment ref="T203" authorId="1" shapeId="0" xr:uid="{00000000-0006-0000-0000-0000ED000000}">
      <text>
        <r>
          <rPr>
            <b/>
            <sz val="9"/>
            <color indexed="81"/>
            <rFont val="Tahoma"/>
            <family val="2"/>
          </rPr>
          <t>Luffi:
COBRANZA
NOVIEMBRE</t>
        </r>
        <r>
          <rPr>
            <sz val="9"/>
            <color indexed="81"/>
            <rFont val="Tahoma"/>
            <family val="2"/>
          </rPr>
          <t xml:space="preserve">
130 UNIDADES 
4 INSTALACIONES 
2 DES-INSTALACIONES
1 RE-INSTALACION 
</t>
        </r>
        <r>
          <rPr>
            <b/>
            <sz val="9"/>
            <color indexed="81"/>
            <rFont val="Tahoma"/>
            <family val="2"/>
          </rPr>
          <t xml:space="preserve">
</t>
        </r>
        <r>
          <rPr>
            <sz val="9"/>
            <color indexed="81"/>
            <rFont val="Tahoma"/>
            <family val="2"/>
          </rPr>
          <t xml:space="preserve">15-AGOSTO-22
1- INSTALACION CHEVROLET SONICA AZUL 
2-DES-INSTALACIONES
3-RE-INSTALACIONES 
</t>
        </r>
      </text>
    </comment>
    <comment ref="E204" authorId="1" shapeId="0" xr:uid="{00000000-0006-0000-0000-0000EE000000}">
      <text>
        <r>
          <rPr>
            <b/>
            <sz val="9"/>
            <color indexed="81"/>
            <rFont val="Tahoma"/>
            <family val="2"/>
          </rPr>
          <t>Luffi:</t>
        </r>
        <r>
          <rPr>
            <sz val="9"/>
            <color indexed="81"/>
            <rFont val="Tahoma"/>
            <family val="2"/>
          </rPr>
          <t xml:space="preserve">
EQUIPO+MESUALIDAD $2,000.00 YA VA INCLUIDA LA MENSUALIDAD 
</t>
        </r>
        <r>
          <rPr>
            <sz val="10"/>
            <color indexed="81"/>
            <rFont val="Tahoma"/>
            <family val="2"/>
          </rPr>
          <t xml:space="preserve">MENSUALIDAD $100.00
PLATAFORMA WOX RASTREO
INICIA 3 INSTALACIONES SEP´2020 </t>
        </r>
      </text>
    </comment>
    <comment ref="T204" authorId="1" shapeId="0" xr:uid="{00000000-0006-0000-0000-0000EF000000}">
      <text>
        <r>
          <rPr>
            <b/>
            <sz val="9"/>
            <color indexed="81"/>
            <rFont val="Tahoma"/>
            <family val="2"/>
          </rPr>
          <t xml:space="preserve">Luffi:
ENERO'23 
</t>
        </r>
        <r>
          <rPr>
            <sz val="9"/>
            <color indexed="81"/>
            <rFont val="Tahoma"/>
            <family val="2"/>
          </rPr>
          <t xml:space="preserve">CAMBIO DE SIM 27-DICIEMBRE-22 JEEP PATRIOT ROJO 
</t>
        </r>
        <r>
          <rPr>
            <b/>
            <sz val="9"/>
            <color indexed="81"/>
            <rFont val="Tahoma"/>
            <family val="2"/>
          </rPr>
          <t xml:space="preserve">
AGOSTO 2022
I</t>
        </r>
        <r>
          <rPr>
            <sz val="9"/>
            <color indexed="81"/>
            <rFont val="Tahoma"/>
            <family val="2"/>
          </rPr>
          <t xml:space="preserve">NSTALACIÓN 02-AGOSTO-2022 PONTIAC GT GRIS </t>
        </r>
      </text>
    </comment>
    <comment ref="E205" authorId="1" shapeId="0" xr:uid="{00000000-0006-0000-0000-0000F0000000}">
      <text>
        <r>
          <rPr>
            <b/>
            <sz val="9"/>
            <color indexed="81"/>
            <rFont val="Tahoma"/>
            <family val="2"/>
          </rPr>
          <t>Luffi:</t>
        </r>
        <r>
          <rPr>
            <sz val="9"/>
            <color indexed="81"/>
            <rFont val="Tahoma"/>
            <family val="2"/>
          </rPr>
          <t xml:space="preserve">
EQUIPOS $1,600
MENSUALIDAD $250
INSTALACION 5-AGOSTO-2021
</t>
        </r>
        <r>
          <rPr>
            <b/>
            <sz val="9"/>
            <color indexed="81"/>
            <rFont val="Tahoma"/>
            <family val="2"/>
          </rPr>
          <t>*COBRANZA SEP-2021</t>
        </r>
      </text>
    </comment>
    <comment ref="E206" authorId="2" shapeId="0" xr:uid="{00000000-0006-0000-0000-0000F1000000}">
      <text>
        <r>
          <rPr>
            <b/>
            <sz val="9"/>
            <color indexed="81"/>
            <rFont val="Tahoma"/>
            <family val="2"/>
          </rPr>
          <t>Usuario de Windows:</t>
        </r>
        <r>
          <rPr>
            <sz val="9"/>
            <color indexed="81"/>
            <rFont val="Tahoma"/>
            <family val="2"/>
          </rPr>
          <t xml:space="preserve">
MENSUALIDAD $250.00
MIGRACIONES $250.00
EQUIPOS $1,800.00
SENSOR DE COFRE $1,250.00
</t>
        </r>
        <r>
          <rPr>
            <b/>
            <sz val="9"/>
            <color indexed="81"/>
            <rFont val="Tahoma"/>
            <family val="2"/>
          </rPr>
          <t>INICIO DE MIGRACIONES 28-FEB-2022
1 COMPRA E INSTALACION DE EQUIPO 25-JUN-2022 
*(</t>
        </r>
        <r>
          <rPr>
            <sz val="9"/>
            <color indexed="81"/>
            <rFont val="Tahoma"/>
            <family val="2"/>
          </rPr>
          <t>INCREMENTO DE UNIDAD EN MENSUALIDAD  DE JULIO´22</t>
        </r>
        <r>
          <rPr>
            <b/>
            <sz val="9"/>
            <color indexed="81"/>
            <rFont val="Tahoma"/>
            <family val="2"/>
          </rPr>
          <t>)
CAMBIA A REMISIONES EN ABRIL'23 YA NO SE LE FACTURA</t>
        </r>
      </text>
    </comment>
    <comment ref="E207" authorId="1" shapeId="0" xr:uid="{00000000-0006-0000-0000-0000F2000000}">
      <text>
        <r>
          <rPr>
            <b/>
            <sz val="9"/>
            <color indexed="81"/>
            <rFont val="Tahoma"/>
            <family val="2"/>
          </rPr>
          <t>Luffi:</t>
        </r>
        <r>
          <rPr>
            <sz val="9"/>
            <color indexed="81"/>
            <rFont val="Tahoma"/>
            <family val="2"/>
          </rPr>
          <t xml:space="preserve">
INSTALACION -  30-ABRIL-2021
MENSUALIDAD $250</t>
        </r>
      </text>
    </comment>
    <comment ref="D208" authorId="2" shapeId="0" xr:uid="{00000000-0006-0000-0000-0000F3000000}">
      <text>
        <r>
          <rPr>
            <b/>
            <sz val="9"/>
            <color indexed="81"/>
            <rFont val="Tahoma"/>
            <family val="2"/>
          </rPr>
          <t>Usuario de Windows:</t>
        </r>
        <r>
          <rPr>
            <sz val="9"/>
            <color indexed="81"/>
            <rFont val="Tahoma"/>
            <family val="2"/>
          </rPr>
          <t xml:space="preserve">
1er Contacto 
</t>
        </r>
        <r>
          <rPr>
            <b/>
            <sz val="9"/>
            <color indexed="81"/>
            <rFont val="Tahoma"/>
            <family val="2"/>
          </rPr>
          <t xml:space="preserve">Arturo Asael - 8119386704 
Ya no labora ahí </t>
        </r>
      </text>
    </comment>
    <comment ref="E208" authorId="1" shapeId="0" xr:uid="{00000000-0006-0000-0000-0000F4000000}">
      <text>
        <r>
          <rPr>
            <b/>
            <sz val="9"/>
            <color indexed="81"/>
            <rFont val="Tahoma"/>
            <family val="2"/>
          </rPr>
          <t>Luffi:</t>
        </r>
        <r>
          <rPr>
            <sz val="9"/>
            <color indexed="81"/>
            <rFont val="Tahoma"/>
            <family val="2"/>
          </rPr>
          <t xml:space="preserve">
MIGRACION DE EQUIPOS, INSTALACION DE SIM
CAMBIA A ESQUEMA DE COMODATO EL 09-ABRIL-2024
INSTALACION $650.00
RENTA $280.00
MIGRACION $450.00
EQUIPO $1,700.00
MENSUALIDAD $250.00
DES-INSTALACION $400.00
</t>
        </r>
        <r>
          <rPr>
            <b/>
            <sz val="9"/>
            <color indexed="81"/>
            <rFont val="Tahoma"/>
            <family val="2"/>
          </rPr>
          <t xml:space="preserve">
INSTALACIONES COMODATO MOVEO</t>
        </r>
        <r>
          <rPr>
            <sz val="9"/>
            <color indexed="81"/>
            <rFont val="Tahoma"/>
            <family val="2"/>
          </rPr>
          <t xml:space="preserve">
09-ABRIL-2024
CHEVROLET EXPRESS BLANCO RZM-407-B INSTALADOR: ELIUD
17-ABRIL-2024
TOYOTA HIACE BLANCO RYU-899-A 
INSTALADOR: OSCAR
</t>
        </r>
        <r>
          <rPr>
            <b/>
            <sz val="9"/>
            <color indexed="81"/>
            <rFont val="Tahoma"/>
            <family val="2"/>
          </rPr>
          <t>*INSTALACION 29-DIC-2021*
SE LE COBRA A FINALES DE ENERO´2022</t>
        </r>
      </text>
    </comment>
    <comment ref="T208" authorId="0" shapeId="0" xr:uid="{00000000-0006-0000-0000-0000F5000000}">
      <text>
        <r>
          <rPr>
            <b/>
            <sz val="9"/>
            <color indexed="81"/>
            <rFont val="Tahoma"/>
            <family val="2"/>
          </rPr>
          <t>PC:</t>
        </r>
        <r>
          <rPr>
            <sz val="9"/>
            <color indexed="81"/>
            <rFont val="Tahoma"/>
            <family val="2"/>
          </rPr>
          <t xml:space="preserve">
INSTALACION DE EQUIPO 05-ENERO-23 $1,800.00 +MENS $250.00= $2,050.00
INSTALACION 31-OCT-22</t>
        </r>
      </text>
    </comment>
    <comment ref="E209" authorId="2" shapeId="0" xr:uid="{00000000-0006-0000-0000-0000F6000000}">
      <text>
        <r>
          <rPr>
            <b/>
            <sz val="9"/>
            <color indexed="81"/>
            <rFont val="Tahoma"/>
            <family val="2"/>
          </rPr>
          <t>Usuario de Windows:</t>
        </r>
        <r>
          <rPr>
            <sz val="9"/>
            <color indexed="81"/>
            <rFont val="Tahoma"/>
            <family val="2"/>
          </rPr>
          <t xml:space="preserve">
EQUIPO $1,850
MENSUALIDAD $250
</t>
        </r>
        <r>
          <rPr>
            <b/>
            <sz val="9"/>
            <color indexed="81"/>
            <rFont val="Tahoma"/>
            <family val="2"/>
          </rPr>
          <t>*INSTALACION 28-FEB-2022
PAGO REALIZADO EN EFECTIVO CUBRE FEB Y MAR´2022
*COBRAR MENSUALIDAD ABRIL</t>
        </r>
      </text>
    </comment>
    <comment ref="E210" authorId="1" shapeId="0" xr:uid="{00000000-0006-0000-0000-0000F7000000}">
      <text>
        <r>
          <rPr>
            <b/>
            <sz val="9"/>
            <color indexed="81"/>
            <rFont val="Tahoma"/>
            <family val="2"/>
          </rPr>
          <t>Luffi:
EQUIPOS COMODATO</t>
        </r>
        <r>
          <rPr>
            <sz val="9"/>
            <color indexed="81"/>
            <rFont val="Tahoma"/>
            <family val="2"/>
          </rPr>
          <t xml:space="preserve">
INSTALACION $650
MENSUALIDAD $300
*INICIA SERVICIO 11-SEP-2021*
</t>
        </r>
        <r>
          <rPr>
            <b/>
            <sz val="9"/>
            <color indexed="81"/>
            <rFont val="Tahoma"/>
            <family val="2"/>
          </rPr>
          <t>*PAGO X INSTALACIONES $7,150 SEP´2021
MENSUALIDAD 11 UNIDADES $3,300.00</t>
        </r>
      </text>
    </comment>
    <comment ref="T210" authorId="0" shapeId="0" xr:uid="{00000000-0006-0000-0000-0000F8000000}">
      <text>
        <r>
          <rPr>
            <b/>
            <sz val="9"/>
            <color indexed="81"/>
            <rFont val="Tahoma"/>
            <family val="2"/>
          </rPr>
          <t>PC:</t>
        </r>
        <r>
          <rPr>
            <sz val="9"/>
            <color indexed="81"/>
            <rFont val="Tahoma"/>
            <family val="2"/>
          </rPr>
          <t xml:space="preserve">
INSTALACION 02-AGOSTO-22NISSAN NP300 </t>
        </r>
      </text>
    </comment>
    <comment ref="E211" authorId="0" shapeId="0" xr:uid="{00000000-0006-0000-0000-0000F9000000}">
      <text>
        <r>
          <rPr>
            <b/>
            <sz val="9"/>
            <color indexed="81"/>
            <rFont val="Tahoma"/>
            <family val="2"/>
          </rPr>
          <t>PC:</t>
        </r>
        <r>
          <rPr>
            <sz val="9"/>
            <color indexed="81"/>
            <rFont val="Tahoma"/>
            <family val="2"/>
          </rPr>
          <t xml:space="preserve">
INSTALACION 29-OCT-2020
ANUALIDAD $3,000.00
EQUIPO $1,600.00
ANUALIDAD
$3,000.00</t>
        </r>
      </text>
    </comment>
    <comment ref="E213" authorId="1" shapeId="0" xr:uid="{00000000-0006-0000-0000-0000FA000000}">
      <text>
        <r>
          <rPr>
            <b/>
            <sz val="9"/>
            <color indexed="81"/>
            <rFont val="Tahoma"/>
            <family val="2"/>
          </rPr>
          <t>Luffi:</t>
        </r>
        <r>
          <rPr>
            <sz val="9"/>
            <color indexed="81"/>
            <rFont val="Tahoma"/>
            <family val="2"/>
          </rPr>
          <t xml:space="preserve">
</t>
        </r>
        <r>
          <rPr>
            <sz val="10"/>
            <color indexed="81"/>
            <rFont val="Tahoma"/>
            <family val="2"/>
          </rPr>
          <t xml:space="preserve">MENSUALIDAD $100.00
PLATAFORMA WOX RASTREO
SERVICIOS RODRIGO $500.00
</t>
        </r>
        <r>
          <rPr>
            <b/>
            <sz val="10"/>
            <color indexed="81"/>
            <rFont val="Tahoma"/>
            <family val="2"/>
          </rPr>
          <t xml:space="preserve">INICIA 1 INSTALACION SEP´2020 
</t>
        </r>
      </text>
    </comment>
    <comment ref="T213" authorId="1" shapeId="0" xr:uid="{00000000-0006-0000-0000-0000FB000000}">
      <text>
        <r>
          <rPr>
            <b/>
            <sz val="9"/>
            <color indexed="81"/>
            <rFont val="Tahoma"/>
            <family val="2"/>
          </rPr>
          <t>Luffi:</t>
        </r>
        <r>
          <rPr>
            <sz val="9"/>
            <color indexed="81"/>
            <rFont val="Tahoma"/>
            <family val="2"/>
          </rPr>
          <t xml:space="preserve">
SALDO A FAVOR POR $3,800
TRASPASO DE UNIDAD A CUENTA DE </t>
        </r>
        <r>
          <rPr>
            <b/>
            <sz val="9"/>
            <color indexed="81"/>
            <rFont val="Tahoma"/>
            <family val="2"/>
          </rPr>
          <t xml:space="preserve">APFEL </t>
        </r>
        <r>
          <rPr>
            <sz val="9"/>
            <color indexed="81"/>
            <rFont val="Tahoma"/>
            <family val="2"/>
          </rPr>
          <t xml:space="preserve">
</t>
        </r>
        <r>
          <rPr>
            <sz val="10"/>
            <color indexed="81"/>
            <rFont val="Tahoma"/>
            <family val="2"/>
          </rPr>
          <t xml:space="preserve">PROPORCIONALES DE MENSUALIDAD SEP´2020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author>
    <author>Luffi</author>
    <author>Usuario de Windows</author>
    <author>UBITEC</author>
  </authors>
  <commentList>
    <comment ref="E18" authorId="0" shapeId="0" xr:uid="{00000000-0006-0000-0100-000001000000}">
      <text>
        <r>
          <rPr>
            <b/>
            <sz val="9"/>
            <color indexed="81"/>
            <rFont val="Tahoma"/>
            <family val="2"/>
          </rPr>
          <t>PC:</t>
        </r>
        <r>
          <rPr>
            <sz val="9"/>
            <color indexed="81"/>
            <rFont val="Tahoma"/>
            <family val="2"/>
          </rPr>
          <t xml:space="preserve">
INGRESA EL 01-FEBRERO-2024
EQUIPO $1,200.00+IVA
MENSUALIDAD $250.00+IVA</t>
        </r>
      </text>
    </comment>
    <comment ref="E19" authorId="1" shapeId="0" xr:uid="{00000000-0006-0000-0100-000002000000}">
      <text>
        <r>
          <rPr>
            <b/>
            <sz val="9"/>
            <color indexed="81"/>
            <rFont val="Tahoma"/>
            <family val="2"/>
          </rPr>
          <t>Luffi:</t>
        </r>
        <r>
          <rPr>
            <sz val="9"/>
            <color indexed="81"/>
            <rFont val="Tahoma"/>
            <family val="2"/>
          </rPr>
          <t xml:space="preserve">
</t>
        </r>
        <r>
          <rPr>
            <sz val="10"/>
            <color indexed="81"/>
            <rFont val="Tahoma"/>
            <family val="2"/>
          </rPr>
          <t xml:space="preserve">EQUIPO $1,800.00
MENDUALIDAD $300.00
REVISIONES $500.00
RE-INSTALACION $500.00
CAMBIA A ESQUEMA DE FACTURACION EL DIA 06-AGOSTO-2024
1er INSTALACION 23-FEB-2021 
5 EQUIPOS 
2da INSTALACION 02-MAR-2021
5 EQUIPO 
</t>
        </r>
        <r>
          <rPr>
            <b/>
            <sz val="10"/>
            <color indexed="81"/>
            <rFont val="Tahoma"/>
            <family val="2"/>
          </rPr>
          <t xml:space="preserve">COBRANZA HASTA ABRIL´2021
</t>
        </r>
        <r>
          <rPr>
            <b/>
            <sz val="10"/>
            <color indexed="10"/>
            <rFont val="Tahoma"/>
            <family val="2"/>
          </rPr>
          <t>*PENDIENTE POR INSTALAR 1 EQUIPO</t>
        </r>
        <r>
          <rPr>
            <sz val="10"/>
            <color indexed="81"/>
            <rFont val="Tahoma"/>
            <family val="2"/>
          </rPr>
          <t xml:space="preserve"> </t>
        </r>
      </text>
    </comment>
    <comment ref="T19" authorId="1" shapeId="0" xr:uid="{00000000-0006-0000-0100-000003000000}">
      <text>
        <r>
          <rPr>
            <b/>
            <sz val="9"/>
            <color indexed="81"/>
            <rFont val="Tahoma"/>
            <family val="2"/>
          </rPr>
          <t>Luffi:</t>
        </r>
        <r>
          <rPr>
            <sz val="9"/>
            <color indexed="81"/>
            <rFont val="Tahoma"/>
            <family val="2"/>
          </rPr>
          <t xml:space="preserve">
REVISION DE UNIDAD $500.00 04-ENERO-2023 
 </t>
        </r>
        <r>
          <rPr>
            <b/>
            <sz val="9"/>
            <color indexed="81"/>
            <rFont val="Tahoma"/>
            <family val="2"/>
          </rPr>
          <t>$450</t>
        </r>
        <r>
          <rPr>
            <sz val="9"/>
            <color indexed="81"/>
            <rFont val="Tahoma"/>
            <family val="2"/>
          </rPr>
          <t xml:space="preserve"> </t>
        </r>
        <r>
          <rPr>
            <sz val="10"/>
            <color indexed="81"/>
            <rFont val="Tahoma"/>
            <family val="2"/>
          </rPr>
          <t>17-MAYO-2021 
Revisión de unidad No. 13 
Manipulación de equipo, desencintado, desconexión de arnés)</t>
        </r>
      </text>
    </comment>
    <comment ref="E20" authorId="1" shapeId="0" xr:uid="{00000000-0006-0000-0100-000004000000}">
      <text>
        <r>
          <rPr>
            <b/>
            <sz val="9"/>
            <color indexed="81"/>
            <rFont val="Tahoma"/>
            <family val="2"/>
          </rPr>
          <t>Luffi:</t>
        </r>
        <r>
          <rPr>
            <sz val="9"/>
            <color indexed="81"/>
            <rFont val="Tahoma"/>
            <family val="2"/>
          </rPr>
          <t xml:space="preserve">
2 EQUIPOS $2,000 + IVA $2,320.00
2 EQUIPO USO RUDO $3,400 + IVA 
4 RENTAS $280 + IVA $324.80
EQUIPO PORTATIL $3,400.00+IVA
MENSUALIDAD $649.60</t>
        </r>
      </text>
    </comment>
    <comment ref="E21" authorId="0" shapeId="0" xr:uid="{00000000-0006-0000-0100-000005000000}">
      <text>
        <r>
          <rPr>
            <b/>
            <sz val="9"/>
            <color indexed="81"/>
            <rFont val="Tahoma"/>
            <family val="2"/>
          </rPr>
          <t>PC:</t>
        </r>
        <r>
          <rPr>
            <sz val="9"/>
            <color indexed="81"/>
            <rFont val="Tahoma"/>
            <family val="2"/>
          </rPr>
          <t xml:space="preserve">
INICA EL 13-MARZO-2023 
COMODATO
INSTALACION $650.00+IVA= $S754.00
MENSUALIDAD $299.00+IVA= $346.84</t>
        </r>
      </text>
    </comment>
    <comment ref="E22" authorId="0" shapeId="0" xr:uid="{00000000-0006-0000-0100-000006000000}">
      <text>
        <r>
          <rPr>
            <b/>
            <sz val="9"/>
            <color indexed="81"/>
            <rFont val="Tahoma"/>
            <family val="2"/>
          </rPr>
          <t>PC:</t>
        </r>
        <r>
          <rPr>
            <sz val="9"/>
            <color indexed="81"/>
            <rFont val="Tahoma"/>
            <family val="2"/>
          </rPr>
          <t xml:space="preserve">
INICIA EL 27-OCTUBRE-2023
COMODATO
INSTALACION $500.00+IVA
MENSUALIDAD $270.00+IVA</t>
        </r>
      </text>
    </comment>
    <comment ref="E23" authorId="0" shapeId="0" xr:uid="{00000000-0006-0000-0100-000007000000}">
      <text>
        <r>
          <rPr>
            <b/>
            <sz val="9"/>
            <color indexed="81"/>
            <rFont val="Tahoma"/>
            <family val="2"/>
          </rPr>
          <t>PC:</t>
        </r>
        <r>
          <rPr>
            <sz val="9"/>
            <color indexed="81"/>
            <rFont val="Tahoma"/>
            <family val="2"/>
          </rPr>
          <t xml:space="preserve">
INSTALACIÓN $650.00+IVA=$754.00
EQUIPOS COMODATOS 
MENSUALIDAD $300.00+IVA=$348.00</t>
        </r>
      </text>
    </comment>
    <comment ref="T23" authorId="0" shapeId="0" xr:uid="{00000000-0006-0000-0100-000008000000}">
      <text>
        <r>
          <rPr>
            <b/>
            <sz val="9"/>
            <color indexed="81"/>
            <rFont val="Tahoma"/>
            <family val="2"/>
          </rPr>
          <t xml:space="preserve">PC:
Instalacion de 3 equipos </t>
        </r>
        <r>
          <rPr>
            <sz val="9"/>
            <color indexed="81"/>
            <rFont val="Tahoma"/>
            <family val="2"/>
          </rPr>
          <t xml:space="preserve">
</t>
        </r>
      </text>
    </comment>
    <comment ref="E24" authorId="0" shapeId="0" xr:uid="{00000000-0006-0000-0100-000009000000}">
      <text>
        <r>
          <rPr>
            <b/>
            <sz val="9"/>
            <color indexed="81"/>
            <rFont val="Tahoma"/>
            <family val="2"/>
          </rPr>
          <t>PC:</t>
        </r>
        <r>
          <rPr>
            <sz val="9"/>
            <color indexed="81"/>
            <rFont val="Tahoma"/>
            <family val="2"/>
          </rPr>
          <t xml:space="preserve">
INICIA EL 15-NOVIEMBRE-2023
EQUIPO $2,200.00+IVA
MENSUALIDAD $250.00+IVA
</t>
        </r>
      </text>
    </comment>
    <comment ref="E25" authorId="0" shapeId="0" xr:uid="{00000000-0006-0000-0100-00000A000000}">
      <text>
        <r>
          <rPr>
            <b/>
            <sz val="9"/>
            <color indexed="81"/>
            <rFont val="Tahoma"/>
            <family val="2"/>
          </rPr>
          <t>PC:</t>
        </r>
        <r>
          <rPr>
            <sz val="9"/>
            <color indexed="81"/>
            <rFont val="Tahoma"/>
            <family val="2"/>
          </rPr>
          <t xml:space="preserve">
INGRESA EL 22-MAYO-2024
EQUIPO $1,850.00+IVA
MENSUALIDAD $250.00+IVA
EQUIPO USO RUDO $3,450.00+IVA</t>
        </r>
      </text>
    </comment>
    <comment ref="E26" authorId="0" shapeId="0" xr:uid="{00000000-0006-0000-0100-00000B000000}">
      <text>
        <r>
          <rPr>
            <b/>
            <sz val="9"/>
            <color indexed="81"/>
            <rFont val="Tahoma"/>
            <family val="2"/>
          </rPr>
          <t>PC:</t>
        </r>
        <r>
          <rPr>
            <sz val="9"/>
            <color indexed="81"/>
            <rFont val="Tahoma"/>
            <family val="2"/>
          </rPr>
          <t xml:space="preserve">
INGRESA EL 31-OCTUBRE-2024
EQUIPO $1,850.0+IVA
MENSUALIDAD $300.00+IVA
CAMBIA A ESQUEMA DE FACTURACION 05-FEBRERO-2025</t>
        </r>
      </text>
    </comment>
    <comment ref="E27" authorId="0" shapeId="0" xr:uid="{00000000-0006-0000-0100-00000C000000}">
      <text>
        <r>
          <rPr>
            <b/>
            <sz val="9"/>
            <color indexed="81"/>
            <rFont val="Tahoma"/>
            <family val="2"/>
          </rPr>
          <t>PC:</t>
        </r>
        <r>
          <rPr>
            <sz val="9"/>
            <color indexed="81"/>
            <rFont val="Tahoma"/>
            <family val="2"/>
          </rPr>
          <t xml:space="preserve">
INICA EL 23-NOVIEMBRE-2023
COMODATO
INSTALACION $650.00+IVA
MENSUALIDAD $279.00+IVA</t>
        </r>
      </text>
    </comment>
    <comment ref="E28" authorId="2" shapeId="0" xr:uid="{00000000-0006-0000-0100-00000D000000}">
      <text>
        <r>
          <rPr>
            <b/>
            <sz val="9"/>
            <color indexed="81"/>
            <rFont val="Tahoma"/>
            <family val="2"/>
          </rPr>
          <t>Usuario de Windows:</t>
        </r>
        <r>
          <rPr>
            <sz val="9"/>
            <color indexed="81"/>
            <rFont val="Tahoma"/>
            <family val="2"/>
          </rPr>
          <t xml:space="preserve">
</t>
        </r>
        <r>
          <rPr>
            <b/>
            <sz val="9"/>
            <color indexed="81"/>
            <rFont val="Tahoma"/>
            <family val="2"/>
          </rPr>
          <t xml:space="preserve">ESQUEMA COMODATO
</t>
        </r>
        <r>
          <rPr>
            <sz val="9"/>
            <color indexed="81"/>
            <rFont val="Tahoma"/>
            <family val="2"/>
          </rPr>
          <t xml:space="preserve">INSTALACION $650 + IVA
MENSUALIDAD $280 + IVA
DES-INSTALACION $500.0+IVA
INSTALACIONES 28-FEB-2022 Y 1-MAR-2022
</t>
        </r>
        <r>
          <rPr>
            <b/>
            <sz val="9"/>
            <color indexed="81"/>
            <rFont val="Tahoma"/>
            <family val="2"/>
          </rPr>
          <t>*FACTURADO 01-MAR-2022*</t>
        </r>
      </text>
    </comment>
    <comment ref="E29" authorId="0" shapeId="0" xr:uid="{00000000-0006-0000-0100-00000E000000}">
      <text>
        <r>
          <rPr>
            <b/>
            <sz val="9"/>
            <color indexed="81"/>
            <rFont val="Tahoma"/>
            <family val="2"/>
          </rPr>
          <t>PC:</t>
        </r>
        <r>
          <rPr>
            <sz val="9"/>
            <color indexed="81"/>
            <rFont val="Tahoma"/>
            <family val="2"/>
          </rPr>
          <t xml:space="preserve">
INCIA EL 21-ENERO-2023
1 UNIDAD 
FALTANDO 4 UNIDADES 
COMODATO 
INSTALACIÓN $650.00+IVA=$754.00
MENSUALIDAD $300.00+IVA=$348.00
REVISIONES $650.00+IVA</t>
        </r>
      </text>
    </comment>
    <comment ref="E30" authorId="0" shapeId="0" xr:uid="{00000000-0006-0000-0100-00000F000000}">
      <text>
        <r>
          <rPr>
            <b/>
            <sz val="9"/>
            <color indexed="81"/>
            <rFont val="Tahoma"/>
            <family val="2"/>
          </rPr>
          <t xml:space="preserve">PC:
</t>
        </r>
        <r>
          <rPr>
            <sz val="9"/>
            <color indexed="81"/>
            <rFont val="Tahoma"/>
            <family val="2"/>
          </rPr>
          <t xml:space="preserve">CUENTA SEPARADA DE DEX MATERIALES 06-SEPTIEMBRE-2024
</t>
        </r>
        <r>
          <rPr>
            <b/>
            <sz val="9"/>
            <color indexed="81"/>
            <rFont val="Tahoma"/>
            <family val="2"/>
          </rPr>
          <t xml:space="preserve">PAGO TRIMESTRAL 
MENSUALIDAD $300.00+IVA 
3 MESES $900.00+IVA
</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1" authorId="0" shapeId="0" xr:uid="{00000000-0006-0000-0100-000010000000}">
      <text>
        <r>
          <rPr>
            <b/>
            <sz val="9"/>
            <color indexed="81"/>
            <rFont val="Tahoma"/>
            <family val="2"/>
          </rPr>
          <t>PC:</t>
        </r>
        <r>
          <rPr>
            <sz val="9"/>
            <color indexed="81"/>
            <rFont val="Tahoma"/>
            <family val="2"/>
          </rPr>
          <t xml:space="preserve">
RENTA 7 $350.00
1 GPS EN PLAN $650.00
1 UNIDAD MAS OCTUBRE
CAMBIO DE RAZON SOCIAL MARZO´2022
SE DIVIDE CUENTA ACERTRANS - SILVIA NERIA - AGOSTO 2023
</t>
        </r>
      </text>
    </comment>
    <comment ref="E32" authorId="0" shapeId="0" xr:uid="{00000000-0006-0000-0100-000011000000}">
      <text>
        <r>
          <rPr>
            <b/>
            <sz val="9"/>
            <color indexed="81"/>
            <rFont val="Tahoma"/>
            <family val="2"/>
          </rPr>
          <t>PC:</t>
        </r>
        <r>
          <rPr>
            <sz val="9"/>
            <color indexed="81"/>
            <rFont val="Tahoma"/>
            <family val="2"/>
          </rPr>
          <t xml:space="preserve">
INICIA EL 26-DICIEMBRE-2023
INSTALACION $650.00+IVA
MENSUALIDAD $250.00+IVA
MICROFONO $399.00
MENSUALIDAD CON MICROFONO $300.00+IVA</t>
        </r>
      </text>
    </comment>
    <comment ref="E33" authorId="0" shapeId="0" xr:uid="{00000000-0006-0000-0100-000012000000}">
      <text>
        <r>
          <rPr>
            <b/>
            <sz val="9"/>
            <color indexed="81"/>
            <rFont val="Tahoma"/>
            <family val="2"/>
          </rPr>
          <t>PC:</t>
        </r>
        <r>
          <rPr>
            <sz val="9"/>
            <color indexed="81"/>
            <rFont val="Tahoma"/>
            <family val="2"/>
          </rPr>
          <t xml:space="preserve">
RE-INGRESA EL 25-NOVIEMBRE-2024
EQUIPO $1,500.00+IVA
MENSUALIDAD $279.00+IVA</t>
        </r>
      </text>
    </comment>
    <comment ref="E34" authorId="0" shapeId="0" xr:uid="{00000000-0006-0000-0100-000013000000}">
      <text>
        <r>
          <rPr>
            <b/>
            <sz val="9"/>
            <color indexed="81"/>
            <rFont val="Tahoma"/>
            <family val="2"/>
          </rPr>
          <t>PC:</t>
        </r>
        <r>
          <rPr>
            <sz val="9"/>
            <color indexed="81"/>
            <rFont val="Tahoma"/>
            <family val="2"/>
          </rPr>
          <t xml:space="preserve">
CLIENTE DE SEPARACIÓN DE CUENTA DEL SR. LUIS BOLAÑOS, SE PONE EN CONTACTO EL 05-MARZO-2024 
MENSUALIDAD $280.00+IVA</t>
        </r>
      </text>
    </comment>
    <comment ref="E35" authorId="0" shapeId="0" xr:uid="{00000000-0006-0000-0100-000014000000}">
      <text>
        <r>
          <rPr>
            <b/>
            <sz val="9"/>
            <color indexed="81"/>
            <rFont val="Tahoma"/>
            <family val="2"/>
          </rPr>
          <t>PC:</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6" authorId="0" shapeId="0" xr:uid="{00000000-0006-0000-0100-000015000000}">
      <text>
        <r>
          <rPr>
            <b/>
            <sz val="9"/>
            <color indexed="81"/>
            <rFont val="Tahoma"/>
            <family val="2"/>
          </rPr>
          <t>PC:</t>
        </r>
        <r>
          <rPr>
            <sz val="9"/>
            <color indexed="81"/>
            <rFont val="Tahoma"/>
            <family val="2"/>
          </rPr>
          <t xml:space="preserve">
INGRESA EL 11-MAYO-2024
EQUIPO $1,850.00+IVA
MENSUALIDAD $250.00+IVA
CAMBIA A ESQUEMA DE FACTURACIÓN EL 02-JULIO-2024</t>
        </r>
      </text>
    </comment>
    <comment ref="E37" authorId="1" shapeId="0" xr:uid="{00000000-0006-0000-0100-000016000000}">
      <text>
        <r>
          <rPr>
            <b/>
            <sz val="9"/>
            <color indexed="81"/>
            <rFont val="Tahoma"/>
            <family val="2"/>
          </rPr>
          <t>Luffi:</t>
        </r>
        <r>
          <rPr>
            <sz val="9"/>
            <color indexed="81"/>
            <rFont val="Tahoma"/>
            <family val="2"/>
          </rPr>
          <t xml:space="preserve">
1 EQUIPO $1,850.00
1 RENTA $250.00+ IVA $290.00
</t>
        </r>
        <r>
          <rPr>
            <b/>
            <sz val="9"/>
            <color indexed="81"/>
            <rFont val="Tahoma"/>
            <family val="2"/>
          </rPr>
          <t xml:space="preserve">MENSUALIDAD $290.00 </t>
        </r>
      </text>
    </comment>
    <comment ref="E38" authorId="2" shapeId="0" xr:uid="{00000000-0006-0000-0100-000017000000}">
      <text>
        <r>
          <rPr>
            <b/>
            <sz val="9"/>
            <color indexed="81"/>
            <rFont val="Tahoma"/>
            <family val="2"/>
          </rPr>
          <t>Usuario de Windows:</t>
        </r>
        <r>
          <rPr>
            <sz val="9"/>
            <color indexed="81"/>
            <rFont val="Tahoma"/>
            <family val="2"/>
          </rPr>
          <t xml:space="preserve">
</t>
        </r>
        <r>
          <rPr>
            <b/>
            <sz val="9"/>
            <color indexed="81"/>
            <rFont val="Tahoma"/>
            <family val="2"/>
          </rPr>
          <t xml:space="preserve">5 EQUIPOS COMODATO 
INSTALACION $650 + IVA
MENSUALIDAD $350 + IVA 
03-MAYO-2022 </t>
        </r>
        <r>
          <rPr>
            <sz val="9"/>
            <color indexed="81"/>
            <rFont val="Tahoma"/>
            <family val="2"/>
          </rPr>
          <t xml:space="preserve">DEPOSITO $5,800 
</t>
        </r>
        <r>
          <rPr>
            <b/>
            <sz val="9"/>
            <color indexed="81"/>
            <rFont val="Tahoma"/>
            <family val="2"/>
          </rPr>
          <t xml:space="preserve">INSTALACIONES 
</t>
        </r>
        <r>
          <rPr>
            <sz val="9"/>
            <color indexed="81"/>
            <rFont val="Tahoma"/>
            <family val="2"/>
          </rPr>
          <t xml:space="preserve">09-Mayo-2022 Unidad 02
10-Mayo-2022 Unidad 01, 05 y 03
CAMBIO DE RAZON SOCIAL SINERGIZ - ENDER INDUSTRIAL FEBRERO 2023 
</t>
        </r>
        <r>
          <rPr>
            <b/>
            <sz val="9"/>
            <color indexed="81"/>
            <rFont val="Tahoma"/>
            <family val="2"/>
          </rPr>
          <t>*PENDIENTE POR INSTALAR 1 UNIDAD*</t>
        </r>
      </text>
    </comment>
    <comment ref="T38" authorId="0" shapeId="0" xr:uid="{00000000-0006-0000-0100-000018000000}">
      <text>
        <r>
          <rPr>
            <b/>
            <sz val="9"/>
            <color indexed="81"/>
            <rFont val="Tahoma"/>
            <family val="2"/>
          </rPr>
          <t>PC:</t>
        </r>
        <r>
          <rPr>
            <sz val="9"/>
            <color indexed="81"/>
            <rFont val="Tahoma"/>
            <family val="2"/>
          </rPr>
          <t xml:space="preserve">
Reinstalación Moto 
15-Julio-2022 
Unidad 03 
Placas 91CLJ1</t>
        </r>
      </text>
    </comment>
    <comment ref="E39" authorId="0" shapeId="0" xr:uid="{00000000-0006-0000-0100-000019000000}">
      <text>
        <r>
          <rPr>
            <b/>
            <sz val="9"/>
            <color indexed="81"/>
            <rFont val="Tahoma"/>
            <family val="2"/>
          </rPr>
          <t>PC:</t>
        </r>
        <r>
          <rPr>
            <sz val="9"/>
            <color indexed="81"/>
            <rFont val="Tahoma"/>
            <family val="2"/>
          </rPr>
          <t xml:space="preserve">
INICIA EL 25-ENERO-2024
EQUIPO $2,250.00+IVA
MENSUALIDAD $249.00+IVA</t>
        </r>
      </text>
    </comment>
    <comment ref="E40" authorId="0" shapeId="0" xr:uid="{00000000-0006-0000-0100-00001A000000}">
      <text>
        <r>
          <rPr>
            <b/>
            <sz val="9"/>
            <color indexed="81"/>
            <rFont val="Tahoma"/>
            <family val="2"/>
          </rPr>
          <t>PC:</t>
        </r>
        <r>
          <rPr>
            <sz val="9"/>
            <color indexed="81"/>
            <rFont val="Tahoma"/>
            <family val="2"/>
          </rPr>
          <t xml:space="preserve">
INGRESA EL 13-SEPTIEMBRE-2024
COMODATO 
INSTALACION $549.00+IVA
MENSUALIDAD $300.00+IVA</t>
        </r>
      </text>
    </comment>
    <comment ref="E41" authorId="0" shapeId="0" xr:uid="{00000000-0006-0000-0100-00001B000000}">
      <text>
        <r>
          <rPr>
            <b/>
            <sz val="9"/>
            <color indexed="81"/>
            <rFont val="Tahoma"/>
            <family val="2"/>
          </rPr>
          <t>PC:</t>
        </r>
        <r>
          <rPr>
            <sz val="9"/>
            <color indexed="81"/>
            <rFont val="Tahoma"/>
            <family val="2"/>
          </rPr>
          <t xml:space="preserve">
MENSUALIDAD $60.00
10 UNIDADES EN JULIO'22
40 UNIDADES EN AGOSTO'22
50 UNIDADES EN SEPT'22
25 UNIDADES EN OCTUBRE'22
10 UNIDADES EN NOVIEMBRE'22
20 UNIDADES EN DICIEMBRE'22
26 UNIDADES EN ENERO'23
26 UNIDADES EN FEBRERO'23
40 UNIDADES EN MARZO'23
28 UNIDADES EN ABRIL'23
25 UNIDADES EN MAYO'23
40 UNIDADES EN JUNIO'23
19 UNIDADES EN JULIO'23
42 UNIDADES EN AGOSTO'23
24 UNIDADES EN SEPT'23
27 UNIDADES EN OCTUBRE'23
26 UNIDADES EN NOVIEMBRE'23
37 UNIDADES EN DICIEMBRE'23
- EN ENERO 2024 SE CAMBIO EL COSTO DE LA MENSUALDIAD A $40.00
- SE LE EMPIEZA A FACTURAR EN FEBRERO 2024
- CAMBIA COSTO DE MENSUALIDAD A $38.80+IVA
19 UNIDADES EN ENERO'24
52 UNIDADES EN FEBRERO'24
17 UNIDADES EN MARZO'24
25 UNIDADES EN ABRIL'24
32 UNIDADES EN MAYO'24
13 UNIDADES EN JUNIO'24
1 UNIDAD EN DICIEMBRE'24</t>
        </r>
      </text>
    </comment>
    <comment ref="T41" authorId="0" shapeId="0" xr:uid="{00000000-0006-0000-0100-00001C000000}">
      <text>
        <r>
          <rPr>
            <b/>
            <sz val="9"/>
            <color indexed="81"/>
            <rFont val="Tahoma"/>
            <family val="2"/>
          </rPr>
          <t>PC:</t>
        </r>
        <r>
          <rPr>
            <sz val="9"/>
            <color indexed="81"/>
            <rFont val="Tahoma"/>
            <family val="2"/>
          </rPr>
          <t xml:space="preserve">
REMISION ADICIONAL POR UNIDADES FALTANTES DE COBRAR 
Saldo de meses arrastrados desde julio'22</t>
        </r>
      </text>
    </comment>
    <comment ref="E42" authorId="0" shapeId="0" xr:uid="{00000000-0006-0000-0100-00001D000000}">
      <text>
        <r>
          <rPr>
            <b/>
            <sz val="9"/>
            <color indexed="81"/>
            <rFont val="Tahoma"/>
            <family val="2"/>
          </rPr>
          <t>PC:</t>
        </r>
        <r>
          <rPr>
            <sz val="9"/>
            <color indexed="81"/>
            <rFont val="Tahoma"/>
            <family val="2"/>
          </rPr>
          <t xml:space="preserve">
INGRESA EL 03-OCTUBRE-2024
COMODATO 
INSTALACION $549.00+IVA
MENSUALIDAD $300.00+IVA</t>
        </r>
      </text>
    </comment>
    <comment ref="E43" authorId="0" shapeId="0" xr:uid="{00000000-0006-0000-0100-00001E000000}">
      <text>
        <r>
          <rPr>
            <b/>
            <sz val="9"/>
            <color indexed="81"/>
            <rFont val="Tahoma"/>
            <family val="2"/>
          </rPr>
          <t>PC:</t>
        </r>
        <r>
          <rPr>
            <sz val="9"/>
            <color indexed="81"/>
            <rFont val="Tahoma"/>
            <family val="2"/>
          </rPr>
          <t xml:space="preserve">
INICA CUENTA DEMO EL 24-FEB-23
INGRESA A LA COBRANZA EL 13-ABRIL-23
INSTALACION $650.00+IVA=$754.00
MENSUALIDAD $320.00+IVA=$371.20
*COMODATO
VISITA EN FALSO $250.00+IVA</t>
        </r>
      </text>
    </comment>
    <comment ref="T43" authorId="0" shapeId="0" xr:uid="{00000000-0006-0000-0100-00001F000000}">
      <text>
        <r>
          <rPr>
            <b/>
            <sz val="9"/>
            <color indexed="81"/>
            <rFont val="Tahoma"/>
            <family val="2"/>
          </rPr>
          <t>PC:</t>
        </r>
        <r>
          <rPr>
            <sz val="9"/>
            <color indexed="81"/>
            <rFont val="Tahoma"/>
            <family val="2"/>
          </rPr>
          <t xml:space="preserve">
INSTALACIONES
PDTES- 5 
$650.00+IVA</t>
        </r>
      </text>
    </comment>
    <comment ref="E44" authorId="0" shapeId="0" xr:uid="{00000000-0006-0000-0100-000020000000}">
      <text>
        <r>
          <rPr>
            <b/>
            <sz val="9"/>
            <color indexed="81"/>
            <rFont val="Tahoma"/>
            <family val="2"/>
          </rPr>
          <t>PC:</t>
        </r>
        <r>
          <rPr>
            <sz val="9"/>
            <color indexed="81"/>
            <rFont val="Tahoma"/>
            <family val="2"/>
          </rPr>
          <t xml:space="preserve">
INGRESA EL 14-DICIEMBRE-2024
EQUIPO $2,200.00+IVA
MENSUALIDAD $290.00</t>
        </r>
      </text>
    </comment>
    <comment ref="E45" authorId="0" shapeId="0" xr:uid="{00000000-0006-0000-0100-000021000000}">
      <text>
        <r>
          <rPr>
            <b/>
            <sz val="9"/>
            <color indexed="81"/>
            <rFont val="Tahoma"/>
            <family val="2"/>
          </rPr>
          <t>PC:</t>
        </r>
        <r>
          <rPr>
            <sz val="9"/>
            <color indexed="81"/>
            <rFont val="Tahoma"/>
            <family val="2"/>
          </rPr>
          <t xml:space="preserve">
INGRESA EL 19-OCTUBRE-2024
COMODATO 
INSTALACION $549.00+IVA
MENSUALIDAD $300.00+IVA
NOVIEMBRE 2024 INSTALACION CON DESCUENTO UNICO -30%
INSTALACION $384.30+IVA 
REVISION $650.00+IVA
RE-INSTALACION $500.00+IVA
DES-INSTALACION $500.00+IVA</t>
        </r>
      </text>
    </comment>
    <comment ref="E46" authorId="0" shapeId="0" xr:uid="{00000000-0006-0000-0100-000022000000}">
      <text>
        <r>
          <rPr>
            <b/>
            <sz val="9"/>
            <color indexed="81"/>
            <rFont val="Tahoma"/>
            <family val="2"/>
          </rPr>
          <t>PC:</t>
        </r>
        <r>
          <rPr>
            <sz val="9"/>
            <color indexed="81"/>
            <rFont val="Tahoma"/>
            <family val="2"/>
          </rPr>
          <t xml:space="preserve">
ALTA 14-ENERO-2025 
COMODATO
INSTALACION $549.00+IVA
MENSUALIDAD $279.00+IVA</t>
        </r>
      </text>
    </comment>
    <comment ref="E47" authorId="3" shapeId="0" xr:uid="{00000000-0006-0000-0100-000023000000}">
      <text>
        <r>
          <rPr>
            <b/>
            <sz val="9"/>
            <color indexed="81"/>
            <rFont val="Tahoma"/>
            <family val="2"/>
          </rPr>
          <t>UBITEC:</t>
        </r>
        <r>
          <rPr>
            <sz val="9"/>
            <color indexed="81"/>
            <rFont val="Tahoma"/>
            <family val="2"/>
          </rPr>
          <t xml:space="preserve">
</t>
        </r>
        <r>
          <rPr>
            <sz val="10"/>
            <color indexed="81"/>
            <rFont val="Tahoma"/>
            <family val="2"/>
          </rPr>
          <t xml:space="preserve">EQUIPO $2,300 + IVA $2,668.00
MENSUALIDAD $250.00+ IVA $290.00
</t>
        </r>
        <r>
          <rPr>
            <b/>
            <sz val="10"/>
            <color indexed="81"/>
            <rFont val="Tahoma"/>
            <family val="2"/>
          </rPr>
          <t xml:space="preserve">1er SERVICIO 14-JUN-2022 
</t>
        </r>
        <r>
          <rPr>
            <sz val="10"/>
            <color indexed="81"/>
            <rFont val="Tahoma"/>
            <family val="2"/>
          </rPr>
          <t xml:space="preserve">Instalación 2 unidades </t>
        </r>
        <r>
          <rPr>
            <b/>
            <sz val="10"/>
            <color indexed="81"/>
            <rFont val="Tahoma"/>
            <family val="2"/>
          </rPr>
          <t xml:space="preserve">
2do SERVICIO 17-JUN-2022
</t>
        </r>
        <r>
          <rPr>
            <sz val="10"/>
            <color indexed="81"/>
            <rFont val="Tahoma"/>
            <family val="2"/>
          </rPr>
          <t xml:space="preserve">Instalación 1 unidad
</t>
        </r>
      </text>
    </comment>
    <comment ref="T47" authorId="0" shapeId="0" xr:uid="{00000000-0006-0000-0100-000024000000}">
      <text>
        <r>
          <rPr>
            <b/>
            <sz val="9"/>
            <color indexed="81"/>
            <rFont val="Tahoma"/>
            <family val="2"/>
          </rPr>
          <t>PC:</t>
        </r>
        <r>
          <rPr>
            <sz val="9"/>
            <color indexed="81"/>
            <rFont val="Tahoma"/>
            <family val="2"/>
          </rPr>
          <t xml:space="preserve">
INSTALACIONES 25-NOVIEMBRE-22
EQUIPO $2,300.00+IVA 
MENSUALIDAD PROPORCIONAL $41.66+IVA 
INSTALACIONES 03-DICIEMBRE-22
4 EQUIPOS $2,300.00+IVA 
MENSUALIDAD PROPORCIONAL 27 DÍAS $225.00+IVA </t>
        </r>
      </text>
    </comment>
    <comment ref="E48" authorId="1" shapeId="0" xr:uid="{00000000-0006-0000-0100-000025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9" authorId="1" shapeId="0" xr:uid="{00000000-0006-0000-0100-000026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50" authorId="0" shapeId="0" xr:uid="{00000000-0006-0000-0100-000027000000}">
      <text>
        <r>
          <rPr>
            <b/>
            <sz val="9"/>
            <color indexed="81"/>
            <rFont val="Tahoma"/>
            <family val="2"/>
          </rPr>
          <t>PC:</t>
        </r>
        <r>
          <rPr>
            <sz val="9"/>
            <color indexed="81"/>
            <rFont val="Tahoma"/>
            <family val="2"/>
          </rPr>
          <t xml:space="preserve">
INGRESA EL 07-OCTUBRE-2024 
COMODATO 
INSTALACION $549.00+IVA
MENSUALIDAD $300.00+IVA</t>
        </r>
      </text>
    </comment>
    <comment ref="E51" authorId="0" shapeId="0" xr:uid="{00000000-0006-0000-0100-000028000000}">
      <text>
        <r>
          <rPr>
            <b/>
            <sz val="9"/>
            <color indexed="81"/>
            <rFont val="Tahoma"/>
            <family val="2"/>
          </rPr>
          <t>PC:</t>
        </r>
        <r>
          <rPr>
            <sz val="9"/>
            <color indexed="81"/>
            <rFont val="Tahoma"/>
            <family val="2"/>
          </rPr>
          <t xml:space="preserve">
RE-INSTALACIÓN Y MIGRACIÓN $650.00+IVA
INICIO 03-AGOSTO-22
RENTA $300.00 MENSUAL +IVA </t>
        </r>
      </text>
    </comment>
    <comment ref="E52" authorId="0" shapeId="0" xr:uid="{00000000-0006-0000-0100-000029000000}">
      <text>
        <r>
          <rPr>
            <b/>
            <sz val="9"/>
            <color indexed="81"/>
            <rFont val="Tahoma"/>
            <family val="2"/>
          </rPr>
          <t>PC:</t>
        </r>
        <r>
          <rPr>
            <sz val="9"/>
            <color indexed="81"/>
            <rFont val="Tahoma"/>
            <family val="2"/>
          </rPr>
          <t xml:space="preserve">
INGRESA EL 16-NOVIEMBRE-2023
EQUIPO $1,950.00+IVA
MENSUALIDAD $300.00+IVA
VIATICOS $1,000.00+IVA</t>
        </r>
      </text>
    </comment>
    <comment ref="E53" authorId="0" shapeId="0" xr:uid="{00000000-0006-0000-0100-00002A000000}">
      <text>
        <r>
          <rPr>
            <b/>
            <sz val="9"/>
            <color indexed="81"/>
            <rFont val="Tahoma"/>
            <family val="2"/>
          </rPr>
          <t>PC:</t>
        </r>
        <r>
          <rPr>
            <sz val="9"/>
            <color indexed="81"/>
            <rFont val="Tahoma"/>
            <family val="2"/>
          </rPr>
          <t xml:space="preserve">
INICIA EL 03-MAYO-2023
EQUIPO $1,590.00+IVA
MENSUALIDAD $250.00+IVA</t>
        </r>
      </text>
    </comment>
    <comment ref="E54" authorId="0" shapeId="0" xr:uid="{00000000-0006-0000-0100-00002B000000}">
      <text>
        <r>
          <rPr>
            <b/>
            <sz val="9"/>
            <color indexed="81"/>
            <rFont val="Tahoma"/>
            <family val="2"/>
          </rPr>
          <t>PC:</t>
        </r>
        <r>
          <rPr>
            <sz val="9"/>
            <color indexed="81"/>
            <rFont val="Tahoma"/>
            <family val="2"/>
          </rPr>
          <t xml:space="preserve">
INICIA EL 05-JUNIO-2023
EQUIPO $1,200.00+IVA
MENSUALIDAD $300.00+IVA
</t>
        </r>
      </text>
    </comment>
    <comment ref="C55" authorId="0" shapeId="0" xr:uid="{00000000-0006-0000-0100-00002C000000}">
      <text>
        <r>
          <rPr>
            <b/>
            <sz val="9"/>
            <color indexed="81"/>
            <rFont val="Tahoma"/>
            <family val="2"/>
          </rPr>
          <t>PC:</t>
        </r>
        <r>
          <rPr>
            <sz val="9"/>
            <color indexed="81"/>
            <rFont val="Tahoma"/>
            <family val="2"/>
          </rPr>
          <t xml:space="preserve">
DOMICILIO: CARRETERA ESTATAL LIBRE MIGUEL ALEMAN #2526
PESQUERIA, N.L.
C.P.66650</t>
        </r>
      </text>
    </comment>
    <comment ref="E55" authorId="0" shapeId="0" xr:uid="{00000000-0006-0000-0100-00002D000000}">
      <text>
        <r>
          <rPr>
            <b/>
            <sz val="9"/>
            <color indexed="81"/>
            <rFont val="Tahoma"/>
            <family val="2"/>
          </rPr>
          <t>PC:</t>
        </r>
        <r>
          <rPr>
            <sz val="9"/>
            <color indexed="81"/>
            <rFont val="Tahoma"/>
            <family val="2"/>
          </rPr>
          <t xml:space="preserve">
INSTALACION EQP. MULTIMODAL 5 PUERTOS USO RUDO $2,149.00+IVA= $2,492.84
MENSUALIDAD $349.00+IVA= $404.84
SENSOR DE COMBUSTIBLE DE VARILLA CONFIGURACION INDUCTIVA INSTALACION Y CALIBRACION A 20 LTS $5,450.00+IVA= $6,322.00
1er. INSTALACION 22-DICIEMBRE-2022 
*SE LE COBRA Y FACTURA HASTA EL 04-ENERO-2023</t>
        </r>
      </text>
    </comment>
    <comment ref="T55" authorId="0" shapeId="0" xr:uid="{00000000-0006-0000-0100-00002E000000}">
      <text>
        <r>
          <rPr>
            <b/>
            <sz val="9"/>
            <color indexed="81"/>
            <rFont val="Tahoma"/>
            <family val="2"/>
          </rPr>
          <t>PC:</t>
        </r>
        <r>
          <rPr>
            <sz val="9"/>
            <color indexed="81"/>
            <rFont val="Tahoma"/>
            <family val="2"/>
          </rPr>
          <t xml:space="preserve">
INSTALACION EQP. MULTIMODAL 5 PUERTOS USO RUDO $2,149.00+IVA= $2,492.84
SENSOR DE COMBUSTIBLE DE VARILLA CONFIGURACION INDUCTIVA INSTALACION Y CALIBRACION A 20 LTS $5,450.00+IVA= $6,322.00
INSTALCION 17-FEBRERO-2023 
1 INSTALACION $2,149.00+IVA
1 MENS. $349.00+IVA
</t>
        </r>
      </text>
    </comment>
    <comment ref="AL55" authorId="0" shapeId="0" xr:uid="{00000000-0006-0000-0100-00002F000000}">
      <text>
        <r>
          <rPr>
            <b/>
            <sz val="9"/>
            <color indexed="81"/>
            <rFont val="Tahoma"/>
            <family val="2"/>
          </rPr>
          <t>PC:</t>
        </r>
        <r>
          <rPr>
            <sz val="9"/>
            <color indexed="81"/>
            <rFont val="Tahoma"/>
            <family val="2"/>
          </rPr>
          <t xml:space="preserve">
DEVOLUCIÓN POR PAGO DUPLICADO 
SE ENVIÓ CORREO EL 17-FEB-23 </t>
        </r>
      </text>
    </comment>
    <comment ref="E56" authorId="0" shapeId="0" xr:uid="{00000000-0006-0000-0100-000030000000}">
      <text>
        <r>
          <rPr>
            <b/>
            <sz val="9"/>
            <color indexed="81"/>
            <rFont val="Tahoma"/>
            <family val="2"/>
          </rPr>
          <t>PC:</t>
        </r>
        <r>
          <rPr>
            <sz val="9"/>
            <color indexed="81"/>
            <rFont val="Tahoma"/>
            <family val="2"/>
          </rPr>
          <t xml:space="preserve">
INGRESA EL 18-SEPTIEMBRE-2024
COMODATO 
INSTALACIÓN $549.00+IVA
MENSUALIDAD $250.00+IVA
SE LE INSTALA EL 24-SEPTIEMBRE-2024 
04 UNIDADES
25-SEPTIEMBRE-2024 05 UNIDADES</t>
        </r>
      </text>
    </comment>
    <comment ref="D57" authorId="1" shapeId="0" xr:uid="{00000000-0006-0000-0100-000031000000}">
      <text>
        <r>
          <rPr>
            <b/>
            <sz val="9"/>
            <color indexed="81"/>
            <rFont val="Tahoma"/>
            <family val="2"/>
          </rPr>
          <t>Luffi:</t>
        </r>
        <r>
          <rPr>
            <sz val="9"/>
            <color indexed="81"/>
            <rFont val="Tahoma"/>
            <family val="2"/>
          </rPr>
          <t xml:space="preserve">
Ricardo Gonzalez 818 029 3441
</t>
        </r>
        <r>
          <rPr>
            <b/>
            <sz val="9"/>
            <color indexed="10"/>
            <rFont val="Tahoma"/>
            <family val="2"/>
          </rPr>
          <t xml:space="preserve">ricardo.g@quinexus.mx; ricardo.g@quimbo.mx
</t>
        </r>
        <r>
          <rPr>
            <b/>
            <sz val="9"/>
            <color indexed="81"/>
            <rFont val="Tahoma"/>
            <family val="2"/>
          </rPr>
          <t xml:space="preserve">
</t>
        </r>
        <r>
          <rPr>
            <sz val="9"/>
            <color indexed="81"/>
            <rFont val="Tahoma"/>
            <family val="2"/>
          </rPr>
          <t>Arely López</t>
        </r>
        <r>
          <rPr>
            <sz val="9"/>
            <color indexed="10"/>
            <rFont val="Tahoma"/>
            <family val="2"/>
          </rPr>
          <t xml:space="preserve"> </t>
        </r>
        <r>
          <rPr>
            <sz val="9"/>
            <color indexed="81"/>
            <rFont val="Tahoma"/>
            <family val="2"/>
          </rPr>
          <t xml:space="preserve">811 499 1431
</t>
        </r>
        <r>
          <rPr>
            <b/>
            <sz val="9"/>
            <color indexed="10"/>
            <rFont val="Tahoma"/>
            <family val="2"/>
          </rPr>
          <t>arely.lr@quinexus.mx;</t>
        </r>
        <r>
          <rPr>
            <b/>
            <sz val="9"/>
            <color indexed="81"/>
            <rFont val="Tahoma"/>
            <family val="2"/>
          </rPr>
          <t xml:space="preserve"> 
</t>
        </r>
        <r>
          <rPr>
            <sz val="9"/>
            <color indexed="81"/>
            <rFont val="Tahoma"/>
            <family val="2"/>
          </rPr>
          <t xml:space="preserve">Juan Carlos 818 280 5631 
</t>
        </r>
        <r>
          <rPr>
            <b/>
            <sz val="9"/>
            <color indexed="10"/>
            <rFont val="Tahoma"/>
            <family val="2"/>
          </rPr>
          <t>juan.cf@quinexus.mx</t>
        </r>
        <r>
          <rPr>
            <b/>
            <sz val="9"/>
            <color indexed="81"/>
            <rFont val="Tahoma"/>
            <family val="2"/>
          </rPr>
          <t xml:space="preserve"> </t>
        </r>
      </text>
    </comment>
    <comment ref="E57" authorId="1" shapeId="0" xr:uid="{00000000-0006-0000-0100-000032000000}">
      <text>
        <r>
          <rPr>
            <b/>
            <sz val="9"/>
            <color indexed="81"/>
            <rFont val="Tahoma"/>
            <family val="2"/>
          </rPr>
          <t>Luffi:</t>
        </r>
        <r>
          <rPr>
            <sz val="9"/>
            <color indexed="81"/>
            <rFont val="Tahoma"/>
            <family val="2"/>
          </rPr>
          <t xml:space="preserve">
</t>
        </r>
        <r>
          <rPr>
            <sz val="10"/>
            <color indexed="81"/>
            <rFont val="Tahoma"/>
            <family val="2"/>
          </rPr>
          <t>RENTA $220.00
26 UNIDADES</t>
        </r>
      </text>
    </comment>
    <comment ref="N57" authorId="0" shapeId="0" xr:uid="{00000000-0006-0000-0100-000033000000}">
      <text>
        <r>
          <rPr>
            <b/>
            <sz val="9"/>
            <color indexed="81"/>
            <rFont val="Tahoma"/>
            <family val="2"/>
          </rPr>
          <t>PC:</t>
        </r>
        <r>
          <rPr>
            <sz val="9"/>
            <color indexed="81"/>
            <rFont val="Tahoma"/>
            <family val="2"/>
          </rPr>
          <t xml:space="preserve">
REMISION 61
</t>
        </r>
      </text>
    </comment>
    <comment ref="T57" authorId="1" shapeId="0" xr:uid="{00000000-0006-0000-0100-000034000000}">
      <text>
        <r>
          <rPr>
            <b/>
            <sz val="9"/>
            <color indexed="81"/>
            <rFont val="Tahoma"/>
            <family val="2"/>
          </rPr>
          <t>Luffi:</t>
        </r>
        <r>
          <rPr>
            <sz val="9"/>
            <color indexed="81"/>
            <rFont val="Tahoma"/>
            <family val="2"/>
          </rPr>
          <t xml:space="preserve">
REMISION 66 ENERO'22
REMISION 64 NOV-22 $32,012.00
13 INSTALACION
7 DES-INSTALACION
7-RE-INSTALACION
2 VISITA EN FALSO 
REMISION 60 02-JULIO-2022
$33,632.00
18 INSTALSACIONES
3 DES-INSTALACIONES 
1 RE-INSTALACION 
</t>
        </r>
        <r>
          <rPr>
            <sz val="10"/>
            <color indexed="81"/>
            <rFont val="Tahoma"/>
            <family val="2"/>
          </rPr>
          <t xml:space="preserve">
</t>
        </r>
      </text>
    </comment>
    <comment ref="U57" authorId="1" shapeId="0" xr:uid="{00000000-0006-0000-0100-000035000000}">
      <text>
        <r>
          <rPr>
            <b/>
            <sz val="9"/>
            <color indexed="81"/>
            <rFont val="Tahoma"/>
            <family val="2"/>
          </rPr>
          <t>Luffi:</t>
        </r>
        <r>
          <rPr>
            <sz val="9"/>
            <color indexed="81"/>
            <rFont val="Tahoma"/>
            <family val="2"/>
          </rPr>
          <t xml:space="preserve">
</t>
        </r>
        <r>
          <rPr>
            <sz val="10"/>
            <color indexed="81"/>
            <rFont val="Tahoma"/>
            <family val="2"/>
          </rPr>
          <t>29-JULIO-20 $3,448.00
10-AGOSTO-20 $5,940.00</t>
        </r>
      </text>
    </comment>
    <comment ref="E58" authorId="1" shapeId="0" xr:uid="{00000000-0006-0000-0100-000036000000}">
      <text>
        <r>
          <rPr>
            <b/>
            <sz val="9"/>
            <color indexed="81"/>
            <rFont val="Tahoma"/>
            <family val="2"/>
          </rPr>
          <t>Luffi:</t>
        </r>
        <r>
          <rPr>
            <sz val="9"/>
            <color indexed="81"/>
            <rFont val="Tahoma"/>
            <family val="2"/>
          </rPr>
          <t xml:space="preserve">
3 EQUIPOS $1,999.00 + IVA $2,318.84
4 RENTA $330.00 + IVA $382.80
CON CANAL DE VOZ
MENSUALIDAD $1,531.20</t>
        </r>
      </text>
    </comment>
    <comment ref="E59" authorId="0" shapeId="0" xr:uid="{00000000-0006-0000-0100-000037000000}">
      <text>
        <r>
          <rPr>
            <b/>
            <sz val="9"/>
            <color indexed="81"/>
            <rFont val="Tahoma"/>
            <family val="2"/>
          </rPr>
          <t>PC:</t>
        </r>
        <r>
          <rPr>
            <sz val="9"/>
            <color indexed="81"/>
            <rFont val="Tahoma"/>
            <family val="2"/>
          </rPr>
          <t xml:space="preserve">
INGRESA EL 26-ABRIL-2024 
EQUIPO $3,500.00+IVA
MENSUALIDAD $300.00+IVA
SENSOR DE DIESEL PRIMARIO $8,500.00+IVA
SENSOR DE DIESEL SECUNDARIO $8,000.00+IVA</t>
        </r>
      </text>
    </comment>
    <comment ref="E60" authorId="1" shapeId="0" xr:uid="{00000000-0006-0000-0100-000038000000}">
      <text>
        <r>
          <rPr>
            <b/>
            <sz val="9"/>
            <color indexed="81"/>
            <rFont val="Tahoma"/>
            <family val="2"/>
          </rPr>
          <t>Luffi:</t>
        </r>
        <r>
          <rPr>
            <sz val="9"/>
            <color indexed="81"/>
            <rFont val="Tahoma"/>
            <family val="2"/>
          </rPr>
          <t xml:space="preserve">
</t>
        </r>
        <r>
          <rPr>
            <sz val="10"/>
            <color indexed="81"/>
            <rFont val="Tahoma"/>
            <family val="2"/>
          </rPr>
          <t>EQ. $1,800
MEN $300
2do EQUIPO COMPRADO 17-DIC-2020 
3er EQUIPO COMPRADO 30-ENE-2021</t>
        </r>
      </text>
    </comment>
    <comment ref="E61" authorId="0" shapeId="0" xr:uid="{00000000-0006-0000-0100-000039000000}">
      <text>
        <r>
          <rPr>
            <b/>
            <sz val="9"/>
            <color indexed="81"/>
            <rFont val="Tahoma"/>
            <family val="2"/>
          </rPr>
          <t>PC:</t>
        </r>
        <r>
          <rPr>
            <sz val="9"/>
            <color indexed="81"/>
            <rFont val="Tahoma"/>
            <family val="2"/>
          </rPr>
          <t xml:space="preserve">
INICA EL 11-NOVIEMBRE-2023
EQUIPO $2,100.00+IVA
MENSUALIDAD $330.00+IVA</t>
        </r>
      </text>
    </comment>
    <comment ref="E62" authorId="0" shapeId="0" xr:uid="{00000000-0006-0000-0100-00003A000000}">
      <text>
        <r>
          <rPr>
            <sz val="9"/>
            <color indexed="81"/>
            <rFont val="Tahoma"/>
            <family val="2"/>
          </rPr>
          <t xml:space="preserve">INICIA 19 NOVIEMBRE'2022 
+COMODATO 
MENSUALIDAD $289.00+IVA 
INSTALACION $500.00+IVA </t>
        </r>
      </text>
    </comment>
    <comment ref="T62" authorId="0" shapeId="0" xr:uid="{00000000-0006-0000-0100-00003B000000}">
      <text>
        <r>
          <rPr>
            <b/>
            <sz val="9"/>
            <color indexed="81"/>
            <rFont val="Tahoma"/>
            <family val="2"/>
          </rPr>
          <t xml:space="preserve">PC:
</t>
        </r>
        <r>
          <rPr>
            <sz val="9"/>
            <color indexed="81"/>
            <rFont val="Tahoma"/>
            <family val="2"/>
          </rPr>
          <t>INSTALACION 09-FEB-2023 $500.00+IVA 
MENS. PROP. $202.30+IVA (21 DIAS $9.63 C/U) 
MENSUALIDAD PROPORCIONAL INSTALACIONES 19 NOV 2022 
11 DÍAS $105.96+IVA= $1,059.66</t>
        </r>
      </text>
    </comment>
    <comment ref="E63" authorId="0" shapeId="0" xr:uid="{00000000-0006-0000-0100-00003C000000}">
      <text>
        <r>
          <rPr>
            <b/>
            <sz val="9"/>
            <color indexed="81"/>
            <rFont val="Tahoma"/>
            <family val="2"/>
          </rPr>
          <t>PC:</t>
        </r>
        <r>
          <rPr>
            <sz val="9"/>
            <color indexed="81"/>
            <rFont val="Tahoma"/>
            <family val="2"/>
          </rPr>
          <t xml:space="preserve">
INGRESA EL 30-SEPTIEMBRE-2023
EQUIPO $1,850.00+IVA
MENSUALIDAD $300.00+IVA</t>
        </r>
      </text>
    </comment>
    <comment ref="E64" authorId="0" shapeId="0" xr:uid="{00000000-0006-0000-0100-00003D000000}">
      <text>
        <r>
          <rPr>
            <b/>
            <sz val="9"/>
            <color indexed="81"/>
            <rFont val="Tahoma"/>
            <family val="2"/>
          </rPr>
          <t>PC:</t>
        </r>
        <r>
          <rPr>
            <sz val="9"/>
            <color indexed="81"/>
            <rFont val="Tahoma"/>
            <family val="2"/>
          </rPr>
          <t xml:space="preserve">
INGRESA EL 21-OCTUBRE-2024
EQUIPO $1,850.00+IVA
MENSUALIDAD $200.00+IVA
REVISION, RECONFIGURACION Y REACTIVACION DE EQUIPO Y CUENTA $1,000.00+IVA</t>
        </r>
      </text>
    </comment>
    <comment ref="E65" authorId="0" shapeId="0" xr:uid="{00000000-0006-0000-0100-00003E000000}">
      <text>
        <r>
          <rPr>
            <b/>
            <sz val="9"/>
            <color indexed="81"/>
            <rFont val="Tahoma"/>
            <family val="2"/>
          </rPr>
          <t>PC:</t>
        </r>
        <r>
          <rPr>
            <sz val="9"/>
            <color indexed="81"/>
            <rFont val="Tahoma"/>
            <family val="2"/>
          </rPr>
          <t xml:space="preserve">
RE-INGRESO 05-DICIEMBRE-2024
EQUIPO $1,989.00+IVA
MENSUALIDAD $300.00+IVA</t>
        </r>
      </text>
    </comment>
    <comment ref="E66" authorId="0" shapeId="0" xr:uid="{00000000-0006-0000-0100-00003F000000}">
      <text>
        <r>
          <rPr>
            <b/>
            <sz val="9"/>
            <color indexed="81"/>
            <rFont val="Tahoma"/>
            <family val="2"/>
          </rPr>
          <t>PC:</t>
        </r>
        <r>
          <rPr>
            <sz val="9"/>
            <color indexed="81"/>
            <rFont val="Tahoma"/>
            <family val="2"/>
          </rPr>
          <t xml:space="preserve">
INGRESA EL 21-NOVIEMBRE-2024 
EQUIPO $2,000.00+IVA
MENSUALIDAD $250.00+IVA</t>
        </r>
      </text>
    </comment>
    <comment ref="E67" authorId="0" shapeId="0" xr:uid="{00000000-0006-0000-0100-000040000000}">
      <text>
        <r>
          <rPr>
            <b/>
            <sz val="9"/>
            <color indexed="81"/>
            <rFont val="Tahoma"/>
            <family val="2"/>
          </rPr>
          <t>PC:</t>
        </r>
        <r>
          <rPr>
            <sz val="9"/>
            <color indexed="81"/>
            <rFont val="Tahoma"/>
            <family val="2"/>
          </rPr>
          <t xml:space="preserve">
INGRESO 12-JUNIO-2023 PDTES. INST. 
MIGRACION DE LINEA $450.00+IVA
MENSUALIDAD $249.00+IVA
EQUIPO $1,999.00+IVA
NOTA: A 1 INSTALACION SE LE REBAJO EL COSTO DE MIGRACION EN EL EQUIPO, PORQUE ELLOS PENSABAN QUE SI TENIA, FUERON A REVISAR Y LA UNIDAD NO CONTABA CON GPS </t>
        </r>
      </text>
    </comment>
    <comment ref="E68" authorId="0" shapeId="0" xr:uid="{00000000-0006-0000-0100-000041000000}">
      <text>
        <r>
          <rPr>
            <b/>
            <sz val="9"/>
            <color indexed="81"/>
            <rFont val="Tahoma"/>
            <family val="2"/>
          </rPr>
          <t>PC:</t>
        </r>
        <r>
          <rPr>
            <sz val="9"/>
            <color indexed="81"/>
            <rFont val="Tahoma"/>
            <family val="2"/>
          </rPr>
          <t xml:space="preserve">
INGRESA EL 09-DICIEMBRE-2024   (RECOMENDADO DE ALBERTO PEREZ) 
EQUIPO $1,800.00+IVA
MENSUALIDAD $300.00+IVA</t>
        </r>
      </text>
    </comment>
    <comment ref="E69" authorId="0" shapeId="0" xr:uid="{00000000-0006-0000-0100-000042000000}">
      <text>
        <r>
          <rPr>
            <b/>
            <sz val="9"/>
            <color indexed="81"/>
            <rFont val="Tahoma"/>
            <family val="2"/>
          </rPr>
          <t>PC:</t>
        </r>
        <r>
          <rPr>
            <sz val="9"/>
            <color indexed="81"/>
            <rFont val="Tahoma"/>
            <family val="2"/>
          </rPr>
          <t xml:space="preserve">
INICIA EL 24-MAYO-2023 
EQUIPO  $1,879.00+IVA=$2,179.64
MENSUALIDAD  $249.00+IVA=$288.84</t>
        </r>
      </text>
    </comment>
    <comment ref="E70" authorId="0" shapeId="0" xr:uid="{00000000-0006-0000-0100-000043000000}">
      <text>
        <r>
          <rPr>
            <b/>
            <sz val="9"/>
            <color indexed="81"/>
            <rFont val="Tahoma"/>
            <family val="2"/>
          </rPr>
          <t>PC:</t>
        </r>
        <r>
          <rPr>
            <sz val="9"/>
            <color indexed="81"/>
            <rFont val="Tahoma"/>
            <family val="2"/>
          </rPr>
          <t xml:space="preserve">
INICIA EL 02-MARZO-2023 
EQUIPO $1,724+IVA=$1,999.84
MENSUALIDAD $249.00+IVA=$288.84</t>
        </r>
      </text>
    </comment>
    <comment ref="E71" authorId="1" shapeId="0" xr:uid="{00000000-0006-0000-0100-000044000000}">
      <text>
        <r>
          <rPr>
            <b/>
            <sz val="9"/>
            <color indexed="81"/>
            <rFont val="Tahoma"/>
            <family val="2"/>
          </rPr>
          <t>Luffi:</t>
        </r>
        <r>
          <rPr>
            <sz val="9"/>
            <color indexed="81"/>
            <rFont val="Tahoma"/>
            <family val="2"/>
          </rPr>
          <t xml:space="preserve">
1 RENTA $300.00
23-JUNIO-2020
INCLUYE 2 UNIDADES </t>
        </r>
      </text>
    </comment>
    <comment ref="E72" authorId="0" shapeId="0" xr:uid="{00000000-0006-0000-0100-000045000000}">
      <text>
        <r>
          <rPr>
            <b/>
            <sz val="9"/>
            <color indexed="81"/>
            <rFont val="Tahoma"/>
            <family val="2"/>
          </rPr>
          <t>PC:</t>
        </r>
        <r>
          <rPr>
            <sz val="9"/>
            <color indexed="81"/>
            <rFont val="Tahoma"/>
            <family val="2"/>
          </rPr>
          <t xml:space="preserve">
1er INSTALACIÓN 
 22-AGOSTO-2022
Equipo: $1,800.00+IVA 
Renta: $300.00+IVA </t>
        </r>
      </text>
    </comment>
    <comment ref="E73" authorId="0" shapeId="0" xr:uid="{00000000-0006-0000-0100-000046000000}">
      <text>
        <r>
          <rPr>
            <b/>
            <sz val="9"/>
            <color indexed="81"/>
            <rFont val="Tahoma"/>
            <family val="2"/>
          </rPr>
          <t>PC:</t>
        </r>
        <r>
          <rPr>
            <sz val="9"/>
            <color indexed="81"/>
            <rFont val="Tahoma"/>
            <family val="2"/>
          </rPr>
          <t xml:space="preserve">
</t>
        </r>
        <r>
          <rPr>
            <b/>
            <sz val="9"/>
            <color indexed="81"/>
            <rFont val="Tahoma"/>
            <family val="2"/>
          </rPr>
          <t>INICA EL 24-JULIO-2023
MIGRADO DE BDB 
REACTIVACION $350.00+IVA
EQUIPO $1,800.00+IVA
MENSUALIDAD $250.00+IVA</t>
        </r>
      </text>
    </comment>
    <comment ref="E74" authorId="0" shapeId="0" xr:uid="{00000000-0006-0000-0100-000047000000}">
      <text>
        <r>
          <rPr>
            <b/>
            <sz val="9"/>
            <color indexed="81"/>
            <rFont val="Tahoma"/>
            <family val="2"/>
          </rPr>
          <t>PC:</t>
        </r>
        <r>
          <rPr>
            <sz val="9"/>
            <color indexed="81"/>
            <rFont val="Tahoma"/>
            <family val="2"/>
          </rPr>
          <t xml:space="preserve">
INGRESA EL 10-JULIO-2023
EQUIPO $1,850.00
MENSUALIDAD $250.00</t>
        </r>
      </text>
    </comment>
    <comment ref="E75" authorId="0" shapeId="0" xr:uid="{00000000-0006-0000-0100-000048000000}">
      <text>
        <r>
          <rPr>
            <b/>
            <sz val="9"/>
            <color indexed="81"/>
            <rFont val="Tahoma"/>
            <family val="2"/>
          </rPr>
          <t>PC:</t>
        </r>
        <r>
          <rPr>
            <sz val="9"/>
            <color indexed="81"/>
            <rFont val="Tahoma"/>
            <family val="2"/>
          </rPr>
          <t xml:space="preserve">
INICIA EL 07-MARZO-2024
EQUIPO $2,250.00+IVA
MENSUALIDAD CON CANAL DE VOZ $300.00+IVA</t>
        </r>
      </text>
    </comment>
    <comment ref="E76" authorId="0" shapeId="0" xr:uid="{00000000-0006-0000-0100-000049000000}">
      <text>
        <r>
          <rPr>
            <b/>
            <sz val="9"/>
            <color indexed="81"/>
            <rFont val="Tahoma"/>
            <family val="2"/>
          </rPr>
          <t>PC:</t>
        </r>
        <r>
          <rPr>
            <sz val="9"/>
            <color indexed="81"/>
            <rFont val="Tahoma"/>
            <family val="2"/>
          </rPr>
          <t xml:space="preserve">
INGRESA EL 09-ABRIL-2024 
COMODATO 
INSTALACION $500.00+IVA
MENSUALIDAD $279.00+IVA</t>
        </r>
      </text>
    </comment>
    <comment ref="E77" authorId="0" shapeId="0" xr:uid="{00000000-0006-0000-0100-00004A000000}">
      <text>
        <r>
          <rPr>
            <b/>
            <sz val="9"/>
            <color indexed="81"/>
            <rFont val="Tahoma"/>
            <family val="2"/>
          </rPr>
          <t>PC:</t>
        </r>
        <r>
          <rPr>
            <sz val="9"/>
            <color indexed="81"/>
            <rFont val="Tahoma"/>
            <family val="2"/>
          </rPr>
          <t xml:space="preserve">
INICIA EL 11-NOVIEMBRE.2023
COMODATO
INSTALACION $499.00+IVA
MENSUALIDAD $269.00+IVA
DES-INSTALACION $650.00+IVA</t>
        </r>
      </text>
    </comment>
    <comment ref="T77" authorId="0" shapeId="0" xr:uid="{00000000-0006-0000-0100-00004B000000}">
      <text>
        <r>
          <rPr>
            <b/>
            <sz val="9"/>
            <color indexed="81"/>
            <rFont val="Tahoma"/>
            <family val="2"/>
          </rPr>
          <t>PC:</t>
        </r>
        <r>
          <rPr>
            <sz val="9"/>
            <color indexed="81"/>
            <rFont val="Tahoma"/>
            <family val="2"/>
          </rPr>
          <t xml:space="preserve">
FACTURA 2424 CORRESPONDE A SERVICIO DE DES-INSTALACIONES</t>
        </r>
      </text>
    </comment>
    <comment ref="E78" authorId="0" shapeId="0" xr:uid="{00000000-0006-0000-0100-00004C000000}">
      <text>
        <r>
          <rPr>
            <b/>
            <sz val="9"/>
            <color indexed="81"/>
            <rFont val="Tahoma"/>
            <family val="2"/>
          </rPr>
          <t>PC:</t>
        </r>
        <r>
          <rPr>
            <sz val="9"/>
            <color indexed="81"/>
            <rFont val="Tahoma"/>
            <family val="2"/>
          </rPr>
          <t xml:space="preserve">
RE-INGRESO 04-AGOSTO-2022 
MENSUALIDAD $289.00+IVA 
EQUIPO $2,000.00+IVA INSTALACION DE EQUIPO $361.00+IVA 
REVISON $300.00+IVA=$348.00
FACTURAS PENDIENTES JUNIO'2020 </t>
        </r>
      </text>
    </comment>
    <comment ref="T78" authorId="0" shapeId="0" xr:uid="{00000000-0006-0000-0100-00004D000000}">
      <text>
        <r>
          <rPr>
            <b/>
            <sz val="9"/>
            <color indexed="81"/>
            <rFont val="Tahoma"/>
            <family val="2"/>
          </rPr>
          <t>PC:</t>
        </r>
        <r>
          <rPr>
            <sz val="9"/>
            <color indexed="81"/>
            <rFont val="Tahoma"/>
            <family val="2"/>
          </rPr>
          <t xml:space="preserve">
INSTALACION DE 2 EQUIPOS 04-AGOSTO-22 
ABONO A FACTURAS JUNIO'20 $968.00</t>
        </r>
      </text>
    </comment>
    <comment ref="E79" authorId="1" shapeId="0" xr:uid="{00000000-0006-0000-0100-00004E000000}">
      <text>
        <r>
          <rPr>
            <b/>
            <sz val="9"/>
            <color indexed="81"/>
            <rFont val="Tahoma"/>
            <family val="2"/>
          </rPr>
          <t>Luffi:</t>
        </r>
        <r>
          <rPr>
            <sz val="9"/>
            <color indexed="81"/>
            <rFont val="Tahoma"/>
            <family val="2"/>
          </rPr>
          <t xml:space="preserve">
MAR´2021
11 EQUIPOS COMODATO Y MONITOREO DE COMBUSTIBLE $406
UNIDADES: ECO 08, 09, 10, 11, 12, 14, 15, 16, 17 y No. 1 y 2
04 EQUIPOS COMODATO $348
UNIDADES: No. 3, 4, 6 y TOYOTA YARIS 
FEB´2021
11 EQUIPOS COMODATO Y MONITOREO DE COMBUSTIBLE $406
03 EQUIPO COMODATO $348 
11 MENSUALIDAD FIJA POR $350 + IVA = $406.00 
04 MENSUALIDAD FIJA POR $300 + IVA = $348.00 
INSTALACION $500 + IVA $580.00 C/U
MENSUALIDAD SIN SENSOR $300 + IVA $348.00 C/U
MENSUALIDAD CON SENSOR $350 + IVA $406.00 C/U
SENSORES COMBUSTIBLE $5,600 + IVA $6,496.00 C/U</t>
        </r>
      </text>
    </comment>
    <comment ref="T79" authorId="0" shapeId="0" xr:uid="{00000000-0006-0000-0100-00004F000000}">
      <text>
        <r>
          <rPr>
            <b/>
            <sz val="9"/>
            <color indexed="81"/>
            <rFont val="Tahoma"/>
            <family val="2"/>
          </rPr>
          <t>PC:</t>
        </r>
        <r>
          <rPr>
            <sz val="9"/>
            <color indexed="81"/>
            <rFont val="Tahoma"/>
            <family val="2"/>
          </rPr>
          <t xml:space="preserve">
COBRO DE RE-INSTALACIÓN POR MANIPULACIÓN 
26-AGOSTO-22
UNIDAD 07 Y UNIDAD 11  
650+IVA</t>
        </r>
      </text>
    </comment>
    <comment ref="E80" authorId="0" shapeId="0" xr:uid="{00000000-0006-0000-0100-000050000000}">
      <text>
        <r>
          <rPr>
            <b/>
            <sz val="9"/>
            <color indexed="81"/>
            <rFont val="Tahoma"/>
            <family val="2"/>
          </rPr>
          <t>PC:</t>
        </r>
        <r>
          <rPr>
            <sz val="9"/>
            <color indexed="81"/>
            <rFont val="Tahoma"/>
            <family val="2"/>
          </rPr>
          <t xml:space="preserve">
INGRESA EL 13-SEPTIEMBRE-2024
COMODATO
INSTALACIÓN $549.00+IVA
MENSUALIDAD $300.00+IVA
CAMBIA A ESQUEMA DE FACTURACION 05-FEBRERO-2025 A NOMBRE DE NORMA LETICIA GONZALEZ VAZQUEZ</t>
        </r>
      </text>
    </comment>
    <comment ref="E81" authorId="0" shapeId="0" xr:uid="{00000000-0006-0000-0100-000051000000}">
      <text>
        <r>
          <rPr>
            <b/>
            <sz val="9"/>
            <color indexed="81"/>
            <rFont val="Tahoma"/>
            <family val="2"/>
          </rPr>
          <t>PC:</t>
        </r>
        <r>
          <rPr>
            <sz val="9"/>
            <color indexed="81"/>
            <rFont val="Tahoma"/>
            <family val="2"/>
          </rPr>
          <t xml:space="preserve">
INGRESA EL 25-SEPTIEMBRE-2024
COMODATO
INSTALACIÓN $549.00+IVA
MENSUALIDAD $300.00+IVA</t>
        </r>
      </text>
    </comment>
    <comment ref="E82" authorId="1" shapeId="0" xr:uid="{00000000-0006-0000-0100-000052000000}">
      <text>
        <r>
          <rPr>
            <b/>
            <sz val="9"/>
            <color indexed="81"/>
            <rFont val="Tahoma"/>
            <family val="2"/>
          </rPr>
          <t>Luffi:</t>
        </r>
        <r>
          <rPr>
            <sz val="9"/>
            <color indexed="81"/>
            <rFont val="Tahoma"/>
            <family val="2"/>
          </rPr>
          <t xml:space="preserve">
MEN $300.00
EQUIPO $1,800</t>
        </r>
      </text>
    </comment>
    <comment ref="T82" authorId="1" shapeId="0" xr:uid="{00000000-0006-0000-0100-000053000000}">
      <text>
        <r>
          <rPr>
            <b/>
            <sz val="9"/>
            <color indexed="81"/>
            <rFont val="Tahoma"/>
            <family val="2"/>
          </rPr>
          <t>Luffi:</t>
        </r>
        <r>
          <rPr>
            <sz val="9"/>
            <color indexed="81"/>
            <rFont val="Tahoma"/>
            <family val="2"/>
          </rPr>
          <t xml:space="preserve">
</t>
        </r>
        <r>
          <rPr>
            <b/>
            <sz val="9"/>
            <color indexed="81"/>
            <rFont val="Tahoma"/>
            <family val="2"/>
          </rPr>
          <t>20-ENERO-2022</t>
        </r>
        <r>
          <rPr>
            <sz val="9"/>
            <color indexed="81"/>
            <rFont val="Tahoma"/>
            <family val="2"/>
          </rPr>
          <t xml:space="preserve">
DES-INSTALACION Y RE-INSTALACION
(NISSAN RH-55-927 / NISSAN RA-0631-A) 
$1,000.00 + IVA </t>
        </r>
        <r>
          <rPr>
            <b/>
            <sz val="9"/>
            <color indexed="81"/>
            <rFont val="Tahoma"/>
            <family val="2"/>
          </rPr>
          <t>$1,160.00</t>
        </r>
        <r>
          <rPr>
            <sz val="9"/>
            <color indexed="81"/>
            <rFont val="Tahoma"/>
            <family val="2"/>
          </rPr>
          <t xml:space="preserve">
INSTALACION (NISSAN RA-0630-A)
$1,800.00 + IVA </t>
        </r>
        <r>
          <rPr>
            <b/>
            <sz val="9"/>
            <color indexed="81"/>
            <rFont val="Tahoma"/>
            <family val="2"/>
          </rPr>
          <t xml:space="preserve">$2,088.00
31-ENERO-2022
</t>
        </r>
        <r>
          <rPr>
            <sz val="9"/>
            <color indexed="81"/>
            <rFont val="Tahoma"/>
            <family val="2"/>
          </rPr>
          <t xml:space="preserve">DES-INSTALACION Y RE-INSTALACION 
(NISSAN RD-92-855 / NISSAN PW-3723-A)
$1,000.00 + IVA </t>
        </r>
        <r>
          <rPr>
            <b/>
            <sz val="9"/>
            <color indexed="81"/>
            <rFont val="Tahoma"/>
            <family val="2"/>
          </rPr>
          <t xml:space="preserve">$1,160.00
</t>
        </r>
        <r>
          <rPr>
            <sz val="9"/>
            <color indexed="81"/>
            <rFont val="Tahoma"/>
            <family val="2"/>
          </rPr>
          <t xml:space="preserve">
INSTALACION (NISSAN RA-0887-A)
$1,800.00 + IVA  </t>
        </r>
        <r>
          <rPr>
            <b/>
            <sz val="9"/>
            <color indexed="81"/>
            <rFont val="Tahoma"/>
            <family val="2"/>
          </rPr>
          <t>$2,088.00</t>
        </r>
      </text>
    </comment>
    <comment ref="E83" authorId="0" shapeId="0" xr:uid="{00000000-0006-0000-0100-000054000000}">
      <text>
        <r>
          <rPr>
            <b/>
            <sz val="9"/>
            <color indexed="81"/>
            <rFont val="Tahoma"/>
            <family val="2"/>
          </rPr>
          <t>PC:</t>
        </r>
        <r>
          <rPr>
            <sz val="9"/>
            <color indexed="81"/>
            <rFont val="Tahoma"/>
            <family val="2"/>
          </rPr>
          <t xml:space="preserve">
INGRESA EL 12-MAYO-2024  
COMODATO
INSTALACION $650.00+IVA
MENSUALIDAD $220.00+IVA</t>
        </r>
      </text>
    </comment>
    <comment ref="E84" authorId="0" shapeId="0" xr:uid="{00000000-0006-0000-0100-000055000000}">
      <text>
        <r>
          <rPr>
            <b/>
            <sz val="9"/>
            <color indexed="81"/>
            <rFont val="Tahoma"/>
            <family val="2"/>
          </rPr>
          <t>PC:</t>
        </r>
        <r>
          <rPr>
            <sz val="9"/>
            <color indexed="81"/>
            <rFont val="Tahoma"/>
            <family val="2"/>
          </rPr>
          <t xml:space="preserve">
INICIA EL 08-SEP-2023
EQUIPO $1,850.00+IVA
MENSUALIDAD $250.00+IVA
</t>
        </r>
      </text>
    </comment>
    <comment ref="E85" authorId="0" shapeId="0" xr:uid="{00000000-0006-0000-0100-000056000000}">
      <text>
        <r>
          <rPr>
            <b/>
            <sz val="9"/>
            <color indexed="81"/>
            <rFont val="Tahoma"/>
            <family val="2"/>
          </rPr>
          <t>PC:</t>
        </r>
        <r>
          <rPr>
            <sz val="9"/>
            <color indexed="81"/>
            <rFont val="Tahoma"/>
            <family val="2"/>
          </rPr>
          <t xml:space="preserve">
INGRESA EL 21-OCTUBRE-2024
COMODATO
INSTALACION $549.00+IVA
MENSUALIDAD $300.00+IVA</t>
        </r>
      </text>
    </comment>
    <comment ref="E86" authorId="0" shapeId="0" xr:uid="{00000000-0006-0000-0100-000057000000}">
      <text>
        <r>
          <rPr>
            <b/>
            <sz val="9"/>
            <color indexed="81"/>
            <rFont val="Tahoma"/>
            <family val="2"/>
          </rPr>
          <t>PC:</t>
        </r>
        <r>
          <rPr>
            <sz val="9"/>
            <color indexed="81"/>
            <rFont val="Tahoma"/>
            <family val="2"/>
          </rPr>
          <t xml:space="preserve">
INGRESA EL 12-ENERO-2024
SE LE INSTALA EL 15-ENERO-2024
EQUIPO E INST. $2,550.00+IVA
MENSUALIDAD $300.00+IVA</t>
        </r>
      </text>
    </comment>
    <comment ref="E87" authorId="0" shapeId="0" xr:uid="{00000000-0006-0000-0100-000058000000}">
      <text>
        <r>
          <rPr>
            <b/>
            <sz val="9"/>
            <color indexed="81"/>
            <rFont val="Tahoma"/>
            <family val="2"/>
          </rPr>
          <t>PC:</t>
        </r>
        <r>
          <rPr>
            <sz val="9"/>
            <color indexed="81"/>
            <rFont val="Tahoma"/>
            <family val="2"/>
          </rPr>
          <t xml:space="preserve">
INGRESA EL 11-OCTUBRE-2024
COMODATO
INSTALACIÓN $549.00+IVA
MENSUALIDAD $300.00+IVA
VISITA EN FALSO $250.00+IVA</t>
        </r>
      </text>
    </comment>
    <comment ref="E88" authorId="0" shapeId="0" xr:uid="{00000000-0006-0000-0100-000059000000}">
      <text>
        <r>
          <rPr>
            <b/>
            <sz val="9"/>
            <color indexed="81"/>
            <rFont val="Tahoma"/>
            <family val="2"/>
          </rPr>
          <t>PC:</t>
        </r>
        <r>
          <rPr>
            <sz val="9"/>
            <color indexed="81"/>
            <rFont val="Tahoma"/>
            <family val="2"/>
          </rPr>
          <t xml:space="preserve">
INGRESA EL 10-OCTUBRE-2024
COMODATO 
INSTALACION $549.00+IVA
MENSUALIDAD $300.00+IVA</t>
        </r>
      </text>
    </comment>
    <comment ref="E89" authorId="0" shapeId="0" xr:uid="{00000000-0006-0000-0100-00005A000000}">
      <text>
        <r>
          <rPr>
            <b/>
            <sz val="9"/>
            <color indexed="81"/>
            <rFont val="Tahoma"/>
            <family val="2"/>
          </rPr>
          <t>PC:</t>
        </r>
        <r>
          <rPr>
            <sz val="9"/>
            <color indexed="81"/>
            <rFont val="Tahoma"/>
            <family val="2"/>
          </rPr>
          <t xml:space="preserve">
INGRESA EL 10-OCTUBRE-2023
EQUIPO $2,000.00+IVA
MENSUALIDAD $250.00+IVA</t>
        </r>
      </text>
    </comment>
    <comment ref="E90" authorId="0" shapeId="0" xr:uid="{00000000-0006-0000-0100-00005B000000}">
      <text>
        <r>
          <rPr>
            <b/>
            <sz val="9"/>
            <color indexed="81"/>
            <rFont val="Tahoma"/>
            <family val="2"/>
          </rPr>
          <t>PC:</t>
        </r>
        <r>
          <rPr>
            <sz val="9"/>
            <color indexed="81"/>
            <rFont val="Tahoma"/>
            <family val="2"/>
          </rPr>
          <t xml:space="preserve">
INGRESA EL 31-MAYO-2024
REACTIVACION DE CUENTA 10-FEBRERO-2025 
EQUIPO TRACTO $2,250.00+IVA
EQUIPO PORTATIL CON BATERIA DE LARGA DURACION $3,600.00+IVA
MENSUALIDAD $250.0+IVA
</t>
        </r>
      </text>
    </comment>
    <comment ref="E91" authorId="0" shapeId="0" xr:uid="{00000000-0006-0000-0100-00005C000000}">
      <text>
        <r>
          <rPr>
            <b/>
            <sz val="9"/>
            <color indexed="81"/>
            <rFont val="Tahoma"/>
            <family val="2"/>
          </rPr>
          <t>PC:</t>
        </r>
        <r>
          <rPr>
            <sz val="9"/>
            <color indexed="81"/>
            <rFont val="Tahoma"/>
            <family val="2"/>
          </rPr>
          <t xml:space="preserve">
INICA EL 13-NOVIEMBRE-2023
EQUIPO $2,200.00+IVA
MENSUALIDAD $250.00+IVA</t>
        </r>
      </text>
    </comment>
    <comment ref="E92" authorId="1" shapeId="0" xr:uid="{00000000-0006-0000-0100-00005D000000}">
      <text>
        <r>
          <rPr>
            <b/>
            <sz val="9"/>
            <color indexed="81"/>
            <rFont val="Tahoma"/>
            <family val="2"/>
          </rPr>
          <t>Luffi:</t>
        </r>
        <r>
          <rPr>
            <sz val="9"/>
            <color indexed="81"/>
            <rFont val="Tahoma"/>
            <family val="2"/>
          </rPr>
          <t xml:space="preserve">
EQUIPO $2,200.00+IVA
MENSUALIDAD 
$250.00 C/U + IVA 
</t>
        </r>
      </text>
    </comment>
    <comment ref="E93" authorId="0" shapeId="0" xr:uid="{00000000-0006-0000-0100-00005E000000}">
      <text>
        <r>
          <rPr>
            <b/>
            <sz val="9"/>
            <color indexed="81"/>
            <rFont val="Tahoma"/>
            <family val="2"/>
          </rPr>
          <t>PC:</t>
        </r>
        <r>
          <rPr>
            <sz val="9"/>
            <color indexed="81"/>
            <rFont val="Tahoma"/>
            <family val="2"/>
          </rPr>
          <t xml:space="preserve">
INICA EL 22-MARZO-2023
EQUIPO: $2,500.00+IVA= $2,900.00
MENSUALIDAD: $350.00+IVA= $406.00
EQUIPO PORTATIL $5,420.00+IVA
REVISION $450.00+IVA
FEBRERO DE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4" authorId="0" shapeId="0" xr:uid="{00000000-0006-0000-0100-00005F000000}">
      <text>
        <r>
          <rPr>
            <b/>
            <sz val="9"/>
            <color indexed="81"/>
            <rFont val="Tahoma"/>
            <family val="2"/>
          </rPr>
          <t>PC:</t>
        </r>
        <r>
          <rPr>
            <sz val="9"/>
            <color indexed="81"/>
            <rFont val="Tahoma"/>
            <family val="2"/>
          </rPr>
          <t xml:space="preserve">
INICA EL 22-MARZO-2023
EQUIPO: $2,500.00+IVA= $2,900.00
MENSUALIDAD: $350.00+IVA= $406.00
FEBRERO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5" authorId="1" shapeId="0" xr:uid="{00000000-0006-0000-0100-000060000000}">
      <text>
        <r>
          <rPr>
            <b/>
            <sz val="9"/>
            <color indexed="81"/>
            <rFont val="Tahoma"/>
            <family val="2"/>
          </rPr>
          <t>Luffi:</t>
        </r>
        <r>
          <rPr>
            <sz val="9"/>
            <color indexed="81"/>
            <rFont val="Tahoma"/>
            <family val="2"/>
          </rPr>
          <t xml:space="preserve">
RENTA 7 $350.00
1 GPS EN PLAN $650.00
EQUIPO $1,800.00+IVA
1 UNIDAD MAS OCTUBRE
</t>
        </r>
        <r>
          <rPr>
            <b/>
            <sz val="9"/>
            <color indexed="81"/>
            <rFont val="Tahoma"/>
            <family val="2"/>
          </rPr>
          <t xml:space="preserve">CAMBIO DE RAZON SOCIAL MARZO´2022
SE DIVIDE CUENTA ACERTRANS - SILVIA NERIA - AGOSTO 2023
</t>
        </r>
      </text>
    </comment>
    <comment ref="E96" authorId="0" shapeId="0" xr:uid="{00000000-0006-0000-0100-000061000000}">
      <text>
        <r>
          <rPr>
            <b/>
            <sz val="9"/>
            <color indexed="81"/>
            <rFont val="Tahoma"/>
            <family val="2"/>
          </rPr>
          <t>PC:</t>
        </r>
        <r>
          <rPr>
            <sz val="9"/>
            <color indexed="81"/>
            <rFont val="Tahoma"/>
            <family val="2"/>
          </rPr>
          <t xml:space="preserve">
INGRESA EL  08-ENERO-2025
EQUIPO $1,850.00+IVA
MENSUALIDAD $249.00+IVA</t>
        </r>
      </text>
    </comment>
    <comment ref="E97" authorId="0" shapeId="0" xr:uid="{00000000-0006-0000-0100-000062000000}">
      <text>
        <r>
          <rPr>
            <b/>
            <sz val="9"/>
            <color indexed="81"/>
            <rFont val="Tahoma"/>
            <family val="2"/>
          </rPr>
          <t>PC:</t>
        </r>
        <r>
          <rPr>
            <sz val="9"/>
            <color indexed="81"/>
            <rFont val="Tahoma"/>
            <family val="2"/>
          </rPr>
          <t xml:space="preserve">
INGRESA EL 23-OCTUBRE-2024
COMODATO
INSTALACION $549.00+IVA
MENSUALIDAD $300.00+IVA
SE ENVIAN EQUIPOS EL 30-OCTUBRE-2024 A HIDALGO 
</t>
        </r>
      </text>
    </comment>
    <comment ref="E98" authorId="0" shapeId="0" xr:uid="{00000000-0006-0000-0100-000063000000}">
      <text>
        <r>
          <rPr>
            <b/>
            <sz val="9"/>
            <color indexed="81"/>
            <rFont val="Tahoma"/>
            <family val="2"/>
          </rPr>
          <t>PC:</t>
        </r>
        <r>
          <rPr>
            <sz val="9"/>
            <color indexed="81"/>
            <rFont val="Tahoma"/>
            <family val="2"/>
          </rPr>
          <t xml:space="preserve">
INICIA EL 10-MARZO-2023 
COMODATO 
INSTALACIÓN $650.00+IVA= $754.00
MENSUALIDAD $300.00+IVA= $348.00</t>
        </r>
      </text>
    </comment>
    <comment ref="E99" authorId="0" shapeId="0" xr:uid="{00000000-0006-0000-0100-000064000000}">
      <text>
        <r>
          <rPr>
            <b/>
            <sz val="9"/>
            <color indexed="81"/>
            <rFont val="Tahoma"/>
            <family val="2"/>
          </rPr>
          <t xml:space="preserve">PC:
</t>
        </r>
        <r>
          <rPr>
            <sz val="10"/>
            <color indexed="81"/>
            <rFont val="Tahoma"/>
            <family val="2"/>
          </rPr>
          <t>INICIA EL 02-MAYO-2023 SR. VICTOR DAMIAN ZAPATA NORIEGA
EQUIPO $1,850.00
MENSUALIDAD $250.00
RE-INGRESO SR. ISMAEL ESCAREÑO  19-OCTUBRE-2024</t>
        </r>
      </text>
    </comment>
    <comment ref="E100" authorId="0" shapeId="0" xr:uid="{00000000-0006-0000-0100-000065000000}">
      <text>
        <r>
          <rPr>
            <b/>
            <sz val="9"/>
            <color indexed="81"/>
            <rFont val="Tahoma"/>
            <family val="2"/>
          </rPr>
          <t>PC:</t>
        </r>
        <r>
          <rPr>
            <sz val="9"/>
            <color indexed="81"/>
            <rFont val="Tahoma"/>
            <family val="2"/>
          </rPr>
          <t xml:space="preserve">
UNIDADES DE ERNESTO GOMEZ SE LE INSTALA EL 09-ENERO-2025
COMODATO 
INSTALACION $549.0+IVA
MENSUALIDAD $250.00´+IVA</t>
        </r>
      </text>
    </comment>
    <comment ref="E101" authorId="0" shapeId="0" xr:uid="{00000000-0006-0000-0100-000066000000}">
      <text>
        <r>
          <rPr>
            <b/>
            <sz val="9"/>
            <color indexed="81"/>
            <rFont val="Tahoma"/>
            <family val="2"/>
          </rPr>
          <t xml:space="preserve">PC:
</t>
        </r>
        <r>
          <rPr>
            <sz val="9"/>
            <color indexed="81"/>
            <rFont val="Tahoma"/>
            <family val="2"/>
          </rPr>
          <t>INICIA EL 23-NOVIEMBRE-2022 
3 UNIDADES 
EQUIPO E INSTALACIÓN $1,900.00+IVA = "2,204.00
MENSUALIDAD $275.00+IVA= $319.00 
DES-INSTALACION $650.00+IVA
RE-INSTALACION $650.00+IVA</t>
        </r>
      </text>
    </comment>
    <comment ref="T101" authorId="0" shapeId="0" xr:uid="{00000000-0006-0000-0100-000067000000}">
      <text>
        <r>
          <rPr>
            <b/>
            <sz val="9"/>
            <color indexed="81"/>
            <rFont val="Tahoma"/>
            <family val="2"/>
          </rPr>
          <t>PC:</t>
        </r>
        <r>
          <rPr>
            <sz val="9"/>
            <color indexed="81"/>
            <rFont val="Tahoma"/>
            <family val="2"/>
          </rPr>
          <t xml:space="preserve">
REVISION DE UNIDAD 30-ENE-23 *EQUIPO MANIPULADO $350.00+IVA=$406.00INCREMENTA 3 UNIDADES 07-DICIEMBRE-22 
3 EQUIPOS $1,900.00+IVA 
MENSUALIDAD PROPORCIONAL $210.83+IVA
MENSUALIDAD PROPORCIONAL 
INST. 3 UNIDADES 23-NOV-22 (7 DÍAS) $64.16 c/u = $192.50+IVA:$223.30
INST. 3 UNIDADES 25-NOV-22 /5 DÍAS) $45.83 c/U = $137.50+IVA:$159.42 
INCREMENTO DE 3 EQUIPO $1,900.00+IVA
3 MESNS. $275.00+IVA </t>
        </r>
      </text>
    </comment>
    <comment ref="E102" authorId="0" shapeId="0" xr:uid="{00000000-0006-0000-0100-000068000000}">
      <text>
        <r>
          <rPr>
            <b/>
            <sz val="9"/>
            <color indexed="81"/>
            <rFont val="Tahoma"/>
            <family val="2"/>
          </rPr>
          <t>PC:</t>
        </r>
        <r>
          <rPr>
            <sz val="9"/>
            <color indexed="81"/>
            <rFont val="Tahoma"/>
            <family val="2"/>
          </rPr>
          <t xml:space="preserve">
INGRESA EL 11-ENERO-2025
INSTALACION $549.00+IVA
MENSUALIDAD $299.00+IVA</t>
        </r>
      </text>
    </comment>
    <comment ref="E103" authorId="1" shapeId="0" xr:uid="{00000000-0006-0000-0100-000069000000}">
      <text>
        <r>
          <rPr>
            <b/>
            <sz val="9"/>
            <color indexed="81"/>
            <rFont val="Tahoma"/>
            <family val="2"/>
          </rPr>
          <t>Luffi:</t>
        </r>
        <r>
          <rPr>
            <sz val="9"/>
            <color indexed="81"/>
            <rFont val="Tahoma"/>
            <family val="2"/>
          </rPr>
          <t xml:space="preserve">
</t>
        </r>
        <r>
          <rPr>
            <sz val="10"/>
            <color indexed="81"/>
            <rFont val="Tahoma"/>
            <family val="2"/>
          </rPr>
          <t xml:space="preserve">4 RENTA $300.00 c/u
EQUIPO $1,800.00
SENSOR DE TEMPERATURA $900.00
SEPTIEMBRE 2024: INGRESA A ESQUEMA DE FACTURACIÓN Y SE LE COBRA +IVA
21-JULIO-2020 1 UNIDAD MAS 
16-FEBRERO-2023 1 UNIDAD MAS *SE LE COBRA MENS. PROPR. DE 9 DÍAS PORQUE LA UNIDAD NO REPORTABA Y SE FUE A REVISAR </t>
        </r>
      </text>
    </comment>
    <comment ref="E104" authorId="1" shapeId="0" xr:uid="{00000000-0006-0000-0100-00006A000000}">
      <text>
        <r>
          <rPr>
            <b/>
            <sz val="9"/>
            <color indexed="81"/>
            <rFont val="Tahoma"/>
            <family val="2"/>
          </rPr>
          <t>Luffi:</t>
        </r>
        <r>
          <rPr>
            <sz val="9"/>
            <color indexed="81"/>
            <rFont val="Tahoma"/>
            <family val="2"/>
          </rPr>
          <t xml:space="preserve">
</t>
        </r>
        <r>
          <rPr>
            <b/>
            <sz val="10"/>
            <color indexed="81"/>
            <rFont val="Tahoma"/>
            <family val="2"/>
          </rPr>
          <t>6 UNIDADES COMODATO</t>
        </r>
        <r>
          <rPr>
            <sz val="9"/>
            <color indexed="81"/>
            <rFont val="Tahoma"/>
            <family val="2"/>
          </rPr>
          <t xml:space="preserve">
INSTALACION $500 + IVA
DESINSTALACIONES $500+IVA
RE-INSTALACIONES $500.00+IVA
MENSUALIDAD $350 + IVA
 AGRAGA 1 UNID. 10-OCT-22
INSTALACIONES 
26 Y 27 FEBRERO´2021
SE LE FACTURA HASTA ABRIL´2021|</t>
        </r>
      </text>
    </comment>
    <comment ref="E105" authorId="1" shapeId="0" xr:uid="{00000000-0006-0000-0100-00006B000000}">
      <text>
        <r>
          <rPr>
            <b/>
            <sz val="9"/>
            <color indexed="81"/>
            <rFont val="Tahoma"/>
            <family val="2"/>
          </rPr>
          <t>Luffi:</t>
        </r>
        <r>
          <rPr>
            <sz val="9"/>
            <color indexed="81"/>
            <rFont val="Tahoma"/>
            <family val="2"/>
          </rPr>
          <t xml:space="preserve">
EMPIEZA ESQUEMA EN PLAN 
PLATAFORMA NUEVA NOVIEMBRE´2020 
*MENSUALIDAD        $150.00   +  IVA = $174.00
*EQUIPO                 $1,724.00 + IVA = $1,999.84
*INSTALACION         $600.00   + IVA = $696.00
*RE-INSTALACION    $600.00   + IVA = $696.00
*DES-INSTALACION  $650.00   + IVA = $754.00
*REVISION              $450.00   + IVA = $522.00
*VISITA EN FALSO   $250.00   + IVA = $290.00
*MIGRACION            $450.00   + IVA = $522.00
</t>
        </r>
      </text>
    </comment>
    <comment ref="T105" authorId="0" shapeId="0" xr:uid="{00000000-0006-0000-0100-00006C000000}">
      <text>
        <r>
          <rPr>
            <b/>
            <sz val="9"/>
            <color indexed="81"/>
            <rFont val="Tahoma"/>
            <family val="2"/>
          </rPr>
          <t>PC:</t>
        </r>
        <r>
          <rPr>
            <sz val="9"/>
            <color indexed="81"/>
            <rFont val="Tahoma"/>
            <family val="2"/>
          </rPr>
          <t xml:space="preserve">
7 EQUIPOS 
1 DES-INSTALACIÓN U.364 9-AGO-22 $650+IVA
1 RE-INSTALACIÓN U.368 9-AGO-22 $600+IVA
2 VISITA EN FALSO 13-AGO-22 $250 c/u +IVA </t>
        </r>
      </text>
    </comment>
    <comment ref="E106" authorId="1" shapeId="0" xr:uid="{00000000-0006-0000-0100-00006D000000}">
      <text>
        <r>
          <rPr>
            <b/>
            <sz val="9"/>
            <color indexed="81"/>
            <rFont val="Tahoma"/>
            <family val="2"/>
          </rPr>
          <t>Luffi:</t>
        </r>
        <r>
          <rPr>
            <sz val="9"/>
            <color indexed="81"/>
            <rFont val="Tahoma"/>
            <family val="2"/>
          </rPr>
          <t xml:space="preserve">
1 UNIDAD 
EQUIPO $1,879 + IVA  $2,179.64
RENTA   $300 + IVA    $348.00
 REVISIONES $450.0+IVA = $522.00
</t>
        </r>
        <r>
          <rPr>
            <b/>
            <sz val="9"/>
            <color indexed="81"/>
            <rFont val="Tahoma"/>
            <family val="2"/>
          </rPr>
          <t>INSTALACION 12-FEB-2021</t>
        </r>
      </text>
    </comment>
    <comment ref="E107" authorId="1" shapeId="0" xr:uid="{00000000-0006-0000-0100-00006E000000}">
      <text>
        <r>
          <rPr>
            <b/>
            <sz val="9"/>
            <color indexed="81"/>
            <rFont val="Tahoma"/>
            <family val="2"/>
          </rPr>
          <t>Luffi:</t>
        </r>
        <r>
          <rPr>
            <sz val="9"/>
            <color indexed="81"/>
            <rFont val="Tahoma"/>
            <family val="2"/>
          </rPr>
          <t xml:space="preserve">
22 MIGRACIONES $350.00 + IVA
44 MENSUALIDAD $200.00 + IVA
1 EQUIPO $1,850.00 + IVA 
INSTALACION $650.00+IVA
RE-INSTALACIONES $650.00 + IVA
DES-INTALACIONES $
REVISIONES $450.00+IVA 
</t>
        </r>
        <r>
          <rPr>
            <b/>
            <sz val="9"/>
            <color indexed="81"/>
            <rFont val="Tahoma"/>
            <family val="2"/>
          </rPr>
          <t>*INICIA SEPTIEMBRE´2021*</t>
        </r>
      </text>
    </comment>
    <comment ref="T107" authorId="0" shapeId="0" xr:uid="{00000000-0006-0000-0100-00006F000000}">
      <text>
        <r>
          <rPr>
            <b/>
            <sz val="9"/>
            <color indexed="81"/>
            <rFont val="Tahoma"/>
            <family val="2"/>
          </rPr>
          <t>PC:</t>
        </r>
        <r>
          <rPr>
            <sz val="9"/>
            <color indexed="81"/>
            <rFont val="Tahoma"/>
            <family val="2"/>
          </rPr>
          <t xml:space="preserve">
FACTURA ADICIONAL MAYO 2023
7 EQUIPOES E INST. DIF. DE $1,200.00+IVA POR CADA UNO </t>
        </r>
      </text>
    </comment>
    <comment ref="D108" authorId="1" shapeId="0" xr:uid="{00000000-0006-0000-0100-000070000000}">
      <text>
        <r>
          <rPr>
            <b/>
            <sz val="9"/>
            <color indexed="81"/>
            <rFont val="Tahoma"/>
            <family val="2"/>
          </rPr>
          <t>Luffi:</t>
        </r>
        <r>
          <rPr>
            <sz val="9"/>
            <color indexed="81"/>
            <rFont val="Tahoma"/>
            <family val="2"/>
          </rPr>
          <t xml:space="preserve">
</t>
        </r>
        <r>
          <rPr>
            <sz val="9"/>
            <color indexed="10"/>
            <rFont val="Tahoma"/>
            <family val="2"/>
          </rPr>
          <t>Romeo Sierra - 811 591 1798
romeo.sierra@molldelvalle.com;</t>
        </r>
        <r>
          <rPr>
            <sz val="9"/>
            <color indexed="81"/>
            <rFont val="Tahoma"/>
            <family val="2"/>
          </rPr>
          <t xml:space="preserve">
YA NO LABORA AHÍ </t>
        </r>
      </text>
    </comment>
    <comment ref="E108" authorId="1" shapeId="0" xr:uid="{00000000-0006-0000-0100-000071000000}">
      <text>
        <r>
          <rPr>
            <b/>
            <sz val="9"/>
            <color indexed="81"/>
            <rFont val="Tahoma"/>
            <family val="2"/>
          </rPr>
          <t>Luffi:</t>
        </r>
        <r>
          <rPr>
            <sz val="9"/>
            <color indexed="81"/>
            <rFont val="Tahoma"/>
            <family val="2"/>
          </rPr>
          <t xml:space="preserve">
EQUIPO COMODATO
MENSUALIDAD $350 + IVA $406.00
INSTALACION $650 + IVA $754.00
</t>
        </r>
        <r>
          <rPr>
            <b/>
            <sz val="9"/>
            <color indexed="81"/>
            <rFont val="Tahoma"/>
            <family val="2"/>
          </rPr>
          <t>INSTALACION 25-AGOSTO-2021</t>
        </r>
      </text>
    </comment>
    <comment ref="E109" authorId="1" shapeId="0" xr:uid="{00000000-0006-0000-0100-000072000000}">
      <text>
        <r>
          <rPr>
            <b/>
            <sz val="9"/>
            <color indexed="81"/>
            <rFont val="Tahoma"/>
            <family val="2"/>
          </rPr>
          <t>Luffi:</t>
        </r>
        <r>
          <rPr>
            <sz val="9"/>
            <color indexed="81"/>
            <rFont val="Tahoma"/>
            <family val="2"/>
          </rPr>
          <t xml:space="preserve">
EQUIPO. $2,400 + IVA
MENSUALIDAD $250 + IVA 
</t>
        </r>
        <r>
          <rPr>
            <b/>
            <sz val="9"/>
            <color indexed="81"/>
            <rFont val="Tahoma"/>
            <family val="2"/>
          </rPr>
          <t>FACTURACION 28-SEP-2021
INSTALACION 29-SEP-2021
*COBRANZA HASTA NOV´2021</t>
        </r>
      </text>
    </comment>
    <comment ref="E110" authorId="1" shapeId="0" xr:uid="{00000000-0006-0000-0100-000073000000}">
      <text>
        <r>
          <rPr>
            <b/>
            <sz val="9"/>
            <color indexed="81"/>
            <rFont val="Tahoma"/>
            <family val="2"/>
          </rPr>
          <t>Luffi:</t>
        </r>
        <r>
          <rPr>
            <sz val="9"/>
            <color indexed="81"/>
            <rFont val="Tahoma"/>
            <family val="2"/>
          </rPr>
          <t xml:space="preserve">
</t>
        </r>
        <r>
          <rPr>
            <sz val="10"/>
            <color indexed="81"/>
            <rFont val="Tahoma"/>
            <family val="2"/>
          </rPr>
          <t>6</t>
        </r>
        <r>
          <rPr>
            <sz val="9"/>
            <color indexed="81"/>
            <rFont val="Tahoma"/>
            <family val="2"/>
          </rPr>
          <t xml:space="preserve"> </t>
        </r>
        <r>
          <rPr>
            <sz val="10"/>
            <color indexed="81"/>
            <rFont val="Tahoma"/>
            <family val="2"/>
          </rPr>
          <t xml:space="preserve">EQUIPOS $1,810.35 + IVA
6 MENSUALIDAD $315.00 + IVA
RE-INSTALACIÓN $650.00+ÍVA
DES-INSTALACIÓN $650.00+IVA 
INSTALACIONES SE REALIZARANA 31-MAY-2021
NO SE COBRA EN JUNIO POR FECHA DE INSTALACION
</t>
        </r>
        <r>
          <rPr>
            <b/>
            <sz val="10"/>
            <color indexed="81"/>
            <rFont val="Tahoma"/>
            <family val="2"/>
          </rPr>
          <t>*INSTALADAS 4 HASTA JUNIO*
2 INSTALACIONES 28-ENE-2022
FACTURADOS FEB´2022 - F. 
INSTALACIÓN 06-JULIO-2022</t>
        </r>
      </text>
    </comment>
    <comment ref="T110" authorId="0" shapeId="0" xr:uid="{00000000-0006-0000-0100-000074000000}">
      <text>
        <r>
          <rPr>
            <b/>
            <sz val="9"/>
            <color indexed="81"/>
            <rFont val="Tahoma"/>
            <family val="2"/>
          </rPr>
          <t xml:space="preserve">PC:
</t>
        </r>
        <r>
          <rPr>
            <sz val="9"/>
            <color indexed="81"/>
            <rFont val="Tahoma"/>
            <family val="2"/>
          </rPr>
          <t xml:space="preserve">DES-INSTALACION 12-OCT-22 FORD FIESTA $650.00+IVA 
RE-INSTALACION 12-OCT-22 CHEVROLET AVEO $650.00+IVA
INSTALACIÓN 06-JULIO-2022 MOTO HONDA BLANCO 67RZP2
3 INSTALACIONES 20-JULIO-2022
Dodge Ram 700 Blanco PS-9110-A 
Renault Kangoo Blanca RB-6974-A 
Renault Kangoo Blanca RB-6975-A
</t>
        </r>
      </text>
    </comment>
    <comment ref="E111" authorId="1" shapeId="0" xr:uid="{00000000-0006-0000-0100-000075000000}">
      <text>
        <r>
          <rPr>
            <b/>
            <sz val="9"/>
            <color indexed="81"/>
            <rFont val="Tahoma"/>
            <family val="2"/>
          </rPr>
          <t>Luffi:</t>
        </r>
        <r>
          <rPr>
            <sz val="9"/>
            <color indexed="81"/>
            <rFont val="Tahoma"/>
            <family val="2"/>
          </rPr>
          <t xml:space="preserve">
</t>
        </r>
        <r>
          <rPr>
            <sz val="10"/>
            <color indexed="81"/>
            <rFont val="Tahoma"/>
            <family val="2"/>
          </rPr>
          <t xml:space="preserve">RECONFIGURACION DE EQUIPO Y MENSUALIDAD $1,136.80
EQUIPO $1,800.00 + IVA $2,088.00
RECONFIGURACION $650.00 + IVA $754.00
MENSUALIDAD $330.00 + IVA $382.80
SERVICIO 27-ENE-2021
</t>
        </r>
        <r>
          <rPr>
            <b/>
            <sz val="10"/>
            <color indexed="81"/>
            <rFont val="Tahoma"/>
            <family val="2"/>
          </rPr>
          <t xml:space="preserve">GENERAR COBRANZA EN MARZO´2021           
</t>
        </r>
        <r>
          <rPr>
            <sz val="10"/>
            <color indexed="81"/>
            <rFont val="Tahoma"/>
            <family val="2"/>
          </rPr>
          <t xml:space="preserve">SERVICIO 10-JUNIO-2022 (Se Integra en Julio)
</t>
        </r>
        <r>
          <rPr>
            <b/>
            <sz val="10"/>
            <color indexed="81"/>
            <rFont val="Tahoma"/>
            <family val="2"/>
          </rPr>
          <t>GENERA COBRANZA EN JULIO´2022</t>
        </r>
      </text>
    </comment>
    <comment ref="T111" authorId="0" shapeId="0" xr:uid="{00000000-0006-0000-0100-000076000000}">
      <text>
        <r>
          <rPr>
            <b/>
            <sz val="9"/>
            <color indexed="81"/>
            <rFont val="Tahoma"/>
            <family val="2"/>
          </rPr>
          <t>PC:</t>
        </r>
        <r>
          <rPr>
            <sz val="9"/>
            <color indexed="81"/>
            <rFont val="Tahoma"/>
            <family val="2"/>
          </rPr>
          <t xml:space="preserve">
INSTALACIÓN 10-JUNIO-2022 $1,800.00 + MENSUALIDAD $330.00 </t>
        </r>
      </text>
    </comment>
    <comment ref="E112" authorId="1" shapeId="0" xr:uid="{00000000-0006-0000-0100-000077000000}">
      <text>
        <r>
          <rPr>
            <b/>
            <sz val="9"/>
            <color indexed="81"/>
            <rFont val="Tahoma"/>
            <family val="2"/>
          </rPr>
          <t>Luffi:</t>
        </r>
        <r>
          <rPr>
            <sz val="9"/>
            <color indexed="81"/>
            <rFont val="Tahoma"/>
            <family val="2"/>
          </rPr>
          <t xml:space="preserve">
EQUIPO $2,000.00
RENTA $270.00
SENSOR DE COMBUSTUBLE $5,600.00+IVA
MENSUALIDAD CON SENSOR DE COMBUSTIBLE $320.00+IVA
INSTALACION 25-NOV-2021
</t>
        </r>
        <r>
          <rPr>
            <b/>
            <sz val="9"/>
            <color indexed="81"/>
            <rFont val="Tahoma"/>
            <family val="2"/>
          </rPr>
          <t>*SE EMPIEZA A COBRA MENSUALIDAD EN ENERO´2022*</t>
        </r>
      </text>
    </comment>
    <comment ref="E113" authorId="2" shapeId="0" xr:uid="{00000000-0006-0000-0100-000078000000}">
      <text>
        <r>
          <rPr>
            <b/>
            <sz val="9"/>
            <color indexed="81"/>
            <rFont val="Tahoma"/>
            <family val="2"/>
          </rPr>
          <t>Usuario de Windows:</t>
        </r>
        <r>
          <rPr>
            <sz val="9"/>
            <color indexed="81"/>
            <rFont val="Tahoma"/>
            <family val="2"/>
          </rPr>
          <t xml:space="preserve">
</t>
        </r>
        <r>
          <rPr>
            <b/>
            <sz val="10"/>
            <color indexed="81"/>
            <rFont val="Tahoma"/>
            <family val="2"/>
          </rPr>
          <t>INSTALACION 01-MARZO-2022</t>
        </r>
        <r>
          <rPr>
            <sz val="10"/>
            <color indexed="81"/>
            <rFont val="Tahoma"/>
            <family val="2"/>
          </rPr>
          <t xml:space="preserve">
EQUIPO $2,241.38 + IVA
SENSOR DE TEMPERATURA CAJA REF. $899 + IVA
SENSOR DE SOMBUSTIBLE $4,827.59 + IVA
MENSUALIDAD SENSOR COMBUSTIBLE  $350 + IVA 
MENSUALIDAD SENSOR COMBUSTIBLE Y TEMPERTAURA $400 + IVA 
RE-INSTALACIONES $650.00+IVA
SENSOR DE COMBUSTIBLE $5,900.00+IVA COTIZACION NOV 2022 Y MARZO 2023 
SENSOR DE COMBUSTIBLE ABRIL 2023 $5,600.00+IVA
INTEGRACION DE WEB SERVICE $8,500.00+IVA=$9,860.00
(31-OCT- PAGO 02-NOV)
</t>
        </r>
        <r>
          <rPr>
            <b/>
            <sz val="10"/>
            <color indexed="81"/>
            <rFont val="Tahoma"/>
            <family val="2"/>
          </rPr>
          <t xml:space="preserve">FACTURA 05-ABRIL-2022
CORTE 15 DE CADA MES </t>
        </r>
      </text>
    </comment>
    <comment ref="T113" authorId="0" shapeId="0" xr:uid="{00000000-0006-0000-0100-000079000000}">
      <text>
        <r>
          <rPr>
            <b/>
            <sz val="9"/>
            <color indexed="81"/>
            <rFont val="Tahoma"/>
            <family val="2"/>
          </rPr>
          <t>PC:</t>
        </r>
        <r>
          <rPr>
            <sz val="9"/>
            <color indexed="81"/>
            <rFont val="Tahoma"/>
            <family val="2"/>
          </rPr>
          <t xml:space="preserve">
FACTURA 1653 POR COTIZACION 
2 EQUIPOS
2 MENS
2 SENSOR DE VARILLA
EQUIPO E INSTALACION $1,900.00+IVA
SENSOR DE COMBUSTIBLE DE VARILLA $5,900.00+IVA</t>
        </r>
      </text>
    </comment>
    <comment ref="AH113" authorId="0" shapeId="0" xr:uid="{00000000-0006-0000-0100-00007A000000}">
      <text>
        <r>
          <rPr>
            <b/>
            <sz val="9"/>
            <color indexed="81"/>
            <rFont val="Tahoma"/>
            <family val="2"/>
          </rPr>
          <t>PC:</t>
        </r>
        <r>
          <rPr>
            <sz val="9"/>
            <color indexed="81"/>
            <rFont val="Tahoma"/>
            <family val="2"/>
          </rPr>
          <t xml:space="preserve">
SENSOR DE DIESEL 
INSTALADO 09-MAYO-2023
</t>
        </r>
      </text>
    </comment>
    <comment ref="E114" authorId="0" shapeId="0" xr:uid="{00000000-0006-0000-0100-00007B000000}">
      <text>
        <r>
          <rPr>
            <b/>
            <sz val="9"/>
            <color indexed="81"/>
            <rFont val="Tahoma"/>
            <family val="2"/>
          </rPr>
          <t>PC:</t>
        </r>
        <r>
          <rPr>
            <sz val="9"/>
            <color indexed="81"/>
            <rFont val="Tahoma"/>
            <family val="2"/>
          </rPr>
          <t xml:space="preserve">
MIGRACION EL 22-ENERO-2025 
CLIENTE BACOCA(SR. HECTOR RODRIGUEZ) 
1 MIGRACION DEL SR. LUIS CARLOS CABELLO MARROQUIN - A BACOCA
Correo trafico.bacoca@hotmail.com
Contacto Hector Rodriguez Tel. 8115538897
MIGRACION DE UNIDAD 
EQUIPO $2,241
SENSOR DIESEL $5,600
SENSOR TEMPERATURA $899
MENSUALIDAD CON SENSOR DE COMBUSTIBLE $350 
MENSUALIDAD CON SENSOR DE COMBUSTIBLE Y DIESEL $400
UNIDADES A MIGRAR 
CAJA #110 PLACAS: 57UU5L - Identificada en Plataforma TH-03 57UU5L (Con Sensores TyD)
43 AD 6A - Identificada en Plataforma Tracto 03 43-AD-6A (Sin Sensores)</t>
        </r>
      </text>
    </comment>
    <comment ref="E115" authorId="1" shapeId="0" xr:uid="{00000000-0006-0000-0100-00007C000000}">
      <text>
        <r>
          <rPr>
            <b/>
            <sz val="9"/>
            <color indexed="81"/>
            <rFont val="Tahoma"/>
            <family val="2"/>
          </rPr>
          <t>Luffi:</t>
        </r>
        <r>
          <rPr>
            <sz val="9"/>
            <color indexed="81"/>
            <rFont val="Tahoma"/>
            <family val="2"/>
          </rPr>
          <t xml:space="preserve">
EQUIPO $1900 + IVA
MENSUALIDAD $250 + IVA 
*</t>
        </r>
        <r>
          <rPr>
            <b/>
            <sz val="9"/>
            <color indexed="81"/>
            <rFont val="Tahoma"/>
            <family val="2"/>
          </rPr>
          <t>INSTALACION 29-JUNIO-2021*
COBRAR HASTA AGOSTO</t>
        </r>
      </text>
    </comment>
    <comment ref="E116" authorId="1" shapeId="0" xr:uid="{00000000-0006-0000-0100-00007D000000}">
      <text>
        <r>
          <rPr>
            <b/>
            <sz val="9"/>
            <color indexed="81"/>
            <rFont val="Tahoma"/>
            <family val="2"/>
          </rPr>
          <t>Luffi:</t>
        </r>
        <r>
          <rPr>
            <sz val="9"/>
            <color indexed="81"/>
            <rFont val="Tahoma"/>
            <family val="2"/>
          </rPr>
          <t xml:space="preserve">
</t>
        </r>
        <r>
          <rPr>
            <sz val="10"/>
            <color indexed="81"/>
            <rFont val="Tahoma"/>
            <family val="2"/>
          </rPr>
          <t xml:space="preserve">1 UNIDAD 
EQUIPO $1,879 + IVA
MENSUALIDAD $350 + IVA
4 MENSUALIDADES $300.00C/U+IVA
2 MENS. DASH CAM $900.00C/U+IVA
CAMARA DASH CAM $8,790.00+IVA
REVISIONES CON COSTO  $400.00+IVA
RE-INSTALACIONES $500.00+IVA
DES-INSTALACIONES $500.00+IVA
VISITA EN FALSO $250.00+IVA
</t>
        </r>
        <r>
          <rPr>
            <b/>
            <sz val="10"/>
            <color indexed="81"/>
            <rFont val="Tahoma"/>
            <family val="2"/>
          </rPr>
          <t>INSTLACION 20-OCTUBRE-2020
*COBRA PROPORCIONAL EN NOV´2020</t>
        </r>
      </text>
    </comment>
    <comment ref="E117" authorId="0" shapeId="0" xr:uid="{00000000-0006-0000-0100-00007E000000}">
      <text>
        <r>
          <rPr>
            <b/>
            <sz val="9"/>
            <color indexed="81"/>
            <rFont val="Tahoma"/>
            <family val="2"/>
          </rPr>
          <t>PC:</t>
        </r>
        <r>
          <rPr>
            <sz val="9"/>
            <color indexed="81"/>
            <rFont val="Tahoma"/>
            <family val="2"/>
          </rPr>
          <t xml:space="preserve">
ALTA EL 22-ENERO-2025
SE EMPIEZA A CONSIDERAR A PARTIR DE FEBRERO 2025
EQUIPO TELTONIKA 4G/2G GMC 130 $2,400.00+IVA
SENSOR DE COMBUSTIBLE LIGO VARILLA INDUCTIVA $5,600.00+IVA
SENSOR DE TEMPERATURA TIPO PROBETA ANALOGICA SIN COSTO $0.00
SEMESTRE POR UNIDAD $1,800.00+IVA
BONIFICACION SOBRE SEMESTRE (1 MES) -$300.00</t>
        </r>
      </text>
    </comment>
    <comment ref="E118" authorId="0" shapeId="0" xr:uid="{00000000-0006-0000-0100-00007F000000}">
      <text>
        <r>
          <rPr>
            <b/>
            <sz val="9"/>
            <color indexed="81"/>
            <rFont val="Tahoma"/>
            <family val="2"/>
          </rPr>
          <t>PC:</t>
        </r>
        <r>
          <rPr>
            <sz val="9"/>
            <color indexed="81"/>
            <rFont val="Tahoma"/>
            <family val="2"/>
          </rPr>
          <t xml:space="preserve">
INGRESA EL 17-OCTUBRE-2024
SERVICIOS EXTERNOS SIN MENSUALIDAD Y SIN PLATAFORMA 
INSTALACION $700.00+IVA
DES-INSTALACION $500.00+IVA
VISITA EN FALSO $250.00+IVA
RE-INSTALACION $700.00+IVA</t>
        </r>
      </text>
    </comment>
    <comment ref="E119" authorId="0" shapeId="0" xr:uid="{00000000-0006-0000-0100-000080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E120" authorId="0" shapeId="0" xr:uid="{00000000-0006-0000-0100-000081000000}">
      <text>
        <r>
          <rPr>
            <b/>
            <sz val="9"/>
            <color indexed="81"/>
            <rFont val="Tahoma"/>
            <family val="2"/>
          </rPr>
          <t>PC:</t>
        </r>
        <r>
          <rPr>
            <sz val="9"/>
            <color indexed="81"/>
            <rFont val="Tahoma"/>
            <family val="2"/>
          </rPr>
          <t xml:space="preserve">
SE DIVIDE CUENTA DE 360 LOGISTICS EL 06-DICIEMBRE-2024
EQUIPO $1,800.00+IVA
ANUALIDAD $2,790.00+IVA</t>
        </r>
      </text>
    </comment>
    <comment ref="E121" authorId="0" shapeId="0" xr:uid="{00000000-0006-0000-0100-000082000000}">
      <text>
        <r>
          <rPr>
            <b/>
            <sz val="9"/>
            <color indexed="81"/>
            <rFont val="Tahoma"/>
            <family val="2"/>
          </rPr>
          <t>PC:</t>
        </r>
        <r>
          <rPr>
            <sz val="9"/>
            <color indexed="81"/>
            <rFont val="Tahoma"/>
            <family val="2"/>
          </rPr>
          <t xml:space="preserve">
APERTURA 2-AGOSTO-22
 2 UNIDADES
EQUIPO $1,850.00+IVA
MENSUALIDAD $270.00+IVA=$313.20
ANUALIDAD $2,700.00+IVA
</t>
        </r>
      </text>
    </comment>
    <comment ref="E122" authorId="0" shapeId="0" xr:uid="{00000000-0006-0000-0100-000083000000}">
      <text>
        <r>
          <rPr>
            <b/>
            <sz val="9"/>
            <color indexed="81"/>
            <rFont val="Tahoma"/>
            <family val="2"/>
          </rPr>
          <t>PC:</t>
        </r>
        <r>
          <rPr>
            <sz val="9"/>
            <color indexed="81"/>
            <rFont val="Tahoma"/>
            <family val="2"/>
          </rPr>
          <t xml:space="preserve">
INGRESA EL 26-FEBRERO-2025
EQUIPO E INSTALACION GPS DASH CAM $6,200.00+IVA
CAMARA INTERIOR: $1,200.00+IVA
ANUALIDAD $10,800.00+IVA -BONIFICACION SOBRE ANUALIDAD -$900.00</t>
        </r>
      </text>
    </comment>
    <comment ref="E123" authorId="1" shapeId="0" xr:uid="{00000000-0006-0000-0100-000084000000}">
      <text>
        <r>
          <rPr>
            <b/>
            <sz val="9"/>
            <color indexed="81"/>
            <rFont val="Tahoma"/>
            <family val="2"/>
          </rPr>
          <t>Luffi:</t>
        </r>
        <r>
          <rPr>
            <sz val="9"/>
            <color indexed="81"/>
            <rFont val="Tahoma"/>
            <family val="2"/>
          </rPr>
          <t xml:space="preserve">
25-OCTUBRE-2022 
1 REVISION Y RE-INSTALACIÓN $650.00+IVA
</t>
        </r>
        <r>
          <rPr>
            <sz val="10"/>
            <color indexed="81"/>
            <rFont val="Tahoma"/>
            <family val="2"/>
          </rPr>
          <t xml:space="preserve">INSTALACION 14-MAYO-2021
2 EQUIPO NUEVOS  $1,850 + IVA 
1 MIGRACION          $ 450 + IVA
3 MENSUALIDAD $300 + IVA C/U 
</t>
        </r>
        <r>
          <rPr>
            <b/>
            <sz val="10"/>
            <color indexed="81"/>
            <rFont val="Tahoma"/>
            <family val="2"/>
          </rPr>
          <t>*ESTA PENDIENTE LA MIGRACION EL EQUIPO ESTA BLOQUEADO SOLO SE COBRARAN 2 RENTAS</t>
        </r>
      </text>
    </comment>
    <comment ref="T123" authorId="0" shapeId="0" xr:uid="{00000000-0006-0000-0100-000085000000}">
      <text>
        <r>
          <rPr>
            <b/>
            <sz val="9"/>
            <color indexed="81"/>
            <rFont val="Tahoma"/>
            <family val="2"/>
          </rPr>
          <t>PC:</t>
        </r>
        <r>
          <rPr>
            <sz val="9"/>
            <color indexed="81"/>
            <rFont val="Tahoma"/>
            <family val="2"/>
          </rPr>
          <t xml:space="preserve">
REVISIÓN Y RE-INSTALACION 25-OCT-22 $650.00+IVA</t>
        </r>
      </text>
    </comment>
    <comment ref="E124" authorId="0" shapeId="0" xr:uid="{00000000-0006-0000-0100-000086000000}">
      <text>
        <r>
          <rPr>
            <b/>
            <sz val="9"/>
            <color indexed="81"/>
            <rFont val="Tahoma"/>
            <family val="2"/>
          </rPr>
          <t>PC:</t>
        </r>
        <r>
          <rPr>
            <sz val="9"/>
            <color indexed="81"/>
            <rFont val="Tahoma"/>
            <family val="2"/>
          </rPr>
          <t xml:space="preserve">
INGRESA EL 17-MAYO-2024
EQUIPO $1,500.00
MENSUALIDAD $250.00</t>
        </r>
      </text>
    </comment>
    <comment ref="E125" authorId="0" shapeId="0" xr:uid="{00000000-0006-0000-0100-000087000000}">
      <text>
        <r>
          <rPr>
            <b/>
            <sz val="9"/>
            <color indexed="81"/>
            <rFont val="Tahoma"/>
            <family val="2"/>
          </rPr>
          <t>PC:</t>
        </r>
        <r>
          <rPr>
            <sz val="9"/>
            <color indexed="81"/>
            <rFont val="Tahoma"/>
            <family val="2"/>
          </rPr>
          <t xml:space="preserve">
INGRESA EL 30-JUNIO-2023
EQUIPO $1,950.00+IVA
MENSUALIDAD $300.00+IVA</t>
        </r>
      </text>
    </comment>
    <comment ref="E126" authorId="1" shapeId="0" xr:uid="{00000000-0006-0000-0100-000088000000}">
      <text>
        <r>
          <rPr>
            <b/>
            <sz val="9"/>
            <color indexed="81"/>
            <rFont val="Tahoma"/>
            <family val="2"/>
          </rPr>
          <t>Luffi:</t>
        </r>
        <r>
          <rPr>
            <sz val="9"/>
            <color indexed="81"/>
            <rFont val="Tahoma"/>
            <family val="2"/>
          </rPr>
          <t xml:space="preserve">
RENTA $300.00
INSTALACION $350.00 COMODATO
EQUIPO $1,850.00
SERVICIOS $350.00
PEPE $200.00
OLID $100.00
</t>
        </r>
      </text>
    </comment>
    <comment ref="S126" authorId="1" shapeId="0" xr:uid="{00000000-0006-0000-0100-000089000000}">
      <text>
        <r>
          <rPr>
            <b/>
            <sz val="9"/>
            <color indexed="81"/>
            <rFont val="Tahoma"/>
            <family val="2"/>
          </rPr>
          <t>Luffi:</t>
        </r>
        <r>
          <rPr>
            <sz val="9"/>
            <color indexed="81"/>
            <rFont val="Tahoma"/>
            <family val="2"/>
          </rPr>
          <t xml:space="preserve">
</t>
        </r>
        <r>
          <rPr>
            <b/>
            <sz val="9"/>
            <color indexed="81"/>
            <rFont val="Tahoma"/>
            <family val="2"/>
          </rPr>
          <t xml:space="preserve">MAYO (COMODATO)
42 UNIDADES RASTREO $300
1 UNIDAD CON MICROFONO $350
</t>
        </r>
        <r>
          <rPr>
            <sz val="9"/>
            <color indexed="81"/>
            <rFont val="Tahoma"/>
            <family val="2"/>
          </rPr>
          <t xml:space="preserve">
</t>
        </r>
        <r>
          <rPr>
            <b/>
            <sz val="10"/>
            <color indexed="81"/>
            <rFont val="Tahoma"/>
            <family val="2"/>
          </rPr>
          <t xml:space="preserve">AJUSTE </t>
        </r>
        <r>
          <rPr>
            <b/>
            <sz val="10"/>
            <color indexed="10"/>
            <rFont val="Tahoma"/>
            <family val="2"/>
          </rPr>
          <t>-$900.00</t>
        </r>
        <r>
          <rPr>
            <sz val="10"/>
            <color indexed="81"/>
            <rFont val="Tahoma"/>
            <family val="2"/>
          </rPr>
          <t xml:space="preserve">
3 UNIDADES QUE NO REPORTAN </t>
        </r>
      </text>
    </comment>
    <comment ref="T126" authorId="1" shapeId="0" xr:uid="{00000000-0006-0000-0100-00008A000000}">
      <text>
        <r>
          <rPr>
            <b/>
            <sz val="9"/>
            <color indexed="81"/>
            <rFont val="Tahoma"/>
            <family val="2"/>
          </rPr>
          <t xml:space="preserve">Luffi:
REMISION 50 DIC'22
</t>
        </r>
        <r>
          <rPr>
            <sz val="9"/>
            <color indexed="81"/>
            <rFont val="Tahoma"/>
            <family val="2"/>
          </rPr>
          <t>3 DES-INSTALACIONES $1,050.00
1 MIGRACIÓN JAIR MARTÍNEZ -$350.00</t>
        </r>
        <r>
          <rPr>
            <b/>
            <sz val="9"/>
            <color indexed="81"/>
            <rFont val="Tahoma"/>
            <family val="2"/>
          </rPr>
          <t xml:space="preserve">
REMISION 49 NOV'22</t>
        </r>
        <r>
          <rPr>
            <sz val="9"/>
            <color indexed="81"/>
            <rFont val="Tahoma"/>
            <family val="2"/>
          </rPr>
          <t xml:space="preserve">
2 INSTALACIONES
3DES-INSTALACIONES
1MIGRACIÓN -$350.00
04-AGO-22 $2,100.00 
SERVICIOS ADICIONALES REMISION 47 
</t>
        </r>
        <r>
          <rPr>
            <b/>
            <sz val="9"/>
            <color indexed="81"/>
            <rFont val="Tahoma"/>
            <family val="2"/>
          </rPr>
          <t xml:space="preserve">
02-FEB-2022 $1,800 PAGO DE EQUIPO 
</t>
        </r>
        <r>
          <rPr>
            <sz val="9"/>
            <color indexed="81"/>
            <rFont val="Tahoma"/>
            <family val="2"/>
          </rPr>
          <t>UNIDAD 032 ALBERTO VAZQUEZ SIERRA DENALI BLANCA´2018</t>
        </r>
        <r>
          <rPr>
            <b/>
            <sz val="9"/>
            <color indexed="81"/>
            <rFont val="Tahoma"/>
            <family val="2"/>
          </rPr>
          <t xml:space="preserve">
JUNIO´2021 $2,490
SERVICIOS ADICIONALES REMISION 35
MAYO´2021 $1,630.00
SERVICIOS ADICIONALES REMISION 34
</t>
        </r>
        <r>
          <rPr>
            <sz val="9"/>
            <color indexed="81"/>
            <rFont val="Tahoma"/>
            <family val="2"/>
          </rPr>
          <t xml:space="preserve">
</t>
        </r>
        <r>
          <rPr>
            <b/>
            <sz val="10"/>
            <color indexed="81"/>
            <rFont val="Tahoma"/>
            <family val="2"/>
          </rPr>
          <t>FEB-2021 $2,820.00</t>
        </r>
        <r>
          <rPr>
            <sz val="9"/>
            <color indexed="81"/>
            <rFont val="Tahoma"/>
            <family val="2"/>
          </rPr>
          <t xml:space="preserve">
</t>
        </r>
        <r>
          <rPr>
            <sz val="10"/>
            <color indexed="81"/>
            <rFont val="Tahoma"/>
            <family val="2"/>
          </rPr>
          <t xml:space="preserve">5 DES-INSTALACIONES $0.00
4 RE-INSTALACIONES $350 = $1,400.00
3 INSTALACIONES $1,420.00
</t>
        </r>
        <r>
          <rPr>
            <sz val="9"/>
            <color indexed="81"/>
            <rFont val="Tahoma"/>
            <family val="2"/>
          </rPr>
          <t xml:space="preserve">
2</t>
        </r>
        <r>
          <rPr>
            <sz val="10"/>
            <color indexed="81"/>
            <rFont val="Tahoma"/>
            <family val="2"/>
          </rPr>
          <t xml:space="preserve"> INSTALACIONES NUEVAS $890.00
14-SEP-2020  $350 + $160.00 = $510.00
28-SEP-2020  $350 + $ 30.00  = $380.00
</t>
        </r>
        <r>
          <rPr>
            <sz val="9"/>
            <color indexed="81"/>
            <rFont val="Tahoma"/>
            <family val="2"/>
          </rPr>
          <t xml:space="preserve">
5</t>
        </r>
        <r>
          <rPr>
            <sz val="10"/>
            <color indexed="81"/>
            <rFont val="Tahoma"/>
            <family val="2"/>
          </rPr>
          <t xml:space="preserve"> INSTALACIONES NUEVAS 
03-AGO-2020  $350.00 + $300.00
08-AGO-2020  $350.00 + $220.00
08-AGO-2020  $350.00 + $220.00
26-AGO-2020  $350.00 + $ 40.00
27-AGO-2020  $350.00 + $ 30.00
04-JUNIO-2020 $350.00 + $260.00
22-JUNIO-2020 $350.00 + $ 80.00
25-JUNIO-2020 $350.00 + $ 50.00
</t>
        </r>
        <r>
          <rPr>
            <b/>
            <sz val="10"/>
            <color indexed="81"/>
            <rFont val="Tahoma"/>
            <family val="2"/>
          </rPr>
          <t>TOTAL $1,440.00
OLID $3,750.00 + $129.87 =$3,879.87
PEPE $5,400.00 + $260.13 =$5,660.13</t>
        </r>
      </text>
    </comment>
    <comment ref="U126" authorId="1" shapeId="0" xr:uid="{00000000-0006-0000-0100-00008B000000}">
      <text>
        <r>
          <rPr>
            <b/>
            <sz val="9"/>
            <color indexed="81"/>
            <rFont val="Tahoma"/>
            <family val="2"/>
          </rPr>
          <t>Luffi:</t>
        </r>
        <r>
          <rPr>
            <sz val="9"/>
            <color indexed="81"/>
            <rFont val="Tahoma"/>
            <family val="2"/>
          </rPr>
          <t xml:space="preserve">
</t>
        </r>
        <r>
          <rPr>
            <sz val="9"/>
            <color indexed="81"/>
            <rFont val="Tahoma"/>
            <family val="2"/>
          </rPr>
          <t>COBRO DE EXTRAVIO DE EQUIPO 
CTE. ALBERTO VAZQUEZ 
AGOSTO´2021</t>
        </r>
      </text>
    </comment>
    <comment ref="E127" authorId="1" shapeId="0" xr:uid="{00000000-0006-0000-0100-00008C000000}">
      <text>
        <r>
          <rPr>
            <b/>
            <sz val="9"/>
            <color indexed="81"/>
            <rFont val="Tahoma"/>
            <family val="2"/>
          </rPr>
          <t>Luffi:</t>
        </r>
        <r>
          <rPr>
            <sz val="9"/>
            <color indexed="81"/>
            <rFont val="Tahoma"/>
            <family val="2"/>
          </rPr>
          <t xml:space="preserve">
</t>
        </r>
        <r>
          <rPr>
            <sz val="10"/>
            <color indexed="81"/>
            <rFont val="Tahoma"/>
            <family val="2"/>
          </rPr>
          <t xml:space="preserve">4 RENTA $250.00 + IVA
2 BAJAS PROVICIONALES
SE REACTIVARAN EN MARZO
06-JULIO-2022 INSTALACION NVO EQP. </t>
        </r>
      </text>
    </comment>
    <comment ref="E128" authorId="0" shapeId="0" xr:uid="{00000000-0006-0000-0100-00008D000000}">
      <text>
        <r>
          <rPr>
            <b/>
            <sz val="9"/>
            <color indexed="81"/>
            <rFont val="Tahoma"/>
            <family val="2"/>
          </rPr>
          <t>PC:</t>
        </r>
        <r>
          <rPr>
            <sz val="9"/>
            <color indexed="81"/>
            <rFont val="Tahoma"/>
            <family val="2"/>
          </rPr>
          <t xml:space="preserve">
EQUIPO $1,800.00+IVA 
MENSUALIDAD $300.00+IVA 
11-MARZO-2023
2 GPS REMOLQUE $3,400.00+IVA c/u =$3,944.00
1 GPS TRACTO $1,800.00+IVA= $2,088.00
3 MENSUALIDADES $300.00+IVA= $348.00
REVISION $500.00+IVA
DES-INSTALACIONES $500.00+IVA
RE-INSTALACIONES $500.00+IVA
VISITA EN FALSO $250.00+IVA
</t>
        </r>
      </text>
    </comment>
    <comment ref="T128" authorId="0" shapeId="0" xr:uid="{00000000-0006-0000-0100-00008E000000}">
      <text>
        <r>
          <rPr>
            <b/>
            <sz val="9"/>
            <color indexed="81"/>
            <rFont val="Tahoma"/>
            <family val="2"/>
          </rPr>
          <t>PC:</t>
        </r>
        <r>
          <rPr>
            <sz val="9"/>
            <color indexed="81"/>
            <rFont val="Tahoma"/>
            <family val="2"/>
          </rPr>
          <t xml:space="preserve">
30-SEPTIEMBRE-2023 2 GPS REMOLQUE $3,400.00+IVA C/U 
11-MARZO-2023 
2 GPS REMOLQUES $3,400.00 C/U
</t>
        </r>
      </text>
    </comment>
    <comment ref="AG128" authorId="0" shapeId="0" xr:uid="{00000000-0006-0000-0100-00008F000000}">
      <text>
        <r>
          <rPr>
            <b/>
            <sz val="9"/>
            <color indexed="81"/>
            <rFont val="Tahoma"/>
            <family val="2"/>
          </rPr>
          <t>PC:</t>
        </r>
        <r>
          <rPr>
            <sz val="9"/>
            <color indexed="81"/>
            <rFont val="Tahoma"/>
            <family val="2"/>
          </rPr>
          <t xml:space="preserve">
VENTA DE EQUIPO PAGADO EN EFECTIVO EL MISMO DIA </t>
        </r>
      </text>
    </comment>
    <comment ref="AL128" authorId="0" shapeId="0" xr:uid="{00000000-0006-0000-0100-000090000000}">
      <text>
        <r>
          <rPr>
            <b/>
            <sz val="9"/>
            <color indexed="81"/>
            <rFont val="Tahoma"/>
            <family val="2"/>
          </rPr>
          <t>PC:</t>
        </r>
        <r>
          <rPr>
            <sz val="9"/>
            <color indexed="81"/>
            <rFont val="Tahoma"/>
            <family val="2"/>
          </rPr>
          <t xml:space="preserve">
REVISION DE UNIDADES PAGO EN EFECTIVO A JESUS GALVAN </t>
        </r>
      </text>
    </comment>
    <comment ref="E129" authorId="0" shapeId="0" xr:uid="{00000000-0006-0000-0100-000091000000}">
      <text>
        <r>
          <rPr>
            <b/>
            <sz val="9"/>
            <color indexed="81"/>
            <rFont val="Tahoma"/>
            <family val="2"/>
          </rPr>
          <t>PC:</t>
        </r>
        <r>
          <rPr>
            <sz val="9"/>
            <color indexed="81"/>
            <rFont val="Tahoma"/>
            <family val="2"/>
          </rPr>
          <t xml:space="preserve">
INGRESA EL 23-JULIO-2024
EQUIPO $1,000.00
MENSUALIDAD $300.00
</t>
        </r>
      </text>
    </comment>
    <comment ref="E130" authorId="0" shapeId="0" xr:uid="{00000000-0006-0000-0100-000092000000}">
      <text>
        <r>
          <rPr>
            <b/>
            <sz val="9"/>
            <color indexed="81"/>
            <rFont val="Tahoma"/>
            <family val="2"/>
          </rPr>
          <t>PC:</t>
        </r>
        <r>
          <rPr>
            <sz val="9"/>
            <color indexed="81"/>
            <rFont val="Tahoma"/>
            <family val="2"/>
          </rPr>
          <t xml:space="preserve">
INGRESA EL 05-JULIO-2024
BAJA 05-SEPTIEMBRE-2024
RE-INGRESO 24-SEPTIEMBRE-2024
EQUIPO $1,800.00
RENTA $250.00</t>
        </r>
      </text>
    </comment>
    <comment ref="E131" authorId="0" shapeId="0" xr:uid="{00000000-0006-0000-0100-000093000000}">
      <text>
        <r>
          <rPr>
            <b/>
            <sz val="9"/>
            <color indexed="81"/>
            <rFont val="Tahoma"/>
            <family val="2"/>
          </rPr>
          <t>PC:</t>
        </r>
        <r>
          <rPr>
            <sz val="9"/>
            <color indexed="81"/>
            <rFont val="Tahoma"/>
            <family val="2"/>
          </rPr>
          <t xml:space="preserve">
CLIENTE MIGRADO DE  ALEJANDRO MARMOLEJO 17-ENERO-2025
EQUIPO $1,800.00
MENSUALIDAD $350.00</t>
        </r>
      </text>
    </comment>
    <comment ref="E132" authorId="0" shapeId="0" xr:uid="{00000000-0006-0000-0100-000094000000}">
      <text>
        <r>
          <rPr>
            <b/>
            <sz val="9"/>
            <color indexed="81"/>
            <rFont val="Tahoma"/>
            <family val="2"/>
          </rPr>
          <t>PC:</t>
        </r>
        <r>
          <rPr>
            <sz val="9"/>
            <color indexed="81"/>
            <rFont val="Tahoma"/>
            <family val="2"/>
          </rPr>
          <t xml:space="preserve">
CLIENTE NUEVO 06-DICIEMBRE-2024
EQUIPO $1,850.00
MENSUALIDAD CON CANAL DE VOZ $250.00</t>
        </r>
      </text>
    </comment>
    <comment ref="E133" authorId="0" shapeId="0" xr:uid="{00000000-0006-0000-0100-000095000000}">
      <text>
        <r>
          <rPr>
            <b/>
            <sz val="9"/>
            <color indexed="81"/>
            <rFont val="Tahoma"/>
            <family val="2"/>
          </rPr>
          <t>PC:</t>
        </r>
        <r>
          <rPr>
            <sz val="9"/>
            <color indexed="81"/>
            <rFont val="Tahoma"/>
            <family val="2"/>
          </rPr>
          <t xml:space="preserve">
CLIENTE MIGRADO DEL SR. EDGAR MURO 
01-NOVIEMBRE-2024
MENSUALIDAD $300.00+IVA
MIGRACION $350.00+IVA</t>
        </r>
      </text>
    </comment>
    <comment ref="E134" authorId="0" shapeId="0" xr:uid="{00000000-0006-0000-0100-000096000000}">
      <text>
        <r>
          <rPr>
            <b/>
            <sz val="9"/>
            <color indexed="81"/>
            <rFont val="Tahoma"/>
            <family val="2"/>
          </rPr>
          <t>PC:</t>
        </r>
        <r>
          <rPr>
            <sz val="9"/>
            <color indexed="81"/>
            <rFont val="Tahoma"/>
            <family val="2"/>
          </rPr>
          <t xml:space="preserve">
INGRESA EL 29-OCTUBRE-2024
EQUIPO $2,100.00
MENSUALIDAD $150.00</t>
        </r>
      </text>
    </comment>
    <comment ref="E135" authorId="0" shapeId="0" xr:uid="{00000000-0006-0000-0100-000097000000}">
      <text>
        <r>
          <rPr>
            <b/>
            <sz val="9"/>
            <color indexed="81"/>
            <rFont val="Tahoma"/>
            <family val="2"/>
          </rPr>
          <t>PC:</t>
        </r>
        <r>
          <rPr>
            <sz val="9"/>
            <color indexed="81"/>
            <rFont val="Tahoma"/>
            <family val="2"/>
          </rPr>
          <t xml:space="preserve">
INGRESA EL 09-JULIO-2024
COMODATO
INSTALACION $500.00
MENS. $250.00</t>
        </r>
      </text>
    </comment>
    <comment ref="E136" authorId="0" shapeId="0" xr:uid="{00000000-0006-0000-0100-000098000000}">
      <text>
        <r>
          <rPr>
            <b/>
            <sz val="9"/>
            <color indexed="81"/>
            <rFont val="Tahoma"/>
            <family val="2"/>
          </rPr>
          <t>PC:</t>
        </r>
        <r>
          <rPr>
            <sz val="9"/>
            <color indexed="81"/>
            <rFont val="Tahoma"/>
            <family val="2"/>
          </rPr>
          <t xml:space="preserve">
SE LE INSTALA EL 07-JUNIO-2024 EQUIPO USO RUDO
EL 11-JUNIO-2024 INSTALA EQP. DASH CAM
SE AGREGA A LA COBRANZA EL 10-JUNIO-2024
EQUIPO 3ER GENERACION USO RUDO PARA REMOLQUE $3,600.00
MENSUALIDAD $250.00
EQUIPO DASH CAM $8,790.00
MENSUALIDAD DASH CAM $900.00
</t>
        </r>
      </text>
    </comment>
    <comment ref="E137" authorId="0" shapeId="0" xr:uid="{00000000-0006-0000-0100-000099000000}">
      <text>
        <r>
          <rPr>
            <b/>
            <sz val="9"/>
            <color indexed="81"/>
            <rFont val="Tahoma"/>
            <family val="2"/>
          </rPr>
          <t>PC:</t>
        </r>
        <r>
          <rPr>
            <sz val="9"/>
            <color indexed="81"/>
            <rFont val="Tahoma"/>
            <family val="2"/>
          </rPr>
          <t xml:space="preserve">
INGRESA EL 30-ENERO-2025
EQUIPO $1,800.00
MENSUALIDAD $350.00</t>
        </r>
      </text>
    </comment>
    <comment ref="E138" authorId="0" shapeId="0" xr:uid="{00000000-0006-0000-0100-00009A000000}">
      <text>
        <r>
          <rPr>
            <b/>
            <sz val="9"/>
            <color indexed="81"/>
            <rFont val="Tahoma"/>
            <family val="2"/>
          </rPr>
          <t>PC:</t>
        </r>
        <r>
          <rPr>
            <sz val="9"/>
            <color indexed="81"/>
            <rFont val="Tahoma"/>
            <family val="2"/>
          </rPr>
          <t xml:space="preserve">
INICIA EL 05-JUNIO-2023
MENSUALIDAD $300.00
EQUIPO $1,850.00</t>
        </r>
      </text>
    </comment>
    <comment ref="E139" authorId="0" shapeId="0" xr:uid="{00000000-0006-0000-0100-00009B000000}">
      <text>
        <r>
          <rPr>
            <b/>
            <sz val="9"/>
            <color indexed="81"/>
            <rFont val="Tahoma"/>
            <family val="2"/>
          </rPr>
          <t xml:space="preserve">PC:
</t>
        </r>
        <r>
          <rPr>
            <sz val="9"/>
            <color indexed="81"/>
            <rFont val="Tahoma"/>
            <family val="2"/>
          </rPr>
          <t xml:space="preserve">20-Junio-2022  Instalación 
Equipo $2,000.00
Mensualidad $300.00 </t>
        </r>
      </text>
    </comment>
    <comment ref="E140" authorId="0" shapeId="0" xr:uid="{00000000-0006-0000-0100-00009C000000}">
      <text>
        <r>
          <rPr>
            <b/>
            <sz val="9"/>
            <color indexed="81"/>
            <rFont val="Tahoma"/>
            <family val="2"/>
          </rPr>
          <t>PC:</t>
        </r>
        <r>
          <rPr>
            <sz val="9"/>
            <color indexed="81"/>
            <rFont val="Tahoma"/>
            <family val="2"/>
          </rPr>
          <t xml:space="preserve">
INGRESA EL 29-OCTUBRE-2024
EQUIPO $1,850.00
MENSUALIDAD $299.00</t>
        </r>
      </text>
    </comment>
    <comment ref="E141" authorId="1" shapeId="0" xr:uid="{00000000-0006-0000-0100-00009D000000}">
      <text>
        <r>
          <rPr>
            <b/>
            <sz val="9"/>
            <color indexed="81"/>
            <rFont val="Tahoma"/>
            <family val="2"/>
          </rPr>
          <t>Luffi:</t>
        </r>
        <r>
          <rPr>
            <sz val="9"/>
            <color indexed="81"/>
            <rFont val="Tahoma"/>
            <family val="2"/>
          </rPr>
          <t xml:space="preserve">
EQUIPO TRASPASADO POR CHUY SOCIO JOSE LUIS 
MENSUALIDAD $300.00
RE-INSTALACION $650.00
</t>
        </r>
        <r>
          <rPr>
            <b/>
            <sz val="9"/>
            <color indexed="81"/>
            <rFont val="Tahoma"/>
            <family val="2"/>
          </rPr>
          <t>*INSTALACION 20-DIC-2021 
*SE LE COBRA HASTA FEB´2022</t>
        </r>
      </text>
    </comment>
    <comment ref="E142" authorId="0" shapeId="0" xr:uid="{00000000-0006-0000-0100-00009E000000}">
      <text>
        <r>
          <rPr>
            <b/>
            <sz val="9"/>
            <color indexed="81"/>
            <rFont val="Tahoma"/>
            <family val="2"/>
          </rPr>
          <t>PC:</t>
        </r>
        <r>
          <rPr>
            <sz val="9"/>
            <color indexed="81"/>
            <rFont val="Tahoma"/>
            <family val="2"/>
          </rPr>
          <t xml:space="preserve">
INGRESA EL 14-SEPTIEMBRE-2024 
COMODATO 
INSTALACIÓN $549.00
MENSUALIDAD $300.00</t>
        </r>
      </text>
    </comment>
    <comment ref="E143" authorId="1" shapeId="0" xr:uid="{00000000-0006-0000-0100-00009F000000}">
      <text>
        <r>
          <rPr>
            <b/>
            <sz val="9"/>
            <color indexed="81"/>
            <rFont val="Tahoma"/>
            <family val="2"/>
          </rPr>
          <t>Luffi:</t>
        </r>
        <r>
          <rPr>
            <sz val="9"/>
            <color indexed="81"/>
            <rFont val="Tahoma"/>
            <family val="2"/>
          </rPr>
          <t xml:space="preserve">
TRASPASO DE CLIENTE DE PLAY MOTORS 
EQUIPO $1,850
MENSUALIDAD $300</t>
        </r>
      </text>
    </comment>
    <comment ref="E144" authorId="0" shapeId="0" xr:uid="{00000000-0006-0000-0100-0000A0000000}">
      <text>
        <r>
          <rPr>
            <b/>
            <sz val="9"/>
            <color indexed="81"/>
            <rFont val="Tahoma"/>
            <family val="2"/>
          </rPr>
          <t>PC:</t>
        </r>
        <r>
          <rPr>
            <sz val="9"/>
            <color indexed="81"/>
            <rFont val="Tahoma"/>
            <family val="2"/>
          </rPr>
          <t xml:space="preserve">
INGRESA EL 09-OCTUBRE-2024
EQUIPOS DASH CAM $7,000.00
MENSUALIDAD $900.00</t>
        </r>
      </text>
    </comment>
    <comment ref="E145" authorId="0" shapeId="0" xr:uid="{00000000-0006-0000-0100-0000A1000000}">
      <text>
        <r>
          <rPr>
            <b/>
            <sz val="9"/>
            <color indexed="81"/>
            <rFont val="Tahoma"/>
            <family val="2"/>
          </rPr>
          <t>PC:</t>
        </r>
        <r>
          <rPr>
            <sz val="9"/>
            <color indexed="81"/>
            <rFont val="Tahoma"/>
            <family val="2"/>
          </rPr>
          <t xml:space="preserve">
INICIA EL 29-AGOSTO-2023
EQUIPO $1,850.00
MENSUALIDAD $250.00</t>
        </r>
      </text>
    </comment>
    <comment ref="E146" authorId="0" shapeId="0" xr:uid="{00000000-0006-0000-0100-0000A2000000}">
      <text>
        <r>
          <rPr>
            <b/>
            <sz val="9"/>
            <color indexed="81"/>
            <rFont val="Tahoma"/>
            <family val="2"/>
          </rPr>
          <t>PC:</t>
        </r>
        <r>
          <rPr>
            <sz val="9"/>
            <color indexed="81"/>
            <rFont val="Tahoma"/>
            <family val="2"/>
          </rPr>
          <t xml:space="preserve">
COMODATO 
INGRESA EL 27-SEPTIEMBRE-2024
INSTALACION $549.00
MENSUALIDAD $300.00</t>
        </r>
      </text>
    </comment>
    <comment ref="E147" authorId="1" shapeId="0" xr:uid="{00000000-0006-0000-0100-0000A3000000}">
      <text>
        <r>
          <rPr>
            <b/>
            <sz val="9"/>
            <color indexed="81"/>
            <rFont val="Tahoma"/>
            <family val="2"/>
          </rPr>
          <t>Luffi:</t>
        </r>
        <r>
          <rPr>
            <sz val="9"/>
            <color indexed="81"/>
            <rFont val="Tahoma"/>
            <family val="2"/>
          </rPr>
          <t xml:space="preserve">
</t>
        </r>
        <r>
          <rPr>
            <sz val="10"/>
            <color indexed="81"/>
            <rFont val="Tahoma"/>
            <family val="2"/>
          </rPr>
          <t>8 RENTAS $297.00 
DES-INSTALACIÓN $500.00
REVISIONES $500.00</t>
        </r>
      </text>
    </comment>
    <comment ref="T147" authorId="0" shapeId="0" xr:uid="{00000000-0006-0000-0100-0000A4000000}">
      <text>
        <r>
          <rPr>
            <b/>
            <sz val="9"/>
            <color indexed="81"/>
            <rFont val="Tahoma"/>
            <family val="2"/>
          </rPr>
          <t>PC:</t>
        </r>
        <r>
          <rPr>
            <sz val="9"/>
            <color indexed="81"/>
            <rFont val="Tahoma"/>
            <family val="2"/>
          </rPr>
          <t xml:space="preserve">
REVISION DE UNIDAD 15-NOV-22 FROD BCO. PLACAS 25AG2W $500.00</t>
        </r>
      </text>
    </comment>
    <comment ref="E148" authorId="1" shapeId="0" xr:uid="{00000000-0006-0000-0100-0000A5000000}">
      <text>
        <r>
          <rPr>
            <b/>
            <sz val="9"/>
            <color indexed="81"/>
            <rFont val="Tahoma"/>
            <family val="2"/>
          </rPr>
          <t>Luffi:</t>
        </r>
        <r>
          <rPr>
            <sz val="9"/>
            <color indexed="81"/>
            <rFont val="Tahoma"/>
            <family val="2"/>
          </rPr>
          <t xml:space="preserve">
</t>
        </r>
        <r>
          <rPr>
            <b/>
            <sz val="9"/>
            <color indexed="81"/>
            <rFont val="Tahoma"/>
            <family val="2"/>
          </rPr>
          <t xml:space="preserve">CLIENTE DE PRESTACOCHE MIGRADO
</t>
        </r>
        <r>
          <rPr>
            <sz val="9"/>
            <color indexed="81"/>
            <rFont val="Tahoma"/>
            <family val="2"/>
          </rPr>
          <t xml:space="preserve">MIGRADO $650.00
MENSUALIDAD $300.00
EQUIPO $2,100.00
</t>
        </r>
        <r>
          <rPr>
            <b/>
            <sz val="9"/>
            <color indexed="81"/>
            <rFont val="Tahoma"/>
            <family val="2"/>
          </rPr>
          <t>RECONFIGURACION 05-ENERO-2022</t>
        </r>
      </text>
    </comment>
    <comment ref="E149" authorId="0" shapeId="0" xr:uid="{00000000-0006-0000-0100-0000A6000000}">
      <text>
        <r>
          <rPr>
            <b/>
            <sz val="9"/>
            <color indexed="81"/>
            <rFont val="Tahoma"/>
            <family val="2"/>
          </rPr>
          <t>PC:</t>
        </r>
        <r>
          <rPr>
            <sz val="9"/>
            <color indexed="81"/>
            <rFont val="Tahoma"/>
            <family val="2"/>
          </rPr>
          <t xml:space="preserve">
INICIA EL 09-MARZO-2023 
EQUIPO $2,200.00
MENSUALIDAD $249.00</t>
        </r>
      </text>
    </comment>
    <comment ref="E150" authorId="0" shapeId="0" xr:uid="{00000000-0006-0000-0100-0000A7000000}">
      <text>
        <r>
          <rPr>
            <b/>
            <sz val="9"/>
            <color indexed="81"/>
            <rFont val="Tahoma"/>
            <family val="2"/>
          </rPr>
          <t>PC:</t>
        </r>
        <r>
          <rPr>
            <sz val="9"/>
            <color indexed="81"/>
            <rFont val="Tahoma"/>
            <family val="2"/>
          </rPr>
          <t xml:space="preserve">
INICIA EL 12-NOV-22 
1er.Pago $1,769.00 11-Nov-22
2do. Pago $1,769.00 14-Nov-22
EQUIPO $1,800.00+IVA 
MESUALIDAD $250.00+IVA 
VIÁTICOS $1,000.00</t>
        </r>
      </text>
    </comment>
    <comment ref="S150" authorId="0" shapeId="0" xr:uid="{00000000-0006-0000-0100-0000A8000000}">
      <text>
        <r>
          <rPr>
            <b/>
            <sz val="9"/>
            <color indexed="81"/>
            <rFont val="Tahoma"/>
            <family val="2"/>
          </rPr>
          <t>PC:</t>
        </r>
        <r>
          <rPr>
            <sz val="9"/>
            <color indexed="81"/>
            <rFont val="Tahoma"/>
            <family val="2"/>
          </rPr>
          <t xml:space="preserve">
INICIA 12-NOV-22
MENSUALIDAD $250.00+IVA=$290.00</t>
        </r>
      </text>
    </comment>
    <comment ref="T150" authorId="0" shapeId="0" xr:uid="{00000000-0006-0000-0100-0000A9000000}">
      <text>
        <r>
          <rPr>
            <b/>
            <sz val="9"/>
            <color indexed="81"/>
            <rFont val="Tahoma"/>
            <family val="2"/>
          </rPr>
          <t>PC:</t>
        </r>
        <r>
          <rPr>
            <sz val="9"/>
            <color indexed="81"/>
            <rFont val="Tahoma"/>
            <family val="2"/>
          </rPr>
          <t xml:space="preserve">
INSTALACION Y EQUIPO $1,800.00
MENSUALIDAD $250.00
</t>
        </r>
      </text>
    </comment>
    <comment ref="E151" authorId="0" shapeId="0" xr:uid="{00000000-0006-0000-0100-0000AA000000}">
      <text>
        <r>
          <rPr>
            <b/>
            <sz val="9"/>
            <color indexed="81"/>
            <rFont val="Tahoma"/>
            <family val="2"/>
          </rPr>
          <t>PC:</t>
        </r>
        <r>
          <rPr>
            <sz val="9"/>
            <color indexed="81"/>
            <rFont val="Tahoma"/>
            <family val="2"/>
          </rPr>
          <t xml:space="preserve">
INGRESA EL 14-SEPTIEMBRE-2024
COMODATO
INSTALACIÓN $549.00
MENSUALIDAD $300.00</t>
        </r>
      </text>
    </comment>
    <comment ref="E152" authorId="0" shapeId="0" xr:uid="{00000000-0006-0000-0100-0000AB000000}">
      <text>
        <r>
          <rPr>
            <b/>
            <sz val="9"/>
            <color indexed="81"/>
            <rFont val="Tahoma"/>
            <family val="2"/>
          </rPr>
          <t>PC:</t>
        </r>
        <r>
          <rPr>
            <sz val="9"/>
            <color indexed="81"/>
            <rFont val="Tahoma"/>
            <family val="2"/>
          </rPr>
          <t xml:space="preserve">
INGRESA EL 22-NOVIEMBRE-2024
EQUIPO $1.850.00
MENSUALIDAD $300.00</t>
        </r>
      </text>
    </comment>
    <comment ref="E153" authorId="0" shapeId="0" xr:uid="{00000000-0006-0000-0100-0000AC000000}">
      <text>
        <r>
          <rPr>
            <b/>
            <sz val="9"/>
            <color indexed="81"/>
            <rFont val="Tahoma"/>
            <family val="2"/>
          </rPr>
          <t>PC:</t>
        </r>
        <r>
          <rPr>
            <sz val="9"/>
            <color indexed="81"/>
            <rFont val="Tahoma"/>
            <family val="2"/>
          </rPr>
          <t xml:space="preserve">
INGRESA EL 31-ENERO-2024
EQUIPOS SE FACTURA $3,000.00+IVA
MENSUALIDAD REMISIONADA $300.00 SIN IVA </t>
        </r>
      </text>
    </comment>
    <comment ref="E154" authorId="0" shapeId="0" xr:uid="{00000000-0006-0000-0100-0000AD000000}">
      <text>
        <r>
          <rPr>
            <b/>
            <sz val="9"/>
            <color indexed="81"/>
            <rFont val="Tahoma"/>
            <family val="2"/>
          </rPr>
          <t>PC:</t>
        </r>
        <r>
          <rPr>
            <sz val="9"/>
            <color indexed="81"/>
            <rFont val="Tahoma"/>
            <family val="2"/>
          </rPr>
          <t xml:space="preserve">
INICA EL 21-SEP-2022 
EQUIPO $1,800.00
RENTA $280.00
REVISION Y CAMBIO DE MICRÓFONO $250.00</t>
        </r>
      </text>
    </comment>
    <comment ref="T154" authorId="0" shapeId="0" xr:uid="{00000000-0006-0000-0100-0000AE000000}">
      <text>
        <r>
          <rPr>
            <b/>
            <sz val="9"/>
            <color indexed="81"/>
            <rFont val="Tahoma"/>
            <family val="2"/>
          </rPr>
          <t>PC:</t>
        </r>
        <r>
          <rPr>
            <sz val="9"/>
            <color indexed="81"/>
            <rFont val="Tahoma"/>
            <family val="2"/>
          </rPr>
          <t xml:space="preserve">
REVISION Y CAMBIO DE MICROFONO 
13-ENERO-2023
$250.00</t>
        </r>
      </text>
    </comment>
    <comment ref="E155" authorId="0" shapeId="0" xr:uid="{00000000-0006-0000-0100-0000AF000000}">
      <text>
        <r>
          <rPr>
            <b/>
            <sz val="9"/>
            <color indexed="81"/>
            <rFont val="Tahoma"/>
            <family val="2"/>
          </rPr>
          <t>PC:</t>
        </r>
        <r>
          <rPr>
            <sz val="9"/>
            <color indexed="81"/>
            <rFont val="Tahoma"/>
            <family val="2"/>
          </rPr>
          <t xml:space="preserve">
INICIA EL 26-DICIEMBRE-2024
EQUIPO $1,850.00
MENSUALIDAD $300.00</t>
        </r>
      </text>
    </comment>
    <comment ref="E156" authorId="0" shapeId="0" xr:uid="{00000000-0006-0000-0100-0000B0000000}">
      <text>
        <r>
          <rPr>
            <b/>
            <sz val="9"/>
            <color indexed="81"/>
            <rFont val="Tahoma"/>
            <family val="2"/>
          </rPr>
          <t>PC:</t>
        </r>
        <r>
          <rPr>
            <sz val="9"/>
            <color indexed="81"/>
            <rFont val="Tahoma"/>
            <family val="2"/>
          </rPr>
          <t xml:space="preserve">
INGRESA EL 04-JUNIO-2024
EQUIPO $2,150.00+IVA
MENSUALIDAD$300.00+IVA
REVISION $650.00+IVA</t>
        </r>
      </text>
    </comment>
    <comment ref="E157" authorId="0" shapeId="0" xr:uid="{00000000-0006-0000-0100-0000B1000000}">
      <text>
        <r>
          <rPr>
            <b/>
            <sz val="9"/>
            <color indexed="81"/>
            <rFont val="Tahoma"/>
            <family val="2"/>
          </rPr>
          <t>PC:</t>
        </r>
        <r>
          <rPr>
            <sz val="9"/>
            <color indexed="81"/>
            <rFont val="Tahoma"/>
            <family val="2"/>
          </rPr>
          <t xml:space="preserve">
MIGRACIÓN 07-FEBRERO-2025  DEL SR. GUILLERMO REHLAENDER 
 MENSUALIDAD $300.00 
MIGRACIÓN CLIENTE DE ANUALIDAD 
JAIR MARTINEZ LE VENDIO LA UNIDAD
EL SR. GUILLERMO REHLAENDER SE QUEDO CON EL SERVICIO EN FORMA MENSUAL 
MENSUALIDAD $280.00+IVA
ANUALIDAD $3,000.00+IVA
Baja Cta. Jair Martinez (Migracion de Play Motors)
Correo jairmartinez208@gmail.com
Contacto 8135611076
Esquema - Migracion Venta de equipo con Anualidad 
Equipo $1,950
Anualidad $3,600 (Bonificacion $600) - Neto $3,000 
Total $ 5,742</t>
        </r>
      </text>
    </comment>
    <comment ref="E158" authorId="0" shapeId="0" xr:uid="{00000000-0006-0000-0100-0000B2000000}">
      <text>
        <r>
          <rPr>
            <b/>
            <sz val="9"/>
            <color indexed="81"/>
            <rFont val="Tahoma"/>
            <family val="2"/>
          </rPr>
          <t>PC:</t>
        </r>
        <r>
          <rPr>
            <sz val="9"/>
            <color indexed="81"/>
            <rFont val="Tahoma"/>
            <family val="2"/>
          </rPr>
          <t xml:space="preserve">
INGRESA EL 18-SEPTIEMBRE-2024
COMODATO
INSTALACION $549.00
MENSUALIDAD $300.00</t>
        </r>
      </text>
    </comment>
    <comment ref="E159" authorId="0" shapeId="0" xr:uid="{00000000-0006-0000-0100-0000B3000000}">
      <text>
        <r>
          <rPr>
            <b/>
            <sz val="9"/>
            <color indexed="81"/>
            <rFont val="Tahoma"/>
            <family val="2"/>
          </rPr>
          <t>PC:</t>
        </r>
        <r>
          <rPr>
            <sz val="9"/>
            <color indexed="81"/>
            <rFont val="Tahoma"/>
            <family val="2"/>
          </rPr>
          <t xml:space="preserve">
Tecnico de Saltillo
Instala el 27-enero-2024
Se le empieza a cobrar en Marzo 2024
Mensualidad $200.00</t>
        </r>
      </text>
    </comment>
    <comment ref="E160" authorId="1" shapeId="0" xr:uid="{00000000-0006-0000-0100-0000B4000000}">
      <text>
        <r>
          <rPr>
            <b/>
            <sz val="9"/>
            <color indexed="81"/>
            <rFont val="Tahoma"/>
            <family val="2"/>
          </rPr>
          <t>Luffi:</t>
        </r>
        <r>
          <rPr>
            <sz val="9"/>
            <color indexed="81"/>
            <rFont val="Tahoma"/>
            <family val="2"/>
          </rPr>
          <t xml:space="preserve">
4</t>
        </r>
        <r>
          <rPr>
            <sz val="10"/>
            <color indexed="81"/>
            <rFont val="Tahoma"/>
            <family val="2"/>
          </rPr>
          <t xml:space="preserve"> RENTA $350.00</t>
        </r>
        <r>
          <rPr>
            <sz val="9"/>
            <color indexed="81"/>
            <rFont val="Tahoma"/>
            <family val="2"/>
          </rPr>
          <t xml:space="preserve"> 
SE DAN DE BAJA 2 UNIDADES 
</t>
        </r>
        <r>
          <rPr>
            <b/>
            <sz val="9"/>
            <color indexed="81"/>
            <rFont val="Tahoma"/>
            <family val="2"/>
          </rPr>
          <t>2-OCT-2020 (SENTRA Y MARCH)</t>
        </r>
        <r>
          <rPr>
            <sz val="9"/>
            <color indexed="81"/>
            <rFont val="Tahoma"/>
            <family val="2"/>
          </rPr>
          <t xml:space="preserve">
</t>
        </r>
        <r>
          <rPr>
            <b/>
            <sz val="9"/>
            <color indexed="81"/>
            <rFont val="Tahoma"/>
            <family val="2"/>
          </rPr>
          <t xml:space="preserve">1 INSTALACION 22-MAR-2022
AVEO ROJO 
EQUIPO $1,500.00 </t>
        </r>
      </text>
    </comment>
    <comment ref="T160" authorId="2" shapeId="0" xr:uid="{00000000-0006-0000-0100-0000B5000000}">
      <text>
        <r>
          <rPr>
            <b/>
            <sz val="9"/>
            <color indexed="81"/>
            <rFont val="Tahoma"/>
            <family val="2"/>
          </rPr>
          <t>Usuario de Windows:</t>
        </r>
        <r>
          <rPr>
            <sz val="9"/>
            <color indexed="81"/>
            <rFont val="Tahoma"/>
            <family val="2"/>
          </rPr>
          <t xml:space="preserve">
EQUIPO GPS</t>
        </r>
      </text>
    </comment>
    <comment ref="E161" authorId="0" shapeId="0" xr:uid="{00000000-0006-0000-0100-0000B6000000}">
      <text>
        <r>
          <rPr>
            <b/>
            <sz val="9"/>
            <color indexed="81"/>
            <rFont val="Tahoma"/>
            <family val="2"/>
          </rPr>
          <t>PC:</t>
        </r>
        <r>
          <rPr>
            <sz val="9"/>
            <color indexed="81"/>
            <rFont val="Tahoma"/>
            <family val="2"/>
          </rPr>
          <t xml:space="preserve">
INICIA EL 08-SEP-2023
EQUIPO $2,199.00
MENSUALIDAD $250.00</t>
        </r>
      </text>
    </comment>
    <comment ref="E162" authorId="0" shapeId="0" xr:uid="{00000000-0006-0000-0100-0000B7000000}">
      <text>
        <r>
          <rPr>
            <b/>
            <sz val="9"/>
            <color indexed="81"/>
            <rFont val="Tahoma"/>
            <family val="2"/>
          </rPr>
          <t>PC:</t>
        </r>
        <r>
          <rPr>
            <sz val="9"/>
            <color indexed="81"/>
            <rFont val="Tahoma"/>
            <family val="2"/>
          </rPr>
          <t xml:space="preserve">
COMODATO
INGRESA EL 11-SEPTIEMBRE-2024
INSTALACIÓN $549.00
MENSUALIDAD $300.00</t>
        </r>
      </text>
    </comment>
    <comment ref="E163" authorId="0" shapeId="0" xr:uid="{00000000-0006-0000-0100-0000B8000000}">
      <text>
        <r>
          <rPr>
            <b/>
            <sz val="9"/>
            <color indexed="81"/>
            <rFont val="Tahoma"/>
            <family val="2"/>
          </rPr>
          <t>PC:</t>
        </r>
        <r>
          <rPr>
            <sz val="9"/>
            <color indexed="81"/>
            <rFont val="Tahoma"/>
            <family val="2"/>
          </rPr>
          <t xml:space="preserve">
INGRESA EL 14-FEBRERO-2024
EQUIPO $1,600.00
MENSUALIDAD $250.00</t>
        </r>
      </text>
    </comment>
    <comment ref="E164" authorId="0" shapeId="0" xr:uid="{00000000-0006-0000-0100-0000B9000000}">
      <text>
        <r>
          <rPr>
            <b/>
            <sz val="9"/>
            <color indexed="81"/>
            <rFont val="Tahoma"/>
            <family val="2"/>
          </rPr>
          <t>PC:</t>
        </r>
        <r>
          <rPr>
            <sz val="9"/>
            <color indexed="81"/>
            <rFont val="Tahoma"/>
            <family val="2"/>
          </rPr>
          <t xml:space="preserve">
CLIENTE NUEVO 26-NOVIEMBRE-2024
EQUIPO $2,200.00 
MENSUALIDAD $300.00</t>
        </r>
      </text>
    </comment>
    <comment ref="E165" authorId="0" shapeId="0" xr:uid="{00000000-0006-0000-0100-0000BA000000}">
      <text>
        <r>
          <rPr>
            <b/>
            <sz val="9"/>
            <color indexed="81"/>
            <rFont val="Tahoma"/>
            <family val="2"/>
          </rPr>
          <t>PC:</t>
        </r>
        <r>
          <rPr>
            <sz val="9"/>
            <color indexed="81"/>
            <rFont val="Tahoma"/>
            <family val="2"/>
          </rPr>
          <t xml:space="preserve">
INGRESA EL 18-OCTUBRE-2024
EQUIPO $1,850.00+IVA
MENSUALIDAD $249.00+IVA</t>
        </r>
      </text>
    </comment>
    <comment ref="E166" authorId="0" shapeId="0" xr:uid="{00000000-0006-0000-0100-0000BB000000}">
      <text>
        <r>
          <rPr>
            <b/>
            <sz val="9"/>
            <color indexed="81"/>
            <rFont val="Tahoma"/>
            <family val="2"/>
          </rPr>
          <t>PC:</t>
        </r>
        <r>
          <rPr>
            <sz val="9"/>
            <color indexed="81"/>
            <rFont val="Tahoma"/>
            <family val="2"/>
          </rPr>
          <t xml:space="preserve">
INGRESA EL 25-NOVIEMBRE-2024
MIGRACION $650.00
MENSUALIDAD $300.00</t>
        </r>
      </text>
    </comment>
    <comment ref="E167" authorId="0" shapeId="0" xr:uid="{00000000-0006-0000-0100-0000BC000000}">
      <text>
        <r>
          <rPr>
            <b/>
            <sz val="9"/>
            <color indexed="81"/>
            <rFont val="Tahoma"/>
            <family val="2"/>
          </rPr>
          <t>PC:</t>
        </r>
        <r>
          <rPr>
            <sz val="9"/>
            <color indexed="81"/>
            <rFont val="Tahoma"/>
            <family val="2"/>
          </rPr>
          <t xml:space="preserve">
INGRESA EL 10-ENERO-2025
EQUIPO $2,000.00
MENSUALIDAD $250.00
RECOMENDADO DE EDUARDO ALMAGUER</t>
        </r>
      </text>
    </comment>
    <comment ref="D168" authorId="1" shapeId="0" xr:uid="{00000000-0006-0000-0100-0000BD000000}">
      <text>
        <r>
          <rPr>
            <b/>
            <sz val="9"/>
            <color indexed="81"/>
            <rFont val="Tahoma"/>
            <family val="2"/>
          </rPr>
          <t>Luffi:</t>
        </r>
        <r>
          <rPr>
            <sz val="9"/>
            <color indexed="81"/>
            <rFont val="Tahoma"/>
            <family val="2"/>
          </rPr>
          <t xml:space="preserve">
</t>
        </r>
        <r>
          <rPr>
            <b/>
            <sz val="9"/>
            <color indexed="10"/>
            <rFont val="Tahoma"/>
            <family val="2"/>
          </rPr>
          <t xml:space="preserve">rafacova@live.com.mx 
NO MANDAR CORREOS AQUÍ </t>
        </r>
      </text>
    </comment>
    <comment ref="E168" authorId="1" shapeId="0" xr:uid="{00000000-0006-0000-0100-0000BE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E169" authorId="0" shapeId="0" xr:uid="{00000000-0006-0000-0100-0000BF000000}">
      <text>
        <r>
          <rPr>
            <b/>
            <sz val="9"/>
            <color indexed="81"/>
            <rFont val="Tahoma"/>
            <family val="2"/>
          </rPr>
          <t>PC:</t>
        </r>
        <r>
          <rPr>
            <sz val="9"/>
            <color indexed="81"/>
            <rFont val="Tahoma"/>
            <family val="2"/>
          </rPr>
          <t xml:space="preserve">
INGRESA EL 01-NOVIEMBRE-2024
EQUIPO $1,850.00
MENSUALIDAD $300.00</t>
        </r>
      </text>
    </comment>
    <comment ref="E170" authorId="0" shapeId="0" xr:uid="{00000000-0006-0000-0100-0000C0000000}">
      <text>
        <r>
          <rPr>
            <b/>
            <sz val="9"/>
            <color indexed="81"/>
            <rFont val="Tahoma"/>
            <family val="2"/>
          </rPr>
          <t>PC:</t>
        </r>
        <r>
          <rPr>
            <sz val="9"/>
            <color indexed="81"/>
            <rFont val="Tahoma"/>
            <family val="2"/>
          </rPr>
          <t xml:space="preserve">
INICIA EL 16-MAYO-2023
EQUIPO $1,800.00+IVA
MENSUALIDAD $350.00+IVA
SE LE COBRO 6 MESES ADELANTADOS COBRAR HASTA NOVIEMBRE 2023</t>
        </r>
      </text>
    </comment>
    <comment ref="E171" authorId="0" shapeId="0" xr:uid="{00000000-0006-0000-0100-0000C1000000}">
      <text>
        <r>
          <rPr>
            <b/>
            <sz val="9"/>
            <color indexed="81"/>
            <rFont val="Tahoma"/>
            <family val="2"/>
          </rPr>
          <t>PC:</t>
        </r>
        <r>
          <rPr>
            <sz val="9"/>
            <color indexed="81"/>
            <rFont val="Tahoma"/>
            <family val="2"/>
          </rPr>
          <t xml:space="preserve">
INGRESA EL 05-NOVIEMBRE-2024
EQUIPO $1,850.00+IVA
MENSUALIDAD $300.00+IVA</t>
        </r>
      </text>
    </comment>
    <comment ref="E172" authorId="0" shapeId="0" xr:uid="{00000000-0006-0000-0100-0000C2000000}">
      <text>
        <r>
          <rPr>
            <b/>
            <sz val="9"/>
            <color indexed="81"/>
            <rFont val="Tahoma"/>
            <family val="2"/>
          </rPr>
          <t>PC:</t>
        </r>
        <r>
          <rPr>
            <sz val="9"/>
            <color indexed="81"/>
            <rFont val="Tahoma"/>
            <family val="2"/>
          </rPr>
          <t xml:space="preserve">
CLIENTE MIGRADO DE PREPAGO 
14 Y 22 DE DICIEMBRE'22 
EQUIPO $1,920.00
MENSUALIDAD $300.00
SIM $100.00</t>
        </r>
      </text>
    </comment>
    <comment ref="T172" authorId="0" shapeId="0" xr:uid="{00000000-0006-0000-0100-0000C3000000}">
      <text>
        <r>
          <rPr>
            <b/>
            <sz val="9"/>
            <color indexed="81"/>
            <rFont val="Tahoma"/>
            <family val="2"/>
          </rPr>
          <t>PC:</t>
        </r>
        <r>
          <rPr>
            <sz val="9"/>
            <color indexed="81"/>
            <rFont val="Tahoma"/>
            <family val="2"/>
          </rPr>
          <t xml:space="preserve">
RE-INSTALACION 28-DICIEMBRE-2022
$500.00</t>
        </r>
      </text>
    </comment>
    <comment ref="E173" authorId="0" shapeId="0" xr:uid="{00000000-0006-0000-0100-0000C4000000}">
      <text>
        <r>
          <rPr>
            <b/>
            <sz val="9"/>
            <color indexed="81"/>
            <rFont val="Tahoma"/>
            <family val="2"/>
          </rPr>
          <t>PC:</t>
        </r>
        <r>
          <rPr>
            <sz val="9"/>
            <color indexed="81"/>
            <rFont val="Tahoma"/>
            <family val="2"/>
          </rPr>
          <t xml:space="preserve">
PRIMA DE JOSE LUIS 
INGRESA EL 09-SEPTIEMBRE-2024
EQUIPO $1,000.00
MENSUALIDAD $250.00</t>
        </r>
      </text>
    </comment>
    <comment ref="E174" authorId="0" shapeId="0" xr:uid="{00000000-0006-0000-0100-0000C5000000}">
      <text>
        <r>
          <rPr>
            <b/>
            <sz val="9"/>
            <color indexed="81"/>
            <rFont val="Tahoma"/>
            <family val="2"/>
          </rPr>
          <t>PC:</t>
        </r>
        <r>
          <rPr>
            <sz val="9"/>
            <color indexed="81"/>
            <rFont val="Tahoma"/>
            <family val="2"/>
          </rPr>
          <t xml:space="preserve">
INICIA EL 18-OCTUBRE-2023
EQUIPO $2,100.00
MENSUALIDAD $300.00</t>
        </r>
      </text>
    </comment>
    <comment ref="E175" authorId="0" shapeId="0" xr:uid="{00000000-0006-0000-0100-0000C6000000}">
      <text>
        <r>
          <rPr>
            <b/>
            <sz val="9"/>
            <color indexed="81"/>
            <rFont val="Tahoma"/>
            <family val="2"/>
          </rPr>
          <t>PC:</t>
        </r>
        <r>
          <rPr>
            <sz val="9"/>
            <color indexed="81"/>
            <rFont val="Tahoma"/>
            <family val="2"/>
          </rPr>
          <t xml:space="preserve">
INGRESA EL 21-SEPTIEMBRE-2024
EQUIPO $2,200.00
MENSUALIDAD $300.00</t>
        </r>
      </text>
    </comment>
    <comment ref="E176" authorId="1" shapeId="0" xr:uid="{00000000-0006-0000-0100-0000C7000000}">
      <text>
        <r>
          <rPr>
            <b/>
            <sz val="9"/>
            <color indexed="81"/>
            <rFont val="Tahoma"/>
            <family val="2"/>
          </rPr>
          <t>Luffi:</t>
        </r>
        <r>
          <rPr>
            <sz val="9"/>
            <color indexed="81"/>
            <rFont val="Tahoma"/>
            <family val="2"/>
          </rPr>
          <t xml:space="preserve">
</t>
        </r>
        <r>
          <rPr>
            <sz val="10"/>
            <color indexed="81"/>
            <rFont val="Tahoma"/>
            <family val="2"/>
          </rPr>
          <t xml:space="preserve">INSTALACIÓN 21-FEB-2021
2da UNIDAD 
AJUSTE SOBRE RENTA A $250.00 
</t>
        </r>
        <r>
          <rPr>
            <b/>
            <sz val="10"/>
            <color indexed="81"/>
            <rFont val="Tahoma"/>
            <family val="2"/>
          </rPr>
          <t>SE COBRA EN ABRIL 
EQUIPO $1,900.00
MENSUALIDAD $250.00</t>
        </r>
      </text>
    </comment>
    <comment ref="E177" authorId="0" shapeId="0" xr:uid="{00000000-0006-0000-0100-0000C8000000}">
      <text>
        <r>
          <rPr>
            <b/>
            <sz val="9"/>
            <color indexed="81"/>
            <rFont val="Tahoma"/>
            <family val="2"/>
          </rPr>
          <t>PC:</t>
        </r>
        <r>
          <rPr>
            <sz val="9"/>
            <color indexed="81"/>
            <rFont val="Tahoma"/>
            <family val="2"/>
          </rPr>
          <t xml:space="preserve">
INGRESA EL 11-JUNIO-2024
PRIMO DE JOSE LUIS 
$250.00</t>
        </r>
      </text>
    </comment>
    <comment ref="E178" authorId="0" shapeId="0" xr:uid="{00000000-0006-0000-0100-0000C9000000}">
      <text>
        <r>
          <rPr>
            <b/>
            <sz val="9"/>
            <color indexed="81"/>
            <rFont val="Tahoma"/>
            <family val="2"/>
          </rPr>
          <t>PC:</t>
        </r>
        <r>
          <rPr>
            <sz val="9"/>
            <color indexed="81"/>
            <rFont val="Tahoma"/>
            <family val="2"/>
          </rPr>
          <t xml:space="preserve">
INGRESA EL 11-JULIO-2024
EQUIPO $1,800.00
MENS. $250.00</t>
        </r>
      </text>
    </comment>
    <comment ref="E179" authorId="0" shapeId="0" xr:uid="{00000000-0006-0000-0100-0000CA000000}">
      <text>
        <r>
          <rPr>
            <b/>
            <sz val="9"/>
            <color indexed="81"/>
            <rFont val="Tahoma"/>
            <family val="2"/>
          </rPr>
          <t>PC:</t>
        </r>
        <r>
          <rPr>
            <sz val="9"/>
            <color indexed="81"/>
            <rFont val="Tahoma"/>
            <family val="2"/>
          </rPr>
          <t xml:space="preserve">
SE INSTALO EL 01-MARZO-2024
EQUIPOS PAR A COBRAR A MARCO ESQUIVEL 
EQUIPO $1,724.00+IVA(EN CASO DE REQUERIR FACTURA)
ANUALIDAD $1,800.00($150.00XMES)+IVA/EN CASO DE REQUERIR FACTURA
</t>
        </r>
      </text>
    </comment>
    <comment ref="E180" authorId="0" shapeId="0" xr:uid="{00000000-0006-0000-0100-0000CB000000}">
      <text>
        <r>
          <rPr>
            <b/>
            <sz val="9"/>
            <color indexed="81"/>
            <rFont val="Tahoma"/>
            <family val="2"/>
          </rPr>
          <t>PC:</t>
        </r>
        <r>
          <rPr>
            <sz val="9"/>
            <color indexed="81"/>
            <rFont val="Tahoma"/>
            <family val="2"/>
          </rPr>
          <t xml:space="preserve">
INICIO 01-NOVIEMBRE-2023
SEPARACION DE CUENTA MONICA BECERRA SOLICITADO EL 10-OCTUBRE-2023 
MENSUALIDAD $250.00</t>
        </r>
      </text>
    </comment>
    <comment ref="E181" authorId="0" shapeId="0" xr:uid="{00000000-0006-0000-0100-0000CC000000}">
      <text>
        <r>
          <rPr>
            <b/>
            <sz val="9"/>
            <color indexed="81"/>
            <rFont val="Tahoma"/>
            <family val="2"/>
          </rPr>
          <t>PC:</t>
        </r>
        <r>
          <rPr>
            <sz val="9"/>
            <color indexed="81"/>
            <rFont val="Tahoma"/>
            <family val="2"/>
          </rPr>
          <t xml:space="preserve">
INGRESA EL 13-SEPTIEMBRE-2024
COMODATO
INSTALACIÓN $549.00+IVA
MENSUALIDAD $300.00+IVA</t>
        </r>
      </text>
    </comment>
    <comment ref="E182" authorId="0" shapeId="0" xr:uid="{00000000-0006-0000-0100-0000CD000000}">
      <text>
        <r>
          <rPr>
            <b/>
            <sz val="9"/>
            <color indexed="81"/>
            <rFont val="Tahoma"/>
            <family val="2"/>
          </rPr>
          <t>PC:</t>
        </r>
        <r>
          <rPr>
            <sz val="9"/>
            <color indexed="81"/>
            <rFont val="Tahoma"/>
            <family val="2"/>
          </rPr>
          <t xml:space="preserve">
REACTIVACIÓN DE EQUIPO 
14-JUNIO-2024
THERMO
REACTIVACIÓN $650.00
MENSUALIDAD $300.00</t>
        </r>
      </text>
    </comment>
    <comment ref="E183" authorId="0" shapeId="0" xr:uid="{00000000-0006-0000-0100-0000CE000000}">
      <text>
        <r>
          <rPr>
            <b/>
            <sz val="9"/>
            <color indexed="81"/>
            <rFont val="Tahoma"/>
            <family val="2"/>
          </rPr>
          <t>PC:</t>
        </r>
        <r>
          <rPr>
            <sz val="9"/>
            <color indexed="81"/>
            <rFont val="Tahoma"/>
            <family val="2"/>
          </rPr>
          <t xml:space="preserve">
INGRESA EL 29-OCTUBRE-2024
EQUIPO $1,850.00
MENSUALIDAD $300.00</t>
        </r>
      </text>
    </comment>
    <comment ref="E184" authorId="0" shapeId="0" xr:uid="{00000000-0006-0000-0100-0000CF000000}">
      <text>
        <r>
          <rPr>
            <b/>
            <sz val="9"/>
            <color indexed="81"/>
            <rFont val="Tahoma"/>
            <family val="2"/>
          </rPr>
          <t>PC:</t>
        </r>
        <r>
          <rPr>
            <sz val="9"/>
            <color indexed="81"/>
            <rFont val="Tahoma"/>
            <family val="2"/>
          </rPr>
          <t xml:space="preserve">
CLIENTE PREPAGO CAMBIA A ESQUEMA MENSUAL EL 03-ENERO-2024
MENSUALIDAD $250.00
EQUIPO $1,800.00
DES-INSTALACION $650.00
RE-INSTALACION $650.00</t>
        </r>
      </text>
    </comment>
    <comment ref="D185" authorId="1" shapeId="0" xr:uid="{00000000-0006-0000-0100-0000D0000000}">
      <text>
        <r>
          <rPr>
            <b/>
            <sz val="9"/>
            <color indexed="81"/>
            <rFont val="Tahoma"/>
            <family val="2"/>
          </rPr>
          <t>Luffi:</t>
        </r>
        <r>
          <rPr>
            <sz val="9"/>
            <color indexed="81"/>
            <rFont val="Tahoma"/>
            <family val="2"/>
          </rPr>
          <t xml:space="preserve">
RODRIGO MORENO  
811 600 1270
</t>
        </r>
        <r>
          <rPr>
            <b/>
            <u/>
            <sz val="9"/>
            <color indexed="81"/>
            <rFont val="Tahoma"/>
            <family val="2"/>
          </rPr>
          <t>rodrigo.moreno.v88@gmail.com</t>
        </r>
      </text>
    </comment>
    <comment ref="E185" authorId="1" shapeId="0" xr:uid="{00000000-0006-0000-0100-0000D1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S185" authorId="1" shapeId="0" xr:uid="{00000000-0006-0000-0100-0000D2000000}">
      <text>
        <r>
          <rPr>
            <b/>
            <sz val="9"/>
            <color indexed="81"/>
            <rFont val="Tahoma"/>
            <family val="2"/>
          </rPr>
          <t>Luffi:</t>
        </r>
        <r>
          <rPr>
            <sz val="9"/>
            <color indexed="81"/>
            <rFont val="Tahoma"/>
            <family val="2"/>
          </rPr>
          <t xml:space="preserve">
</t>
        </r>
        <r>
          <rPr>
            <sz val="10"/>
            <color indexed="81"/>
            <rFont val="Tahoma"/>
            <family val="2"/>
          </rPr>
          <t xml:space="preserve">MENSUALIDAD $1,450 
05-SEP-20
FINANCIAMIENTO EQ $200 
9-SEP-20 ULTIMO PAGO </t>
        </r>
      </text>
    </comment>
    <comment ref="T185" authorId="1" shapeId="0" xr:uid="{00000000-0006-0000-0100-0000D3000000}">
      <text>
        <r>
          <rPr>
            <b/>
            <sz val="9"/>
            <color indexed="81"/>
            <rFont val="Tahoma"/>
            <family val="2"/>
          </rPr>
          <t xml:space="preserve">Luffi:
RE-INSTALACIÓN 02-DIC-22
DES-INSTALACIÓN KIA SORENTO 14-OCTUBRE-22 PAGO EFECTIVO 
</t>
        </r>
        <r>
          <rPr>
            <sz val="9"/>
            <color indexed="81"/>
            <rFont val="Tahoma"/>
            <family val="2"/>
          </rPr>
          <t xml:space="preserve">
</t>
        </r>
        <r>
          <rPr>
            <sz val="10"/>
            <color indexed="81"/>
            <rFont val="Tahoma"/>
            <family val="2"/>
          </rPr>
          <t xml:space="preserve">2 PAGOS DE FINANCIAMIENTOS EQUIPOS QUEDAN LIBERADOS EL 09-SEP-2020 </t>
        </r>
      </text>
    </comment>
    <comment ref="U185" authorId="1" shapeId="0" xr:uid="{00000000-0006-0000-0100-0000D4000000}">
      <text>
        <r>
          <rPr>
            <b/>
            <sz val="9"/>
            <color indexed="81"/>
            <rFont val="Tahoma"/>
            <family val="2"/>
          </rPr>
          <t>Luffi:</t>
        </r>
        <r>
          <rPr>
            <sz val="9"/>
            <color indexed="81"/>
            <rFont val="Tahoma"/>
            <family val="2"/>
          </rPr>
          <t xml:space="preserve">
</t>
        </r>
        <r>
          <rPr>
            <sz val="10"/>
            <color indexed="81"/>
            <rFont val="Tahoma"/>
            <family val="2"/>
          </rPr>
          <t>ABONO 04-AGO-20 $1,450.00 MONICA BERCERRA</t>
        </r>
        <r>
          <rPr>
            <sz val="9"/>
            <color indexed="81"/>
            <rFont val="Tahoma"/>
            <family val="2"/>
          </rPr>
          <t xml:space="preserve">
</t>
        </r>
        <r>
          <rPr>
            <sz val="10"/>
            <color indexed="81"/>
            <rFont val="Tahoma"/>
            <family val="2"/>
          </rPr>
          <t>ABONO 14-AGO-20 $1,450.00 RODRIGO MORENO</t>
        </r>
      </text>
    </comment>
    <comment ref="E186" authorId="0" shapeId="0" xr:uid="{00000000-0006-0000-0100-0000D5000000}">
      <text>
        <r>
          <rPr>
            <b/>
            <sz val="9"/>
            <color indexed="81"/>
            <rFont val="Tahoma"/>
            <family val="2"/>
          </rPr>
          <t>PC:</t>
        </r>
        <r>
          <rPr>
            <sz val="9"/>
            <color indexed="81"/>
            <rFont val="Tahoma"/>
            <family val="2"/>
          </rPr>
          <t xml:space="preserve">
INGRESA EL 04-MAYO-2024
EQUIPO $2,200.00
MENSUALDIAD $300.00</t>
        </r>
      </text>
    </comment>
    <comment ref="E187" authorId="0" shapeId="0" xr:uid="{00000000-0006-0000-0100-0000D6000000}">
      <text>
        <r>
          <rPr>
            <b/>
            <sz val="9"/>
            <color indexed="81"/>
            <rFont val="Tahoma"/>
            <family val="2"/>
          </rPr>
          <t>PC:</t>
        </r>
        <r>
          <rPr>
            <sz val="9"/>
            <color indexed="81"/>
            <rFont val="Tahoma"/>
            <family val="2"/>
          </rPr>
          <t xml:space="preserve">
INGRESA EL 12-NOVIEMBRE-2024
COMODATO
INSTALACION $549.00+IVA
MENSUALIDAD $300.00+IVA</t>
        </r>
      </text>
    </comment>
    <comment ref="E188" authorId="0" shapeId="0" xr:uid="{00000000-0006-0000-0100-0000D7000000}">
      <text>
        <r>
          <rPr>
            <b/>
            <sz val="9"/>
            <color indexed="81"/>
            <rFont val="Tahoma"/>
            <family val="2"/>
          </rPr>
          <t>PC:</t>
        </r>
        <r>
          <rPr>
            <sz val="9"/>
            <color indexed="81"/>
            <rFont val="Tahoma"/>
            <family val="2"/>
          </rPr>
          <t xml:space="preserve">
INICA EL 29-FEBRERO-2024 
EQUIPO $2,250.00
MESNUALIDAD $299.00
</t>
        </r>
      </text>
    </comment>
    <comment ref="E189" authorId="0" shapeId="0" xr:uid="{00000000-0006-0000-0100-0000D8000000}">
      <text>
        <r>
          <rPr>
            <b/>
            <sz val="9"/>
            <color indexed="81"/>
            <rFont val="Tahoma"/>
            <family val="2"/>
          </rPr>
          <t>PC:</t>
        </r>
        <r>
          <rPr>
            <sz val="9"/>
            <color indexed="81"/>
            <rFont val="Tahoma"/>
            <family val="2"/>
          </rPr>
          <t xml:space="preserve">
CLIENTE MIGRADO DE PLAY MOTORS 05-NOVIEMBRE-2024
EQUIPO $1,950.00
MENSUALIDAD $300.00</t>
        </r>
      </text>
    </comment>
    <comment ref="E190" authorId="1" shapeId="0" xr:uid="{00000000-0006-0000-0100-0000D9000000}">
      <text>
        <r>
          <rPr>
            <b/>
            <sz val="9"/>
            <color indexed="81"/>
            <rFont val="Tahoma"/>
            <family val="2"/>
          </rPr>
          <t>Luffi:</t>
        </r>
        <r>
          <rPr>
            <sz val="9"/>
            <color indexed="81"/>
            <rFont val="Tahoma"/>
            <family val="2"/>
          </rPr>
          <t xml:space="preserve">
</t>
        </r>
        <r>
          <rPr>
            <sz val="10"/>
            <color indexed="81"/>
            <rFont val="Tahoma"/>
            <family val="2"/>
          </rPr>
          <t xml:space="preserve">MEN. $350.00 CANAL DE VOZ
PEPE: $250.00
OLID: $100.00
</t>
        </r>
      </text>
    </comment>
    <comment ref="E191" authorId="0" shapeId="0" xr:uid="{00000000-0006-0000-0100-0000DA000000}">
      <text>
        <r>
          <rPr>
            <b/>
            <sz val="9"/>
            <color indexed="81"/>
            <rFont val="Tahoma"/>
            <family val="2"/>
          </rPr>
          <t>PC:</t>
        </r>
        <r>
          <rPr>
            <sz val="9"/>
            <color indexed="81"/>
            <rFont val="Tahoma"/>
            <family val="2"/>
          </rPr>
          <t xml:space="preserve">
INGRESA EL 05-JULIO-2023
EQUIPO $2,200.00
MENSUALIDAD $249.00</t>
        </r>
      </text>
    </comment>
    <comment ref="E192" authorId="0" shapeId="0" xr:uid="{00000000-0006-0000-0100-0000DB000000}">
      <text>
        <r>
          <rPr>
            <b/>
            <sz val="9"/>
            <color indexed="81"/>
            <rFont val="Tahoma"/>
            <family val="2"/>
          </rPr>
          <t>PC:</t>
        </r>
        <r>
          <rPr>
            <sz val="9"/>
            <color indexed="81"/>
            <rFont val="Tahoma"/>
            <family val="2"/>
          </rPr>
          <t xml:space="preserve">
INGRESA EL 24-OCTUBRE-2024
EQUIPO $1,850.00
MENSUALIDAD CON MICROFONO $300.00</t>
        </r>
      </text>
    </comment>
    <comment ref="E193" authorId="0" shapeId="0" xr:uid="{00000000-0006-0000-0100-0000DC000000}">
      <text>
        <r>
          <rPr>
            <b/>
            <sz val="9"/>
            <color indexed="81"/>
            <rFont val="Tahoma"/>
            <family val="2"/>
          </rPr>
          <t>PC:</t>
        </r>
        <r>
          <rPr>
            <sz val="9"/>
            <color indexed="81"/>
            <rFont val="Tahoma"/>
            <family val="2"/>
          </rPr>
          <t xml:space="preserve">
INGRESA EL 25-JUNIO-2024
SE LE INSTALA EL 26-JUNIO-2024
COMODATO
INSTALACION $499.00+IVA
MENSUALIDAD $300.00+IVA</t>
        </r>
      </text>
    </comment>
    <comment ref="E194" authorId="0" shapeId="0" xr:uid="{00000000-0006-0000-0100-0000DD000000}">
      <text>
        <r>
          <rPr>
            <b/>
            <sz val="9"/>
            <color indexed="81"/>
            <rFont val="Tahoma"/>
            <family val="2"/>
          </rPr>
          <t xml:space="preserve">PI
</t>
        </r>
        <r>
          <rPr>
            <sz val="9"/>
            <color indexed="81"/>
            <rFont val="Tahoma"/>
            <family val="2"/>
          </rPr>
          <t>INGRESA EL 21-MARZO-2024 
EQUIPO $2,250.00
MENSUALIDAD $250.00</t>
        </r>
      </text>
    </comment>
    <comment ref="E195" authorId="0" shapeId="0" xr:uid="{00000000-0006-0000-0100-0000DE000000}">
      <text>
        <r>
          <rPr>
            <b/>
            <sz val="9"/>
            <color indexed="81"/>
            <rFont val="Tahoma"/>
            <family val="2"/>
          </rPr>
          <t>PC:</t>
        </r>
        <r>
          <rPr>
            <sz val="9"/>
            <color indexed="81"/>
            <rFont val="Tahoma"/>
            <family val="2"/>
          </rPr>
          <t xml:space="preserve">
INGRESA EL 24-ABRIL-2024
EQUIPO $1,800.00
MENSUALIDAD $250.00</t>
        </r>
      </text>
    </comment>
    <comment ref="E196" authorId="0" shapeId="0" xr:uid="{00000000-0006-0000-0100-0000DF000000}">
      <text>
        <r>
          <rPr>
            <b/>
            <sz val="9"/>
            <color indexed="81"/>
            <rFont val="Tahoma"/>
            <family val="2"/>
          </rPr>
          <t>PC:</t>
        </r>
        <r>
          <rPr>
            <sz val="9"/>
            <color indexed="81"/>
            <rFont val="Tahoma"/>
            <family val="2"/>
          </rPr>
          <t xml:space="preserve">
INGRESA EL 09-SEPTIEMBRE-2024 
EQUIPO $2,200.00
MENSUALIDAD $280.00</t>
        </r>
      </text>
    </comment>
    <comment ref="E197" authorId="0" shapeId="0" xr:uid="{00000000-0006-0000-0100-0000E0000000}">
      <text>
        <r>
          <rPr>
            <b/>
            <sz val="9"/>
            <color indexed="81"/>
            <rFont val="Tahoma"/>
            <family val="2"/>
          </rPr>
          <t>PC:</t>
        </r>
        <r>
          <rPr>
            <sz val="9"/>
            <color indexed="81"/>
            <rFont val="Tahoma"/>
            <family val="2"/>
          </rPr>
          <t xml:space="preserve">
INICIA EL 01-AGOSTO-2023
EQUIPO $2,200.00
MENSUALIDAD $300.00</t>
        </r>
      </text>
    </comment>
    <comment ref="E198" authorId="1" shapeId="0" xr:uid="{00000000-0006-0000-0100-0000E1000000}">
      <text>
        <r>
          <rPr>
            <b/>
            <sz val="9"/>
            <color indexed="81"/>
            <rFont val="Tahoma"/>
            <family val="2"/>
          </rPr>
          <t>Luffi:</t>
        </r>
        <r>
          <rPr>
            <sz val="9"/>
            <color indexed="81"/>
            <rFont val="Tahoma"/>
            <family val="2"/>
          </rPr>
          <t xml:space="preserve">
NUEVO COBRO DE MENSUALIDAD A PARTIR DE MARZO 2023 $120.00
MENSUALIDAD $80.00
PLATAFORMA TRACKERHOME 
RE-CONFIGURACIONES$350.00
ENERO´2020 
1 DES Y RE - INSTALACIÓN $700.00
SEBRING-FOCUS
</t>
        </r>
        <r>
          <rPr>
            <sz val="10"/>
            <color indexed="81"/>
            <rFont val="Tahoma"/>
            <family val="2"/>
          </rPr>
          <t>BAJA 9 UNIDADES 28-JULIO-2020 (47)</t>
        </r>
      </text>
    </comment>
    <comment ref="S198" authorId="1" shapeId="0" xr:uid="{00000000-0006-0000-0100-0000E2000000}">
      <text>
        <r>
          <rPr>
            <b/>
            <sz val="9"/>
            <color indexed="81"/>
            <rFont val="Tahoma"/>
            <family val="2"/>
          </rPr>
          <t xml:space="preserve">Luffi:
</t>
        </r>
        <r>
          <rPr>
            <sz val="10"/>
            <color indexed="81"/>
            <rFont val="Tahoma"/>
            <family val="2"/>
          </rPr>
          <t>ABONO 18-ENE-2021 $1,900
ABONO 14-ENE-2021 $6,500
ABONO 04-ENE-2021 $7,000</t>
        </r>
        <r>
          <rPr>
            <sz val="9"/>
            <color indexed="81"/>
            <rFont val="Tahoma"/>
            <family val="2"/>
          </rPr>
          <t xml:space="preserve">
</t>
        </r>
        <r>
          <rPr>
            <sz val="10"/>
            <color indexed="81"/>
            <rFont val="Tahoma"/>
            <family val="2"/>
          </rPr>
          <t>ABONO 18-DIC-2020 $5,000
ABONO 05-DIC-2020 $10,000
ABONO 21-NOV-2020 $5,000
ABONO 05-NOV-2020 $5,000
ABONO 02-NOV-2020 $1,500
ABONO 15-OCT-2020 $1,200
(MANDA 1,900 SOLO SE TOMAN 1,200 DE ABONO SE COBRAN 2 SERVICIOS 350 POR DES-INSTALACION Y RE-INSTALACION) 
ABONO 08-OCT-2020 $4,000</t>
        </r>
        <r>
          <rPr>
            <sz val="9"/>
            <color indexed="81"/>
            <rFont val="Tahoma"/>
            <family val="2"/>
          </rPr>
          <t xml:space="preserve">
</t>
        </r>
        <r>
          <rPr>
            <sz val="10"/>
            <color indexed="81"/>
            <rFont val="Tahoma"/>
            <family val="2"/>
          </rPr>
          <t>ABONO 21-SEP-2020 $5,700
ABONO 14-SEP-2020 $1,500
ABONO 10-SEP-2020 $3,200
ABONO 03-SEP-2020 $7,000
ABONO 20-JUL-2020 $7,000</t>
        </r>
      </text>
    </comment>
    <comment ref="T198" authorId="1" shapeId="0" xr:uid="{00000000-0006-0000-0100-0000E3000000}">
      <text>
        <r>
          <rPr>
            <b/>
            <sz val="9"/>
            <color indexed="81"/>
            <rFont val="Tahoma"/>
            <family val="2"/>
          </rPr>
          <t xml:space="preserve">Luffi:
TOTAL $2,100.00 MAYO´2021
</t>
        </r>
        <r>
          <rPr>
            <sz val="9"/>
            <color indexed="81"/>
            <rFont val="Tahoma"/>
            <family val="2"/>
          </rPr>
          <t xml:space="preserve">23-ABR-2021 DES-INSTALACION VW PASSAT BCO $350
28-ABR-2021 RE-INSTALACION CHEVROLET EQUINOX NEGRO $350
07-MAY-2021 DES-INSTALACION CHEVROLET MAILBU BCO $350
07-MAY-2021 RE-INSTALACION NISSAN SENTRA BCO $350
17-MAY-2021 DES-INSTALACION HYUNDAI ATTIUD BLANCO $350
17-MAY-2021 RE-INSTALACION CHEVROLET AVEO BCO $350
</t>
        </r>
        <r>
          <rPr>
            <b/>
            <sz val="9"/>
            <color indexed="81"/>
            <rFont val="Tahoma"/>
            <family val="2"/>
          </rPr>
          <t xml:space="preserve">
COBRANZA AGOSTO2022 1ER QUINCENA
10 INSTALACIONES 
6 RE-INSTALACIONES 
6-DES-INSTALACIONES </t>
        </r>
      </text>
    </comment>
    <comment ref="U198" authorId="1" shapeId="0" xr:uid="{00000000-0006-0000-0100-0000E4000000}">
      <text>
        <r>
          <rPr>
            <b/>
            <sz val="9"/>
            <color indexed="81"/>
            <rFont val="Tahoma"/>
            <family val="2"/>
          </rPr>
          <t>Luffi:</t>
        </r>
        <r>
          <rPr>
            <sz val="9"/>
            <color indexed="81"/>
            <rFont val="Tahoma"/>
            <family val="2"/>
          </rPr>
          <t xml:space="preserve">
MIGRACION DE 67 UNIDADES 
23-JULIO-2021
</t>
        </r>
      </text>
    </comment>
    <comment ref="E199" authorId="1" shapeId="0" xr:uid="{00000000-0006-0000-0100-0000E5000000}">
      <text>
        <r>
          <rPr>
            <b/>
            <sz val="9"/>
            <color indexed="81"/>
            <rFont val="Tahoma"/>
            <family val="2"/>
          </rPr>
          <t>Luffi:</t>
        </r>
        <r>
          <rPr>
            <sz val="9"/>
            <color indexed="81"/>
            <rFont val="Tahoma"/>
            <family val="2"/>
          </rPr>
          <t xml:space="preserve">
NUEVO COBRO DE MENSUALIDAD A PARTIR DE MARZO 2023 $120.00 INSTALACIONES $1,900.00
RE-INSTALACIONES $500.00
DES-INSTALACIONES $500.00
RENTA X UNIDAD $80.00
TRACKERHOME
18 UNIDADES INSTALADAS EN AGOSTO 
</t>
        </r>
        <r>
          <rPr>
            <b/>
            <sz val="9"/>
            <color indexed="81"/>
            <rFont val="Tahoma"/>
            <family val="2"/>
          </rPr>
          <t xml:space="preserve">TOTAL 88 UNDADES </t>
        </r>
      </text>
    </comment>
    <comment ref="S199" authorId="1" shapeId="0" xr:uid="{00000000-0006-0000-0100-0000E6000000}">
      <text>
        <r>
          <rPr>
            <b/>
            <sz val="9"/>
            <color indexed="81"/>
            <rFont val="Tahoma"/>
            <family val="2"/>
          </rPr>
          <t xml:space="preserve">Luffi:
</t>
        </r>
        <r>
          <rPr>
            <sz val="10"/>
            <color indexed="81"/>
            <rFont val="Tahoma"/>
            <family val="2"/>
          </rPr>
          <t>ABONO 22-OCT-2020 $10,000.00
ABONO 22-SEP-2020  $10,800.00</t>
        </r>
        <r>
          <rPr>
            <b/>
            <sz val="9"/>
            <color indexed="81"/>
            <rFont val="Tahoma"/>
            <family val="2"/>
          </rPr>
          <t xml:space="preserve">
</t>
        </r>
        <r>
          <rPr>
            <sz val="10"/>
            <color indexed="81"/>
            <rFont val="Tahoma"/>
            <family val="2"/>
          </rPr>
          <t>ABONO 12-SEP-2020    $5,700.00</t>
        </r>
        <r>
          <rPr>
            <sz val="9"/>
            <color indexed="81"/>
            <rFont val="Tahoma"/>
            <family val="2"/>
          </rPr>
          <t xml:space="preserve">
</t>
        </r>
        <r>
          <rPr>
            <sz val="10"/>
            <color indexed="81"/>
            <rFont val="Tahoma"/>
            <family val="2"/>
          </rPr>
          <t>ABONO 20-JULIO-2020 $13,000.00
ABONO 23-JULIO-2020 $7,000.00
ABONO 21-NOV-2020 $14,600.00</t>
        </r>
      </text>
    </comment>
    <comment ref="T199" authorId="1" shapeId="0" xr:uid="{00000000-0006-0000-0100-0000E7000000}">
      <text>
        <r>
          <rPr>
            <b/>
            <sz val="9"/>
            <color indexed="81"/>
            <rFont val="Tahoma"/>
            <family val="2"/>
          </rPr>
          <t>Luffi:
COBRANZA
NOVIEMBRE</t>
        </r>
        <r>
          <rPr>
            <sz val="9"/>
            <color indexed="81"/>
            <rFont val="Tahoma"/>
            <family val="2"/>
          </rPr>
          <t xml:space="preserve">
130 UNIDADES 
4 INSTALACIONES 
2 DES-INSTALACIONES
1 RE-INSTALACION 
</t>
        </r>
        <r>
          <rPr>
            <b/>
            <sz val="9"/>
            <color indexed="81"/>
            <rFont val="Tahoma"/>
            <family val="2"/>
          </rPr>
          <t xml:space="preserve">
</t>
        </r>
        <r>
          <rPr>
            <sz val="9"/>
            <color indexed="81"/>
            <rFont val="Tahoma"/>
            <family val="2"/>
          </rPr>
          <t xml:space="preserve">15-AGOSTO-22
1- INSTALACION CHEVROLET SONICA AZUL 
2-DES-INSTALACIONES
3-RE-INSTALACIONES 
</t>
        </r>
      </text>
    </comment>
    <comment ref="E200" authorId="0" shapeId="0" xr:uid="{00000000-0006-0000-0100-0000E8000000}">
      <text>
        <r>
          <rPr>
            <b/>
            <sz val="9"/>
            <color indexed="81"/>
            <rFont val="Tahoma"/>
            <family val="2"/>
          </rPr>
          <t>PC:</t>
        </r>
        <r>
          <rPr>
            <sz val="9"/>
            <color indexed="81"/>
            <rFont val="Tahoma"/>
            <family val="2"/>
          </rPr>
          <t xml:space="preserve">
INGRESA EL 17-FEBRERO-2025 
EQUIPO $2,200.00
MENSUALIDAD $300.00</t>
        </r>
      </text>
    </comment>
    <comment ref="E201" authorId="1" shapeId="0" xr:uid="{00000000-0006-0000-0100-0000E9000000}">
      <text>
        <r>
          <rPr>
            <b/>
            <sz val="9"/>
            <color indexed="81"/>
            <rFont val="Tahoma"/>
            <family val="2"/>
          </rPr>
          <t>Luffi:</t>
        </r>
        <r>
          <rPr>
            <sz val="9"/>
            <color indexed="81"/>
            <rFont val="Tahoma"/>
            <family val="2"/>
          </rPr>
          <t xml:space="preserve">
EQUIPO+MESUALIDAD $2,000.00 YA VA INCLUIDA LA MENSUALIDAD 
</t>
        </r>
        <r>
          <rPr>
            <sz val="10"/>
            <color indexed="81"/>
            <rFont val="Tahoma"/>
            <family val="2"/>
          </rPr>
          <t xml:space="preserve">MENSUALIDAD $100.00
PLATAFORMA WOX RASTREO
INICIA 3 INSTALACIONES SEP´2020 </t>
        </r>
      </text>
    </comment>
    <comment ref="T201" authorId="1" shapeId="0" xr:uid="{00000000-0006-0000-0100-0000EA000000}">
      <text>
        <r>
          <rPr>
            <b/>
            <sz val="9"/>
            <color indexed="81"/>
            <rFont val="Tahoma"/>
            <family val="2"/>
          </rPr>
          <t xml:space="preserve">Luffi:
ENERO'23 
</t>
        </r>
        <r>
          <rPr>
            <sz val="9"/>
            <color indexed="81"/>
            <rFont val="Tahoma"/>
            <family val="2"/>
          </rPr>
          <t xml:space="preserve">CAMBIO DE SIM 27-DICIEMBRE-22 JEEP PATRIOT ROJO 
</t>
        </r>
        <r>
          <rPr>
            <b/>
            <sz val="9"/>
            <color indexed="81"/>
            <rFont val="Tahoma"/>
            <family val="2"/>
          </rPr>
          <t xml:space="preserve">
AGOSTO 2022
I</t>
        </r>
        <r>
          <rPr>
            <sz val="9"/>
            <color indexed="81"/>
            <rFont val="Tahoma"/>
            <family val="2"/>
          </rPr>
          <t xml:space="preserve">NSTALACIÓN 02-AGOSTO-2022 PONTIAC GT GRIS </t>
        </r>
      </text>
    </comment>
    <comment ref="E202" authorId="1" shapeId="0" xr:uid="{00000000-0006-0000-0100-0000EB000000}">
      <text>
        <r>
          <rPr>
            <b/>
            <sz val="9"/>
            <color indexed="81"/>
            <rFont val="Tahoma"/>
            <family val="2"/>
          </rPr>
          <t>Luffi:</t>
        </r>
        <r>
          <rPr>
            <sz val="9"/>
            <color indexed="81"/>
            <rFont val="Tahoma"/>
            <family val="2"/>
          </rPr>
          <t xml:space="preserve">
EQUIPOS $1,600
MENSUALIDAD $250
INSTALACION 5-AGOSTO-2021
</t>
        </r>
        <r>
          <rPr>
            <b/>
            <sz val="9"/>
            <color indexed="81"/>
            <rFont val="Tahoma"/>
            <family val="2"/>
          </rPr>
          <t>*COBRANZA SEP-2021</t>
        </r>
      </text>
    </comment>
    <comment ref="E203" authorId="2" shapeId="0" xr:uid="{00000000-0006-0000-0100-0000EC000000}">
      <text>
        <r>
          <rPr>
            <b/>
            <sz val="9"/>
            <color indexed="81"/>
            <rFont val="Tahoma"/>
            <family val="2"/>
          </rPr>
          <t>Usuario de Windows:</t>
        </r>
        <r>
          <rPr>
            <sz val="9"/>
            <color indexed="81"/>
            <rFont val="Tahoma"/>
            <family val="2"/>
          </rPr>
          <t xml:space="preserve">
MENSUALIDAD $250.00
MIGRACIONES $250.00
EQUIPOS $1,800.00
SENSOR DE COFRE $1,250.00
</t>
        </r>
        <r>
          <rPr>
            <b/>
            <sz val="9"/>
            <color indexed="81"/>
            <rFont val="Tahoma"/>
            <family val="2"/>
          </rPr>
          <t>INICIO DE MIGRACIONES 28-FEB-2022
1 COMPRA E INSTALACION DE EQUIPO 25-JUN-2022 
*(</t>
        </r>
        <r>
          <rPr>
            <sz val="9"/>
            <color indexed="81"/>
            <rFont val="Tahoma"/>
            <family val="2"/>
          </rPr>
          <t>INCREMENTO DE UNIDAD EN MENSUALIDAD  DE JULIO´22</t>
        </r>
        <r>
          <rPr>
            <b/>
            <sz val="9"/>
            <color indexed="81"/>
            <rFont val="Tahoma"/>
            <family val="2"/>
          </rPr>
          <t>)
CAMBIA A REMISIONES EN ABRIL'23 YA NO SE LE FACTURA</t>
        </r>
      </text>
    </comment>
    <comment ref="E204" authorId="1" shapeId="0" xr:uid="{00000000-0006-0000-0100-0000ED000000}">
      <text>
        <r>
          <rPr>
            <b/>
            <sz val="9"/>
            <color indexed="81"/>
            <rFont val="Tahoma"/>
            <family val="2"/>
          </rPr>
          <t>Luffi:</t>
        </r>
        <r>
          <rPr>
            <sz val="9"/>
            <color indexed="81"/>
            <rFont val="Tahoma"/>
            <family val="2"/>
          </rPr>
          <t xml:space="preserve">
INSTALACION -  30-ABRIL-2021
MENSUALIDAD $250</t>
        </r>
      </text>
    </comment>
    <comment ref="E205" authorId="0" shapeId="0" xr:uid="{00000000-0006-0000-0100-0000EE000000}">
      <text>
        <r>
          <rPr>
            <b/>
            <sz val="9"/>
            <color indexed="81"/>
            <rFont val="Tahoma"/>
            <family val="2"/>
          </rPr>
          <t>PC:</t>
        </r>
        <r>
          <rPr>
            <sz val="9"/>
            <color indexed="81"/>
            <rFont val="Tahoma"/>
            <family val="2"/>
          </rPr>
          <t xml:space="preserve">
ALTA DE CLIENTE 23-ENERO-2025
INGRESO A COBRANZA 17-FEBRERO-2025
EQUIPO $2,800.00
MENSUALIDAD CON ROAMING $350.00 (3)
LICENCIA DE LIBRO ELECTRONICO $650.00 (1)</t>
        </r>
      </text>
    </comment>
    <comment ref="E206" authorId="0" shapeId="0" xr:uid="{00000000-0006-0000-0100-0000EF000000}">
      <text>
        <r>
          <rPr>
            <b/>
            <sz val="9"/>
            <color indexed="81"/>
            <rFont val="Tahoma"/>
            <family val="2"/>
          </rPr>
          <t>PC:</t>
        </r>
        <r>
          <rPr>
            <sz val="9"/>
            <color indexed="81"/>
            <rFont val="Tahoma"/>
            <family val="2"/>
          </rPr>
          <t xml:space="preserve">
INGRESA EL 18-FEBRERO-2025
EQUIPO $2,200.00
MENSUALIDAD $299.00</t>
        </r>
      </text>
    </comment>
    <comment ref="E207" authorId="0" shapeId="0" xr:uid="{00000000-0006-0000-0100-0000F0000000}">
      <text>
        <r>
          <rPr>
            <b/>
            <sz val="9"/>
            <color indexed="81"/>
            <rFont val="Tahoma"/>
            <family val="2"/>
          </rPr>
          <t>PC:</t>
        </r>
        <r>
          <rPr>
            <sz val="9"/>
            <color indexed="81"/>
            <rFont val="Tahoma"/>
            <family val="2"/>
          </rPr>
          <t xml:space="preserve">
INGRESA EL 26-FEBRERO-2025
EQUIPO $1,800.00
MENSUALIDAD $300.00</t>
        </r>
      </text>
    </comment>
    <comment ref="D208" authorId="2" shapeId="0" xr:uid="{00000000-0006-0000-0100-0000F1000000}">
      <text>
        <r>
          <rPr>
            <b/>
            <sz val="9"/>
            <color indexed="81"/>
            <rFont val="Tahoma"/>
            <family val="2"/>
          </rPr>
          <t>Usuario de Windows:</t>
        </r>
        <r>
          <rPr>
            <sz val="9"/>
            <color indexed="81"/>
            <rFont val="Tahoma"/>
            <family val="2"/>
          </rPr>
          <t xml:space="preserve">
1er Contacto 
</t>
        </r>
        <r>
          <rPr>
            <b/>
            <sz val="9"/>
            <color indexed="81"/>
            <rFont val="Tahoma"/>
            <family val="2"/>
          </rPr>
          <t xml:space="preserve">Arturo Asael - 8119386704 
Ya no labora ahí </t>
        </r>
      </text>
    </comment>
    <comment ref="E208" authorId="1" shapeId="0" xr:uid="{00000000-0006-0000-0100-0000F2000000}">
      <text>
        <r>
          <rPr>
            <b/>
            <sz val="9"/>
            <color indexed="81"/>
            <rFont val="Tahoma"/>
            <family val="2"/>
          </rPr>
          <t>Luffi:</t>
        </r>
        <r>
          <rPr>
            <sz val="9"/>
            <color indexed="81"/>
            <rFont val="Tahoma"/>
            <family val="2"/>
          </rPr>
          <t xml:space="preserve">
MIGRACION DE EQUIPOS, INSTALACION DE SIM
CAMBIA A ESQUEMA DE COMODATO EL 09-ABRIL-2024
INSTALACION $650.00
RENTA $280.00
MIGRACION $450.00
EQUIPO $1,700.00
MENSUALIDAD $250.00
DES-INSTALACION $400.00
</t>
        </r>
        <r>
          <rPr>
            <b/>
            <sz val="9"/>
            <color indexed="81"/>
            <rFont val="Tahoma"/>
            <family val="2"/>
          </rPr>
          <t xml:space="preserve">
INSTALACIONES COMODATO MOVEO</t>
        </r>
        <r>
          <rPr>
            <sz val="9"/>
            <color indexed="81"/>
            <rFont val="Tahoma"/>
            <family val="2"/>
          </rPr>
          <t xml:space="preserve">
09-ABRIL-2024
CHEVROLET EXPRESS BLANCO RZM-407-B INSTALADOR: ELIUD
17-ABRIL-2024
TOYOTA HIACE BLANCO RYU-899-A 
INSTALADOR: OSCAR
</t>
        </r>
        <r>
          <rPr>
            <b/>
            <sz val="9"/>
            <color indexed="81"/>
            <rFont val="Tahoma"/>
            <family val="2"/>
          </rPr>
          <t>*INSTALACION 29-DIC-2021*
SE LE COBRA A FINALES DE ENERO´2022</t>
        </r>
      </text>
    </comment>
    <comment ref="T208" authorId="0" shapeId="0" xr:uid="{00000000-0006-0000-0100-0000F3000000}">
      <text>
        <r>
          <rPr>
            <b/>
            <sz val="9"/>
            <color indexed="81"/>
            <rFont val="Tahoma"/>
            <family val="2"/>
          </rPr>
          <t>PC:</t>
        </r>
        <r>
          <rPr>
            <sz val="9"/>
            <color indexed="81"/>
            <rFont val="Tahoma"/>
            <family val="2"/>
          </rPr>
          <t xml:space="preserve">
INSTALACION DE EQUIPO 05-ENERO-23 $1,800.00 +MENS $250.00= $2,050.00
INSTALACION 31-OCT-22</t>
        </r>
      </text>
    </comment>
    <comment ref="E209" authorId="2" shapeId="0" xr:uid="{00000000-0006-0000-0100-0000F4000000}">
      <text>
        <r>
          <rPr>
            <b/>
            <sz val="9"/>
            <color indexed="81"/>
            <rFont val="Tahoma"/>
            <family val="2"/>
          </rPr>
          <t>Usuario de Windows:</t>
        </r>
        <r>
          <rPr>
            <sz val="9"/>
            <color indexed="81"/>
            <rFont val="Tahoma"/>
            <family val="2"/>
          </rPr>
          <t xml:space="preserve">
EQUIPO $1,850
MENSUALIDAD $250
</t>
        </r>
        <r>
          <rPr>
            <b/>
            <sz val="9"/>
            <color indexed="81"/>
            <rFont val="Tahoma"/>
            <family val="2"/>
          </rPr>
          <t>*INSTALACION 28-FEB-2022
PAGO REALIZADO EN EFECTIVO CUBRE FEB Y MAR´2022
*COBRAR MENSUALIDAD ABRIL</t>
        </r>
      </text>
    </comment>
    <comment ref="E210" authorId="1" shapeId="0" xr:uid="{00000000-0006-0000-0100-0000F5000000}">
      <text>
        <r>
          <rPr>
            <b/>
            <sz val="9"/>
            <color indexed="81"/>
            <rFont val="Tahoma"/>
            <family val="2"/>
          </rPr>
          <t>Luffi:
EQUIPOS COMODATO</t>
        </r>
        <r>
          <rPr>
            <sz val="9"/>
            <color indexed="81"/>
            <rFont val="Tahoma"/>
            <family val="2"/>
          </rPr>
          <t xml:space="preserve">
INSTALACION $650
MENSUALIDAD $300
*INICIA SERVICIO 11-SEP-2021*
</t>
        </r>
        <r>
          <rPr>
            <b/>
            <sz val="9"/>
            <color indexed="81"/>
            <rFont val="Tahoma"/>
            <family val="2"/>
          </rPr>
          <t>*PAGO X INSTALACIONES $7,150 SEP´2021
MENSUALIDAD 11 UNIDADES $3,300.00</t>
        </r>
      </text>
    </comment>
    <comment ref="T210" authorId="0" shapeId="0" xr:uid="{00000000-0006-0000-0100-0000F6000000}">
      <text>
        <r>
          <rPr>
            <b/>
            <sz val="9"/>
            <color indexed="81"/>
            <rFont val="Tahoma"/>
            <family val="2"/>
          </rPr>
          <t>PC:</t>
        </r>
        <r>
          <rPr>
            <sz val="9"/>
            <color indexed="81"/>
            <rFont val="Tahoma"/>
            <family val="2"/>
          </rPr>
          <t xml:space="preserve">
INSTALACION 02-AGOSTO-22NISSAN NP300 </t>
        </r>
      </text>
    </comment>
    <comment ref="E212" authorId="1" shapeId="0" xr:uid="{00000000-0006-0000-0100-0000F7000000}">
      <text>
        <r>
          <rPr>
            <b/>
            <sz val="9"/>
            <color indexed="81"/>
            <rFont val="Tahoma"/>
            <family val="2"/>
          </rPr>
          <t>Luffi:</t>
        </r>
        <r>
          <rPr>
            <sz val="9"/>
            <color indexed="81"/>
            <rFont val="Tahoma"/>
            <family val="2"/>
          </rPr>
          <t xml:space="preserve">
</t>
        </r>
        <r>
          <rPr>
            <sz val="10"/>
            <color indexed="81"/>
            <rFont val="Tahoma"/>
            <family val="2"/>
          </rPr>
          <t xml:space="preserve">MENSUALIDAD $100.00
PLATAFORMA WOX RASTREO
SERVICIOS RODRIGO $500.00
</t>
        </r>
        <r>
          <rPr>
            <b/>
            <sz val="10"/>
            <color indexed="81"/>
            <rFont val="Tahoma"/>
            <family val="2"/>
          </rPr>
          <t xml:space="preserve">INICIA 1 INSTALACION SEP´2020 
</t>
        </r>
      </text>
    </comment>
    <comment ref="T212" authorId="1" shapeId="0" xr:uid="{00000000-0006-0000-0100-0000F8000000}">
      <text>
        <r>
          <rPr>
            <b/>
            <sz val="9"/>
            <color indexed="81"/>
            <rFont val="Tahoma"/>
            <family val="2"/>
          </rPr>
          <t>Luffi:</t>
        </r>
        <r>
          <rPr>
            <sz val="9"/>
            <color indexed="81"/>
            <rFont val="Tahoma"/>
            <family val="2"/>
          </rPr>
          <t xml:space="preserve">
SALDO A FAVOR POR $3,800
TRASPASO DE UNIDAD A CUENTA DE </t>
        </r>
        <r>
          <rPr>
            <b/>
            <sz val="9"/>
            <color indexed="81"/>
            <rFont val="Tahoma"/>
            <family val="2"/>
          </rPr>
          <t xml:space="preserve">APFEL </t>
        </r>
        <r>
          <rPr>
            <sz val="9"/>
            <color indexed="81"/>
            <rFont val="Tahoma"/>
            <family val="2"/>
          </rPr>
          <t xml:space="preserve">
</t>
        </r>
        <r>
          <rPr>
            <sz val="10"/>
            <color indexed="81"/>
            <rFont val="Tahoma"/>
            <family val="2"/>
          </rPr>
          <t xml:space="preserve">PROPORCIONALES DE MENSUALIDAD SEP´2020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PC</author>
    <author>Luffi</author>
    <author>Usuario de Windows</author>
    <author>UBITEC</author>
  </authors>
  <commentList>
    <comment ref="E18" authorId="0" shapeId="0" xr:uid="{00000000-0006-0000-0200-000001000000}">
      <text>
        <r>
          <rPr>
            <b/>
            <sz val="9"/>
            <color indexed="81"/>
            <rFont val="Tahoma"/>
            <family val="2"/>
          </rPr>
          <t>PC:</t>
        </r>
        <r>
          <rPr>
            <sz val="9"/>
            <color indexed="81"/>
            <rFont val="Tahoma"/>
            <family val="2"/>
          </rPr>
          <t xml:space="preserve">
INGRESA EL 01-FEBRERO-2024
EQUIPO $1,200.00+IVA
MENSUALIDAD $250.00+IVA</t>
        </r>
      </text>
    </comment>
    <comment ref="E19" authorId="1" shapeId="0" xr:uid="{00000000-0006-0000-0200-000002000000}">
      <text>
        <r>
          <rPr>
            <b/>
            <sz val="9"/>
            <color indexed="81"/>
            <rFont val="Tahoma"/>
            <family val="2"/>
          </rPr>
          <t>Luffi:</t>
        </r>
        <r>
          <rPr>
            <sz val="9"/>
            <color indexed="81"/>
            <rFont val="Tahoma"/>
            <family val="2"/>
          </rPr>
          <t xml:space="preserve">
</t>
        </r>
        <r>
          <rPr>
            <sz val="10"/>
            <color indexed="81"/>
            <rFont val="Tahoma"/>
            <family val="2"/>
          </rPr>
          <t xml:space="preserve">EQUIPO $1,800.00
MENDUALIDAD $300.00
REVISIONES $500.00
RE-INSTALACION $500.00
CAMBIA A ESQUEMA DE FACTURACION EL DIA 06-AGOSTO-2024
1er INSTALACION 23-FEB-2021 
5 EQUIPOS 
2da INSTALACION 02-MAR-2021
5 EQUIPO 
</t>
        </r>
        <r>
          <rPr>
            <b/>
            <sz val="10"/>
            <color indexed="81"/>
            <rFont val="Tahoma"/>
            <family val="2"/>
          </rPr>
          <t xml:space="preserve">COBRANZA HASTA ABRIL´2021
</t>
        </r>
        <r>
          <rPr>
            <b/>
            <sz val="10"/>
            <color indexed="10"/>
            <rFont val="Tahoma"/>
            <family val="2"/>
          </rPr>
          <t>*PENDIENTE POR INSTALAR 1 EQUIPO</t>
        </r>
        <r>
          <rPr>
            <sz val="10"/>
            <color indexed="81"/>
            <rFont val="Tahoma"/>
            <family val="2"/>
          </rPr>
          <t xml:space="preserve"> </t>
        </r>
      </text>
    </comment>
    <comment ref="T19" authorId="1" shapeId="0" xr:uid="{00000000-0006-0000-0200-000003000000}">
      <text>
        <r>
          <rPr>
            <b/>
            <sz val="9"/>
            <color indexed="81"/>
            <rFont val="Tahoma"/>
            <family val="2"/>
          </rPr>
          <t>Luffi:</t>
        </r>
        <r>
          <rPr>
            <sz val="9"/>
            <color indexed="81"/>
            <rFont val="Tahoma"/>
            <family val="2"/>
          </rPr>
          <t xml:space="preserve">
REVISION DE UNIDAD $500.00 04-ENERO-2023 
 </t>
        </r>
        <r>
          <rPr>
            <b/>
            <sz val="9"/>
            <color indexed="81"/>
            <rFont val="Tahoma"/>
            <family val="2"/>
          </rPr>
          <t>$450</t>
        </r>
        <r>
          <rPr>
            <sz val="9"/>
            <color indexed="81"/>
            <rFont val="Tahoma"/>
            <family val="2"/>
          </rPr>
          <t xml:space="preserve"> </t>
        </r>
        <r>
          <rPr>
            <sz val="10"/>
            <color indexed="81"/>
            <rFont val="Tahoma"/>
            <family val="2"/>
          </rPr>
          <t>17-MAYO-2021 
Revisión de unidad No. 13 
Manipulación de equipo, desencintado, desconexión de arnés)</t>
        </r>
      </text>
    </comment>
    <comment ref="E20" authorId="1" shapeId="0" xr:uid="{00000000-0006-0000-0200-000004000000}">
      <text>
        <r>
          <rPr>
            <b/>
            <sz val="9"/>
            <color indexed="81"/>
            <rFont val="Tahoma"/>
            <family val="2"/>
          </rPr>
          <t>Luffi:</t>
        </r>
        <r>
          <rPr>
            <sz val="9"/>
            <color indexed="81"/>
            <rFont val="Tahoma"/>
            <family val="2"/>
          </rPr>
          <t xml:space="preserve">
2 EQUIPOS $2,000 + IVA $2,320.00
2 EQUIPO USO RUDO $3,400 + IVA 
4 RENTAS $280 + IVA $324.80
EQUIPO PORTATIL $3,400.00+IVA
MENSUALIDAD $649.60</t>
        </r>
      </text>
    </comment>
    <comment ref="E21" authorId="0" shapeId="0" xr:uid="{00000000-0006-0000-0200-000005000000}">
      <text>
        <r>
          <rPr>
            <b/>
            <sz val="9"/>
            <color indexed="81"/>
            <rFont val="Tahoma"/>
            <family val="2"/>
          </rPr>
          <t>PC:</t>
        </r>
        <r>
          <rPr>
            <sz val="9"/>
            <color indexed="81"/>
            <rFont val="Tahoma"/>
            <family val="2"/>
          </rPr>
          <t xml:space="preserve">
INICA EL 13-MARZO-2023 
COMODATO
INSTALACION $650.00+IVA= $S754.00
MENSUALIDAD $299.00+IVA= $346.84</t>
        </r>
      </text>
    </comment>
    <comment ref="E22" authorId="0" shapeId="0" xr:uid="{00000000-0006-0000-0200-000006000000}">
      <text>
        <r>
          <rPr>
            <b/>
            <sz val="9"/>
            <color indexed="81"/>
            <rFont val="Tahoma"/>
            <family val="2"/>
          </rPr>
          <t>PC:</t>
        </r>
        <r>
          <rPr>
            <sz val="9"/>
            <color indexed="81"/>
            <rFont val="Tahoma"/>
            <family val="2"/>
          </rPr>
          <t xml:space="preserve">
INICIA EL 27-OCTUBRE-2023
COMODATO
INSTALACION $500.00+IVA
MENSUALIDAD $270.00+IVA</t>
        </r>
      </text>
    </comment>
    <comment ref="E23" authorId="0" shapeId="0" xr:uid="{00000000-0006-0000-0200-000007000000}">
      <text>
        <r>
          <rPr>
            <b/>
            <sz val="9"/>
            <color indexed="81"/>
            <rFont val="Tahoma"/>
            <family val="2"/>
          </rPr>
          <t>PC:</t>
        </r>
        <r>
          <rPr>
            <sz val="9"/>
            <color indexed="81"/>
            <rFont val="Tahoma"/>
            <family val="2"/>
          </rPr>
          <t xml:space="preserve">
INSTALACIÓN $650.00+IVA=$754.00
EQUIPOS COMODATOS 
MENSUALIDAD $300.00+IVA=$348.00</t>
        </r>
      </text>
    </comment>
    <comment ref="T23" authorId="0" shapeId="0" xr:uid="{00000000-0006-0000-0200-000008000000}">
      <text>
        <r>
          <rPr>
            <b/>
            <sz val="9"/>
            <color indexed="81"/>
            <rFont val="Tahoma"/>
            <family val="2"/>
          </rPr>
          <t xml:space="preserve">PC:
Instalacion de 3 equipos </t>
        </r>
        <r>
          <rPr>
            <sz val="9"/>
            <color indexed="81"/>
            <rFont val="Tahoma"/>
            <family val="2"/>
          </rPr>
          <t xml:space="preserve">
</t>
        </r>
      </text>
    </comment>
    <comment ref="E24" authorId="0" shapeId="0" xr:uid="{00000000-0006-0000-0200-000009000000}">
      <text>
        <r>
          <rPr>
            <b/>
            <sz val="9"/>
            <color indexed="81"/>
            <rFont val="Tahoma"/>
            <family val="2"/>
          </rPr>
          <t>PC:</t>
        </r>
        <r>
          <rPr>
            <sz val="9"/>
            <color indexed="81"/>
            <rFont val="Tahoma"/>
            <family val="2"/>
          </rPr>
          <t xml:space="preserve">
INICIA EL 15-NOVIEMBRE-2023
EQUIPO $2,200.00+IVA
MENSUALIDAD $250.00+IVA
</t>
        </r>
      </text>
    </comment>
    <comment ref="E25" authorId="0" shapeId="0" xr:uid="{00000000-0006-0000-0200-00000A000000}">
      <text>
        <r>
          <rPr>
            <b/>
            <sz val="9"/>
            <color indexed="81"/>
            <rFont val="Tahoma"/>
            <family val="2"/>
          </rPr>
          <t>PC:</t>
        </r>
        <r>
          <rPr>
            <sz val="9"/>
            <color indexed="81"/>
            <rFont val="Tahoma"/>
            <family val="2"/>
          </rPr>
          <t xml:space="preserve">
INGRESA EL 22-MAYO-2024
EQUIPO $1,850.00+IVA
MENSUALIDAD $250.00+IVA
EQUIPO USO RUDO $3,450.00+IVA</t>
        </r>
      </text>
    </comment>
    <comment ref="E26" authorId="0" shapeId="0" xr:uid="{00000000-0006-0000-0200-00000B000000}">
      <text>
        <r>
          <rPr>
            <b/>
            <sz val="9"/>
            <color indexed="81"/>
            <rFont val="Tahoma"/>
            <family val="2"/>
          </rPr>
          <t>PC:</t>
        </r>
        <r>
          <rPr>
            <sz val="9"/>
            <color indexed="81"/>
            <rFont val="Tahoma"/>
            <family val="2"/>
          </rPr>
          <t xml:space="preserve">
INGRESA EL 31-OCTUBRE-2024
EQUIPO $1,850.0+IVA
MENSUALIDAD $300.00+IVA
CAMBIA A ESQUEMA DE FACTURACION 05-FEBRERO-2025</t>
        </r>
      </text>
    </comment>
    <comment ref="E27" authorId="0" shapeId="0" xr:uid="{00000000-0006-0000-0200-00000C000000}">
      <text>
        <r>
          <rPr>
            <b/>
            <sz val="9"/>
            <color indexed="81"/>
            <rFont val="Tahoma"/>
            <family val="2"/>
          </rPr>
          <t>PC:</t>
        </r>
        <r>
          <rPr>
            <sz val="9"/>
            <color indexed="81"/>
            <rFont val="Tahoma"/>
            <family val="2"/>
          </rPr>
          <t xml:space="preserve">
INICA EL 23-NOVIEMBRE-2023
COMODATO
INSTALACION $650.00+IVA
MENSUALIDAD $279.00+IVA</t>
        </r>
      </text>
    </comment>
    <comment ref="E28" authorId="2" shapeId="0" xr:uid="{00000000-0006-0000-0200-00000D000000}">
      <text>
        <r>
          <rPr>
            <b/>
            <sz val="9"/>
            <color indexed="81"/>
            <rFont val="Tahoma"/>
            <family val="2"/>
          </rPr>
          <t>Usuario de Windows:</t>
        </r>
        <r>
          <rPr>
            <sz val="9"/>
            <color indexed="81"/>
            <rFont val="Tahoma"/>
            <family val="2"/>
          </rPr>
          <t xml:space="preserve">
</t>
        </r>
        <r>
          <rPr>
            <b/>
            <sz val="9"/>
            <color indexed="81"/>
            <rFont val="Tahoma"/>
            <family val="2"/>
          </rPr>
          <t xml:space="preserve">ESQUEMA COMODATO
</t>
        </r>
        <r>
          <rPr>
            <sz val="9"/>
            <color indexed="81"/>
            <rFont val="Tahoma"/>
            <family val="2"/>
          </rPr>
          <t xml:space="preserve">INSTALACION $650 + IVA
MENSUALIDAD $280 + IVA
DES-INSTALACION $500.0+IVA
INSTALACIONES 28-FEB-2022 Y 1-MAR-2022
</t>
        </r>
        <r>
          <rPr>
            <b/>
            <sz val="9"/>
            <color indexed="81"/>
            <rFont val="Tahoma"/>
            <family val="2"/>
          </rPr>
          <t>*FACTURADO 01-MAR-2022*</t>
        </r>
      </text>
    </comment>
    <comment ref="E29" authorId="0" shapeId="0" xr:uid="{00000000-0006-0000-0200-00000E000000}">
      <text>
        <r>
          <rPr>
            <b/>
            <sz val="9"/>
            <color indexed="81"/>
            <rFont val="Tahoma"/>
            <family val="2"/>
          </rPr>
          <t>PC:</t>
        </r>
        <r>
          <rPr>
            <sz val="9"/>
            <color indexed="81"/>
            <rFont val="Tahoma"/>
            <family val="2"/>
          </rPr>
          <t xml:space="preserve">
INCIA EL 21-ENERO-2023
1 UNIDAD 
FALTANDO 4 UNIDADES 
COMODATO 
INSTALACIÓN $650.00+IVA=$754.00
MENSUALIDAD $300.00+IVA=$348.00
REVISIONES $650.00+IVA</t>
        </r>
      </text>
    </comment>
    <comment ref="E30" authorId="0" shapeId="0" xr:uid="{00000000-0006-0000-0200-00000F000000}">
      <text>
        <r>
          <rPr>
            <b/>
            <sz val="9"/>
            <color indexed="81"/>
            <rFont val="Tahoma"/>
            <family val="2"/>
          </rPr>
          <t xml:space="preserve">PC:
</t>
        </r>
        <r>
          <rPr>
            <sz val="9"/>
            <color indexed="81"/>
            <rFont val="Tahoma"/>
            <family val="2"/>
          </rPr>
          <t xml:space="preserve">CUENTA SEPARADA DE DEX MATERIALES 06-SEPTIEMBRE-2024
</t>
        </r>
        <r>
          <rPr>
            <b/>
            <sz val="9"/>
            <color indexed="81"/>
            <rFont val="Tahoma"/>
            <family val="2"/>
          </rPr>
          <t xml:space="preserve">PAGO TRIMESTRAL 
MENSUALIDAD $300.00+IVA 
3 MESES $900.00+IVA
</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1" authorId="0" shapeId="0" xr:uid="{00000000-0006-0000-0200-000010000000}">
      <text>
        <r>
          <rPr>
            <b/>
            <sz val="9"/>
            <color indexed="81"/>
            <rFont val="Tahoma"/>
            <family val="2"/>
          </rPr>
          <t>PC:</t>
        </r>
        <r>
          <rPr>
            <sz val="9"/>
            <color indexed="81"/>
            <rFont val="Tahoma"/>
            <family val="2"/>
          </rPr>
          <t xml:space="preserve">
RENTA 7 $350.00
1 GPS EN PLAN $650.00
1 UNIDAD MAS OCTUBRE
CAMBIO DE RAZON SOCIAL MARZO´2022
SE DIVIDE CUENTA ACERTRANS - SILVIA NERIA - AGOSTO 2023
</t>
        </r>
      </text>
    </comment>
    <comment ref="E32" authorId="0" shapeId="0" xr:uid="{00000000-0006-0000-0200-000011000000}">
      <text>
        <r>
          <rPr>
            <b/>
            <sz val="9"/>
            <color indexed="81"/>
            <rFont val="Tahoma"/>
            <family val="2"/>
          </rPr>
          <t>PC:</t>
        </r>
        <r>
          <rPr>
            <sz val="9"/>
            <color indexed="81"/>
            <rFont val="Tahoma"/>
            <family val="2"/>
          </rPr>
          <t xml:space="preserve">
INICIA EL 26-DICIEMBRE-2023
INSTALACION $650.00+IVA
MENSUALIDAD $250.00+IVA
MICROFONO $399.00
MENSUALIDAD CON MICROFONO $300.00+IVA</t>
        </r>
      </text>
    </comment>
    <comment ref="E33" authorId="0" shapeId="0" xr:uid="{00000000-0006-0000-0200-000012000000}">
      <text>
        <r>
          <rPr>
            <b/>
            <sz val="9"/>
            <color indexed="81"/>
            <rFont val="Tahoma"/>
            <family val="2"/>
          </rPr>
          <t>PC:</t>
        </r>
        <r>
          <rPr>
            <sz val="9"/>
            <color indexed="81"/>
            <rFont val="Tahoma"/>
            <family val="2"/>
          </rPr>
          <t xml:space="preserve">
RE-INGRESA EL 25-NOVIEMBRE-2024
EQUIPO $1,500.00+IVA
MENSUALIDAD $279.00+IVA</t>
        </r>
      </text>
    </comment>
    <comment ref="E34" authorId="0" shapeId="0" xr:uid="{00000000-0006-0000-0200-000013000000}">
      <text>
        <r>
          <rPr>
            <b/>
            <sz val="9"/>
            <color indexed="81"/>
            <rFont val="Tahoma"/>
            <family val="2"/>
          </rPr>
          <t>PC:</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5" authorId="0" shapeId="0" xr:uid="{00000000-0006-0000-0200-000014000000}">
      <text>
        <r>
          <rPr>
            <b/>
            <sz val="9"/>
            <color indexed="81"/>
            <rFont val="Tahoma"/>
            <family val="2"/>
          </rPr>
          <t>PC:</t>
        </r>
        <r>
          <rPr>
            <sz val="9"/>
            <color indexed="81"/>
            <rFont val="Tahoma"/>
            <family val="2"/>
          </rPr>
          <t xml:space="preserve">
INGRESA EL 11-MAYO-2024
EQUIPO $1,850.00+IVA
MENSUALIDAD $250.00+IVA
CAMBIA A ESQUEMA DE FACTURACIÓN EL 02-JULIO-2024</t>
        </r>
      </text>
    </comment>
    <comment ref="E36" authorId="1" shapeId="0" xr:uid="{00000000-0006-0000-0200-000015000000}">
      <text>
        <r>
          <rPr>
            <b/>
            <sz val="9"/>
            <color indexed="81"/>
            <rFont val="Tahoma"/>
            <family val="2"/>
          </rPr>
          <t>Luffi:</t>
        </r>
        <r>
          <rPr>
            <sz val="9"/>
            <color indexed="81"/>
            <rFont val="Tahoma"/>
            <family val="2"/>
          </rPr>
          <t xml:space="preserve">
1 EQUIPO $1,850.00
1 RENTA $250.00+ IVA $290.00
</t>
        </r>
        <r>
          <rPr>
            <b/>
            <sz val="9"/>
            <color indexed="81"/>
            <rFont val="Tahoma"/>
            <family val="2"/>
          </rPr>
          <t xml:space="preserve">MENSUALIDAD $290.00 </t>
        </r>
      </text>
    </comment>
    <comment ref="E37" authorId="2" shapeId="0" xr:uid="{00000000-0006-0000-0200-000016000000}">
      <text>
        <r>
          <rPr>
            <b/>
            <sz val="9"/>
            <color indexed="81"/>
            <rFont val="Tahoma"/>
            <family val="2"/>
          </rPr>
          <t>Usuario de Windows:</t>
        </r>
        <r>
          <rPr>
            <sz val="9"/>
            <color indexed="81"/>
            <rFont val="Tahoma"/>
            <family val="2"/>
          </rPr>
          <t xml:space="preserve">
</t>
        </r>
        <r>
          <rPr>
            <b/>
            <sz val="9"/>
            <color indexed="81"/>
            <rFont val="Tahoma"/>
            <family val="2"/>
          </rPr>
          <t xml:space="preserve">5 EQUIPOS COMODATO 
INSTALACION $650 + IVA
MENSUALIDAD $350 + IVA 
03-MAYO-2022 </t>
        </r>
        <r>
          <rPr>
            <sz val="9"/>
            <color indexed="81"/>
            <rFont val="Tahoma"/>
            <family val="2"/>
          </rPr>
          <t xml:space="preserve">DEPOSITO $5,800 
</t>
        </r>
        <r>
          <rPr>
            <b/>
            <sz val="9"/>
            <color indexed="81"/>
            <rFont val="Tahoma"/>
            <family val="2"/>
          </rPr>
          <t xml:space="preserve">INSTALACIONES 
</t>
        </r>
        <r>
          <rPr>
            <sz val="9"/>
            <color indexed="81"/>
            <rFont val="Tahoma"/>
            <family val="2"/>
          </rPr>
          <t xml:space="preserve">09-Mayo-2022 Unidad 02
10-Mayo-2022 Unidad 01, 05 y 03
CAMBIO DE RAZON SOCIAL SINERGIZ - ENDER INDUSTRIAL FEBRERO 2023 
</t>
        </r>
        <r>
          <rPr>
            <b/>
            <sz val="9"/>
            <color indexed="81"/>
            <rFont val="Tahoma"/>
            <family val="2"/>
          </rPr>
          <t>*PENDIENTE POR INSTALAR 1 UNIDAD*</t>
        </r>
      </text>
    </comment>
    <comment ref="T37" authorId="0" shapeId="0" xr:uid="{00000000-0006-0000-0200-000017000000}">
      <text>
        <r>
          <rPr>
            <b/>
            <sz val="9"/>
            <color indexed="81"/>
            <rFont val="Tahoma"/>
            <family val="2"/>
          </rPr>
          <t>PC:</t>
        </r>
        <r>
          <rPr>
            <sz val="9"/>
            <color indexed="81"/>
            <rFont val="Tahoma"/>
            <family val="2"/>
          </rPr>
          <t xml:space="preserve">
Reinstalación Moto 
15-Julio-2022 
Unidad 03 
Placas 91CLJ1</t>
        </r>
      </text>
    </comment>
    <comment ref="E38" authorId="0" shapeId="0" xr:uid="{00000000-0006-0000-0200-000018000000}">
      <text>
        <r>
          <rPr>
            <b/>
            <sz val="9"/>
            <color indexed="81"/>
            <rFont val="Tahoma"/>
            <family val="2"/>
          </rPr>
          <t>PC:</t>
        </r>
        <r>
          <rPr>
            <sz val="9"/>
            <color indexed="81"/>
            <rFont val="Tahoma"/>
            <family val="2"/>
          </rPr>
          <t xml:space="preserve">
INICIA EL 25-ENERO-2024
EQUIPO $2,250.00+IVA
MENSUALIDAD $249.00+IVA</t>
        </r>
      </text>
    </comment>
    <comment ref="E39" authorId="0" shapeId="0" xr:uid="{00000000-0006-0000-0200-000019000000}">
      <text>
        <r>
          <rPr>
            <b/>
            <sz val="9"/>
            <color indexed="81"/>
            <rFont val="Tahoma"/>
            <family val="2"/>
          </rPr>
          <t>PC:</t>
        </r>
        <r>
          <rPr>
            <sz val="9"/>
            <color indexed="81"/>
            <rFont val="Tahoma"/>
            <family val="2"/>
          </rPr>
          <t xml:space="preserve">
INGRESA EL 13-SEPTIEMBRE-2024
COMODATO 
INSTALACION $549.00+IVA
MENSUALIDAD $300.00+IVA</t>
        </r>
      </text>
    </comment>
    <comment ref="E40" authorId="0" shapeId="0" xr:uid="{00000000-0006-0000-0200-00001A000000}">
      <text>
        <r>
          <rPr>
            <b/>
            <sz val="9"/>
            <color indexed="81"/>
            <rFont val="Tahoma"/>
            <family val="2"/>
          </rPr>
          <t>PC:</t>
        </r>
        <r>
          <rPr>
            <sz val="9"/>
            <color indexed="81"/>
            <rFont val="Tahoma"/>
            <family val="2"/>
          </rPr>
          <t xml:space="preserve">
MENSUALIDAD $60.00
10 UNIDADES EN JULIO'22
40 UNIDADES EN AGOSTO'22
50 UNIDADES EN SEPT'22
25 UNIDADES EN OCTUBRE'22
10 UNIDADES EN NOVIEMBRE'22
20 UNIDADES EN DICIEMBRE'22
26 UNIDADES EN ENERO'23
26 UNIDADES EN FEBRERO'23
40 UNIDADES EN MARZO'23
28 UNIDADES EN ABRIL'23
25 UNIDADES EN MAYO'23
40 UNIDADES EN JUNIO'23
19 UNIDADES EN JULIO'23
42 UNIDADES EN AGOSTO'23
24 UNIDADES EN SEPT'23
27 UNIDADES EN OCTUBRE'23
26 UNIDADES EN NOVIEMBRE'23
37 UNIDADES EN DICIEMBRE'23
- EN ENERO 2024 SE CAMBIO EL COSTO DE LA MENSUALDIAD A $40.00
- SE LE EMPIEZA A FACTURAR EN FEBRERO 2024
- CAMBIA COSTO DE MENSUALIDAD A $38.80+IVA
19 UNIDADES EN ENERO'24
52 UNIDADES EN FEBRERO'24
17 UNIDADES EN MARZO'24
25 UNIDADES EN ABRIL'24
32 UNIDADES EN MAYO'24
13 UNIDADES EN JUNIO'24
1 UNIDAD EN DICIEMBRE'24</t>
        </r>
      </text>
    </comment>
    <comment ref="T40" authorId="0" shapeId="0" xr:uid="{00000000-0006-0000-0200-00001B000000}">
      <text>
        <r>
          <rPr>
            <b/>
            <sz val="9"/>
            <color indexed="81"/>
            <rFont val="Tahoma"/>
            <family val="2"/>
          </rPr>
          <t>PC:</t>
        </r>
        <r>
          <rPr>
            <sz val="9"/>
            <color indexed="81"/>
            <rFont val="Tahoma"/>
            <family val="2"/>
          </rPr>
          <t xml:space="preserve">
REMISION ADICIONAL POR UNIDADES FALTANTES DE COBRAR 
Saldo de meses arrastrados desde julio'22</t>
        </r>
      </text>
    </comment>
    <comment ref="E41" authorId="0" shapeId="0" xr:uid="{00000000-0006-0000-0200-00001C000000}">
      <text>
        <r>
          <rPr>
            <b/>
            <sz val="9"/>
            <color indexed="81"/>
            <rFont val="Tahoma"/>
            <family val="2"/>
          </rPr>
          <t>PC:</t>
        </r>
        <r>
          <rPr>
            <sz val="9"/>
            <color indexed="81"/>
            <rFont val="Tahoma"/>
            <family val="2"/>
          </rPr>
          <t xml:space="preserve">
INGRESA EL 03-OCTUBRE-2024
COMODATO 
INSTALACION $549.00+IVA
MENSUALIDAD $300.00+IVA</t>
        </r>
      </text>
    </comment>
    <comment ref="E42" authorId="0" shapeId="0" xr:uid="{00000000-0006-0000-0200-00001D000000}">
      <text>
        <r>
          <rPr>
            <b/>
            <sz val="9"/>
            <color indexed="81"/>
            <rFont val="Tahoma"/>
            <family val="2"/>
          </rPr>
          <t>PC:</t>
        </r>
        <r>
          <rPr>
            <sz val="9"/>
            <color indexed="81"/>
            <rFont val="Tahoma"/>
            <family val="2"/>
          </rPr>
          <t xml:space="preserve">
INICA CUENTA DEMO EL 24-FEB-23
INGRESA A LA COBRANZA EL 13-ABRIL-23
INSTALACION $650.00+IVA=$754.00
MENSUALIDAD $320.00+IVA=$371.20
*COMODATO
VISITA EN FALSO $250.00+IVA</t>
        </r>
      </text>
    </comment>
    <comment ref="T42" authorId="0" shapeId="0" xr:uid="{00000000-0006-0000-0200-00001E000000}">
      <text>
        <r>
          <rPr>
            <b/>
            <sz val="9"/>
            <color indexed="81"/>
            <rFont val="Tahoma"/>
            <family val="2"/>
          </rPr>
          <t>PC:</t>
        </r>
        <r>
          <rPr>
            <sz val="9"/>
            <color indexed="81"/>
            <rFont val="Tahoma"/>
            <family val="2"/>
          </rPr>
          <t xml:space="preserve">
INSTALACIONES
PDTES- 5 
$650.00+IVA</t>
        </r>
      </text>
    </comment>
    <comment ref="E43" authorId="0" shapeId="0" xr:uid="{00000000-0006-0000-0200-00001F000000}">
      <text>
        <r>
          <rPr>
            <b/>
            <sz val="9"/>
            <color indexed="81"/>
            <rFont val="Tahoma"/>
            <family val="2"/>
          </rPr>
          <t>PC:</t>
        </r>
        <r>
          <rPr>
            <sz val="9"/>
            <color indexed="81"/>
            <rFont val="Tahoma"/>
            <family val="2"/>
          </rPr>
          <t xml:space="preserve">
INGRESA EL 14-DICIEMBRE-2024
EQUIPO $2,200.00+IVA
MENSUALIDAD $290.00</t>
        </r>
      </text>
    </comment>
    <comment ref="E44" authorId="0" shapeId="0" xr:uid="{00000000-0006-0000-0200-000020000000}">
      <text>
        <r>
          <rPr>
            <b/>
            <sz val="9"/>
            <color indexed="81"/>
            <rFont val="Tahoma"/>
            <family val="2"/>
          </rPr>
          <t>PC:</t>
        </r>
        <r>
          <rPr>
            <sz val="9"/>
            <color indexed="81"/>
            <rFont val="Tahoma"/>
            <family val="2"/>
          </rPr>
          <t xml:space="preserve">
INGRESA EL 19-OCTUBRE-2024
COMODATO 
INSTALACION $549.00+IVA
MENSUALIDAD $300.00+IVA
NOVIEMBRE 2024 INSTALACION CON DESCUENTO UNICO -30%
INSTALACION $384.30+IVA 
REVISION $650.00+IVA
RE-INSTALACION $500.00+IVA
DES-INSTALACION $500.00+IVA</t>
        </r>
      </text>
    </comment>
    <comment ref="E45" authorId="0" shapeId="0" xr:uid="{00000000-0006-0000-0200-000021000000}">
      <text>
        <r>
          <rPr>
            <b/>
            <sz val="9"/>
            <color indexed="81"/>
            <rFont val="Tahoma"/>
            <family val="2"/>
          </rPr>
          <t>PC:</t>
        </r>
        <r>
          <rPr>
            <sz val="9"/>
            <color indexed="81"/>
            <rFont val="Tahoma"/>
            <family val="2"/>
          </rPr>
          <t xml:space="preserve">
ALTA 14-ENERO-2025 
COMODATO
INSTALACION $549.00+IVA
MENSUALIDAD $279.00+IVA</t>
        </r>
      </text>
    </comment>
    <comment ref="E46" authorId="3" shapeId="0" xr:uid="{00000000-0006-0000-0200-000022000000}">
      <text>
        <r>
          <rPr>
            <b/>
            <sz val="9"/>
            <color indexed="81"/>
            <rFont val="Tahoma"/>
            <family val="2"/>
          </rPr>
          <t>UBITEC:</t>
        </r>
        <r>
          <rPr>
            <sz val="9"/>
            <color indexed="81"/>
            <rFont val="Tahoma"/>
            <family val="2"/>
          </rPr>
          <t xml:space="preserve">
</t>
        </r>
        <r>
          <rPr>
            <sz val="10"/>
            <color indexed="81"/>
            <rFont val="Tahoma"/>
            <family val="2"/>
          </rPr>
          <t xml:space="preserve">EQUIPO $2,300 + IVA $2,668.00
MENSUALIDAD $250.00+ IVA $290.00
</t>
        </r>
        <r>
          <rPr>
            <b/>
            <sz val="10"/>
            <color indexed="81"/>
            <rFont val="Tahoma"/>
            <family val="2"/>
          </rPr>
          <t xml:space="preserve">1er SERVICIO 14-JUN-2022 
</t>
        </r>
        <r>
          <rPr>
            <sz val="10"/>
            <color indexed="81"/>
            <rFont val="Tahoma"/>
            <family val="2"/>
          </rPr>
          <t xml:space="preserve">Instalación 2 unidades </t>
        </r>
        <r>
          <rPr>
            <b/>
            <sz val="10"/>
            <color indexed="81"/>
            <rFont val="Tahoma"/>
            <family val="2"/>
          </rPr>
          <t xml:space="preserve">
2do SERVICIO 17-JUN-2022
</t>
        </r>
        <r>
          <rPr>
            <sz val="10"/>
            <color indexed="81"/>
            <rFont val="Tahoma"/>
            <family val="2"/>
          </rPr>
          <t xml:space="preserve">Instalación 1 unidad
</t>
        </r>
      </text>
    </comment>
    <comment ref="T46" authorId="0" shapeId="0" xr:uid="{00000000-0006-0000-0200-000023000000}">
      <text>
        <r>
          <rPr>
            <b/>
            <sz val="9"/>
            <color indexed="81"/>
            <rFont val="Tahoma"/>
            <family val="2"/>
          </rPr>
          <t>PC:</t>
        </r>
        <r>
          <rPr>
            <sz val="9"/>
            <color indexed="81"/>
            <rFont val="Tahoma"/>
            <family val="2"/>
          </rPr>
          <t xml:space="preserve">
INSTALACIONES 25-NOVIEMBRE-22
EQUIPO $2,300.00+IVA 
MENSUALIDAD PROPORCIONAL $41.66+IVA 
INSTALACIONES 03-DICIEMBRE-22
4 EQUIPOS $2,300.00+IVA 
MENSUALIDAD PROPORCIONAL 27 DÍAS $225.00+IVA </t>
        </r>
      </text>
    </comment>
    <comment ref="E47" authorId="1" shapeId="0" xr:uid="{00000000-0006-0000-0200-000024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8" authorId="1" shapeId="0" xr:uid="{00000000-0006-0000-0200-000025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9" authorId="0" shapeId="0" xr:uid="{00000000-0006-0000-0200-000026000000}">
      <text>
        <r>
          <rPr>
            <b/>
            <sz val="9"/>
            <color indexed="81"/>
            <rFont val="Tahoma"/>
            <family val="2"/>
          </rPr>
          <t>PC:</t>
        </r>
        <r>
          <rPr>
            <sz val="9"/>
            <color indexed="81"/>
            <rFont val="Tahoma"/>
            <family val="2"/>
          </rPr>
          <t xml:space="preserve">
INGRESA EL 07-OCTUBRE-2024 
COMODATO 
INSTALACION $549.00+IVA
MENSUALIDAD $300.00+IVA</t>
        </r>
      </text>
    </comment>
    <comment ref="E50" authorId="0" shapeId="0" xr:uid="{00000000-0006-0000-0200-000027000000}">
      <text>
        <r>
          <rPr>
            <b/>
            <sz val="9"/>
            <color indexed="81"/>
            <rFont val="Tahoma"/>
            <family val="2"/>
          </rPr>
          <t>PC:</t>
        </r>
        <r>
          <rPr>
            <sz val="9"/>
            <color indexed="81"/>
            <rFont val="Tahoma"/>
            <family val="2"/>
          </rPr>
          <t xml:space="preserve">
RE-INSTALACIÓN Y MIGRACIÓN $650.00+IVA
INICIO 03-AGOSTO-22
RENTA $300.00 MENSUAL +IVA </t>
        </r>
      </text>
    </comment>
    <comment ref="E51" authorId="0" shapeId="0" xr:uid="{00000000-0006-0000-0200-000028000000}">
      <text>
        <r>
          <rPr>
            <b/>
            <sz val="9"/>
            <color indexed="81"/>
            <rFont val="Tahoma"/>
            <family val="2"/>
          </rPr>
          <t>PC:</t>
        </r>
        <r>
          <rPr>
            <sz val="9"/>
            <color indexed="81"/>
            <rFont val="Tahoma"/>
            <family val="2"/>
          </rPr>
          <t xml:space="preserve">
ALTA 28-FEBRERO-2025
INGRESA A LA COBRANZA 01-MARZO-2025
EQUIPO $2,200.00+IVA
MENSUALIDAD $250.00+IVA</t>
        </r>
      </text>
    </comment>
    <comment ref="E52" authorId="0" shapeId="0" xr:uid="{00000000-0006-0000-0200-000029000000}">
      <text>
        <r>
          <rPr>
            <b/>
            <sz val="9"/>
            <color indexed="81"/>
            <rFont val="Tahoma"/>
            <family val="2"/>
          </rPr>
          <t>PC:</t>
        </r>
        <r>
          <rPr>
            <sz val="9"/>
            <color indexed="81"/>
            <rFont val="Tahoma"/>
            <family val="2"/>
          </rPr>
          <t xml:space="preserve">
INGRESA EL 16-NOVIEMBRE-2023
EQUIPO $1,950.00+IVA
MENSUALIDAD $300.00+IVA
VIATICOS $1,000.00+IVA</t>
        </r>
      </text>
    </comment>
    <comment ref="E53" authorId="0" shapeId="0" xr:uid="{00000000-0006-0000-0200-00002A000000}">
      <text>
        <r>
          <rPr>
            <b/>
            <sz val="9"/>
            <color indexed="81"/>
            <rFont val="Tahoma"/>
            <family val="2"/>
          </rPr>
          <t>PC:</t>
        </r>
        <r>
          <rPr>
            <sz val="9"/>
            <color indexed="81"/>
            <rFont val="Tahoma"/>
            <family val="2"/>
          </rPr>
          <t xml:space="preserve">
INICIA EL 03-MAYO-2023
EQUIPO $1,590.00+IVA
MENSUALIDAD $250.00+IVA</t>
        </r>
      </text>
    </comment>
    <comment ref="E54" authorId="0" shapeId="0" xr:uid="{00000000-0006-0000-0200-00002B000000}">
      <text>
        <r>
          <rPr>
            <b/>
            <sz val="9"/>
            <color indexed="81"/>
            <rFont val="Tahoma"/>
            <family val="2"/>
          </rPr>
          <t>PC:</t>
        </r>
        <r>
          <rPr>
            <sz val="9"/>
            <color indexed="81"/>
            <rFont val="Tahoma"/>
            <family val="2"/>
          </rPr>
          <t xml:space="preserve">
INICIA EL 05-JUNIO-2023
EQUIPO $1,200.00+IVA
MENSUALIDAD $300.00+IVA
</t>
        </r>
      </text>
    </comment>
    <comment ref="C55" authorId="0" shapeId="0" xr:uid="{00000000-0006-0000-0200-00002C000000}">
      <text>
        <r>
          <rPr>
            <b/>
            <sz val="9"/>
            <color indexed="81"/>
            <rFont val="Tahoma"/>
            <family val="2"/>
          </rPr>
          <t>PC:</t>
        </r>
        <r>
          <rPr>
            <sz val="9"/>
            <color indexed="81"/>
            <rFont val="Tahoma"/>
            <family val="2"/>
          </rPr>
          <t xml:space="preserve">
DOMICILIO: CARRETERA ESTATAL LIBRE MIGUEL ALEMAN #2526
PESQUERIA, N.L.
C.P.66650</t>
        </r>
      </text>
    </comment>
    <comment ref="E55" authorId="0" shapeId="0" xr:uid="{00000000-0006-0000-0200-00002D000000}">
      <text>
        <r>
          <rPr>
            <b/>
            <sz val="9"/>
            <color indexed="81"/>
            <rFont val="Tahoma"/>
            <family val="2"/>
          </rPr>
          <t>PC:</t>
        </r>
        <r>
          <rPr>
            <sz val="9"/>
            <color indexed="81"/>
            <rFont val="Tahoma"/>
            <family val="2"/>
          </rPr>
          <t xml:space="preserve">
INSTALACION EQP. MULTIMODAL 5 PUERTOS USO RUDO $2,149.00+IVA= $2,492.84
MENSUALIDAD $349.00+IVA= $404.84
SENSOR DE COMBUSTIBLE DE VARILLA CONFIGURACION INDUCTIVA INSTALACION Y CALIBRACION A 20 LTS $5,450.00+IVA= $6,322.00
1er. INSTALACION 22-DICIEMBRE-2022 
*SE LE COBRA Y FACTURA HASTA EL 04-ENERO-2023</t>
        </r>
      </text>
    </comment>
    <comment ref="T55" authorId="0" shapeId="0" xr:uid="{00000000-0006-0000-0200-00002E000000}">
      <text>
        <r>
          <rPr>
            <b/>
            <sz val="9"/>
            <color indexed="81"/>
            <rFont val="Tahoma"/>
            <family val="2"/>
          </rPr>
          <t>PC:</t>
        </r>
        <r>
          <rPr>
            <sz val="9"/>
            <color indexed="81"/>
            <rFont val="Tahoma"/>
            <family val="2"/>
          </rPr>
          <t xml:space="preserve">
INSTALACION EQP. MULTIMODAL 5 PUERTOS USO RUDO $2,149.00+IVA= $2,492.84
SENSOR DE COMBUSTIBLE DE VARILLA CONFIGURACION INDUCTIVA INSTALACION Y CALIBRACION A 20 LTS $5,450.00+IVA= $6,322.00
INSTALCION 17-FEBRERO-2023 
1 INSTALACION $2,149.00+IVA
1 MENS. $349.00+IVA
</t>
        </r>
      </text>
    </comment>
    <comment ref="AL55" authorId="0" shapeId="0" xr:uid="{00000000-0006-0000-0200-00002F000000}">
      <text>
        <r>
          <rPr>
            <b/>
            <sz val="9"/>
            <color indexed="81"/>
            <rFont val="Tahoma"/>
            <family val="2"/>
          </rPr>
          <t>PC:</t>
        </r>
        <r>
          <rPr>
            <sz val="9"/>
            <color indexed="81"/>
            <rFont val="Tahoma"/>
            <family val="2"/>
          </rPr>
          <t xml:space="preserve">
DEVOLUCIÓN POR PAGO DUPLICADO 
SE ENVIÓ CORREO EL 17-FEB-23 </t>
        </r>
      </text>
    </comment>
    <comment ref="E56" authorId="0" shapeId="0" xr:uid="{00000000-0006-0000-0200-000030000000}">
      <text>
        <r>
          <rPr>
            <b/>
            <sz val="9"/>
            <color indexed="81"/>
            <rFont val="Tahoma"/>
            <family val="2"/>
          </rPr>
          <t>PC:</t>
        </r>
        <r>
          <rPr>
            <sz val="9"/>
            <color indexed="81"/>
            <rFont val="Tahoma"/>
            <family val="2"/>
          </rPr>
          <t xml:space="preserve">
INGRESA EL 18-SEPTIEMBRE-2024
COMODATO 
INSTALACIÓN $549.00+IVA
MENSUALIDAD $250.00+IVA
SE LE INSTALA EL 24-SEPTIEMBRE-2024 
04 UNIDADES
25-SEPTIEMBRE-2024 05 UNIDADES</t>
        </r>
      </text>
    </comment>
    <comment ref="D57" authorId="1" shapeId="0" xr:uid="{00000000-0006-0000-0200-000031000000}">
      <text>
        <r>
          <rPr>
            <b/>
            <sz val="9"/>
            <color indexed="81"/>
            <rFont val="Tahoma"/>
            <family val="2"/>
          </rPr>
          <t>Luffi:</t>
        </r>
        <r>
          <rPr>
            <sz val="9"/>
            <color indexed="81"/>
            <rFont val="Tahoma"/>
            <family val="2"/>
          </rPr>
          <t xml:space="preserve">
Ricardo Gonzalez 818 029 3441
</t>
        </r>
        <r>
          <rPr>
            <b/>
            <sz val="9"/>
            <color indexed="10"/>
            <rFont val="Tahoma"/>
            <family val="2"/>
          </rPr>
          <t xml:space="preserve">ricardo.g@quinexus.mx; ricardo.g@quimbo.mx
</t>
        </r>
        <r>
          <rPr>
            <b/>
            <sz val="9"/>
            <color indexed="81"/>
            <rFont val="Tahoma"/>
            <family val="2"/>
          </rPr>
          <t xml:space="preserve">
</t>
        </r>
        <r>
          <rPr>
            <sz val="9"/>
            <color indexed="81"/>
            <rFont val="Tahoma"/>
            <family val="2"/>
          </rPr>
          <t>Arely López</t>
        </r>
        <r>
          <rPr>
            <sz val="9"/>
            <color indexed="10"/>
            <rFont val="Tahoma"/>
            <family val="2"/>
          </rPr>
          <t xml:space="preserve"> </t>
        </r>
        <r>
          <rPr>
            <sz val="9"/>
            <color indexed="81"/>
            <rFont val="Tahoma"/>
            <family val="2"/>
          </rPr>
          <t xml:space="preserve">811 499 1431
</t>
        </r>
        <r>
          <rPr>
            <b/>
            <sz val="9"/>
            <color indexed="10"/>
            <rFont val="Tahoma"/>
            <family val="2"/>
          </rPr>
          <t>arely.lr@quinexus.mx;</t>
        </r>
        <r>
          <rPr>
            <b/>
            <sz val="9"/>
            <color indexed="81"/>
            <rFont val="Tahoma"/>
            <family val="2"/>
          </rPr>
          <t xml:space="preserve"> 
</t>
        </r>
        <r>
          <rPr>
            <sz val="9"/>
            <color indexed="81"/>
            <rFont val="Tahoma"/>
            <family val="2"/>
          </rPr>
          <t xml:space="preserve">Juan Carlos 818 280 5631 
</t>
        </r>
        <r>
          <rPr>
            <b/>
            <sz val="9"/>
            <color indexed="10"/>
            <rFont val="Tahoma"/>
            <family val="2"/>
          </rPr>
          <t>juan.cf@quinexus.mx</t>
        </r>
        <r>
          <rPr>
            <b/>
            <sz val="9"/>
            <color indexed="81"/>
            <rFont val="Tahoma"/>
            <family val="2"/>
          </rPr>
          <t xml:space="preserve"> </t>
        </r>
      </text>
    </comment>
    <comment ref="E57" authorId="1" shapeId="0" xr:uid="{00000000-0006-0000-0200-000032000000}">
      <text>
        <r>
          <rPr>
            <b/>
            <sz val="9"/>
            <color indexed="81"/>
            <rFont val="Tahoma"/>
            <family val="2"/>
          </rPr>
          <t>Luffi:</t>
        </r>
        <r>
          <rPr>
            <sz val="9"/>
            <color indexed="81"/>
            <rFont val="Tahoma"/>
            <family val="2"/>
          </rPr>
          <t xml:space="preserve">
</t>
        </r>
        <r>
          <rPr>
            <sz val="10"/>
            <color indexed="81"/>
            <rFont val="Tahoma"/>
            <family val="2"/>
          </rPr>
          <t>RENTA $220.00
26 UNIDADES</t>
        </r>
      </text>
    </comment>
    <comment ref="N57" authorId="0" shapeId="0" xr:uid="{00000000-0006-0000-0200-000033000000}">
      <text>
        <r>
          <rPr>
            <b/>
            <sz val="9"/>
            <color indexed="81"/>
            <rFont val="Tahoma"/>
            <family val="2"/>
          </rPr>
          <t>PC:</t>
        </r>
        <r>
          <rPr>
            <sz val="9"/>
            <color indexed="81"/>
            <rFont val="Tahoma"/>
            <family val="2"/>
          </rPr>
          <t xml:space="preserve">
REMISION 61
</t>
        </r>
      </text>
    </comment>
    <comment ref="T57" authorId="1" shapeId="0" xr:uid="{00000000-0006-0000-0200-000034000000}">
      <text>
        <r>
          <rPr>
            <b/>
            <sz val="9"/>
            <color indexed="81"/>
            <rFont val="Tahoma"/>
            <family val="2"/>
          </rPr>
          <t>Luffi:</t>
        </r>
        <r>
          <rPr>
            <sz val="9"/>
            <color indexed="81"/>
            <rFont val="Tahoma"/>
            <family val="2"/>
          </rPr>
          <t xml:space="preserve">
REMISION 66 ENERO'22
REMISION 64 NOV-22 $32,012.00
13 INSTALACION
7 DES-INSTALACION
7-RE-INSTALACION
2 VISITA EN FALSO 
REMISION 60 02-JULIO-2022
$33,632.00
18 INSTALSACIONES
3 DES-INSTALACIONES 
1 RE-INSTALACION 
</t>
        </r>
        <r>
          <rPr>
            <sz val="10"/>
            <color indexed="81"/>
            <rFont val="Tahoma"/>
            <family val="2"/>
          </rPr>
          <t xml:space="preserve">
</t>
        </r>
      </text>
    </comment>
    <comment ref="U57" authorId="1" shapeId="0" xr:uid="{00000000-0006-0000-0200-000035000000}">
      <text>
        <r>
          <rPr>
            <b/>
            <sz val="9"/>
            <color indexed="81"/>
            <rFont val="Tahoma"/>
            <family val="2"/>
          </rPr>
          <t>Luffi:</t>
        </r>
        <r>
          <rPr>
            <sz val="9"/>
            <color indexed="81"/>
            <rFont val="Tahoma"/>
            <family val="2"/>
          </rPr>
          <t xml:space="preserve">
</t>
        </r>
        <r>
          <rPr>
            <sz val="10"/>
            <color indexed="81"/>
            <rFont val="Tahoma"/>
            <family val="2"/>
          </rPr>
          <t>29-JULIO-20 $3,448.00
10-AGOSTO-20 $5,940.00</t>
        </r>
      </text>
    </comment>
    <comment ref="E58" authorId="1" shapeId="0" xr:uid="{00000000-0006-0000-0200-000036000000}">
      <text>
        <r>
          <rPr>
            <b/>
            <sz val="9"/>
            <color indexed="81"/>
            <rFont val="Tahoma"/>
            <family val="2"/>
          </rPr>
          <t>Luffi:</t>
        </r>
        <r>
          <rPr>
            <sz val="9"/>
            <color indexed="81"/>
            <rFont val="Tahoma"/>
            <family val="2"/>
          </rPr>
          <t xml:space="preserve">
3 EQUIPOS $1,999.00 + IVA $2,318.84
4 RENTA $330.00 + IVA $382.80
CON CANAL DE VOZ
MENSUALIDAD $1,531.20</t>
        </r>
      </text>
    </comment>
    <comment ref="E59" authorId="0" shapeId="0" xr:uid="{00000000-0006-0000-0200-000037000000}">
      <text>
        <r>
          <rPr>
            <b/>
            <sz val="9"/>
            <color indexed="81"/>
            <rFont val="Tahoma"/>
            <family val="2"/>
          </rPr>
          <t>PC:</t>
        </r>
        <r>
          <rPr>
            <sz val="9"/>
            <color indexed="81"/>
            <rFont val="Tahoma"/>
            <family val="2"/>
          </rPr>
          <t xml:space="preserve">
INGRESA EL 07-MARZO-2025
FINANCIAMENTO 12 MESES QUIPO DASHCAM E INSTALACION GPS (PAGO INICIAL) $2,500.00+IVA
MENSUALIDAD DASH CAM $799.00+IVA
FINANCIAMENTO EQUIPO DASHCAM 11 MENS. DE $481.00+IVA</t>
        </r>
      </text>
    </comment>
    <comment ref="E60" authorId="0" shapeId="0" xr:uid="{00000000-0006-0000-0200-000038000000}">
      <text>
        <r>
          <rPr>
            <b/>
            <sz val="9"/>
            <color indexed="81"/>
            <rFont val="Tahoma"/>
            <family val="2"/>
          </rPr>
          <t>PC:</t>
        </r>
        <r>
          <rPr>
            <sz val="9"/>
            <color indexed="81"/>
            <rFont val="Tahoma"/>
            <family val="2"/>
          </rPr>
          <t xml:space="preserve">
INGRESA EL 26-ABRIL-2024 
EQUIPO $3,500.00+IVA
MENSUALIDAD $300.00+IVA
SENSOR DE DIESEL PRIMARIO $8,500.00+IVA
SENSOR DE DIESEL SECUNDARIO $8,000.00+IVA</t>
        </r>
      </text>
    </comment>
    <comment ref="E61" authorId="1" shapeId="0" xr:uid="{00000000-0006-0000-0200-000039000000}">
      <text>
        <r>
          <rPr>
            <b/>
            <sz val="9"/>
            <color indexed="81"/>
            <rFont val="Tahoma"/>
            <family val="2"/>
          </rPr>
          <t>Luffi:</t>
        </r>
        <r>
          <rPr>
            <sz val="9"/>
            <color indexed="81"/>
            <rFont val="Tahoma"/>
            <family val="2"/>
          </rPr>
          <t xml:space="preserve">
</t>
        </r>
        <r>
          <rPr>
            <sz val="10"/>
            <color indexed="81"/>
            <rFont val="Tahoma"/>
            <family val="2"/>
          </rPr>
          <t>EQ. $1,800
MEN $300
2do EQUIPO COMPRADO 17-DIC-2020 
3er EQUIPO COMPRADO 30-ENE-2021</t>
        </r>
      </text>
    </comment>
    <comment ref="E62" authorId="0" shapeId="0" xr:uid="{00000000-0006-0000-0200-00003A000000}">
      <text>
        <r>
          <rPr>
            <b/>
            <sz val="9"/>
            <color indexed="81"/>
            <rFont val="Tahoma"/>
            <family val="2"/>
          </rPr>
          <t>PC:</t>
        </r>
        <r>
          <rPr>
            <sz val="9"/>
            <color indexed="81"/>
            <rFont val="Tahoma"/>
            <family val="2"/>
          </rPr>
          <t xml:space="preserve">
INICA EL 11-NOVIEMBRE-2023
EQUIPO $2,100.00+IVA
MENSUALIDAD $330.00+IVA</t>
        </r>
      </text>
    </comment>
    <comment ref="E63" authorId="0" shapeId="0" xr:uid="{00000000-0006-0000-0200-00003B000000}">
      <text>
        <r>
          <rPr>
            <sz val="9"/>
            <color indexed="81"/>
            <rFont val="Tahoma"/>
            <family val="2"/>
          </rPr>
          <t xml:space="preserve">INICIA 19 NOVIEMBRE'2022 
+COMODATO 
MENSUALIDAD $289.00+IVA 
INSTALACION $500.00+IVA </t>
        </r>
      </text>
    </comment>
    <comment ref="T63" authorId="0" shapeId="0" xr:uid="{00000000-0006-0000-0200-00003C000000}">
      <text>
        <r>
          <rPr>
            <b/>
            <sz val="9"/>
            <color indexed="81"/>
            <rFont val="Tahoma"/>
            <family val="2"/>
          </rPr>
          <t xml:space="preserve">PC:
</t>
        </r>
        <r>
          <rPr>
            <sz val="9"/>
            <color indexed="81"/>
            <rFont val="Tahoma"/>
            <family val="2"/>
          </rPr>
          <t>INSTALACION 09-FEB-2023 $500.00+IVA 
MENS. PROP. $202.30+IVA (21 DIAS $9.63 C/U) 
MENSUALIDAD PROPORCIONAL INSTALACIONES 19 NOV 2022 
11 DÍAS $105.96+IVA= $1,059.66</t>
        </r>
      </text>
    </comment>
    <comment ref="E64" authorId="0" shapeId="0" xr:uid="{00000000-0006-0000-0200-00003D000000}">
      <text>
        <r>
          <rPr>
            <b/>
            <sz val="9"/>
            <color indexed="81"/>
            <rFont val="Tahoma"/>
            <family val="2"/>
          </rPr>
          <t>PC:</t>
        </r>
        <r>
          <rPr>
            <sz val="9"/>
            <color indexed="81"/>
            <rFont val="Tahoma"/>
            <family val="2"/>
          </rPr>
          <t xml:space="preserve">
INGRESA EL 30-SEPTIEMBRE-2023
EQUIPO $1,850.00+IVA
MENSUALIDAD $300.00+IVA</t>
        </r>
      </text>
    </comment>
    <comment ref="E65" authorId="0" shapeId="0" xr:uid="{00000000-0006-0000-0200-00003E000000}">
      <text>
        <r>
          <rPr>
            <b/>
            <sz val="9"/>
            <color indexed="81"/>
            <rFont val="Tahoma"/>
            <family val="2"/>
          </rPr>
          <t>PC:</t>
        </r>
        <r>
          <rPr>
            <sz val="9"/>
            <color indexed="81"/>
            <rFont val="Tahoma"/>
            <family val="2"/>
          </rPr>
          <t xml:space="preserve">
INGRESA EL 21-OCTUBRE-2024
EQUIPO $1,850.00+IVA
MENSUALIDAD $200.00+IVA
REVISION, RECONFIGURACION Y REACTIVACION DE EQUIPO Y CUENTA $1,000.00+IVA</t>
        </r>
      </text>
    </comment>
    <comment ref="E66" authorId="0" shapeId="0" xr:uid="{00000000-0006-0000-0200-00003F000000}">
      <text>
        <r>
          <rPr>
            <b/>
            <sz val="9"/>
            <color indexed="81"/>
            <rFont val="Tahoma"/>
            <family val="2"/>
          </rPr>
          <t>PC:</t>
        </r>
        <r>
          <rPr>
            <sz val="9"/>
            <color indexed="81"/>
            <rFont val="Tahoma"/>
            <family val="2"/>
          </rPr>
          <t xml:space="preserve">
RE-INGRESO 05-DICIEMBRE-2024
EQUIPO $1,989.00+IVA
MENSUALIDAD $300.00+IVA</t>
        </r>
      </text>
    </comment>
    <comment ref="E67" authorId="0" shapeId="0" xr:uid="{00000000-0006-0000-0200-000040000000}">
      <text>
        <r>
          <rPr>
            <b/>
            <sz val="9"/>
            <color indexed="81"/>
            <rFont val="Tahoma"/>
            <family val="2"/>
          </rPr>
          <t>PC:</t>
        </r>
        <r>
          <rPr>
            <sz val="9"/>
            <color indexed="81"/>
            <rFont val="Tahoma"/>
            <family val="2"/>
          </rPr>
          <t xml:space="preserve">
INGRESA EL 21-NOVIEMBRE-2024 
EQUIPO $2,000.00+IVA
MENSUALIDAD $250.00+IVA</t>
        </r>
      </text>
    </comment>
    <comment ref="E68" authorId="0" shapeId="0" xr:uid="{00000000-0006-0000-0200-000041000000}">
      <text>
        <r>
          <rPr>
            <b/>
            <sz val="9"/>
            <color indexed="81"/>
            <rFont val="Tahoma"/>
            <family val="2"/>
          </rPr>
          <t>PC:</t>
        </r>
        <r>
          <rPr>
            <sz val="9"/>
            <color indexed="81"/>
            <rFont val="Tahoma"/>
            <family val="2"/>
          </rPr>
          <t xml:space="preserve">
INGRESO 12-JUNIO-2023 PDTES. INST. 
MIGRACION DE LINEA $450.00+IVA
MENSUALIDAD $249.00+IVA
EQUIPO $1,999.00+IVA
NOTA: A 1 INSTALACION SE LE REBAJO EL COSTO DE MIGRACION EN EL EQUIPO, PORQUE ELLOS PENSABAN QUE SI TENIA, FUERON A REVISAR Y LA UNIDAD NO CONTABA CON GPS </t>
        </r>
      </text>
    </comment>
    <comment ref="E69" authorId="0" shapeId="0" xr:uid="{00000000-0006-0000-0200-000042000000}">
      <text>
        <r>
          <rPr>
            <b/>
            <sz val="9"/>
            <color indexed="81"/>
            <rFont val="Tahoma"/>
            <family val="2"/>
          </rPr>
          <t>PC:</t>
        </r>
        <r>
          <rPr>
            <sz val="9"/>
            <color indexed="81"/>
            <rFont val="Tahoma"/>
            <family val="2"/>
          </rPr>
          <t xml:space="preserve">
INGRESA EL 09-DICIEMBRE-2024   (RECOMENDADO DE ALBERTO PEREZ) 
EQUIPO $1,800.00+IVA
MENSUALIDAD $300.00+IVA</t>
        </r>
      </text>
    </comment>
    <comment ref="E70" authorId="0" shapeId="0" xr:uid="{00000000-0006-0000-0200-000043000000}">
      <text>
        <r>
          <rPr>
            <b/>
            <sz val="9"/>
            <color indexed="81"/>
            <rFont val="Tahoma"/>
            <family val="2"/>
          </rPr>
          <t>PC:</t>
        </r>
        <r>
          <rPr>
            <sz val="9"/>
            <color indexed="81"/>
            <rFont val="Tahoma"/>
            <family val="2"/>
          </rPr>
          <t xml:space="preserve">
INICIA EL 24-MAYO-2023 
EQUIPO  $1,879.00+IVA=$2,179.64
MENSUALIDAD  $249.00+IVA=$288.84</t>
        </r>
      </text>
    </comment>
    <comment ref="E71" authorId="0" shapeId="0" xr:uid="{00000000-0006-0000-0200-000044000000}">
      <text>
        <r>
          <rPr>
            <b/>
            <sz val="9"/>
            <color indexed="81"/>
            <rFont val="Tahoma"/>
            <family val="2"/>
          </rPr>
          <t>PC:</t>
        </r>
        <r>
          <rPr>
            <sz val="9"/>
            <color indexed="81"/>
            <rFont val="Tahoma"/>
            <family val="2"/>
          </rPr>
          <t xml:space="preserve">
INICIA EL 02-MARZO-2023 
EQUIPO $1,724+IVA=$1,999.84
MENSUALIDAD $249.00+IVA=$288.84</t>
        </r>
      </text>
    </comment>
    <comment ref="E72" authorId="1" shapeId="0" xr:uid="{00000000-0006-0000-0200-000045000000}">
      <text>
        <r>
          <rPr>
            <b/>
            <sz val="9"/>
            <color indexed="81"/>
            <rFont val="Tahoma"/>
            <family val="2"/>
          </rPr>
          <t>Luffi:</t>
        </r>
        <r>
          <rPr>
            <sz val="9"/>
            <color indexed="81"/>
            <rFont val="Tahoma"/>
            <family val="2"/>
          </rPr>
          <t xml:space="preserve">
1 RENTA $300.00
23-JUNIO-2020
INCLUYE 2 UNIDADES </t>
        </r>
      </text>
    </comment>
    <comment ref="E73" authorId="0" shapeId="0" xr:uid="{00000000-0006-0000-0200-000046000000}">
      <text>
        <r>
          <rPr>
            <b/>
            <sz val="9"/>
            <color indexed="81"/>
            <rFont val="Tahoma"/>
            <family val="2"/>
          </rPr>
          <t>PC:</t>
        </r>
        <r>
          <rPr>
            <sz val="9"/>
            <color indexed="81"/>
            <rFont val="Tahoma"/>
            <family val="2"/>
          </rPr>
          <t xml:space="preserve">
1er INSTALACIÓN 
 22-AGOSTO-2022
Equipo: $1,800.00+IVA 
Renta: $300.00+IVA </t>
        </r>
      </text>
    </comment>
    <comment ref="E74" authorId="0" shapeId="0" xr:uid="{00000000-0006-0000-0200-000047000000}">
      <text>
        <r>
          <rPr>
            <b/>
            <sz val="9"/>
            <color indexed="81"/>
            <rFont val="Tahoma"/>
            <family val="2"/>
          </rPr>
          <t>PC:</t>
        </r>
        <r>
          <rPr>
            <sz val="9"/>
            <color indexed="81"/>
            <rFont val="Tahoma"/>
            <family val="2"/>
          </rPr>
          <t xml:space="preserve">
</t>
        </r>
        <r>
          <rPr>
            <b/>
            <sz val="9"/>
            <color indexed="81"/>
            <rFont val="Tahoma"/>
            <family val="2"/>
          </rPr>
          <t>INICA EL 24-JULIO-2023
MIGRADO DE BDB 
REACTIVACION $350.00+IVA
EQUIPO $1,800.00+IVA
MENSUALIDAD $250.00+IVA</t>
        </r>
      </text>
    </comment>
    <comment ref="E75" authorId="0" shapeId="0" xr:uid="{00000000-0006-0000-0200-000048000000}">
      <text>
        <r>
          <rPr>
            <b/>
            <sz val="9"/>
            <color indexed="81"/>
            <rFont val="Tahoma"/>
            <family val="2"/>
          </rPr>
          <t>PC:</t>
        </r>
        <r>
          <rPr>
            <sz val="9"/>
            <color indexed="81"/>
            <rFont val="Tahoma"/>
            <family val="2"/>
          </rPr>
          <t xml:space="preserve">
INGRESA EL 10-JULIO-2023
EQUIPO $1,850.00
MENSUALIDAD $250.00</t>
        </r>
      </text>
    </comment>
    <comment ref="E76" authorId="0" shapeId="0" xr:uid="{00000000-0006-0000-0200-000049000000}">
      <text>
        <r>
          <rPr>
            <b/>
            <sz val="9"/>
            <color indexed="81"/>
            <rFont val="Tahoma"/>
            <family val="2"/>
          </rPr>
          <t>PC:</t>
        </r>
        <r>
          <rPr>
            <sz val="9"/>
            <color indexed="81"/>
            <rFont val="Tahoma"/>
            <family val="2"/>
          </rPr>
          <t xml:space="preserve">
INICIA EL 07-MARZO-2024
EQUIPO $2,250.00+IVA
MENSUALIDAD CON CANAL DE VOZ $300.00+IVA</t>
        </r>
      </text>
    </comment>
    <comment ref="E77" authorId="0" shapeId="0" xr:uid="{00000000-0006-0000-0200-00004A000000}">
      <text>
        <r>
          <rPr>
            <b/>
            <sz val="9"/>
            <color indexed="81"/>
            <rFont val="Tahoma"/>
            <family val="2"/>
          </rPr>
          <t>PC:</t>
        </r>
        <r>
          <rPr>
            <sz val="9"/>
            <color indexed="81"/>
            <rFont val="Tahoma"/>
            <family val="2"/>
          </rPr>
          <t xml:space="preserve">
INGRESA EL 09-ABRIL-2024 
COMODATO 
INSTALACION $500.00+IVA
MENSUALIDAD $279.00+IVA</t>
        </r>
      </text>
    </comment>
    <comment ref="E78" authorId="0" shapeId="0" xr:uid="{00000000-0006-0000-0200-00004B000000}">
      <text>
        <r>
          <rPr>
            <b/>
            <sz val="9"/>
            <color indexed="81"/>
            <rFont val="Tahoma"/>
            <family val="2"/>
          </rPr>
          <t>PC:</t>
        </r>
        <r>
          <rPr>
            <sz val="9"/>
            <color indexed="81"/>
            <rFont val="Tahoma"/>
            <family val="2"/>
          </rPr>
          <t xml:space="preserve">
INICIA EL 11-NOVIEMBRE.2023
COMODATO
INSTALACION $499.00+IVA
MENSUALIDAD $269.00+IVA
DES-INSTALACION $650.00+IVA</t>
        </r>
      </text>
    </comment>
    <comment ref="T78" authorId="0" shapeId="0" xr:uid="{00000000-0006-0000-0200-00004C000000}">
      <text>
        <r>
          <rPr>
            <b/>
            <sz val="9"/>
            <color indexed="81"/>
            <rFont val="Tahoma"/>
            <family val="2"/>
          </rPr>
          <t>PC:</t>
        </r>
        <r>
          <rPr>
            <sz val="9"/>
            <color indexed="81"/>
            <rFont val="Tahoma"/>
            <family val="2"/>
          </rPr>
          <t xml:space="preserve">
FACTURA 2424 CORRESPONDE A SERVICIO DE DES-INSTALACIONES</t>
        </r>
      </text>
    </comment>
    <comment ref="E79" authorId="0" shapeId="0" xr:uid="{00000000-0006-0000-0200-00004D000000}">
      <text>
        <r>
          <rPr>
            <b/>
            <sz val="9"/>
            <color indexed="81"/>
            <rFont val="Tahoma"/>
            <family val="2"/>
          </rPr>
          <t>PC:</t>
        </r>
        <r>
          <rPr>
            <sz val="9"/>
            <color indexed="81"/>
            <rFont val="Tahoma"/>
            <family val="2"/>
          </rPr>
          <t xml:space="preserve">
RE-INGRESO 04-AGOSTO-2022 
MENSUALIDAD $289.00+IVA 
EQUIPO $2,000.00+IVA INSTALACION DE EQUIPO $361.00+IVA 
REVISON $300.00+IVA=$348.00
FACTURAS PENDIENTES JUNIO'2020 </t>
        </r>
      </text>
    </comment>
    <comment ref="T79" authorId="0" shapeId="0" xr:uid="{00000000-0006-0000-0200-00004E000000}">
      <text>
        <r>
          <rPr>
            <b/>
            <sz val="9"/>
            <color indexed="81"/>
            <rFont val="Tahoma"/>
            <family val="2"/>
          </rPr>
          <t>PC:</t>
        </r>
        <r>
          <rPr>
            <sz val="9"/>
            <color indexed="81"/>
            <rFont val="Tahoma"/>
            <family val="2"/>
          </rPr>
          <t xml:space="preserve">
INSTALACION DE 2 EQUIPOS 04-AGOSTO-22 
ABONO A FACTURAS JUNIO'20 $968.00</t>
        </r>
      </text>
    </comment>
    <comment ref="E80" authorId="1" shapeId="0" xr:uid="{00000000-0006-0000-0200-00004F000000}">
      <text>
        <r>
          <rPr>
            <b/>
            <sz val="9"/>
            <color indexed="81"/>
            <rFont val="Tahoma"/>
            <family val="2"/>
          </rPr>
          <t>Luffi:</t>
        </r>
        <r>
          <rPr>
            <sz val="9"/>
            <color indexed="81"/>
            <rFont val="Tahoma"/>
            <family val="2"/>
          </rPr>
          <t xml:space="preserve">
MAR´2021
11 EQUIPOS COMODATO Y MONITOREO DE COMBUSTIBLE $406
UNIDADES: ECO 08, 09, 10, 11, 12, 14, 15, 16, 17 y No. 1 y 2
04 EQUIPOS COMODATO $348
UNIDADES: No. 3, 4, 6 y TOYOTA YARIS 
FEB´2021
11 EQUIPOS COMODATO Y MONITOREO DE COMBUSTIBLE $406
03 EQUIPO COMODATO $348 
11 MENSUALIDAD FIJA POR $350 + IVA = $406.00 
04 MENSUALIDAD FIJA POR $300 + IVA = $348.00 
INSTALACION $500 + IVA $580.00 C/U
MENSUALIDAD SIN SENSOR $300 + IVA $348.00 C/U
MENSUALIDAD CON SENSOR $350 + IVA $406.00 C/U
SENSORES COMBUSTIBLE $5,600 + IVA $6,496.00 C/U</t>
        </r>
      </text>
    </comment>
    <comment ref="T80" authorId="0" shapeId="0" xr:uid="{00000000-0006-0000-0200-000050000000}">
      <text>
        <r>
          <rPr>
            <b/>
            <sz val="9"/>
            <color indexed="81"/>
            <rFont val="Tahoma"/>
            <family val="2"/>
          </rPr>
          <t>PC:</t>
        </r>
        <r>
          <rPr>
            <sz val="9"/>
            <color indexed="81"/>
            <rFont val="Tahoma"/>
            <family val="2"/>
          </rPr>
          <t xml:space="preserve">
COBRO DE RE-INSTALACIÓN POR MANIPULACIÓN 
26-AGOSTO-22
UNIDAD 07 Y UNIDAD 11  
650+IVA</t>
        </r>
      </text>
    </comment>
    <comment ref="E81" authorId="0" shapeId="0" xr:uid="{00000000-0006-0000-0200-000051000000}">
      <text>
        <r>
          <rPr>
            <b/>
            <sz val="9"/>
            <color indexed="81"/>
            <rFont val="Tahoma"/>
            <family val="2"/>
          </rPr>
          <t>PC:</t>
        </r>
        <r>
          <rPr>
            <sz val="9"/>
            <color indexed="81"/>
            <rFont val="Tahoma"/>
            <family val="2"/>
          </rPr>
          <t xml:space="preserve">
INGRESA EL 13-SEPTIEMBRE-2024
COMODATO
INSTALACIÓN $549.00+IVA
MENSUALIDAD $300.00+IVA
CAMBIA A ESQUEMA DE FACTURACION 05-FEBRERO-2025 A NOMBRE DE NORMA LETICIA GONZALEZ VAZQUEZ</t>
        </r>
      </text>
    </comment>
    <comment ref="E82" authorId="0" shapeId="0" xr:uid="{00000000-0006-0000-0200-000052000000}">
      <text>
        <r>
          <rPr>
            <b/>
            <sz val="9"/>
            <color indexed="81"/>
            <rFont val="Tahoma"/>
            <family val="2"/>
          </rPr>
          <t>PC:</t>
        </r>
        <r>
          <rPr>
            <sz val="9"/>
            <color indexed="81"/>
            <rFont val="Tahoma"/>
            <family val="2"/>
          </rPr>
          <t xml:space="preserve">
INGRESA EL 25-SEPTIEMBRE-2024
COMODATO
INSTALACIÓN $549.00+IVA
MENSUALIDAD $300.00+IVA</t>
        </r>
      </text>
    </comment>
    <comment ref="E83" authorId="1" shapeId="0" xr:uid="{00000000-0006-0000-0200-000053000000}">
      <text>
        <r>
          <rPr>
            <b/>
            <sz val="9"/>
            <color indexed="81"/>
            <rFont val="Tahoma"/>
            <family val="2"/>
          </rPr>
          <t>Luffi:</t>
        </r>
        <r>
          <rPr>
            <sz val="9"/>
            <color indexed="81"/>
            <rFont val="Tahoma"/>
            <family val="2"/>
          </rPr>
          <t xml:space="preserve">
MEN $300.00
EQUIPO $1,800</t>
        </r>
      </text>
    </comment>
    <comment ref="T83" authorId="1" shapeId="0" xr:uid="{00000000-0006-0000-0200-000054000000}">
      <text>
        <r>
          <rPr>
            <b/>
            <sz val="9"/>
            <color indexed="81"/>
            <rFont val="Tahoma"/>
            <family val="2"/>
          </rPr>
          <t>Luffi:</t>
        </r>
        <r>
          <rPr>
            <sz val="9"/>
            <color indexed="81"/>
            <rFont val="Tahoma"/>
            <family val="2"/>
          </rPr>
          <t xml:space="preserve">
</t>
        </r>
        <r>
          <rPr>
            <b/>
            <sz val="9"/>
            <color indexed="81"/>
            <rFont val="Tahoma"/>
            <family val="2"/>
          </rPr>
          <t>20-ENERO-2022</t>
        </r>
        <r>
          <rPr>
            <sz val="9"/>
            <color indexed="81"/>
            <rFont val="Tahoma"/>
            <family val="2"/>
          </rPr>
          <t xml:space="preserve">
DES-INSTALACION Y RE-INSTALACION
(NISSAN RH-55-927 / NISSAN RA-0631-A) 
$1,000.00 + IVA </t>
        </r>
        <r>
          <rPr>
            <b/>
            <sz val="9"/>
            <color indexed="81"/>
            <rFont val="Tahoma"/>
            <family val="2"/>
          </rPr>
          <t>$1,160.00</t>
        </r>
        <r>
          <rPr>
            <sz val="9"/>
            <color indexed="81"/>
            <rFont val="Tahoma"/>
            <family val="2"/>
          </rPr>
          <t xml:space="preserve">
INSTALACION (NISSAN RA-0630-A)
$1,800.00 + IVA </t>
        </r>
        <r>
          <rPr>
            <b/>
            <sz val="9"/>
            <color indexed="81"/>
            <rFont val="Tahoma"/>
            <family val="2"/>
          </rPr>
          <t xml:space="preserve">$2,088.00
31-ENERO-2022
</t>
        </r>
        <r>
          <rPr>
            <sz val="9"/>
            <color indexed="81"/>
            <rFont val="Tahoma"/>
            <family val="2"/>
          </rPr>
          <t xml:space="preserve">DES-INSTALACION Y RE-INSTALACION 
(NISSAN RD-92-855 / NISSAN PW-3723-A)
$1,000.00 + IVA </t>
        </r>
        <r>
          <rPr>
            <b/>
            <sz val="9"/>
            <color indexed="81"/>
            <rFont val="Tahoma"/>
            <family val="2"/>
          </rPr>
          <t xml:space="preserve">$1,160.00
</t>
        </r>
        <r>
          <rPr>
            <sz val="9"/>
            <color indexed="81"/>
            <rFont val="Tahoma"/>
            <family val="2"/>
          </rPr>
          <t xml:space="preserve">
INSTALACION (NISSAN RA-0887-A)
$1,800.00 + IVA  </t>
        </r>
        <r>
          <rPr>
            <b/>
            <sz val="9"/>
            <color indexed="81"/>
            <rFont val="Tahoma"/>
            <family val="2"/>
          </rPr>
          <t>$2,088.00</t>
        </r>
      </text>
    </comment>
    <comment ref="E84" authorId="0" shapeId="0" xr:uid="{00000000-0006-0000-0200-000055000000}">
      <text>
        <r>
          <rPr>
            <b/>
            <sz val="9"/>
            <color indexed="81"/>
            <rFont val="Tahoma"/>
            <family val="2"/>
          </rPr>
          <t>PC:</t>
        </r>
        <r>
          <rPr>
            <sz val="9"/>
            <color indexed="81"/>
            <rFont val="Tahoma"/>
            <family val="2"/>
          </rPr>
          <t xml:space="preserve">
INGRESA EL 12-MAYO-2024  
COMODATO
INSTALACION $650.00+IVA
MENSUALIDAD $220.00+IVA</t>
        </r>
      </text>
    </comment>
    <comment ref="E85" authorId="0" shapeId="0" xr:uid="{00000000-0006-0000-0200-000056000000}">
      <text>
        <r>
          <rPr>
            <b/>
            <sz val="9"/>
            <color indexed="81"/>
            <rFont val="Tahoma"/>
            <family val="2"/>
          </rPr>
          <t>PC:</t>
        </r>
        <r>
          <rPr>
            <sz val="9"/>
            <color indexed="81"/>
            <rFont val="Tahoma"/>
            <family val="2"/>
          </rPr>
          <t xml:space="preserve">
INICIA EL 08-SEP-2023
EQUIPO $1,850.00+IVA
MENSUALIDAD $250.00+IVA
</t>
        </r>
      </text>
    </comment>
    <comment ref="E86" authorId="0" shapeId="0" xr:uid="{00000000-0006-0000-0200-000057000000}">
      <text>
        <r>
          <rPr>
            <b/>
            <sz val="9"/>
            <color indexed="81"/>
            <rFont val="Tahoma"/>
            <family val="2"/>
          </rPr>
          <t>PC:</t>
        </r>
        <r>
          <rPr>
            <sz val="9"/>
            <color indexed="81"/>
            <rFont val="Tahoma"/>
            <family val="2"/>
          </rPr>
          <t xml:space="preserve">
INGRESA EL 21-OCTUBRE-2024
COMODATO
INSTALACION $549.00+IVA
MENSUALIDAD $300.00+IVA</t>
        </r>
      </text>
    </comment>
    <comment ref="E87" authorId="0" shapeId="0" xr:uid="{00000000-0006-0000-0200-000058000000}">
      <text>
        <r>
          <rPr>
            <b/>
            <sz val="9"/>
            <color indexed="81"/>
            <rFont val="Tahoma"/>
            <family val="2"/>
          </rPr>
          <t>PC:</t>
        </r>
        <r>
          <rPr>
            <sz val="9"/>
            <color indexed="81"/>
            <rFont val="Tahoma"/>
            <family val="2"/>
          </rPr>
          <t xml:space="preserve">
INGRESA EL 12-ENERO-2024
SE LE INSTALA EL 15-ENERO-2024
EQUIPO E INST. $2,550.00+IVA
MENSUALIDAD $300.00+IVA</t>
        </r>
      </text>
    </comment>
    <comment ref="E88" authorId="0" shapeId="0" xr:uid="{00000000-0006-0000-0200-000059000000}">
      <text>
        <r>
          <rPr>
            <b/>
            <sz val="9"/>
            <color indexed="81"/>
            <rFont val="Tahoma"/>
            <family val="2"/>
          </rPr>
          <t>PC:</t>
        </r>
        <r>
          <rPr>
            <sz val="9"/>
            <color indexed="81"/>
            <rFont val="Tahoma"/>
            <family val="2"/>
          </rPr>
          <t xml:space="preserve">
INGRESA EL 14-SEPTIEMBRE-2024
CAMBIA A ESQUEMA DE FACTURACION 04-MARZO-2025
COMODATO
INSTALACIÓN $549.00
MENSUALIDAD $300.00
</t>
        </r>
      </text>
    </comment>
    <comment ref="E89" authorId="0" shapeId="0" xr:uid="{00000000-0006-0000-0200-00005A000000}">
      <text>
        <r>
          <rPr>
            <b/>
            <sz val="9"/>
            <color indexed="81"/>
            <rFont val="Tahoma"/>
            <family val="2"/>
          </rPr>
          <t>PC:</t>
        </r>
        <r>
          <rPr>
            <sz val="9"/>
            <color indexed="81"/>
            <rFont val="Tahoma"/>
            <family val="2"/>
          </rPr>
          <t xml:space="preserve">
INGRESA EL 11-OCTUBRE-2024
COMODATO
INSTALACIÓN $549.00+IVA
MENSUALIDAD $300.00+IVA
VISITA EN FALSO $250.00+IVA</t>
        </r>
      </text>
    </comment>
    <comment ref="E90" authorId="0" shapeId="0" xr:uid="{00000000-0006-0000-0200-00005B000000}">
      <text>
        <r>
          <rPr>
            <b/>
            <sz val="9"/>
            <color indexed="81"/>
            <rFont val="Tahoma"/>
            <family val="2"/>
          </rPr>
          <t>PC:</t>
        </r>
        <r>
          <rPr>
            <sz val="9"/>
            <color indexed="81"/>
            <rFont val="Tahoma"/>
            <family val="2"/>
          </rPr>
          <t xml:space="preserve">
INGRESA EL 10-OCTUBRE-2024
COMODATO 
INSTALACION $549.00+IVA
MENSUALIDAD $300.00+IVA</t>
        </r>
      </text>
    </comment>
    <comment ref="E91" authorId="0" shapeId="0" xr:uid="{00000000-0006-0000-0200-00005C000000}">
      <text>
        <r>
          <rPr>
            <b/>
            <sz val="9"/>
            <color indexed="81"/>
            <rFont val="Tahoma"/>
            <family val="2"/>
          </rPr>
          <t>PC:</t>
        </r>
        <r>
          <rPr>
            <sz val="9"/>
            <color indexed="81"/>
            <rFont val="Tahoma"/>
            <family val="2"/>
          </rPr>
          <t xml:space="preserve">
INGRESA EL 10-OCTUBRE-2023
EQUIPO $2,000.00+IVA
MENSUALIDAD $250.00+IVA</t>
        </r>
      </text>
    </comment>
    <comment ref="E92" authorId="0" shapeId="0" xr:uid="{00000000-0006-0000-0200-00005D000000}">
      <text>
        <r>
          <rPr>
            <b/>
            <sz val="9"/>
            <color indexed="81"/>
            <rFont val="Tahoma"/>
            <family val="2"/>
          </rPr>
          <t>PC:</t>
        </r>
        <r>
          <rPr>
            <sz val="9"/>
            <color indexed="81"/>
            <rFont val="Tahoma"/>
            <family val="2"/>
          </rPr>
          <t xml:space="preserve">
INGRESA EL 31-MAYO-2024
REACTIVACION DE CUENTA 10-FEBRERO-2025 
EQUIPO TRACTO $2,250.00+IVA
EQUIPO PORTATIL CON BATERIA DE LARGA DURACION $3,600.00+IVA
MENSUALIDAD $250.0+IVA
</t>
        </r>
      </text>
    </comment>
    <comment ref="E93" authorId="0" shapeId="0" xr:uid="{00000000-0006-0000-0200-00005E000000}">
      <text>
        <r>
          <rPr>
            <b/>
            <sz val="9"/>
            <color indexed="81"/>
            <rFont val="Tahoma"/>
            <family val="2"/>
          </rPr>
          <t>PC:</t>
        </r>
        <r>
          <rPr>
            <sz val="9"/>
            <color indexed="81"/>
            <rFont val="Tahoma"/>
            <family val="2"/>
          </rPr>
          <t xml:space="preserve">
INICA EL 13-NOVIEMBRE-2023
EQUIPO $2,200.00+IVA
MENSUALIDAD $250.00+IVA</t>
        </r>
      </text>
    </comment>
    <comment ref="E94" authorId="1" shapeId="0" xr:uid="{00000000-0006-0000-0200-00005F000000}">
      <text>
        <r>
          <rPr>
            <b/>
            <sz val="9"/>
            <color indexed="81"/>
            <rFont val="Tahoma"/>
            <family val="2"/>
          </rPr>
          <t>Luffi:</t>
        </r>
        <r>
          <rPr>
            <sz val="9"/>
            <color indexed="81"/>
            <rFont val="Tahoma"/>
            <family val="2"/>
          </rPr>
          <t xml:space="preserve">
EQUIPO $2,200.00+IVA
MENSUALIDAD 
$250.00 C/U + IVA 
</t>
        </r>
      </text>
    </comment>
    <comment ref="E95" authorId="0" shapeId="0" xr:uid="{00000000-0006-0000-0200-000060000000}">
      <text>
        <r>
          <rPr>
            <b/>
            <sz val="9"/>
            <color indexed="81"/>
            <rFont val="Tahoma"/>
            <family val="2"/>
          </rPr>
          <t>PC:</t>
        </r>
        <r>
          <rPr>
            <sz val="9"/>
            <color indexed="81"/>
            <rFont val="Tahoma"/>
            <family val="2"/>
          </rPr>
          <t xml:space="preserve">
INICA EL 22-MARZO-2023
EQUIPO: $2,500.00+IVA= $2,900.00
MENSUALIDAD: $350.00+IVA= $406.00
EQUIPO PORTATIL $5,420.00+IVA
REVISION $450.00+IVA
FEBRERO DE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6" authorId="0" shapeId="0" xr:uid="{00000000-0006-0000-0200-000061000000}">
      <text>
        <r>
          <rPr>
            <b/>
            <sz val="9"/>
            <color indexed="81"/>
            <rFont val="Tahoma"/>
            <family val="2"/>
          </rPr>
          <t>PC:</t>
        </r>
        <r>
          <rPr>
            <sz val="9"/>
            <color indexed="81"/>
            <rFont val="Tahoma"/>
            <family val="2"/>
          </rPr>
          <t xml:space="preserve">
INICA EL 22-MARZO-2023
EQUIPO: $2,500.00+IVA= $2,900.00
MENSUALIDAD: $350.00+IVA= $406.00
FEBRERO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7" authorId="1" shapeId="0" xr:uid="{00000000-0006-0000-0200-000062000000}">
      <text>
        <r>
          <rPr>
            <b/>
            <sz val="9"/>
            <color indexed="81"/>
            <rFont val="Tahoma"/>
            <family val="2"/>
          </rPr>
          <t>Luffi:</t>
        </r>
        <r>
          <rPr>
            <sz val="9"/>
            <color indexed="81"/>
            <rFont val="Tahoma"/>
            <family val="2"/>
          </rPr>
          <t xml:space="preserve">
RENTA 7 $350.00
1 GPS EN PLAN $650.00
EQUIPO $1,800.00+IVA
1 UNIDAD MAS OCTUBRE
</t>
        </r>
        <r>
          <rPr>
            <b/>
            <sz val="9"/>
            <color indexed="81"/>
            <rFont val="Tahoma"/>
            <family val="2"/>
          </rPr>
          <t xml:space="preserve">CAMBIO DE RAZON SOCIAL MARZO´2022
SE DIVIDE CUENTA ACERTRANS - SILVIA NERIA - AGOSTO 2023
</t>
        </r>
      </text>
    </comment>
    <comment ref="E98" authorId="0" shapeId="0" xr:uid="{00000000-0006-0000-0200-000063000000}">
      <text>
        <r>
          <rPr>
            <b/>
            <sz val="9"/>
            <color indexed="81"/>
            <rFont val="Tahoma"/>
            <family val="2"/>
          </rPr>
          <t>PC:</t>
        </r>
        <r>
          <rPr>
            <sz val="9"/>
            <color indexed="81"/>
            <rFont val="Tahoma"/>
            <family val="2"/>
          </rPr>
          <t xml:space="preserve">
INGRESA EL  08-ENERO-2025
EQUIPO $1,850.00+IVA
MENSUALIDAD $249.00+IVA</t>
        </r>
      </text>
    </comment>
    <comment ref="E99" authorId="0" shapeId="0" xr:uid="{00000000-0006-0000-0200-000064000000}">
      <text>
        <r>
          <rPr>
            <b/>
            <sz val="9"/>
            <color indexed="81"/>
            <rFont val="Tahoma"/>
            <family val="2"/>
          </rPr>
          <t>PC:</t>
        </r>
        <r>
          <rPr>
            <sz val="9"/>
            <color indexed="81"/>
            <rFont val="Tahoma"/>
            <family val="2"/>
          </rPr>
          <t xml:space="preserve">
INGRESA EL 23-OCTUBRE-2024
COMODATO
INSTALACION $549.00+IVA
MENSUALIDAD $300.00+IVA
SE ENVIAN EQUIPOS EL 30-OCTUBRE-2024 A HIDALGO 
</t>
        </r>
      </text>
    </comment>
    <comment ref="E100" authorId="0" shapeId="0" xr:uid="{00000000-0006-0000-0200-000065000000}">
      <text>
        <r>
          <rPr>
            <b/>
            <sz val="9"/>
            <color indexed="81"/>
            <rFont val="Tahoma"/>
            <family val="2"/>
          </rPr>
          <t>PC:</t>
        </r>
        <r>
          <rPr>
            <sz val="9"/>
            <color indexed="81"/>
            <rFont val="Tahoma"/>
            <family val="2"/>
          </rPr>
          <t xml:space="preserve">
INICIA EL 10-MARZO-2023 
COMODATO 
INSTALACIÓN $650.00+IVA= $754.00
MENSUALIDAD $300.00+IVA= $348.00</t>
        </r>
      </text>
    </comment>
    <comment ref="E101" authorId="0" shapeId="0" xr:uid="{00000000-0006-0000-0200-000066000000}">
      <text>
        <r>
          <rPr>
            <b/>
            <sz val="9"/>
            <color indexed="81"/>
            <rFont val="Tahoma"/>
            <family val="2"/>
          </rPr>
          <t xml:space="preserve">PC:
</t>
        </r>
        <r>
          <rPr>
            <sz val="10"/>
            <color indexed="81"/>
            <rFont val="Tahoma"/>
            <family val="2"/>
          </rPr>
          <t>INICIA EL 02-MAYO-2023 SR. VICTOR DAMIAN ZAPATA NORIEGA
EQUIPO $1,850.00
MENSUALIDAD $250.00
RE-INGRESO SR. ISMAEL ESCAREÑO  19-OCTUBRE-2024</t>
        </r>
      </text>
    </comment>
    <comment ref="E102" authorId="0" shapeId="0" xr:uid="{00000000-0006-0000-0200-000067000000}">
      <text>
        <r>
          <rPr>
            <b/>
            <sz val="9"/>
            <color indexed="81"/>
            <rFont val="Tahoma"/>
            <family val="2"/>
          </rPr>
          <t>PC:</t>
        </r>
        <r>
          <rPr>
            <sz val="9"/>
            <color indexed="81"/>
            <rFont val="Tahoma"/>
            <family val="2"/>
          </rPr>
          <t xml:space="preserve">
UNIDADES DE ERNESTO GOMEZ SE LE INSTALA EL 09-ENERO-2025
COMODATO 
INSTALACION $549.0+IVA
MENSUALIDAD $250.00´+IVA</t>
        </r>
      </text>
    </comment>
    <comment ref="E103" authorId="0" shapeId="0" xr:uid="{00000000-0006-0000-0200-000068000000}">
      <text>
        <r>
          <rPr>
            <b/>
            <sz val="9"/>
            <color indexed="81"/>
            <rFont val="Tahoma"/>
            <family val="2"/>
          </rPr>
          <t xml:space="preserve">PC:
</t>
        </r>
        <r>
          <rPr>
            <sz val="9"/>
            <color indexed="81"/>
            <rFont val="Tahoma"/>
            <family val="2"/>
          </rPr>
          <t>INICIA EL 23-NOVIEMBRE-2022 
3 UNIDADES 
EQUIPO E INSTALACIÓN $1,900.00+IVA = "2,204.00
MENSUALIDAD $275.00+IVA= $319.00 
DES-INSTALACION $650.00+IVA
RE-INSTALACION $650.00+IVA</t>
        </r>
      </text>
    </comment>
    <comment ref="T103" authorId="0" shapeId="0" xr:uid="{00000000-0006-0000-0200-000069000000}">
      <text>
        <r>
          <rPr>
            <b/>
            <sz val="9"/>
            <color indexed="81"/>
            <rFont val="Tahoma"/>
            <family val="2"/>
          </rPr>
          <t>PC:</t>
        </r>
        <r>
          <rPr>
            <sz val="9"/>
            <color indexed="81"/>
            <rFont val="Tahoma"/>
            <family val="2"/>
          </rPr>
          <t xml:space="preserve">
REVISION DE UNIDAD 30-ENE-23 *EQUIPO MANIPULADO $350.00+IVA=$406.00INCREMENTA 3 UNIDADES 07-DICIEMBRE-22 
3 EQUIPOS $1,900.00+IVA 
MENSUALIDAD PROPORCIONAL $210.83+IVA
MENSUALIDAD PROPORCIONAL 
INST. 3 UNIDADES 23-NOV-22 (7 DÍAS) $64.16 c/u = $192.50+IVA:$223.30
INST. 3 UNIDADES 25-NOV-22 /5 DÍAS) $45.83 c/U = $137.50+IVA:$159.42 
INCREMENTO DE 3 EQUIPO $1,900.00+IVA
3 MESNS. $275.00+IVA </t>
        </r>
      </text>
    </comment>
    <comment ref="E104" authorId="0" shapeId="0" xr:uid="{00000000-0006-0000-0200-00006A000000}">
      <text>
        <r>
          <rPr>
            <b/>
            <sz val="9"/>
            <color indexed="81"/>
            <rFont val="Tahoma"/>
            <family val="2"/>
          </rPr>
          <t>PC:</t>
        </r>
        <r>
          <rPr>
            <sz val="9"/>
            <color indexed="81"/>
            <rFont val="Tahoma"/>
            <family val="2"/>
          </rPr>
          <t xml:space="preserve">
INGRESA EL 11-ENERO-2025
INSTALACION $549.00+IVA
MENSUALIDAD $299.00+IVA</t>
        </r>
      </text>
    </comment>
    <comment ref="E105" authorId="1" shapeId="0" xr:uid="{00000000-0006-0000-0200-00006B000000}">
      <text>
        <r>
          <rPr>
            <b/>
            <sz val="9"/>
            <color indexed="81"/>
            <rFont val="Tahoma"/>
            <family val="2"/>
          </rPr>
          <t>Luffi:</t>
        </r>
        <r>
          <rPr>
            <sz val="9"/>
            <color indexed="81"/>
            <rFont val="Tahoma"/>
            <family val="2"/>
          </rPr>
          <t xml:space="preserve">
</t>
        </r>
        <r>
          <rPr>
            <sz val="10"/>
            <color indexed="81"/>
            <rFont val="Tahoma"/>
            <family val="2"/>
          </rPr>
          <t xml:space="preserve">4 RENTA $300.00 c/u
EQUIPO $1,800.00
SENSOR DE TEMPERATURA $900.00
SEPTIEMBRE 2024: INGRESA A ESQUEMA DE FACTURACIÓN Y SE LE COBRA +IVA
21-JULIO-2020 1 UNIDAD MAS 
16-FEBRERO-2023 1 UNIDAD MAS *SE LE COBRA MENS. PROPR. DE 9 DÍAS PORQUE LA UNIDAD NO REPORTABA Y SE FUE A REVISAR </t>
        </r>
      </text>
    </comment>
    <comment ref="E106" authorId="1" shapeId="0" xr:uid="{00000000-0006-0000-0200-00006C000000}">
      <text>
        <r>
          <rPr>
            <b/>
            <sz val="9"/>
            <color indexed="81"/>
            <rFont val="Tahoma"/>
            <family val="2"/>
          </rPr>
          <t>Luffi:</t>
        </r>
        <r>
          <rPr>
            <sz val="9"/>
            <color indexed="81"/>
            <rFont val="Tahoma"/>
            <family val="2"/>
          </rPr>
          <t xml:space="preserve">
</t>
        </r>
        <r>
          <rPr>
            <b/>
            <sz val="10"/>
            <color indexed="81"/>
            <rFont val="Tahoma"/>
            <family val="2"/>
          </rPr>
          <t>6 UNIDADES COMODATO</t>
        </r>
        <r>
          <rPr>
            <sz val="9"/>
            <color indexed="81"/>
            <rFont val="Tahoma"/>
            <family val="2"/>
          </rPr>
          <t xml:space="preserve">
INSTALACION $500 + IVA
DESINSTALACIONES $500+IVA
RE-INSTALACIONES $500.00+IVA
MENSUALIDAD $350 + IVA
 AGRAGA 1 UNID. 10-OCT-22
INSTALACIONES 
26 Y 27 FEBRERO´2021
SE LE FACTURA HASTA ABRIL´2021|</t>
        </r>
      </text>
    </comment>
    <comment ref="E107" authorId="0" shapeId="0" xr:uid="{00000000-0006-0000-0200-00006D000000}">
      <text>
        <r>
          <rPr>
            <b/>
            <sz val="9"/>
            <color indexed="81"/>
            <rFont val="Tahoma"/>
            <family val="2"/>
          </rPr>
          <t>PC:</t>
        </r>
        <r>
          <rPr>
            <sz val="9"/>
            <color indexed="81"/>
            <rFont val="Tahoma"/>
            <family val="2"/>
          </rPr>
          <t xml:space="preserve">
ALTA 31-MARZO-2025
COMODATO 
INSTALACION $549.00+IVA
MENSUALIDAD $300.00+IVA</t>
        </r>
      </text>
    </comment>
    <comment ref="E108" authorId="1" shapeId="0" xr:uid="{00000000-0006-0000-0200-00006E000000}">
      <text>
        <r>
          <rPr>
            <b/>
            <sz val="9"/>
            <color indexed="81"/>
            <rFont val="Tahoma"/>
            <family val="2"/>
          </rPr>
          <t>Luffi:</t>
        </r>
        <r>
          <rPr>
            <sz val="9"/>
            <color indexed="81"/>
            <rFont val="Tahoma"/>
            <family val="2"/>
          </rPr>
          <t xml:space="preserve">
EMPIEZA ESQUEMA EN PLAN 
PLATAFORMA NUEVA NOVIEMBRE´2020 
*MENSUALIDAD        $150.00   +  IVA = $174.00
*EQUIPO                 $1,724.00 + IVA = $1,999.84
*INSTALACION         $600.00   + IVA = $696.00
*RE-INSTALACION    $600.00   + IVA = $696.00
*DES-INSTALACION  $650.00   + IVA = $754.00
*REVISION              $450.00   + IVA = $522.00
*VISITA EN FALSO   $250.00   + IVA = $290.00
*MIGRACION            $450.00   + IVA = $522.00
</t>
        </r>
      </text>
    </comment>
    <comment ref="T108" authorId="0" shapeId="0" xr:uid="{00000000-0006-0000-0200-00006F000000}">
      <text>
        <r>
          <rPr>
            <b/>
            <sz val="9"/>
            <color indexed="81"/>
            <rFont val="Tahoma"/>
            <family val="2"/>
          </rPr>
          <t>PC:</t>
        </r>
        <r>
          <rPr>
            <sz val="9"/>
            <color indexed="81"/>
            <rFont val="Tahoma"/>
            <family val="2"/>
          </rPr>
          <t xml:space="preserve">
7 EQUIPOS 
1 DES-INSTALACIÓN U.364 9-AGO-22 $650+IVA
1 RE-INSTALACIÓN U.368 9-AGO-22 $600+IVA
2 VISITA EN FALSO 13-AGO-22 $250 c/u +IVA </t>
        </r>
      </text>
    </comment>
    <comment ref="E109" authorId="1" shapeId="0" xr:uid="{00000000-0006-0000-0200-000070000000}">
      <text>
        <r>
          <rPr>
            <b/>
            <sz val="9"/>
            <color indexed="81"/>
            <rFont val="Tahoma"/>
            <family val="2"/>
          </rPr>
          <t>Luffi:</t>
        </r>
        <r>
          <rPr>
            <sz val="9"/>
            <color indexed="81"/>
            <rFont val="Tahoma"/>
            <family val="2"/>
          </rPr>
          <t xml:space="preserve">
1 UNIDAD 
EQUIPO $1,879 + IVA  $2,179.64
RENTA   $300 + IVA    $348.00
 REVISIONES $450.0+IVA = $522.00
</t>
        </r>
        <r>
          <rPr>
            <b/>
            <sz val="9"/>
            <color indexed="81"/>
            <rFont val="Tahoma"/>
            <family val="2"/>
          </rPr>
          <t>INSTALACION 12-FEB-2021</t>
        </r>
      </text>
    </comment>
    <comment ref="E110" authorId="1" shapeId="0" xr:uid="{00000000-0006-0000-0200-000071000000}">
      <text>
        <r>
          <rPr>
            <b/>
            <sz val="9"/>
            <color indexed="81"/>
            <rFont val="Tahoma"/>
            <family val="2"/>
          </rPr>
          <t>Luffi:</t>
        </r>
        <r>
          <rPr>
            <sz val="9"/>
            <color indexed="81"/>
            <rFont val="Tahoma"/>
            <family val="2"/>
          </rPr>
          <t xml:space="preserve">
22 MIGRACIONES $350.00 + IVA
44 MENSUALIDAD $200.00 + IVA
1 EQUIPO $1,850.00 + IVA 
INSTALACION $650.00+IVA
RE-INSTALACIONES $650.00 + IVA
DES-INTALACIONES $
REVISIONES $450.00+IVA 
</t>
        </r>
        <r>
          <rPr>
            <b/>
            <sz val="9"/>
            <color indexed="81"/>
            <rFont val="Tahoma"/>
            <family val="2"/>
          </rPr>
          <t>*INICIA SEPTIEMBRE´2021*</t>
        </r>
      </text>
    </comment>
    <comment ref="T110" authorId="0" shapeId="0" xr:uid="{00000000-0006-0000-0200-000072000000}">
      <text>
        <r>
          <rPr>
            <b/>
            <sz val="9"/>
            <color indexed="81"/>
            <rFont val="Tahoma"/>
            <family val="2"/>
          </rPr>
          <t>PC:</t>
        </r>
        <r>
          <rPr>
            <sz val="9"/>
            <color indexed="81"/>
            <rFont val="Tahoma"/>
            <family val="2"/>
          </rPr>
          <t xml:space="preserve">
FACTURA ADICIONAL MAYO 2023
7 EQUIPOES E INST. DIF. DE $1,200.00+IVA POR CADA UNO </t>
        </r>
      </text>
    </comment>
    <comment ref="E111" authorId="0" shapeId="0" xr:uid="{00000000-0006-0000-0200-000073000000}">
      <text>
        <r>
          <rPr>
            <b/>
            <sz val="9"/>
            <color indexed="81"/>
            <rFont val="Tahoma"/>
            <family val="2"/>
          </rPr>
          <t>PC:</t>
        </r>
        <r>
          <rPr>
            <sz val="9"/>
            <color indexed="81"/>
            <rFont val="Tahoma"/>
            <family val="2"/>
          </rPr>
          <t xml:space="preserve">
ALTA 13-MARZO-2025
EQUIPO $1,700.00+IVA
MENSUALIDAD $300.00+IVA</t>
        </r>
      </text>
    </comment>
    <comment ref="D112" authorId="1" shapeId="0" xr:uid="{00000000-0006-0000-0200-000074000000}">
      <text>
        <r>
          <rPr>
            <b/>
            <sz val="9"/>
            <color indexed="81"/>
            <rFont val="Tahoma"/>
            <family val="2"/>
          </rPr>
          <t>Luffi:</t>
        </r>
        <r>
          <rPr>
            <sz val="9"/>
            <color indexed="81"/>
            <rFont val="Tahoma"/>
            <family val="2"/>
          </rPr>
          <t xml:space="preserve">
</t>
        </r>
        <r>
          <rPr>
            <sz val="9"/>
            <color indexed="10"/>
            <rFont val="Tahoma"/>
            <family val="2"/>
          </rPr>
          <t>Romeo Sierra - 811 591 1798
romeo.sierra@molldelvalle.com;</t>
        </r>
        <r>
          <rPr>
            <sz val="9"/>
            <color indexed="81"/>
            <rFont val="Tahoma"/>
            <family val="2"/>
          </rPr>
          <t xml:space="preserve">
YA NO LABORA AHÍ </t>
        </r>
      </text>
    </comment>
    <comment ref="E112" authorId="1" shapeId="0" xr:uid="{00000000-0006-0000-0200-000075000000}">
      <text>
        <r>
          <rPr>
            <b/>
            <sz val="9"/>
            <color indexed="81"/>
            <rFont val="Tahoma"/>
            <family val="2"/>
          </rPr>
          <t>Luffi:</t>
        </r>
        <r>
          <rPr>
            <sz val="9"/>
            <color indexed="81"/>
            <rFont val="Tahoma"/>
            <family val="2"/>
          </rPr>
          <t xml:space="preserve">
EQUIPO COMODATO
MENSUALIDAD $350 + IVA $406.00
INSTALACION $650 + IVA $754.00
</t>
        </r>
        <r>
          <rPr>
            <b/>
            <sz val="9"/>
            <color indexed="81"/>
            <rFont val="Tahoma"/>
            <family val="2"/>
          </rPr>
          <t>INSTALACION 25-AGOSTO-2021</t>
        </r>
      </text>
    </comment>
    <comment ref="E113" authorId="1" shapeId="0" xr:uid="{00000000-0006-0000-0200-000076000000}">
      <text>
        <r>
          <rPr>
            <b/>
            <sz val="9"/>
            <color indexed="81"/>
            <rFont val="Tahoma"/>
            <family val="2"/>
          </rPr>
          <t>Luffi:</t>
        </r>
        <r>
          <rPr>
            <sz val="9"/>
            <color indexed="81"/>
            <rFont val="Tahoma"/>
            <family val="2"/>
          </rPr>
          <t xml:space="preserve">
EQUIPO. $2,400 + IVA
MENSUALIDAD $250 + IVA 
</t>
        </r>
        <r>
          <rPr>
            <b/>
            <sz val="9"/>
            <color indexed="81"/>
            <rFont val="Tahoma"/>
            <family val="2"/>
          </rPr>
          <t>FACTURACION 28-SEP-2021
INSTALACION 29-SEP-2021
*COBRANZA HASTA NOV´2021</t>
        </r>
      </text>
    </comment>
    <comment ref="E114" authorId="1" shapeId="0" xr:uid="{00000000-0006-0000-0200-000077000000}">
      <text>
        <r>
          <rPr>
            <b/>
            <sz val="9"/>
            <color indexed="81"/>
            <rFont val="Tahoma"/>
            <family val="2"/>
          </rPr>
          <t>Luffi:</t>
        </r>
        <r>
          <rPr>
            <sz val="9"/>
            <color indexed="81"/>
            <rFont val="Tahoma"/>
            <family val="2"/>
          </rPr>
          <t xml:space="preserve">
</t>
        </r>
        <r>
          <rPr>
            <sz val="10"/>
            <color indexed="81"/>
            <rFont val="Tahoma"/>
            <family val="2"/>
          </rPr>
          <t>6</t>
        </r>
        <r>
          <rPr>
            <sz val="9"/>
            <color indexed="81"/>
            <rFont val="Tahoma"/>
            <family val="2"/>
          </rPr>
          <t xml:space="preserve"> </t>
        </r>
        <r>
          <rPr>
            <sz val="10"/>
            <color indexed="81"/>
            <rFont val="Tahoma"/>
            <family val="2"/>
          </rPr>
          <t xml:space="preserve">EQUIPOS $1,810.35 + IVA
6 MENSUALIDAD $315.00 + IVA
RE-INSTALACIÓN $650.00+ÍVA
DES-INSTALACIÓN $650.00+IVA 
INSTALACIONES SE REALIZARANA 31-MAY-2021
NO SE COBRA EN JUNIO POR FECHA DE INSTALACION
</t>
        </r>
        <r>
          <rPr>
            <b/>
            <sz val="10"/>
            <color indexed="81"/>
            <rFont val="Tahoma"/>
            <family val="2"/>
          </rPr>
          <t>*INSTALADAS 4 HASTA JUNIO*
2 INSTALACIONES 28-ENE-2022
FACTURADOS FEB´2022 - F. 
INSTALACIÓN 06-JULIO-2022</t>
        </r>
      </text>
    </comment>
    <comment ref="T114" authorId="0" shapeId="0" xr:uid="{00000000-0006-0000-0200-000078000000}">
      <text>
        <r>
          <rPr>
            <b/>
            <sz val="9"/>
            <color indexed="81"/>
            <rFont val="Tahoma"/>
            <family val="2"/>
          </rPr>
          <t xml:space="preserve">PC:
</t>
        </r>
        <r>
          <rPr>
            <sz val="9"/>
            <color indexed="81"/>
            <rFont val="Tahoma"/>
            <family val="2"/>
          </rPr>
          <t xml:space="preserve">DES-INSTALACION 12-OCT-22 FORD FIESTA $650.00+IVA 
RE-INSTALACION 12-OCT-22 CHEVROLET AVEO $650.00+IVA
INSTALACIÓN 06-JULIO-2022 MOTO HONDA BLANCO 67RZP2
3 INSTALACIONES 20-JULIO-2022
Dodge Ram 700 Blanco PS-9110-A 
Renault Kangoo Blanca RB-6974-A 
Renault Kangoo Blanca RB-6975-A
</t>
        </r>
      </text>
    </comment>
    <comment ref="E115" authorId="0" shapeId="0" xr:uid="{00000000-0006-0000-0200-000079000000}">
      <text>
        <r>
          <rPr>
            <b/>
            <sz val="9"/>
            <color indexed="81"/>
            <rFont val="Tahoma"/>
            <family val="2"/>
          </rPr>
          <t>PC:</t>
        </r>
        <r>
          <rPr>
            <sz val="9"/>
            <color indexed="81"/>
            <rFont val="Tahoma"/>
            <family val="2"/>
          </rPr>
          <t xml:space="preserve">
ALTA 27-MARZO-2025
EQUIPO $1,700.00+IVA
MENSUALIDAD $300.00+IVA</t>
        </r>
      </text>
    </comment>
    <comment ref="E116" authorId="0" shapeId="0" xr:uid="{00000000-0006-0000-0200-00007A000000}">
      <text>
        <r>
          <rPr>
            <b/>
            <sz val="9"/>
            <color indexed="81"/>
            <rFont val="Tahoma"/>
            <family val="2"/>
          </rPr>
          <t>PC:</t>
        </r>
        <r>
          <rPr>
            <sz val="9"/>
            <color indexed="81"/>
            <rFont val="Tahoma"/>
            <family val="2"/>
          </rPr>
          <t xml:space="preserve">
ALTA 13-MARZO-2025
EQUIPO $1,700.00+IVA
MENSUALIDAD CON BOTON DE PANICO $300.00+IVA</t>
        </r>
      </text>
    </comment>
    <comment ref="E117" authorId="0" shapeId="0" xr:uid="{00000000-0006-0000-0200-00007B000000}">
      <text>
        <r>
          <rPr>
            <b/>
            <sz val="9"/>
            <color indexed="81"/>
            <rFont val="Tahoma"/>
            <family val="2"/>
          </rPr>
          <t>PC:</t>
        </r>
        <r>
          <rPr>
            <sz val="9"/>
            <color indexed="81"/>
            <rFont val="Tahoma"/>
            <family val="2"/>
          </rPr>
          <t xml:space="preserve">
ALTA 14-MARZO-2025
EQUIPO $1,700.00+IVA
MENSUALIDAD $300.00+IVA</t>
        </r>
      </text>
    </comment>
    <comment ref="E118" authorId="1" shapeId="0" xr:uid="{00000000-0006-0000-0200-00007C000000}">
      <text>
        <r>
          <rPr>
            <b/>
            <sz val="9"/>
            <color indexed="81"/>
            <rFont val="Tahoma"/>
            <family val="2"/>
          </rPr>
          <t>Luffi:</t>
        </r>
        <r>
          <rPr>
            <sz val="9"/>
            <color indexed="81"/>
            <rFont val="Tahoma"/>
            <family val="2"/>
          </rPr>
          <t xml:space="preserve">
</t>
        </r>
        <r>
          <rPr>
            <sz val="10"/>
            <color indexed="81"/>
            <rFont val="Tahoma"/>
            <family val="2"/>
          </rPr>
          <t xml:space="preserve">RECONFIGURACION DE EQUIPO Y MENSUALIDAD $1,136.80
EQUIPO $1,800.00 + IVA $2,088.00
RECONFIGURACION $650.00 + IVA $754.00
MENSUALIDAD $330.00 + IVA $382.80
SERVICIO 27-ENE-2021
</t>
        </r>
        <r>
          <rPr>
            <b/>
            <sz val="10"/>
            <color indexed="81"/>
            <rFont val="Tahoma"/>
            <family val="2"/>
          </rPr>
          <t xml:space="preserve">GENERAR COBRANZA EN MARZO´2021           
</t>
        </r>
        <r>
          <rPr>
            <sz val="10"/>
            <color indexed="81"/>
            <rFont val="Tahoma"/>
            <family val="2"/>
          </rPr>
          <t xml:space="preserve">SERVICIO 10-JUNIO-2022 (Se Integra en Julio)
</t>
        </r>
        <r>
          <rPr>
            <b/>
            <sz val="10"/>
            <color indexed="81"/>
            <rFont val="Tahoma"/>
            <family val="2"/>
          </rPr>
          <t>GENERA COBRANZA EN JULIO´2022</t>
        </r>
      </text>
    </comment>
    <comment ref="T118" authorId="0" shapeId="0" xr:uid="{00000000-0006-0000-0200-00007D000000}">
      <text>
        <r>
          <rPr>
            <b/>
            <sz val="9"/>
            <color indexed="81"/>
            <rFont val="Tahoma"/>
            <family val="2"/>
          </rPr>
          <t>PC:</t>
        </r>
        <r>
          <rPr>
            <sz val="9"/>
            <color indexed="81"/>
            <rFont val="Tahoma"/>
            <family val="2"/>
          </rPr>
          <t xml:space="preserve">
INSTALACIÓN 10-JUNIO-2022 $1,800.00 + MENSUALIDAD $330.00 </t>
        </r>
      </text>
    </comment>
    <comment ref="E119" authorId="0" shapeId="0" xr:uid="{00000000-0006-0000-0200-00007E000000}">
      <text>
        <r>
          <rPr>
            <b/>
            <sz val="9"/>
            <color indexed="81"/>
            <rFont val="Tahoma"/>
            <family val="2"/>
          </rPr>
          <t>PC:</t>
        </r>
        <r>
          <rPr>
            <sz val="9"/>
            <color indexed="81"/>
            <rFont val="Tahoma"/>
            <family val="2"/>
          </rPr>
          <t xml:space="preserve">
ALTA 29-MARZO-2025
EQUIPO $1,950.00+IVA
MENSUALIDAD $300.00+IVA
MIGRACION $500.00+IVA</t>
        </r>
      </text>
    </comment>
    <comment ref="E120" authorId="2" shapeId="0" xr:uid="{00000000-0006-0000-0200-00007F000000}">
      <text>
        <r>
          <rPr>
            <b/>
            <sz val="9"/>
            <color indexed="81"/>
            <rFont val="Tahoma"/>
            <family val="2"/>
          </rPr>
          <t>Usuario de Windows:</t>
        </r>
        <r>
          <rPr>
            <sz val="9"/>
            <color indexed="81"/>
            <rFont val="Tahoma"/>
            <family val="2"/>
          </rPr>
          <t xml:space="preserve">
</t>
        </r>
        <r>
          <rPr>
            <b/>
            <sz val="10"/>
            <color indexed="81"/>
            <rFont val="Tahoma"/>
            <family val="2"/>
          </rPr>
          <t>INSTALACION 01-MARZO-2022</t>
        </r>
        <r>
          <rPr>
            <sz val="10"/>
            <color indexed="81"/>
            <rFont val="Tahoma"/>
            <family val="2"/>
          </rPr>
          <t xml:space="preserve">
EQUIPO $2,241.38 + IVA
SENSOR DE TEMPERATURA CAJA REF. $899 + IVA
SENSOR DE SOMBUSTIBLE $4,827.59 + IVA
MENSUALIDAD SENSOR COMBUSTIBLE  $350 + IVA 
MENSUALIDAD SENSOR COMBUSTIBLE Y TEMPERTAURA $400 + IVA 
RE-INSTALACIONES $650.00+IVA
SENSOR DE COMBUSTIBLE $5,900.00+IVA COTIZACION NOV 2022 Y MARZO 2023 
SENSOR DE COMBUSTIBLE ABRIL 2023 $5,600.00+IVA
INTEGRACION DE WEB SERVICE $8,500.00+IVA=$9,860.00
(31-OCT- PAGO 02-NOV)
</t>
        </r>
        <r>
          <rPr>
            <b/>
            <sz val="10"/>
            <color indexed="81"/>
            <rFont val="Tahoma"/>
            <family val="2"/>
          </rPr>
          <t xml:space="preserve">FACTURA 05-ABRIL-2022
CORTE 15 DE CADA MES </t>
        </r>
      </text>
    </comment>
    <comment ref="T120" authorId="0" shapeId="0" xr:uid="{00000000-0006-0000-0200-000080000000}">
      <text>
        <r>
          <rPr>
            <b/>
            <sz val="9"/>
            <color indexed="81"/>
            <rFont val="Tahoma"/>
            <family val="2"/>
          </rPr>
          <t>PC:</t>
        </r>
        <r>
          <rPr>
            <sz val="9"/>
            <color indexed="81"/>
            <rFont val="Tahoma"/>
            <family val="2"/>
          </rPr>
          <t xml:space="preserve">
FACTURA 1653 POR COTIZACION 
2 EQUIPOS
2 MENS
2 SENSOR DE VARILLA
EQUIPO E INSTALACION $1,900.00+IVA
SENSOR DE COMBUSTIBLE DE VARILLA $5,900.00+IVA</t>
        </r>
      </text>
    </comment>
    <comment ref="AH120" authorId="0" shapeId="0" xr:uid="{00000000-0006-0000-0200-000081000000}">
      <text>
        <r>
          <rPr>
            <b/>
            <sz val="9"/>
            <color indexed="81"/>
            <rFont val="Tahoma"/>
            <family val="2"/>
          </rPr>
          <t>PC:</t>
        </r>
        <r>
          <rPr>
            <sz val="9"/>
            <color indexed="81"/>
            <rFont val="Tahoma"/>
            <family val="2"/>
          </rPr>
          <t xml:space="preserve">
SENSOR DE DIESEL 
INSTALADO 09-MAYO-2023
</t>
        </r>
      </text>
    </comment>
    <comment ref="E121" authorId="0" shapeId="0" xr:uid="{00000000-0006-0000-0200-000082000000}">
      <text>
        <r>
          <rPr>
            <b/>
            <sz val="9"/>
            <color indexed="81"/>
            <rFont val="Tahoma"/>
            <family val="2"/>
          </rPr>
          <t>PC:</t>
        </r>
        <r>
          <rPr>
            <sz val="9"/>
            <color indexed="81"/>
            <rFont val="Tahoma"/>
            <family val="2"/>
          </rPr>
          <t xml:space="preserve">
MIGRACION EL 22-ENERO-2025 
CLIENTE BACOCA(SR. HECTOR RODRIGUEZ) 
1 MIGRACION DEL SR. LUIS CARLOS CABELLO MARROQUIN - A BACOCA
Correo trafico.bacoca@hotmail.com
Contacto Hector Rodriguez Tel. 8115538897
MIGRACION DE UNIDAD 
EQUIPO $2,241
SENSOR DIESEL $5,600
SENSOR TEMPERATURA $899
MENSUALIDAD CON SENSOR DE COMBUSTIBLE $350 
MENSUALIDAD CON SENSOR DE COMBUSTIBLE Y DIESEL $400
UNIDADES A MIGRAR 
CAJA #110 PLACAS: 57UU5L - Identificada en Plataforma TH-03 57UU5L (Con Sensores TyD)
43 AD 6A - Identificada en Plataforma Tracto 03 43-AD-6A (Sin Sensores)</t>
        </r>
      </text>
    </comment>
    <comment ref="E122" authorId="0" shapeId="0" xr:uid="{00000000-0006-0000-0200-000083000000}">
      <text>
        <r>
          <rPr>
            <b/>
            <sz val="9"/>
            <color indexed="81"/>
            <rFont val="Tahoma"/>
            <family val="2"/>
          </rPr>
          <t>PC:</t>
        </r>
        <r>
          <rPr>
            <sz val="9"/>
            <color indexed="81"/>
            <rFont val="Tahoma"/>
            <family val="2"/>
          </rPr>
          <t xml:space="preserve">
INGRESA A COBRANZA EL 13-MARZO-2025
ALTA EL 14-MARZO-2025
EQUIPO $2,089.00+IVA
MENSUALIDAD C/BOTON DE PANICO $300.00+IVA</t>
        </r>
      </text>
    </comment>
    <comment ref="E123" authorId="1" shapeId="0" xr:uid="{00000000-0006-0000-0200-000084000000}">
      <text>
        <r>
          <rPr>
            <b/>
            <sz val="9"/>
            <color indexed="81"/>
            <rFont val="Tahoma"/>
            <family val="2"/>
          </rPr>
          <t>Luffi:</t>
        </r>
        <r>
          <rPr>
            <sz val="9"/>
            <color indexed="81"/>
            <rFont val="Tahoma"/>
            <family val="2"/>
          </rPr>
          <t xml:space="preserve">
EQUIPO $1900 + IVA
MENSUALIDAD $250 + IVA 
*</t>
        </r>
        <r>
          <rPr>
            <b/>
            <sz val="9"/>
            <color indexed="81"/>
            <rFont val="Tahoma"/>
            <family val="2"/>
          </rPr>
          <t>INSTALACION 29-JUNIO-2021*
COBRAR HASTA AGOSTO</t>
        </r>
      </text>
    </comment>
    <comment ref="E124" authorId="1" shapeId="0" xr:uid="{00000000-0006-0000-0200-000085000000}">
      <text>
        <r>
          <rPr>
            <b/>
            <sz val="9"/>
            <color indexed="81"/>
            <rFont val="Tahoma"/>
            <family val="2"/>
          </rPr>
          <t>Luffi:</t>
        </r>
        <r>
          <rPr>
            <sz val="9"/>
            <color indexed="81"/>
            <rFont val="Tahoma"/>
            <family val="2"/>
          </rPr>
          <t xml:space="preserve">
</t>
        </r>
        <r>
          <rPr>
            <sz val="10"/>
            <color indexed="81"/>
            <rFont val="Tahoma"/>
            <family val="2"/>
          </rPr>
          <t xml:space="preserve">1 UNIDAD 
EQUIPO $1,879 + IVA
MENSUALIDAD $350 + IVA
4 MENSUALIDADES $300.00C/U+IVA
2 MENS. DASH CAM $900.00C/U+IVA
CAMARA DASH CAM $8,790.00+IVA
REVISIONES CON COSTO  $400.00+IVA
RE-INSTALACIONES $500.00+IVA
DES-INSTALACIONES $500.00+IVA
VISITA EN FALSO $250.00+IVA
</t>
        </r>
        <r>
          <rPr>
            <b/>
            <sz val="10"/>
            <color indexed="81"/>
            <rFont val="Tahoma"/>
            <family val="2"/>
          </rPr>
          <t>INSTLACION 20-OCTUBRE-2020
*COBRA PROPORCIONAL EN NOV´2020</t>
        </r>
      </text>
    </comment>
    <comment ref="E125" authorId="0" shapeId="0" xr:uid="{00000000-0006-0000-0200-000086000000}">
      <text>
        <r>
          <rPr>
            <b/>
            <sz val="9"/>
            <color indexed="81"/>
            <rFont val="Tahoma"/>
            <family val="2"/>
          </rPr>
          <t>PC:</t>
        </r>
        <r>
          <rPr>
            <sz val="9"/>
            <color indexed="81"/>
            <rFont val="Tahoma"/>
            <family val="2"/>
          </rPr>
          <t xml:space="preserve">
ALTA 18-MARZO-2025
MIGRACIÓN $650.00+IVA
MENSUALIDAD $250.00
EQUIPO $1,700.00</t>
        </r>
      </text>
    </comment>
    <comment ref="E126" authorId="0" shapeId="0" xr:uid="{00000000-0006-0000-0200-000087000000}">
      <text>
        <r>
          <rPr>
            <b/>
            <sz val="9"/>
            <color indexed="81"/>
            <rFont val="Tahoma"/>
            <family val="2"/>
          </rPr>
          <t>PC:</t>
        </r>
        <r>
          <rPr>
            <sz val="9"/>
            <color indexed="81"/>
            <rFont val="Tahoma"/>
            <family val="2"/>
          </rPr>
          <t xml:space="preserve">
ALTA EL 22-ENERO-2025
SE EMPIEZA A CONSIDERAR A PARTIR DE FEBRERO 2025
EQUIPO TELTONIKA 4G/2G GMC 130 $2,400.00+IVA
SENSOR DE COMBUSTIBLE LIGO VARILLA INDUCTIVA $5,600.00+IVA
SENSOR DE TEMPERATURA TIPO PROBETA ANALOGICA SIN COSTO $0.00
SEMESTRE POR UNIDAD $1,800.00+IVA
BONIFICACION SOBRE SEMESTRE (1 MES) -$300.00</t>
        </r>
      </text>
    </comment>
    <comment ref="E127" authorId="0" shapeId="0" xr:uid="{00000000-0006-0000-0200-000088000000}">
      <text>
        <r>
          <rPr>
            <b/>
            <sz val="9"/>
            <color indexed="81"/>
            <rFont val="Tahoma"/>
            <family val="2"/>
          </rPr>
          <t>PC:</t>
        </r>
        <r>
          <rPr>
            <sz val="9"/>
            <color indexed="81"/>
            <rFont val="Tahoma"/>
            <family val="2"/>
          </rPr>
          <t xml:space="preserve">
INGRESA EL 17-OCTUBRE-2024
SERVICIOS EXTERNOS SIN MENSUALIDAD Y SIN PLATAFORMA 
INSTALACION $700.00+IVA
DES-INSTALACION $500.00+IVA
VISITA EN FALSO $250.00+IVA
RE-INSTALACION $700.00+IVA</t>
        </r>
      </text>
    </comment>
    <comment ref="E128" authorId="0" shapeId="0" xr:uid="{00000000-0006-0000-0200-000089000000}">
      <text>
        <r>
          <rPr>
            <b/>
            <sz val="9"/>
            <color indexed="81"/>
            <rFont val="Tahoma"/>
            <family val="2"/>
          </rPr>
          <t>PC:</t>
        </r>
        <r>
          <rPr>
            <sz val="9"/>
            <color indexed="81"/>
            <rFont val="Tahoma"/>
            <family val="2"/>
          </rPr>
          <t xml:space="preserve">
SE DIVIDE CUENTA DE 360 LOGISTICS EL 06-DICIEMBRE-2024
EQUIPO $1,800.00+IVA
ANUALIDAD $2,790.00+IVA</t>
        </r>
      </text>
    </comment>
    <comment ref="E130" authorId="0" shapeId="0" xr:uid="{00000000-0006-0000-0200-00008A000000}">
      <text>
        <r>
          <rPr>
            <b/>
            <sz val="9"/>
            <color indexed="81"/>
            <rFont val="Tahoma"/>
            <family val="2"/>
          </rPr>
          <t>PC:</t>
        </r>
        <r>
          <rPr>
            <sz val="9"/>
            <color indexed="81"/>
            <rFont val="Tahoma"/>
            <family val="2"/>
          </rPr>
          <t xml:space="preserve">
RE-INGRESA EL 11-NOVIEMBRE-2023
INSTALACION $650.00+IVA
ANUALIDAD $2,500.00+IVA
EQUIPOS $997.00+IVA</t>
        </r>
      </text>
    </comment>
    <comment ref="E131" authorId="1" shapeId="0" xr:uid="{00000000-0006-0000-0200-00008B000000}">
      <text>
        <r>
          <rPr>
            <b/>
            <sz val="9"/>
            <color indexed="81"/>
            <rFont val="Tahoma"/>
            <family val="2"/>
          </rPr>
          <t>Luffi:</t>
        </r>
        <r>
          <rPr>
            <sz val="9"/>
            <color indexed="81"/>
            <rFont val="Tahoma"/>
            <family val="2"/>
          </rPr>
          <t xml:space="preserve">
25-OCTUBRE-2022 
1 REVISION Y RE-INSTALACIÓN $650.00+IVA
</t>
        </r>
        <r>
          <rPr>
            <sz val="10"/>
            <color indexed="81"/>
            <rFont val="Tahoma"/>
            <family val="2"/>
          </rPr>
          <t xml:space="preserve">INSTALACION 14-MAYO-2021
2 EQUIPO NUEVOS  $1,850 + IVA 
1 MIGRACION          $ 450 + IVA
3 MENSUALIDAD $300 + IVA C/U 
</t>
        </r>
        <r>
          <rPr>
            <b/>
            <sz val="10"/>
            <color indexed="81"/>
            <rFont val="Tahoma"/>
            <family val="2"/>
          </rPr>
          <t>*ESTA PENDIENTE LA MIGRACION EL EQUIPO ESTA BLOQUEADO SOLO SE COBRARAN 2 RENTAS</t>
        </r>
      </text>
    </comment>
    <comment ref="T131" authorId="0" shapeId="0" xr:uid="{00000000-0006-0000-0200-00008C000000}">
      <text>
        <r>
          <rPr>
            <b/>
            <sz val="9"/>
            <color indexed="81"/>
            <rFont val="Tahoma"/>
            <family val="2"/>
          </rPr>
          <t>PC:</t>
        </r>
        <r>
          <rPr>
            <sz val="9"/>
            <color indexed="81"/>
            <rFont val="Tahoma"/>
            <family val="2"/>
          </rPr>
          <t xml:space="preserve">
REVISIÓN Y RE-INSTALACION 25-OCT-22 $650.00+IVA</t>
        </r>
      </text>
    </comment>
    <comment ref="E132" authorId="0" shapeId="0" xr:uid="{00000000-0006-0000-0200-00008D000000}">
      <text>
        <r>
          <rPr>
            <b/>
            <sz val="9"/>
            <color indexed="81"/>
            <rFont val="Tahoma"/>
            <family val="2"/>
          </rPr>
          <t>PC:</t>
        </r>
        <r>
          <rPr>
            <sz val="9"/>
            <color indexed="81"/>
            <rFont val="Tahoma"/>
            <family val="2"/>
          </rPr>
          <t xml:space="preserve">
INGRESA EL 17-MAYO-2024
EQUIPO $1,500.00
MENSUALIDAD $250.00</t>
        </r>
      </text>
    </comment>
    <comment ref="E133" authorId="0" shapeId="0" xr:uid="{00000000-0006-0000-0200-00008E000000}">
      <text>
        <r>
          <rPr>
            <b/>
            <sz val="9"/>
            <color indexed="81"/>
            <rFont val="Tahoma"/>
            <family val="2"/>
          </rPr>
          <t>PC:</t>
        </r>
        <r>
          <rPr>
            <sz val="9"/>
            <color indexed="81"/>
            <rFont val="Tahoma"/>
            <family val="2"/>
          </rPr>
          <t xml:space="preserve">
INGRESA EL 30-JUNIO-2023
EQUIPO $1,950.00+IVA
MENSUALIDAD $300.00+IVA</t>
        </r>
      </text>
    </comment>
    <comment ref="E134" authorId="1" shapeId="0" xr:uid="{00000000-0006-0000-0200-00008F000000}">
      <text>
        <r>
          <rPr>
            <b/>
            <sz val="9"/>
            <color indexed="81"/>
            <rFont val="Tahoma"/>
            <family val="2"/>
          </rPr>
          <t>Luffi:</t>
        </r>
        <r>
          <rPr>
            <sz val="9"/>
            <color indexed="81"/>
            <rFont val="Tahoma"/>
            <family val="2"/>
          </rPr>
          <t xml:space="preserve">
RENTA $300.00
INSTALACION $350.00 COMODATO
EQUIPO $1,850.00
SERVICIOS $350.00
PEPE $200.00
OLID $100.00
</t>
        </r>
      </text>
    </comment>
    <comment ref="S134" authorId="1" shapeId="0" xr:uid="{00000000-0006-0000-0200-000090000000}">
      <text>
        <r>
          <rPr>
            <b/>
            <sz val="9"/>
            <color indexed="81"/>
            <rFont val="Tahoma"/>
            <family val="2"/>
          </rPr>
          <t>Luffi:</t>
        </r>
        <r>
          <rPr>
            <sz val="9"/>
            <color indexed="81"/>
            <rFont val="Tahoma"/>
            <family val="2"/>
          </rPr>
          <t xml:space="preserve">
</t>
        </r>
        <r>
          <rPr>
            <b/>
            <sz val="9"/>
            <color indexed="81"/>
            <rFont val="Tahoma"/>
            <family val="2"/>
          </rPr>
          <t xml:space="preserve">MAYO (COMODATO)
42 UNIDADES RASTREO $300
1 UNIDAD CON MICROFONO $350
</t>
        </r>
        <r>
          <rPr>
            <sz val="9"/>
            <color indexed="81"/>
            <rFont val="Tahoma"/>
            <family val="2"/>
          </rPr>
          <t xml:space="preserve">
</t>
        </r>
        <r>
          <rPr>
            <b/>
            <sz val="10"/>
            <color indexed="81"/>
            <rFont val="Tahoma"/>
            <family val="2"/>
          </rPr>
          <t xml:space="preserve">AJUSTE </t>
        </r>
        <r>
          <rPr>
            <b/>
            <sz val="10"/>
            <color indexed="10"/>
            <rFont val="Tahoma"/>
            <family val="2"/>
          </rPr>
          <t>-$900.00</t>
        </r>
        <r>
          <rPr>
            <sz val="10"/>
            <color indexed="81"/>
            <rFont val="Tahoma"/>
            <family val="2"/>
          </rPr>
          <t xml:space="preserve">
3 UNIDADES QUE NO REPORTAN </t>
        </r>
      </text>
    </comment>
    <comment ref="T134" authorId="1" shapeId="0" xr:uid="{00000000-0006-0000-0200-000091000000}">
      <text>
        <r>
          <rPr>
            <b/>
            <sz val="9"/>
            <color indexed="81"/>
            <rFont val="Tahoma"/>
            <family val="2"/>
          </rPr>
          <t xml:space="preserve">Luffi:
REMISION 50 DIC'22
</t>
        </r>
        <r>
          <rPr>
            <sz val="9"/>
            <color indexed="81"/>
            <rFont val="Tahoma"/>
            <family val="2"/>
          </rPr>
          <t>3 DES-INSTALACIONES $1,050.00
1 MIGRACIÓN JAIR MARTÍNEZ -$350.00</t>
        </r>
        <r>
          <rPr>
            <b/>
            <sz val="9"/>
            <color indexed="81"/>
            <rFont val="Tahoma"/>
            <family val="2"/>
          </rPr>
          <t xml:space="preserve">
REMISION 49 NOV'22</t>
        </r>
        <r>
          <rPr>
            <sz val="9"/>
            <color indexed="81"/>
            <rFont val="Tahoma"/>
            <family val="2"/>
          </rPr>
          <t xml:space="preserve">
2 INSTALACIONES
3DES-INSTALACIONES
1MIGRACIÓN -$350.00
04-AGO-22 $2,100.00 
SERVICIOS ADICIONALES REMISION 47 
</t>
        </r>
        <r>
          <rPr>
            <b/>
            <sz val="9"/>
            <color indexed="81"/>
            <rFont val="Tahoma"/>
            <family val="2"/>
          </rPr>
          <t xml:space="preserve">
02-FEB-2022 $1,800 PAGO DE EQUIPO 
</t>
        </r>
        <r>
          <rPr>
            <sz val="9"/>
            <color indexed="81"/>
            <rFont val="Tahoma"/>
            <family val="2"/>
          </rPr>
          <t>UNIDAD 032 ALBERTO VAZQUEZ SIERRA DENALI BLANCA´2018</t>
        </r>
        <r>
          <rPr>
            <b/>
            <sz val="9"/>
            <color indexed="81"/>
            <rFont val="Tahoma"/>
            <family val="2"/>
          </rPr>
          <t xml:space="preserve">
JUNIO´2021 $2,490
SERVICIOS ADICIONALES REMISION 35
MAYO´2021 $1,630.00
SERVICIOS ADICIONALES REMISION 34
</t>
        </r>
        <r>
          <rPr>
            <sz val="9"/>
            <color indexed="81"/>
            <rFont val="Tahoma"/>
            <family val="2"/>
          </rPr>
          <t xml:space="preserve">
</t>
        </r>
        <r>
          <rPr>
            <b/>
            <sz val="10"/>
            <color indexed="81"/>
            <rFont val="Tahoma"/>
            <family val="2"/>
          </rPr>
          <t>FEB-2021 $2,820.00</t>
        </r>
        <r>
          <rPr>
            <sz val="9"/>
            <color indexed="81"/>
            <rFont val="Tahoma"/>
            <family val="2"/>
          </rPr>
          <t xml:space="preserve">
</t>
        </r>
        <r>
          <rPr>
            <sz val="10"/>
            <color indexed="81"/>
            <rFont val="Tahoma"/>
            <family val="2"/>
          </rPr>
          <t xml:space="preserve">5 DES-INSTALACIONES $0.00
4 RE-INSTALACIONES $350 = $1,400.00
3 INSTALACIONES $1,420.00
</t>
        </r>
        <r>
          <rPr>
            <sz val="9"/>
            <color indexed="81"/>
            <rFont val="Tahoma"/>
            <family val="2"/>
          </rPr>
          <t xml:space="preserve">
2</t>
        </r>
        <r>
          <rPr>
            <sz val="10"/>
            <color indexed="81"/>
            <rFont val="Tahoma"/>
            <family val="2"/>
          </rPr>
          <t xml:space="preserve"> INSTALACIONES NUEVAS $890.00
14-SEP-2020  $350 + $160.00 = $510.00
28-SEP-2020  $350 + $ 30.00  = $380.00
</t>
        </r>
        <r>
          <rPr>
            <sz val="9"/>
            <color indexed="81"/>
            <rFont val="Tahoma"/>
            <family val="2"/>
          </rPr>
          <t xml:space="preserve">
5</t>
        </r>
        <r>
          <rPr>
            <sz val="10"/>
            <color indexed="81"/>
            <rFont val="Tahoma"/>
            <family val="2"/>
          </rPr>
          <t xml:space="preserve"> INSTALACIONES NUEVAS 
03-AGO-2020  $350.00 + $300.00
08-AGO-2020  $350.00 + $220.00
08-AGO-2020  $350.00 + $220.00
26-AGO-2020  $350.00 + $ 40.00
27-AGO-2020  $350.00 + $ 30.00
04-JUNIO-2020 $350.00 + $260.00
22-JUNIO-2020 $350.00 + $ 80.00
25-JUNIO-2020 $350.00 + $ 50.00
</t>
        </r>
        <r>
          <rPr>
            <b/>
            <sz val="10"/>
            <color indexed="81"/>
            <rFont val="Tahoma"/>
            <family val="2"/>
          </rPr>
          <t>TOTAL $1,440.00
OLID $3,750.00 + $129.87 =$3,879.87
PEPE $5,400.00 + $260.13 =$5,660.13</t>
        </r>
      </text>
    </comment>
    <comment ref="U134" authorId="1" shapeId="0" xr:uid="{00000000-0006-0000-0200-000092000000}">
      <text>
        <r>
          <rPr>
            <b/>
            <sz val="9"/>
            <color indexed="81"/>
            <rFont val="Tahoma"/>
            <family val="2"/>
          </rPr>
          <t>Luffi:</t>
        </r>
        <r>
          <rPr>
            <sz val="9"/>
            <color indexed="81"/>
            <rFont val="Tahoma"/>
            <family val="2"/>
          </rPr>
          <t xml:space="preserve">
</t>
        </r>
        <r>
          <rPr>
            <sz val="9"/>
            <color indexed="81"/>
            <rFont val="Tahoma"/>
            <family val="2"/>
          </rPr>
          <t>COBRO DE EXTRAVIO DE EQUIPO 
CTE. ALBERTO VAZQUEZ 
AGOSTO´2021</t>
        </r>
      </text>
    </comment>
    <comment ref="E135" authorId="1" shapeId="0" xr:uid="{00000000-0006-0000-0200-000093000000}">
      <text>
        <r>
          <rPr>
            <b/>
            <sz val="9"/>
            <color indexed="81"/>
            <rFont val="Tahoma"/>
            <family val="2"/>
          </rPr>
          <t>Luffi:</t>
        </r>
        <r>
          <rPr>
            <sz val="9"/>
            <color indexed="81"/>
            <rFont val="Tahoma"/>
            <family val="2"/>
          </rPr>
          <t xml:space="preserve">
</t>
        </r>
        <r>
          <rPr>
            <sz val="10"/>
            <color indexed="81"/>
            <rFont val="Tahoma"/>
            <family val="2"/>
          </rPr>
          <t xml:space="preserve">4 RENTA $250.00 + IVA
2 BAJAS PROVICIONALES
SE REACTIVARAN EN MARZO
06-JULIO-2022 INSTALACION NVO EQP. </t>
        </r>
      </text>
    </comment>
    <comment ref="E136" authorId="0" shapeId="0" xr:uid="{00000000-0006-0000-0200-000094000000}">
      <text>
        <r>
          <rPr>
            <b/>
            <sz val="9"/>
            <color indexed="81"/>
            <rFont val="Tahoma"/>
            <family val="2"/>
          </rPr>
          <t>PC:</t>
        </r>
        <r>
          <rPr>
            <sz val="9"/>
            <color indexed="81"/>
            <rFont val="Tahoma"/>
            <family val="2"/>
          </rPr>
          <t xml:space="preserve">
EQUIPO $1,800.00+IVA 
MENSUALIDAD $300.00+IVA 
11-MARZO-2023
2 GPS REMOLQUE $3,400.00+IVA c/u =$3,944.00
1 GPS TRACTO $1,800.00+IVA= $2,088.00
3 MENSUALIDADES $300.00+IVA= $348.00
REVISION $500.00+IVA
DES-INSTALACIONES $500.00+IVA
RE-INSTALACIONES $500.00+IVA
VISITA EN FALSO $250.00+IVA
</t>
        </r>
      </text>
    </comment>
    <comment ref="T136" authorId="0" shapeId="0" xr:uid="{00000000-0006-0000-0200-000095000000}">
      <text>
        <r>
          <rPr>
            <b/>
            <sz val="9"/>
            <color indexed="81"/>
            <rFont val="Tahoma"/>
            <family val="2"/>
          </rPr>
          <t>PC:</t>
        </r>
        <r>
          <rPr>
            <sz val="9"/>
            <color indexed="81"/>
            <rFont val="Tahoma"/>
            <family val="2"/>
          </rPr>
          <t xml:space="preserve">
30-SEPTIEMBRE-2023 2 GPS REMOLQUE $3,400.00+IVA C/U 
11-MARZO-2023 
2 GPS REMOLQUES $3,400.00 C/U
</t>
        </r>
      </text>
    </comment>
    <comment ref="AG136" authorId="0" shapeId="0" xr:uid="{00000000-0006-0000-0200-000096000000}">
      <text>
        <r>
          <rPr>
            <b/>
            <sz val="9"/>
            <color indexed="81"/>
            <rFont val="Tahoma"/>
            <family val="2"/>
          </rPr>
          <t>PC:</t>
        </r>
        <r>
          <rPr>
            <sz val="9"/>
            <color indexed="81"/>
            <rFont val="Tahoma"/>
            <family val="2"/>
          </rPr>
          <t xml:space="preserve">
VENTA DE EQUIPO PAGADO EN EFECTIVO EL MISMO DIA </t>
        </r>
      </text>
    </comment>
    <comment ref="AL136" authorId="0" shapeId="0" xr:uid="{00000000-0006-0000-0200-000097000000}">
      <text>
        <r>
          <rPr>
            <b/>
            <sz val="9"/>
            <color indexed="81"/>
            <rFont val="Tahoma"/>
            <family val="2"/>
          </rPr>
          <t>PC:</t>
        </r>
        <r>
          <rPr>
            <sz val="9"/>
            <color indexed="81"/>
            <rFont val="Tahoma"/>
            <family val="2"/>
          </rPr>
          <t xml:space="preserve">
REVISION DE UNIDADES PAGO EN EFECTIVO A JESUS GALVAN </t>
        </r>
      </text>
    </comment>
    <comment ref="E137" authorId="0" shapeId="0" xr:uid="{00000000-0006-0000-0200-000098000000}">
      <text>
        <r>
          <rPr>
            <b/>
            <sz val="9"/>
            <color indexed="81"/>
            <rFont val="Tahoma"/>
            <family val="2"/>
          </rPr>
          <t>PC:</t>
        </r>
        <r>
          <rPr>
            <sz val="9"/>
            <color indexed="81"/>
            <rFont val="Tahoma"/>
            <family val="2"/>
          </rPr>
          <t xml:space="preserve">
INGRESA EL 23-JULIO-2024
EQUIPO $1,000.00
MENSUALIDAD $300.00
</t>
        </r>
      </text>
    </comment>
    <comment ref="E138" authorId="0" shapeId="0" xr:uid="{00000000-0006-0000-0200-000099000000}">
      <text>
        <r>
          <rPr>
            <b/>
            <sz val="9"/>
            <color indexed="81"/>
            <rFont val="Tahoma"/>
            <family val="2"/>
          </rPr>
          <t>PC:</t>
        </r>
        <r>
          <rPr>
            <sz val="9"/>
            <color indexed="81"/>
            <rFont val="Tahoma"/>
            <family val="2"/>
          </rPr>
          <t xml:space="preserve">
CLIENTE MIGRADO DE  ALEJANDRO MARMOLEJO 17-ENERO-2025
EQUIPO $1,800.00
MENSUALIDAD $350.00</t>
        </r>
      </text>
    </comment>
    <comment ref="E139" authorId="0" shapeId="0" xr:uid="{00000000-0006-0000-0200-00009A000000}">
      <text>
        <r>
          <rPr>
            <b/>
            <sz val="9"/>
            <color indexed="81"/>
            <rFont val="Tahoma"/>
            <family val="2"/>
          </rPr>
          <t>PC:</t>
        </r>
        <r>
          <rPr>
            <sz val="9"/>
            <color indexed="81"/>
            <rFont val="Tahoma"/>
            <family val="2"/>
          </rPr>
          <t xml:space="preserve">
CLIENTE NUEVO 06-DICIEMBRE-2024
EQUIPO $1,850.00
MENSUALIDAD CON CANAL DE VOZ $250.00</t>
        </r>
      </text>
    </comment>
    <comment ref="E140" authorId="0" shapeId="0" xr:uid="{00000000-0006-0000-0200-00009B000000}">
      <text>
        <r>
          <rPr>
            <b/>
            <sz val="9"/>
            <color indexed="81"/>
            <rFont val="Tahoma"/>
            <family val="2"/>
          </rPr>
          <t>PC:</t>
        </r>
        <r>
          <rPr>
            <sz val="9"/>
            <color indexed="81"/>
            <rFont val="Tahoma"/>
            <family val="2"/>
          </rPr>
          <t xml:space="preserve">
INGRESA EL 29-OCTUBRE-2024
EQUIPO $2,100.00
MENSUALIDAD $150.00</t>
        </r>
      </text>
    </comment>
    <comment ref="E141" authorId="0" shapeId="0" xr:uid="{00000000-0006-0000-0200-00009C000000}">
      <text>
        <r>
          <rPr>
            <b/>
            <sz val="9"/>
            <color indexed="81"/>
            <rFont val="Tahoma"/>
            <family val="2"/>
          </rPr>
          <t>PC:</t>
        </r>
        <r>
          <rPr>
            <sz val="9"/>
            <color indexed="81"/>
            <rFont val="Tahoma"/>
            <family val="2"/>
          </rPr>
          <t xml:space="preserve">
INGRESA EL 09-JULIO-2024
COMODATO
INSTALACION $500.00
MENS. $250.00</t>
        </r>
      </text>
    </comment>
    <comment ref="E142" authorId="0" shapeId="0" xr:uid="{00000000-0006-0000-0200-00009D000000}">
      <text>
        <r>
          <rPr>
            <b/>
            <sz val="9"/>
            <color indexed="81"/>
            <rFont val="Tahoma"/>
            <family val="2"/>
          </rPr>
          <t>PC:</t>
        </r>
        <r>
          <rPr>
            <sz val="9"/>
            <color indexed="81"/>
            <rFont val="Tahoma"/>
            <family val="2"/>
          </rPr>
          <t xml:space="preserve">
SE LE INSTALA EL 07-JUNIO-2024 EQUIPO USO RUDO
EL 11-JUNIO-2024 INSTALA EQP. DASH CAM
SE AGREGA A LA COBRANZA EL 10-JUNIO-2024
EQUIPO 3ER GENERACION USO RUDO PARA REMOLQUE $3,600.00
MENSUALIDAD $250.00
EQUIPO DASH CAM $8,790.00
MENSUALIDAD DASH CAM $900.00
</t>
        </r>
      </text>
    </comment>
    <comment ref="E143" authorId="0" shapeId="0" xr:uid="{00000000-0006-0000-0200-00009E000000}">
      <text>
        <r>
          <rPr>
            <b/>
            <sz val="9"/>
            <color indexed="81"/>
            <rFont val="Tahoma"/>
            <family val="2"/>
          </rPr>
          <t>PC:</t>
        </r>
        <r>
          <rPr>
            <sz val="9"/>
            <color indexed="81"/>
            <rFont val="Tahoma"/>
            <family val="2"/>
          </rPr>
          <t xml:space="preserve">
INGRESA EL 30-ENERO-2025
EQUIPO $1,800.00
MENSUALIDAD $350.00</t>
        </r>
      </text>
    </comment>
    <comment ref="E144" authorId="0" shapeId="0" xr:uid="{00000000-0006-0000-0200-00009F000000}">
      <text>
        <r>
          <rPr>
            <b/>
            <sz val="9"/>
            <color indexed="81"/>
            <rFont val="Tahoma"/>
            <family val="2"/>
          </rPr>
          <t xml:space="preserve">PC:
</t>
        </r>
        <r>
          <rPr>
            <sz val="9"/>
            <color indexed="81"/>
            <rFont val="Tahoma"/>
            <family val="2"/>
          </rPr>
          <t xml:space="preserve">20-Junio-2022  Instalación 
Equipo $2,000.00
Mensualidad $300.00 </t>
        </r>
      </text>
    </comment>
    <comment ref="E145" authorId="0" shapeId="0" xr:uid="{00000000-0006-0000-0200-0000A0000000}">
      <text>
        <r>
          <rPr>
            <b/>
            <sz val="9"/>
            <color indexed="81"/>
            <rFont val="Tahoma"/>
            <family val="2"/>
          </rPr>
          <t>PC:</t>
        </r>
        <r>
          <rPr>
            <sz val="9"/>
            <color indexed="81"/>
            <rFont val="Tahoma"/>
            <family val="2"/>
          </rPr>
          <t xml:space="preserve">
INGRESA EL 29-OCTUBRE-2024
EQUIPO $1,850.00
MENSUALIDAD $299.00</t>
        </r>
      </text>
    </comment>
    <comment ref="E146" authorId="1" shapeId="0" xr:uid="{00000000-0006-0000-0200-0000A1000000}">
      <text>
        <r>
          <rPr>
            <b/>
            <sz val="9"/>
            <color indexed="81"/>
            <rFont val="Tahoma"/>
            <family val="2"/>
          </rPr>
          <t>Luffi:</t>
        </r>
        <r>
          <rPr>
            <sz val="9"/>
            <color indexed="81"/>
            <rFont val="Tahoma"/>
            <family val="2"/>
          </rPr>
          <t xml:space="preserve">
EQUIPO TRASPASADO POR CHUY SOCIO JOSE LUIS 
MENSUALIDAD $300.00
RE-INSTALACION $650.00
</t>
        </r>
        <r>
          <rPr>
            <b/>
            <sz val="9"/>
            <color indexed="81"/>
            <rFont val="Tahoma"/>
            <family val="2"/>
          </rPr>
          <t>*INSTALACION 20-DIC-2021 
*SE LE COBRA HASTA FEB´2022</t>
        </r>
      </text>
    </comment>
    <comment ref="E147" authorId="0" shapeId="0" xr:uid="{00000000-0006-0000-0200-0000A2000000}">
      <text>
        <r>
          <rPr>
            <b/>
            <sz val="9"/>
            <color indexed="81"/>
            <rFont val="Tahoma"/>
            <family val="2"/>
          </rPr>
          <t>PC:</t>
        </r>
        <r>
          <rPr>
            <sz val="9"/>
            <color indexed="81"/>
            <rFont val="Tahoma"/>
            <family val="2"/>
          </rPr>
          <t xml:space="preserve">
INGRESA EL 14-SEPTIEMBRE-2024 
COMODATO 
INSTALACIÓN $549.00
MENSUALIDAD $300.00</t>
        </r>
      </text>
    </comment>
    <comment ref="E148" authorId="1" shapeId="0" xr:uid="{00000000-0006-0000-0200-0000A3000000}">
      <text>
        <r>
          <rPr>
            <b/>
            <sz val="9"/>
            <color indexed="81"/>
            <rFont val="Tahoma"/>
            <family val="2"/>
          </rPr>
          <t>Luffi:</t>
        </r>
        <r>
          <rPr>
            <sz val="9"/>
            <color indexed="81"/>
            <rFont val="Tahoma"/>
            <family val="2"/>
          </rPr>
          <t xml:space="preserve">
TRASPASO DE CLIENTE DE PLAY MOTORS 
EQUIPO $1,850
MENSUALIDAD $300</t>
        </r>
      </text>
    </comment>
    <comment ref="E149" authorId="0" shapeId="0" xr:uid="{00000000-0006-0000-0200-0000A4000000}">
      <text>
        <r>
          <rPr>
            <b/>
            <sz val="9"/>
            <color indexed="81"/>
            <rFont val="Tahoma"/>
            <family val="2"/>
          </rPr>
          <t>PC:</t>
        </r>
        <r>
          <rPr>
            <sz val="9"/>
            <color indexed="81"/>
            <rFont val="Tahoma"/>
            <family val="2"/>
          </rPr>
          <t xml:space="preserve">
INGRESA EL 09-OCTUBRE-2024
EQUIPOS DASH CAM $7,000.00
MENSUALIDAD $900.00</t>
        </r>
      </text>
    </comment>
    <comment ref="E150" authorId="0" shapeId="0" xr:uid="{00000000-0006-0000-0200-0000A5000000}">
      <text>
        <r>
          <rPr>
            <b/>
            <sz val="9"/>
            <color indexed="81"/>
            <rFont val="Tahoma"/>
            <family val="2"/>
          </rPr>
          <t>PC:</t>
        </r>
        <r>
          <rPr>
            <sz val="9"/>
            <color indexed="81"/>
            <rFont val="Tahoma"/>
            <family val="2"/>
          </rPr>
          <t xml:space="preserve">
INICIA EL 29-AGOSTO-2023
EQUIPO $1,850.00
MENSUALIDAD $250.00</t>
        </r>
      </text>
    </comment>
    <comment ref="E151" authorId="0" shapeId="0" xr:uid="{00000000-0006-0000-0200-0000A6000000}">
      <text>
        <r>
          <rPr>
            <b/>
            <sz val="9"/>
            <color indexed="81"/>
            <rFont val="Tahoma"/>
            <family val="2"/>
          </rPr>
          <t>PC:</t>
        </r>
        <r>
          <rPr>
            <sz val="9"/>
            <color indexed="81"/>
            <rFont val="Tahoma"/>
            <family val="2"/>
          </rPr>
          <t xml:space="preserve">
COMODATO 
INGRESA EL 27-SEPTIEMBRE-2024
INSTALACION $549.00
MENSUALIDAD $300.00</t>
        </r>
      </text>
    </comment>
    <comment ref="E152" authorId="1" shapeId="0" xr:uid="{00000000-0006-0000-0200-0000A7000000}">
      <text>
        <r>
          <rPr>
            <b/>
            <sz val="9"/>
            <color indexed="81"/>
            <rFont val="Tahoma"/>
            <family val="2"/>
          </rPr>
          <t>Luffi:</t>
        </r>
        <r>
          <rPr>
            <sz val="9"/>
            <color indexed="81"/>
            <rFont val="Tahoma"/>
            <family val="2"/>
          </rPr>
          <t xml:space="preserve">
</t>
        </r>
        <r>
          <rPr>
            <sz val="10"/>
            <color indexed="81"/>
            <rFont val="Tahoma"/>
            <family val="2"/>
          </rPr>
          <t>8 RENTAS $297.00 
DES-INSTALACIÓN $500.00
REVISIONES $500.00</t>
        </r>
      </text>
    </comment>
    <comment ref="T152" authorId="0" shapeId="0" xr:uid="{00000000-0006-0000-0200-0000A8000000}">
      <text>
        <r>
          <rPr>
            <b/>
            <sz val="9"/>
            <color indexed="81"/>
            <rFont val="Tahoma"/>
            <family val="2"/>
          </rPr>
          <t>PC:</t>
        </r>
        <r>
          <rPr>
            <sz val="9"/>
            <color indexed="81"/>
            <rFont val="Tahoma"/>
            <family val="2"/>
          </rPr>
          <t xml:space="preserve">
REVISION DE UNIDAD 15-NOV-22 FROD BCO. PLACAS 25AG2W $500.00</t>
        </r>
      </text>
    </comment>
    <comment ref="E153" authorId="1" shapeId="0" xr:uid="{00000000-0006-0000-0200-0000A9000000}">
      <text>
        <r>
          <rPr>
            <b/>
            <sz val="9"/>
            <color indexed="81"/>
            <rFont val="Tahoma"/>
            <family val="2"/>
          </rPr>
          <t>Luffi:</t>
        </r>
        <r>
          <rPr>
            <sz val="9"/>
            <color indexed="81"/>
            <rFont val="Tahoma"/>
            <family val="2"/>
          </rPr>
          <t xml:space="preserve">
</t>
        </r>
        <r>
          <rPr>
            <b/>
            <sz val="9"/>
            <color indexed="81"/>
            <rFont val="Tahoma"/>
            <family val="2"/>
          </rPr>
          <t xml:space="preserve">CLIENTE DE PRESTACOCHE MIGRADO
</t>
        </r>
        <r>
          <rPr>
            <sz val="9"/>
            <color indexed="81"/>
            <rFont val="Tahoma"/>
            <family val="2"/>
          </rPr>
          <t xml:space="preserve">MIGRADO $650.00
MENSUALIDAD $300.00
EQUIPO $2,100.00
</t>
        </r>
        <r>
          <rPr>
            <b/>
            <sz val="9"/>
            <color indexed="81"/>
            <rFont val="Tahoma"/>
            <family val="2"/>
          </rPr>
          <t>RECONFIGURACION 05-ENERO-2022</t>
        </r>
      </text>
    </comment>
    <comment ref="E154" authorId="0" shapeId="0" xr:uid="{00000000-0006-0000-0200-0000AA000000}">
      <text>
        <r>
          <rPr>
            <b/>
            <sz val="9"/>
            <color indexed="81"/>
            <rFont val="Tahoma"/>
            <family val="2"/>
          </rPr>
          <t>PC:</t>
        </r>
        <r>
          <rPr>
            <sz val="9"/>
            <color indexed="81"/>
            <rFont val="Tahoma"/>
            <family val="2"/>
          </rPr>
          <t xml:space="preserve">
INICIA EL 09-MARZO-2023 
EQUIPO $2,200.00
MENSUALIDAD $249.00</t>
        </r>
      </text>
    </comment>
    <comment ref="E155" authorId="0" shapeId="0" xr:uid="{00000000-0006-0000-0200-0000AB000000}">
      <text>
        <r>
          <rPr>
            <b/>
            <sz val="9"/>
            <color indexed="81"/>
            <rFont val="Tahoma"/>
            <family val="2"/>
          </rPr>
          <t>PC:</t>
        </r>
        <r>
          <rPr>
            <sz val="9"/>
            <color indexed="81"/>
            <rFont val="Tahoma"/>
            <family val="2"/>
          </rPr>
          <t xml:space="preserve">
INICIA EL 12-NOV-22 
1er.Pago $1,769.00 11-Nov-22
2do. Pago $1,769.00 14-Nov-22
EQUIPO $1,800.00+IVA 
MESUALIDAD $250.00+IVA 
VIÁTICOS $1,000.00</t>
        </r>
      </text>
    </comment>
    <comment ref="S155" authorId="0" shapeId="0" xr:uid="{00000000-0006-0000-0200-0000AC000000}">
      <text>
        <r>
          <rPr>
            <b/>
            <sz val="9"/>
            <color indexed="81"/>
            <rFont val="Tahoma"/>
            <family val="2"/>
          </rPr>
          <t>PC:</t>
        </r>
        <r>
          <rPr>
            <sz val="9"/>
            <color indexed="81"/>
            <rFont val="Tahoma"/>
            <family val="2"/>
          </rPr>
          <t xml:space="preserve">
INICIA 12-NOV-22
MENSUALIDAD $250.00+IVA=$290.00</t>
        </r>
      </text>
    </comment>
    <comment ref="T155" authorId="0" shapeId="0" xr:uid="{00000000-0006-0000-0200-0000AD000000}">
      <text>
        <r>
          <rPr>
            <b/>
            <sz val="9"/>
            <color indexed="81"/>
            <rFont val="Tahoma"/>
            <family val="2"/>
          </rPr>
          <t>PC:</t>
        </r>
        <r>
          <rPr>
            <sz val="9"/>
            <color indexed="81"/>
            <rFont val="Tahoma"/>
            <family val="2"/>
          </rPr>
          <t xml:space="preserve">
INSTALACION Y EQUIPO $1,800.00
MENSUALIDAD $250.00
</t>
        </r>
      </text>
    </comment>
    <comment ref="E156" authorId="0" shapeId="0" xr:uid="{00000000-0006-0000-0200-0000AE000000}">
      <text>
        <r>
          <rPr>
            <b/>
            <sz val="9"/>
            <color indexed="81"/>
            <rFont val="Tahoma"/>
            <family val="2"/>
          </rPr>
          <t>PC:</t>
        </r>
        <r>
          <rPr>
            <sz val="9"/>
            <color indexed="81"/>
            <rFont val="Tahoma"/>
            <family val="2"/>
          </rPr>
          <t xml:space="preserve">
INGRESA EL 22-NOVIEMBRE-2024
EQUIPO $1.850.00
MENSUALIDAD $300.00</t>
        </r>
      </text>
    </comment>
    <comment ref="E157" authorId="0" shapeId="0" xr:uid="{00000000-0006-0000-0200-0000AF000000}">
      <text>
        <r>
          <rPr>
            <b/>
            <sz val="9"/>
            <color indexed="81"/>
            <rFont val="Tahoma"/>
            <family val="2"/>
          </rPr>
          <t>PC:</t>
        </r>
        <r>
          <rPr>
            <sz val="9"/>
            <color indexed="81"/>
            <rFont val="Tahoma"/>
            <family val="2"/>
          </rPr>
          <t xml:space="preserve">
INICA EL 21-SEP-2022 
EQUIPO $1,800.00
RENTA $280.00
REVISION Y CAMBIO DE MICRÓFONO $250.00</t>
        </r>
      </text>
    </comment>
    <comment ref="T157" authorId="0" shapeId="0" xr:uid="{00000000-0006-0000-0200-0000B0000000}">
      <text>
        <r>
          <rPr>
            <b/>
            <sz val="9"/>
            <color indexed="81"/>
            <rFont val="Tahoma"/>
            <family val="2"/>
          </rPr>
          <t>PC:</t>
        </r>
        <r>
          <rPr>
            <sz val="9"/>
            <color indexed="81"/>
            <rFont val="Tahoma"/>
            <family val="2"/>
          </rPr>
          <t xml:space="preserve">
REVISION Y CAMBIO DE MICROFONO 
13-ENERO-2023
$250.00</t>
        </r>
      </text>
    </comment>
    <comment ref="E158" authorId="0" shapeId="0" xr:uid="{00000000-0006-0000-0200-0000B1000000}">
      <text>
        <r>
          <rPr>
            <b/>
            <sz val="9"/>
            <color indexed="81"/>
            <rFont val="Tahoma"/>
            <family val="2"/>
          </rPr>
          <t>PC:</t>
        </r>
        <r>
          <rPr>
            <sz val="9"/>
            <color indexed="81"/>
            <rFont val="Tahoma"/>
            <family val="2"/>
          </rPr>
          <t xml:space="preserve">
INICIA EL 26-DICIEMBRE-2024
EQUIPO $1,850.00
MENSUALIDAD $300.00</t>
        </r>
      </text>
    </comment>
    <comment ref="E159" authorId="0" shapeId="0" xr:uid="{00000000-0006-0000-0200-0000B2000000}">
      <text>
        <r>
          <rPr>
            <b/>
            <sz val="9"/>
            <color indexed="81"/>
            <rFont val="Tahoma"/>
            <family val="2"/>
          </rPr>
          <t>PC:</t>
        </r>
        <r>
          <rPr>
            <sz val="9"/>
            <color indexed="81"/>
            <rFont val="Tahoma"/>
            <family val="2"/>
          </rPr>
          <t xml:space="preserve">
MIGRACIÓN 07-FEBRERO-2025  DEL SR. GUILLERMO REHLAENDER 
 MENSUALIDAD $300.00 
MIGRACIÓN CLIENTE DE ANUALIDAD 
JAIR MARTINEZ LE VENDIO LA UNIDAD
EL SR. GUILLERMO REHLAENDER SE QUEDO CON EL SERVICIO EN FORMA MENSUAL 
MENSUALIDAD $280.00+IVA
ANUALIDAD $3,000.00+IVA
Baja Cta. Jair Martinez (Migracion de Play Motors)
Correo jairmartinez208@gmail.com
Contacto 8135611076
Esquema - Migracion Venta de equipo con Anualidad 
Equipo $1,950
Anualidad $3,600 (Bonificacion $600) - Neto $3,000 
Total $ 5,742</t>
        </r>
      </text>
    </comment>
    <comment ref="E160" authorId="0" shapeId="0" xr:uid="{00000000-0006-0000-0200-0000B3000000}">
      <text>
        <r>
          <rPr>
            <b/>
            <sz val="9"/>
            <color indexed="81"/>
            <rFont val="Tahoma"/>
            <family val="2"/>
          </rPr>
          <t>PC:</t>
        </r>
        <r>
          <rPr>
            <sz val="9"/>
            <color indexed="81"/>
            <rFont val="Tahoma"/>
            <family val="2"/>
          </rPr>
          <t xml:space="preserve">
INGRESA EL 18-SEPTIEMBRE-2024
COMODATO
INSTALACION $549.00
MENSUALIDAD $300.00</t>
        </r>
      </text>
    </comment>
    <comment ref="E161" authorId="0" shapeId="0" xr:uid="{00000000-0006-0000-0200-0000B4000000}">
      <text>
        <r>
          <rPr>
            <b/>
            <sz val="9"/>
            <color indexed="81"/>
            <rFont val="Tahoma"/>
            <family val="2"/>
          </rPr>
          <t>PC:</t>
        </r>
        <r>
          <rPr>
            <sz val="9"/>
            <color indexed="81"/>
            <rFont val="Tahoma"/>
            <family val="2"/>
          </rPr>
          <t xml:space="preserve">
Tecnico de Saltillo
Instala el 27-enero-2024
Se le empieza a cobrar en Marzo 2024
Mensualidad $200.00</t>
        </r>
      </text>
    </comment>
    <comment ref="E162" authorId="1" shapeId="0" xr:uid="{00000000-0006-0000-0200-0000B5000000}">
      <text>
        <r>
          <rPr>
            <b/>
            <sz val="9"/>
            <color indexed="81"/>
            <rFont val="Tahoma"/>
            <family val="2"/>
          </rPr>
          <t>Luffi:</t>
        </r>
        <r>
          <rPr>
            <sz val="9"/>
            <color indexed="81"/>
            <rFont val="Tahoma"/>
            <family val="2"/>
          </rPr>
          <t xml:space="preserve">
4</t>
        </r>
        <r>
          <rPr>
            <sz val="10"/>
            <color indexed="81"/>
            <rFont val="Tahoma"/>
            <family val="2"/>
          </rPr>
          <t xml:space="preserve"> RENTA $350.00</t>
        </r>
        <r>
          <rPr>
            <sz val="9"/>
            <color indexed="81"/>
            <rFont val="Tahoma"/>
            <family val="2"/>
          </rPr>
          <t xml:space="preserve"> 
SE DAN DE BAJA 2 UNIDADES 
</t>
        </r>
        <r>
          <rPr>
            <b/>
            <sz val="9"/>
            <color indexed="81"/>
            <rFont val="Tahoma"/>
            <family val="2"/>
          </rPr>
          <t>2-OCT-2020 (SENTRA Y MARCH)</t>
        </r>
        <r>
          <rPr>
            <sz val="9"/>
            <color indexed="81"/>
            <rFont val="Tahoma"/>
            <family val="2"/>
          </rPr>
          <t xml:space="preserve">
</t>
        </r>
        <r>
          <rPr>
            <b/>
            <sz val="9"/>
            <color indexed="81"/>
            <rFont val="Tahoma"/>
            <family val="2"/>
          </rPr>
          <t xml:space="preserve">1 INSTALACION 22-MAR-2022
AVEO ROJO 
EQUIPO $1,500.00 </t>
        </r>
      </text>
    </comment>
    <comment ref="T162" authorId="2" shapeId="0" xr:uid="{00000000-0006-0000-0200-0000B6000000}">
      <text>
        <r>
          <rPr>
            <b/>
            <sz val="9"/>
            <color indexed="81"/>
            <rFont val="Tahoma"/>
            <family val="2"/>
          </rPr>
          <t>Usuario de Windows:</t>
        </r>
        <r>
          <rPr>
            <sz val="9"/>
            <color indexed="81"/>
            <rFont val="Tahoma"/>
            <family val="2"/>
          </rPr>
          <t xml:space="preserve">
EQUIPO GPS</t>
        </r>
      </text>
    </comment>
    <comment ref="E163" authorId="0" shapeId="0" xr:uid="{00000000-0006-0000-0200-0000B7000000}">
      <text>
        <r>
          <rPr>
            <b/>
            <sz val="9"/>
            <color indexed="81"/>
            <rFont val="Tahoma"/>
            <family val="2"/>
          </rPr>
          <t>PC:</t>
        </r>
        <r>
          <rPr>
            <sz val="9"/>
            <color indexed="81"/>
            <rFont val="Tahoma"/>
            <family val="2"/>
          </rPr>
          <t xml:space="preserve">
INICIA EL 08-SEP-2023
EQUIPO $2,199.00
MENSUALIDAD $250.00</t>
        </r>
      </text>
    </comment>
    <comment ref="E164" authorId="0" shapeId="0" xr:uid="{00000000-0006-0000-0200-0000B8000000}">
      <text>
        <r>
          <rPr>
            <b/>
            <sz val="9"/>
            <color indexed="81"/>
            <rFont val="Tahoma"/>
            <family val="2"/>
          </rPr>
          <t>PC:</t>
        </r>
        <r>
          <rPr>
            <sz val="9"/>
            <color indexed="81"/>
            <rFont val="Tahoma"/>
            <family val="2"/>
          </rPr>
          <t xml:space="preserve">
COMODATO
INGRESA EL 11-SEPTIEMBRE-2024
INSTALACIÓN $549.00
MENSUALIDAD $300.00</t>
        </r>
      </text>
    </comment>
    <comment ref="E165" authorId="0" shapeId="0" xr:uid="{00000000-0006-0000-0200-0000B9000000}">
      <text>
        <r>
          <rPr>
            <b/>
            <sz val="9"/>
            <color indexed="81"/>
            <rFont val="Tahoma"/>
            <family val="2"/>
          </rPr>
          <t>PC:</t>
        </r>
        <r>
          <rPr>
            <sz val="9"/>
            <color indexed="81"/>
            <rFont val="Tahoma"/>
            <family val="2"/>
          </rPr>
          <t xml:space="preserve">
INGRESA EL 14-FEBRERO-2024
EQUIPO $1,600.00
MENSUALIDAD $250.00</t>
        </r>
      </text>
    </comment>
    <comment ref="E166" authorId="0" shapeId="0" xr:uid="{00000000-0006-0000-0200-0000BA000000}">
      <text>
        <r>
          <rPr>
            <b/>
            <sz val="9"/>
            <color indexed="81"/>
            <rFont val="Tahoma"/>
            <family val="2"/>
          </rPr>
          <t>PC:</t>
        </r>
        <r>
          <rPr>
            <sz val="9"/>
            <color indexed="81"/>
            <rFont val="Tahoma"/>
            <family val="2"/>
          </rPr>
          <t xml:space="preserve">
CLIENTE NUEVO 26-NOVIEMBRE-2024
EQUIPO $2,200.00 
MENSUALIDAD $300.00</t>
        </r>
      </text>
    </comment>
    <comment ref="E167" authorId="0" shapeId="0" xr:uid="{00000000-0006-0000-0200-0000BB000000}">
      <text>
        <r>
          <rPr>
            <b/>
            <sz val="9"/>
            <color indexed="81"/>
            <rFont val="Tahoma"/>
            <family val="2"/>
          </rPr>
          <t>PC:</t>
        </r>
        <r>
          <rPr>
            <sz val="9"/>
            <color indexed="81"/>
            <rFont val="Tahoma"/>
            <family val="2"/>
          </rPr>
          <t xml:space="preserve">
INGRESA EL 18-OCTUBRE-2024
EQUIPO $1,850.00+IVA
MENSUALIDAD $249.00+IVA</t>
        </r>
      </text>
    </comment>
    <comment ref="E168" authorId="0" shapeId="0" xr:uid="{00000000-0006-0000-0200-0000BC000000}">
      <text>
        <r>
          <rPr>
            <b/>
            <sz val="9"/>
            <color indexed="81"/>
            <rFont val="Tahoma"/>
            <family val="2"/>
          </rPr>
          <t>PC:</t>
        </r>
        <r>
          <rPr>
            <sz val="9"/>
            <color indexed="81"/>
            <rFont val="Tahoma"/>
            <family val="2"/>
          </rPr>
          <t xml:space="preserve">
INGRESA EL 10-ENERO-2025
EQUIPO $2,000.00
MENSUALIDAD $250.00
RECOMENDADO DE EDUARDO ALMAGUER</t>
        </r>
      </text>
    </comment>
    <comment ref="D169" authorId="1" shapeId="0" xr:uid="{00000000-0006-0000-0200-0000BD000000}">
      <text>
        <r>
          <rPr>
            <b/>
            <sz val="9"/>
            <color indexed="81"/>
            <rFont val="Tahoma"/>
            <family val="2"/>
          </rPr>
          <t>Luffi:</t>
        </r>
        <r>
          <rPr>
            <sz val="9"/>
            <color indexed="81"/>
            <rFont val="Tahoma"/>
            <family val="2"/>
          </rPr>
          <t xml:space="preserve">
</t>
        </r>
        <r>
          <rPr>
            <b/>
            <sz val="9"/>
            <color indexed="10"/>
            <rFont val="Tahoma"/>
            <family val="2"/>
          </rPr>
          <t xml:space="preserve">rafacova@live.com.mx 
NO MANDAR CORREOS AQUÍ </t>
        </r>
      </text>
    </comment>
    <comment ref="E169" authorId="1" shapeId="0" xr:uid="{00000000-0006-0000-0200-0000BE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E170" authorId="0" shapeId="0" xr:uid="{00000000-0006-0000-0200-0000BF000000}">
      <text>
        <r>
          <rPr>
            <b/>
            <sz val="9"/>
            <color indexed="81"/>
            <rFont val="Tahoma"/>
            <family val="2"/>
          </rPr>
          <t>PC:</t>
        </r>
        <r>
          <rPr>
            <sz val="9"/>
            <color indexed="81"/>
            <rFont val="Tahoma"/>
            <family val="2"/>
          </rPr>
          <t xml:space="preserve">
INGRESA EL 01-NOVIEMBRE-2024
EQUIPO $1,850.00
MENSUALIDAD $300.00</t>
        </r>
      </text>
    </comment>
    <comment ref="E171" authorId="0" shapeId="0" xr:uid="{00000000-0006-0000-0200-0000C0000000}">
      <text>
        <r>
          <rPr>
            <b/>
            <sz val="9"/>
            <color indexed="81"/>
            <rFont val="Tahoma"/>
            <family val="2"/>
          </rPr>
          <t>PC:</t>
        </r>
        <r>
          <rPr>
            <sz val="9"/>
            <color indexed="81"/>
            <rFont val="Tahoma"/>
            <family val="2"/>
          </rPr>
          <t xml:space="preserve">
INICIA EL 16-MAYO-2023
EQUIPO $1,800.00+IVA
MENSUALIDAD $350.00+IVA
SE LE COBRO 6 MESES ADELANTADOS COBRAR HASTA NOVIEMBRE 2023</t>
        </r>
      </text>
    </comment>
    <comment ref="E172" authorId="0" shapeId="0" xr:uid="{00000000-0006-0000-0200-0000C1000000}">
      <text>
        <r>
          <rPr>
            <b/>
            <sz val="9"/>
            <color indexed="81"/>
            <rFont val="Tahoma"/>
            <family val="2"/>
          </rPr>
          <t>PC:</t>
        </r>
        <r>
          <rPr>
            <sz val="9"/>
            <color indexed="81"/>
            <rFont val="Tahoma"/>
            <family val="2"/>
          </rPr>
          <t xml:space="preserve">
CLIENTE MIGRADO DE PREPAGO 
14 Y 22 DE DICIEMBRE'22 
EQUIPO $1,920.00
MENSUALIDAD $300.00
SIM $100.00</t>
        </r>
      </text>
    </comment>
    <comment ref="T172" authorId="0" shapeId="0" xr:uid="{00000000-0006-0000-0200-0000C2000000}">
      <text>
        <r>
          <rPr>
            <b/>
            <sz val="9"/>
            <color indexed="81"/>
            <rFont val="Tahoma"/>
            <family val="2"/>
          </rPr>
          <t>PC:</t>
        </r>
        <r>
          <rPr>
            <sz val="9"/>
            <color indexed="81"/>
            <rFont val="Tahoma"/>
            <family val="2"/>
          </rPr>
          <t xml:space="preserve">
RE-INSTALACION 28-DICIEMBRE-2022
$500.00</t>
        </r>
      </text>
    </comment>
    <comment ref="E173" authorId="0" shapeId="0" xr:uid="{00000000-0006-0000-0200-0000C3000000}">
      <text>
        <r>
          <rPr>
            <b/>
            <sz val="9"/>
            <color indexed="81"/>
            <rFont val="Tahoma"/>
            <family val="2"/>
          </rPr>
          <t>PC:</t>
        </r>
        <r>
          <rPr>
            <sz val="9"/>
            <color indexed="81"/>
            <rFont val="Tahoma"/>
            <family val="2"/>
          </rPr>
          <t xml:space="preserve">
PRIMA DE JOSE LUIS 
INGRESA EL 09-SEPTIEMBRE-2024
EQUIPO $1,000.00
MENSUALIDAD $250.00</t>
        </r>
      </text>
    </comment>
    <comment ref="E174" authorId="0" shapeId="0" xr:uid="{00000000-0006-0000-0200-0000C4000000}">
      <text>
        <r>
          <rPr>
            <b/>
            <sz val="9"/>
            <color indexed="81"/>
            <rFont val="Tahoma"/>
            <family val="2"/>
          </rPr>
          <t>PC:</t>
        </r>
        <r>
          <rPr>
            <sz val="9"/>
            <color indexed="81"/>
            <rFont val="Tahoma"/>
            <family val="2"/>
          </rPr>
          <t xml:space="preserve">
INGRESA EL 21-SEPTIEMBRE-2024
EQUIPO $2,200.00
MENSUALIDAD $300.00</t>
        </r>
      </text>
    </comment>
    <comment ref="E175" authorId="1" shapeId="0" xr:uid="{00000000-0006-0000-0200-0000C5000000}">
      <text>
        <r>
          <rPr>
            <b/>
            <sz val="9"/>
            <color indexed="81"/>
            <rFont val="Tahoma"/>
            <family val="2"/>
          </rPr>
          <t>Luffi:</t>
        </r>
        <r>
          <rPr>
            <sz val="9"/>
            <color indexed="81"/>
            <rFont val="Tahoma"/>
            <family val="2"/>
          </rPr>
          <t xml:space="preserve">
</t>
        </r>
        <r>
          <rPr>
            <sz val="10"/>
            <color indexed="81"/>
            <rFont val="Tahoma"/>
            <family val="2"/>
          </rPr>
          <t xml:space="preserve">INSTALACIÓN 21-FEB-2021
2da UNIDAD 
AJUSTE SOBRE RENTA A $250.00 
</t>
        </r>
        <r>
          <rPr>
            <b/>
            <sz val="10"/>
            <color indexed="81"/>
            <rFont val="Tahoma"/>
            <family val="2"/>
          </rPr>
          <t>SE COBRA EN ABRIL 
EQUIPO $1,900.00
MENSUALIDAD $250.00</t>
        </r>
      </text>
    </comment>
    <comment ref="E176" authorId="0" shapeId="0" xr:uid="{00000000-0006-0000-0200-0000C6000000}">
      <text>
        <r>
          <rPr>
            <b/>
            <sz val="9"/>
            <color indexed="81"/>
            <rFont val="Tahoma"/>
            <family val="2"/>
          </rPr>
          <t>PC:</t>
        </r>
        <r>
          <rPr>
            <sz val="9"/>
            <color indexed="81"/>
            <rFont val="Tahoma"/>
            <family val="2"/>
          </rPr>
          <t xml:space="preserve">
INGRESA EL 11-JUNIO-2024
PRIMO DE JOSE LUIS 
$250.00</t>
        </r>
      </text>
    </comment>
    <comment ref="E177" authorId="0" shapeId="0" xr:uid="{00000000-0006-0000-0200-0000C7000000}">
      <text>
        <r>
          <rPr>
            <b/>
            <sz val="9"/>
            <color indexed="81"/>
            <rFont val="Tahoma"/>
            <family val="2"/>
          </rPr>
          <t>PC:</t>
        </r>
        <r>
          <rPr>
            <sz val="9"/>
            <color indexed="81"/>
            <rFont val="Tahoma"/>
            <family val="2"/>
          </rPr>
          <t xml:space="preserve">
INGRESA EL 11-JULIO-2024
EQUIPO $1,800.00
MENS. $250.00</t>
        </r>
      </text>
    </comment>
    <comment ref="E178" authorId="0" shapeId="0" xr:uid="{00000000-0006-0000-0200-0000C8000000}">
      <text>
        <r>
          <rPr>
            <b/>
            <sz val="9"/>
            <color indexed="81"/>
            <rFont val="Tahoma"/>
            <family val="2"/>
          </rPr>
          <t>PC:</t>
        </r>
        <r>
          <rPr>
            <sz val="9"/>
            <color indexed="81"/>
            <rFont val="Tahoma"/>
            <family val="2"/>
          </rPr>
          <t xml:space="preserve">
SE INSTALO EL 01-MARZO-2024
EQUIPOS PAR A COBRAR A MARCO ESQUIVEL 
EQUIPO $1,724.00+IVA(EN CASO DE REQUERIR FACTURA)
ANUALIDAD $1,800.00($150.00XMES)+IVA/EN CASO DE REQUERIR FACTURA
</t>
        </r>
      </text>
    </comment>
    <comment ref="E179" authorId="0" shapeId="0" xr:uid="{00000000-0006-0000-0200-0000C9000000}">
      <text>
        <r>
          <rPr>
            <b/>
            <sz val="9"/>
            <color indexed="81"/>
            <rFont val="Tahoma"/>
            <family val="2"/>
          </rPr>
          <t>PC:</t>
        </r>
        <r>
          <rPr>
            <sz val="9"/>
            <color indexed="81"/>
            <rFont val="Tahoma"/>
            <family val="2"/>
          </rPr>
          <t xml:space="preserve">
INICIO 01-NOVIEMBRE-2023
SEPARACION DE CUENTA MONICA BECERRA SOLICITADO EL 10-OCTUBRE-2023 
MENSUALIDAD $250.00</t>
        </r>
      </text>
    </comment>
    <comment ref="E180" authorId="0" shapeId="0" xr:uid="{00000000-0006-0000-0200-0000CA000000}">
      <text>
        <r>
          <rPr>
            <b/>
            <sz val="9"/>
            <color indexed="81"/>
            <rFont val="Tahoma"/>
            <family val="2"/>
          </rPr>
          <t>PC:</t>
        </r>
        <r>
          <rPr>
            <sz val="9"/>
            <color indexed="81"/>
            <rFont val="Tahoma"/>
            <family val="2"/>
          </rPr>
          <t xml:space="preserve">
INGRESA EL 13-SEPTIEMBRE-2024
COMODATO
INSTALACIÓN $549.00+IVA
MENSUALIDAD $300.00+IVA</t>
        </r>
      </text>
    </comment>
    <comment ref="E181" authorId="0" shapeId="0" xr:uid="{00000000-0006-0000-0200-0000CB000000}">
      <text>
        <r>
          <rPr>
            <b/>
            <sz val="9"/>
            <color indexed="81"/>
            <rFont val="Tahoma"/>
            <family val="2"/>
          </rPr>
          <t>PC:</t>
        </r>
        <r>
          <rPr>
            <sz val="9"/>
            <color indexed="81"/>
            <rFont val="Tahoma"/>
            <family val="2"/>
          </rPr>
          <t xml:space="preserve">
INGRESA EL 29-OCTUBRE-2024
EQUIPO $1,850.00
MENSUALIDAD $300.00</t>
        </r>
      </text>
    </comment>
    <comment ref="E182" authorId="0" shapeId="0" xr:uid="{00000000-0006-0000-0200-0000CC000000}">
      <text>
        <r>
          <rPr>
            <b/>
            <sz val="9"/>
            <color indexed="81"/>
            <rFont val="Tahoma"/>
            <family val="2"/>
          </rPr>
          <t>PC:</t>
        </r>
        <r>
          <rPr>
            <sz val="9"/>
            <color indexed="81"/>
            <rFont val="Tahoma"/>
            <family val="2"/>
          </rPr>
          <t xml:space="preserve">
CLIENTE PREPAGO CAMBIA A ESQUEMA MENSUAL EL 03-ENERO-2024
MENSUALIDAD $250.00
EQUIPO $1,800.00
DES-INSTALACION $650.00
RE-INSTALACION $650.00</t>
        </r>
      </text>
    </comment>
    <comment ref="D183" authorId="1" shapeId="0" xr:uid="{00000000-0006-0000-0200-0000CD000000}">
      <text>
        <r>
          <rPr>
            <b/>
            <sz val="9"/>
            <color indexed="81"/>
            <rFont val="Tahoma"/>
            <family val="2"/>
          </rPr>
          <t>Luffi:</t>
        </r>
        <r>
          <rPr>
            <sz val="9"/>
            <color indexed="81"/>
            <rFont val="Tahoma"/>
            <family val="2"/>
          </rPr>
          <t xml:space="preserve">
RODRIGO MORENO  
811 600 1270
</t>
        </r>
        <r>
          <rPr>
            <b/>
            <u/>
            <sz val="9"/>
            <color indexed="81"/>
            <rFont val="Tahoma"/>
            <family val="2"/>
          </rPr>
          <t>rodrigo.moreno.v88@gmail.com</t>
        </r>
      </text>
    </comment>
    <comment ref="E183" authorId="1" shapeId="0" xr:uid="{00000000-0006-0000-0200-0000CE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S183" authorId="1" shapeId="0" xr:uid="{00000000-0006-0000-0200-0000CF000000}">
      <text>
        <r>
          <rPr>
            <b/>
            <sz val="9"/>
            <color indexed="81"/>
            <rFont val="Tahoma"/>
            <family val="2"/>
          </rPr>
          <t>Luffi:</t>
        </r>
        <r>
          <rPr>
            <sz val="9"/>
            <color indexed="81"/>
            <rFont val="Tahoma"/>
            <family val="2"/>
          </rPr>
          <t xml:space="preserve">
</t>
        </r>
        <r>
          <rPr>
            <sz val="10"/>
            <color indexed="81"/>
            <rFont val="Tahoma"/>
            <family val="2"/>
          </rPr>
          <t xml:space="preserve">MENSUALIDAD $1,450 
05-SEP-20
FINANCIAMIENTO EQ $200 
9-SEP-20 ULTIMO PAGO </t>
        </r>
      </text>
    </comment>
    <comment ref="T183" authorId="1" shapeId="0" xr:uid="{00000000-0006-0000-0200-0000D0000000}">
      <text>
        <r>
          <rPr>
            <b/>
            <sz val="9"/>
            <color indexed="81"/>
            <rFont val="Tahoma"/>
            <family val="2"/>
          </rPr>
          <t xml:space="preserve">Luffi:
RE-INSTALACIÓN 02-DIC-22
DES-INSTALACIÓN KIA SORENTO 14-OCTUBRE-22 PAGO EFECTIVO 
</t>
        </r>
        <r>
          <rPr>
            <sz val="9"/>
            <color indexed="81"/>
            <rFont val="Tahoma"/>
            <family val="2"/>
          </rPr>
          <t xml:space="preserve">
</t>
        </r>
        <r>
          <rPr>
            <sz val="10"/>
            <color indexed="81"/>
            <rFont val="Tahoma"/>
            <family val="2"/>
          </rPr>
          <t xml:space="preserve">2 PAGOS DE FINANCIAMIENTOS EQUIPOS QUEDAN LIBERADOS EL 09-SEP-2020 </t>
        </r>
      </text>
    </comment>
    <comment ref="U183" authorId="1" shapeId="0" xr:uid="{00000000-0006-0000-0200-0000D1000000}">
      <text>
        <r>
          <rPr>
            <b/>
            <sz val="9"/>
            <color indexed="81"/>
            <rFont val="Tahoma"/>
            <family val="2"/>
          </rPr>
          <t>Luffi:</t>
        </r>
        <r>
          <rPr>
            <sz val="9"/>
            <color indexed="81"/>
            <rFont val="Tahoma"/>
            <family val="2"/>
          </rPr>
          <t xml:space="preserve">
</t>
        </r>
        <r>
          <rPr>
            <sz val="10"/>
            <color indexed="81"/>
            <rFont val="Tahoma"/>
            <family val="2"/>
          </rPr>
          <t>ABONO 04-AGO-20 $1,450.00 MONICA BERCERRA</t>
        </r>
        <r>
          <rPr>
            <sz val="9"/>
            <color indexed="81"/>
            <rFont val="Tahoma"/>
            <family val="2"/>
          </rPr>
          <t xml:space="preserve">
</t>
        </r>
        <r>
          <rPr>
            <sz val="10"/>
            <color indexed="81"/>
            <rFont val="Tahoma"/>
            <family val="2"/>
          </rPr>
          <t>ABONO 14-AGO-20 $1,450.00 RODRIGO MORENO</t>
        </r>
      </text>
    </comment>
    <comment ref="E184" authorId="0" shapeId="0" xr:uid="{00000000-0006-0000-0200-0000D2000000}">
      <text>
        <r>
          <rPr>
            <b/>
            <sz val="9"/>
            <color indexed="81"/>
            <rFont val="Tahoma"/>
            <family val="2"/>
          </rPr>
          <t>PC:</t>
        </r>
        <r>
          <rPr>
            <sz val="9"/>
            <color indexed="81"/>
            <rFont val="Tahoma"/>
            <family val="2"/>
          </rPr>
          <t xml:space="preserve">
INGRESA EL 04-MAYO-2024
EQUIPO $2,200.00
MENSUALDIAD $300.00</t>
        </r>
      </text>
    </comment>
    <comment ref="E185" authorId="0" shapeId="0" xr:uid="{00000000-0006-0000-0200-0000D3000000}">
      <text>
        <r>
          <rPr>
            <b/>
            <sz val="9"/>
            <color indexed="81"/>
            <rFont val="Tahoma"/>
            <family val="2"/>
          </rPr>
          <t>PC:</t>
        </r>
        <r>
          <rPr>
            <sz val="9"/>
            <color indexed="81"/>
            <rFont val="Tahoma"/>
            <family val="2"/>
          </rPr>
          <t xml:space="preserve">
INGRESA EL 12-NOVIEMBRE-2024
COMODATO
INSTALACION $549.00+IVA
MENSUALIDAD $300.00+IVA</t>
        </r>
      </text>
    </comment>
    <comment ref="E186" authorId="0" shapeId="0" xr:uid="{00000000-0006-0000-0200-0000D4000000}">
      <text>
        <r>
          <rPr>
            <b/>
            <sz val="9"/>
            <color indexed="81"/>
            <rFont val="Tahoma"/>
            <family val="2"/>
          </rPr>
          <t>PC:</t>
        </r>
        <r>
          <rPr>
            <sz val="9"/>
            <color indexed="81"/>
            <rFont val="Tahoma"/>
            <family val="2"/>
          </rPr>
          <t xml:space="preserve">
INICA EL 29-FEBRERO-2024 
EQUIPO $2,250.00
MESNUALIDAD $299.00
</t>
        </r>
      </text>
    </comment>
    <comment ref="E187" authorId="0" shapeId="0" xr:uid="{00000000-0006-0000-0200-0000D5000000}">
      <text>
        <r>
          <rPr>
            <b/>
            <sz val="9"/>
            <color indexed="81"/>
            <rFont val="Tahoma"/>
            <family val="2"/>
          </rPr>
          <t>PC:</t>
        </r>
        <r>
          <rPr>
            <sz val="9"/>
            <color indexed="81"/>
            <rFont val="Tahoma"/>
            <family val="2"/>
          </rPr>
          <t xml:space="preserve">
CLIENTE MIGRADO DE PLAY MOTORS 05-NOVIEMBRE-2024
EQUIPO $1,950.00
MENSUALIDAD $300.00</t>
        </r>
      </text>
    </comment>
    <comment ref="E188" authorId="1" shapeId="0" xr:uid="{00000000-0006-0000-0200-0000D6000000}">
      <text>
        <r>
          <rPr>
            <b/>
            <sz val="9"/>
            <color indexed="81"/>
            <rFont val="Tahoma"/>
            <family val="2"/>
          </rPr>
          <t>Luffi:</t>
        </r>
        <r>
          <rPr>
            <sz val="9"/>
            <color indexed="81"/>
            <rFont val="Tahoma"/>
            <family val="2"/>
          </rPr>
          <t xml:space="preserve">
</t>
        </r>
        <r>
          <rPr>
            <sz val="10"/>
            <color indexed="81"/>
            <rFont val="Tahoma"/>
            <family val="2"/>
          </rPr>
          <t xml:space="preserve">MEN. $350.00 CANAL DE VOZ
PEPE: $250.00
OLID: $100.00
</t>
        </r>
      </text>
    </comment>
    <comment ref="E189" authorId="0" shapeId="0" xr:uid="{00000000-0006-0000-0200-0000D7000000}">
      <text>
        <r>
          <rPr>
            <b/>
            <sz val="9"/>
            <color indexed="81"/>
            <rFont val="Tahoma"/>
            <family val="2"/>
          </rPr>
          <t>PC:</t>
        </r>
        <r>
          <rPr>
            <sz val="9"/>
            <color indexed="81"/>
            <rFont val="Tahoma"/>
            <family val="2"/>
          </rPr>
          <t xml:space="preserve">
INGRESA EL 05-JULIO-2023
EQUIPO $2,200.00
MENSUALIDAD $249.00</t>
        </r>
      </text>
    </comment>
    <comment ref="E190" authorId="0" shapeId="0" xr:uid="{00000000-0006-0000-0200-0000D8000000}">
      <text>
        <r>
          <rPr>
            <b/>
            <sz val="9"/>
            <color indexed="81"/>
            <rFont val="Tahoma"/>
            <family val="2"/>
          </rPr>
          <t>PC:</t>
        </r>
        <r>
          <rPr>
            <sz val="9"/>
            <color indexed="81"/>
            <rFont val="Tahoma"/>
            <family val="2"/>
          </rPr>
          <t xml:space="preserve">
INGRESA EL 24-OCTUBRE-2024
EQUIPO $1,850.00
MENSUALIDAD CON MICROFONO $300.00</t>
        </r>
      </text>
    </comment>
    <comment ref="E191" authorId="0" shapeId="0" xr:uid="{00000000-0006-0000-0200-0000D9000000}">
      <text>
        <r>
          <rPr>
            <b/>
            <sz val="9"/>
            <color indexed="81"/>
            <rFont val="Tahoma"/>
            <family val="2"/>
          </rPr>
          <t>PC:</t>
        </r>
        <r>
          <rPr>
            <sz val="9"/>
            <color indexed="81"/>
            <rFont val="Tahoma"/>
            <family val="2"/>
          </rPr>
          <t xml:space="preserve">
ALTA MIERCOLES 05-MARZO-2025
EQUIPO $2,000.00
MENSUALIDAD $300.00</t>
        </r>
      </text>
    </comment>
    <comment ref="E192" authorId="0" shapeId="0" xr:uid="{00000000-0006-0000-0200-0000DA000000}">
      <text>
        <r>
          <rPr>
            <b/>
            <sz val="9"/>
            <color indexed="81"/>
            <rFont val="Tahoma"/>
            <family val="2"/>
          </rPr>
          <t>PC:</t>
        </r>
        <r>
          <rPr>
            <sz val="9"/>
            <color indexed="81"/>
            <rFont val="Tahoma"/>
            <family val="2"/>
          </rPr>
          <t xml:space="preserve">
INGRESA EL 25-JUNIO-2024
SE LE INSTALA EL 26-JUNIO-2024
COMODATO
INSTALACION $499.00+IVA
MENSUALIDAD $300.00+IVA</t>
        </r>
      </text>
    </comment>
    <comment ref="E193" authorId="0" shapeId="0" xr:uid="{00000000-0006-0000-0200-0000DB000000}">
      <text>
        <r>
          <rPr>
            <b/>
            <sz val="9"/>
            <color indexed="81"/>
            <rFont val="Tahoma"/>
            <family val="2"/>
          </rPr>
          <t xml:space="preserve">PI
</t>
        </r>
        <r>
          <rPr>
            <sz val="9"/>
            <color indexed="81"/>
            <rFont val="Tahoma"/>
            <family val="2"/>
          </rPr>
          <t>INGRESA EL 21-MARZO-2024 
EQUIPO $2,250.00
MENSUALIDAD $250.00</t>
        </r>
      </text>
    </comment>
    <comment ref="E194" authorId="0" shapeId="0" xr:uid="{00000000-0006-0000-0200-0000DC000000}">
      <text>
        <r>
          <rPr>
            <b/>
            <sz val="9"/>
            <color indexed="81"/>
            <rFont val="Tahoma"/>
            <family val="2"/>
          </rPr>
          <t>PC:</t>
        </r>
        <r>
          <rPr>
            <sz val="9"/>
            <color indexed="81"/>
            <rFont val="Tahoma"/>
            <family val="2"/>
          </rPr>
          <t xml:space="preserve">
INGRESA EL 24-ABRIL-2024
EQUIPO $1,800.00
MENSUALIDAD $250.00</t>
        </r>
      </text>
    </comment>
    <comment ref="E195" authorId="0" shapeId="0" xr:uid="{00000000-0006-0000-0200-0000DD000000}">
      <text>
        <r>
          <rPr>
            <b/>
            <sz val="9"/>
            <color indexed="81"/>
            <rFont val="Tahoma"/>
            <family val="2"/>
          </rPr>
          <t>PC:</t>
        </r>
        <r>
          <rPr>
            <sz val="9"/>
            <color indexed="81"/>
            <rFont val="Tahoma"/>
            <family val="2"/>
          </rPr>
          <t xml:space="preserve">
INGRESA EL 09-SEPTIEMBRE-2024 
EQUIPO $2,200.00
MENSUALIDAD $280.00</t>
        </r>
      </text>
    </comment>
    <comment ref="E196" authorId="0" shapeId="0" xr:uid="{00000000-0006-0000-0200-0000DE000000}">
      <text>
        <r>
          <rPr>
            <b/>
            <sz val="9"/>
            <color indexed="81"/>
            <rFont val="Tahoma"/>
            <family val="2"/>
          </rPr>
          <t>PC:</t>
        </r>
        <r>
          <rPr>
            <sz val="9"/>
            <color indexed="81"/>
            <rFont val="Tahoma"/>
            <family val="2"/>
          </rPr>
          <t xml:space="preserve">
INICIA EL 01-AGOSTO-2023
EQUIPO $2,200.00
MENSUALIDAD $300.00</t>
        </r>
      </text>
    </comment>
    <comment ref="E197" authorId="1" shapeId="0" xr:uid="{00000000-0006-0000-0200-0000DF000000}">
      <text>
        <r>
          <rPr>
            <b/>
            <sz val="9"/>
            <color indexed="81"/>
            <rFont val="Tahoma"/>
            <family val="2"/>
          </rPr>
          <t>Luffi:</t>
        </r>
        <r>
          <rPr>
            <sz val="9"/>
            <color indexed="81"/>
            <rFont val="Tahoma"/>
            <family val="2"/>
          </rPr>
          <t xml:space="preserve">
NUEVO COBRO DE MENSUALIDAD A PARTIR DE MARZO 2023 $120.00
MENSUALIDAD $80.00
PLATAFORMA TRACKERHOME 
RE-CONFIGURACIONES$350.00
ENERO´2020 
1 DES Y RE - INSTALACIÓN $700.00
SEBRING-FOCUS
</t>
        </r>
        <r>
          <rPr>
            <sz val="10"/>
            <color indexed="81"/>
            <rFont val="Tahoma"/>
            <family val="2"/>
          </rPr>
          <t>BAJA 9 UNIDADES 28-JULIO-2020 (47)</t>
        </r>
      </text>
    </comment>
    <comment ref="S197" authorId="1" shapeId="0" xr:uid="{00000000-0006-0000-0200-0000E0000000}">
      <text>
        <r>
          <rPr>
            <b/>
            <sz val="9"/>
            <color indexed="81"/>
            <rFont val="Tahoma"/>
            <family val="2"/>
          </rPr>
          <t xml:space="preserve">Luffi:
</t>
        </r>
        <r>
          <rPr>
            <sz val="10"/>
            <color indexed="81"/>
            <rFont val="Tahoma"/>
            <family val="2"/>
          </rPr>
          <t>ABONO 18-ENE-2021 $1,900
ABONO 14-ENE-2021 $6,500
ABONO 04-ENE-2021 $7,000</t>
        </r>
        <r>
          <rPr>
            <sz val="9"/>
            <color indexed="81"/>
            <rFont val="Tahoma"/>
            <family val="2"/>
          </rPr>
          <t xml:space="preserve">
</t>
        </r>
        <r>
          <rPr>
            <sz val="10"/>
            <color indexed="81"/>
            <rFont val="Tahoma"/>
            <family val="2"/>
          </rPr>
          <t>ABONO 18-DIC-2020 $5,000
ABONO 05-DIC-2020 $10,000
ABONO 21-NOV-2020 $5,000
ABONO 05-NOV-2020 $5,000
ABONO 02-NOV-2020 $1,500
ABONO 15-OCT-2020 $1,200
(MANDA 1,900 SOLO SE TOMAN 1,200 DE ABONO SE COBRAN 2 SERVICIOS 350 POR DES-INSTALACION Y RE-INSTALACION) 
ABONO 08-OCT-2020 $4,000</t>
        </r>
        <r>
          <rPr>
            <sz val="9"/>
            <color indexed="81"/>
            <rFont val="Tahoma"/>
            <family val="2"/>
          </rPr>
          <t xml:space="preserve">
</t>
        </r>
        <r>
          <rPr>
            <sz val="10"/>
            <color indexed="81"/>
            <rFont val="Tahoma"/>
            <family val="2"/>
          </rPr>
          <t>ABONO 21-SEP-2020 $5,700
ABONO 14-SEP-2020 $1,500
ABONO 10-SEP-2020 $3,200
ABONO 03-SEP-2020 $7,000
ABONO 20-JUL-2020 $7,000</t>
        </r>
      </text>
    </comment>
    <comment ref="T197" authorId="1" shapeId="0" xr:uid="{00000000-0006-0000-0200-0000E1000000}">
      <text>
        <r>
          <rPr>
            <b/>
            <sz val="9"/>
            <color indexed="81"/>
            <rFont val="Tahoma"/>
            <family val="2"/>
          </rPr>
          <t xml:space="preserve">Luffi:
TOTAL $2,100.00 MAYO´2021
</t>
        </r>
        <r>
          <rPr>
            <sz val="9"/>
            <color indexed="81"/>
            <rFont val="Tahoma"/>
            <family val="2"/>
          </rPr>
          <t xml:space="preserve">23-ABR-2021 DES-INSTALACION VW PASSAT BCO $350
28-ABR-2021 RE-INSTALACION CHEVROLET EQUINOX NEGRO $350
07-MAY-2021 DES-INSTALACION CHEVROLET MAILBU BCO $350
07-MAY-2021 RE-INSTALACION NISSAN SENTRA BCO $350
17-MAY-2021 DES-INSTALACION HYUNDAI ATTIUD BLANCO $350
17-MAY-2021 RE-INSTALACION CHEVROLET AVEO BCO $350
</t>
        </r>
        <r>
          <rPr>
            <b/>
            <sz val="9"/>
            <color indexed="81"/>
            <rFont val="Tahoma"/>
            <family val="2"/>
          </rPr>
          <t xml:space="preserve">
COBRANZA AGOSTO2022 1ER QUINCENA
10 INSTALACIONES 
6 RE-INSTALACIONES 
6-DES-INSTALACIONES </t>
        </r>
      </text>
    </comment>
    <comment ref="U197" authorId="1" shapeId="0" xr:uid="{00000000-0006-0000-0200-0000E2000000}">
      <text>
        <r>
          <rPr>
            <b/>
            <sz val="9"/>
            <color indexed="81"/>
            <rFont val="Tahoma"/>
            <family val="2"/>
          </rPr>
          <t>Luffi:</t>
        </r>
        <r>
          <rPr>
            <sz val="9"/>
            <color indexed="81"/>
            <rFont val="Tahoma"/>
            <family val="2"/>
          </rPr>
          <t xml:space="preserve">
MIGRACION DE 67 UNIDADES 
23-JULIO-2021
</t>
        </r>
      </text>
    </comment>
    <comment ref="E198" authorId="1" shapeId="0" xr:uid="{00000000-0006-0000-0200-0000E3000000}">
      <text>
        <r>
          <rPr>
            <b/>
            <sz val="9"/>
            <color indexed="81"/>
            <rFont val="Tahoma"/>
            <family val="2"/>
          </rPr>
          <t>Luffi:</t>
        </r>
        <r>
          <rPr>
            <sz val="9"/>
            <color indexed="81"/>
            <rFont val="Tahoma"/>
            <family val="2"/>
          </rPr>
          <t xml:space="preserve">
NUEVO COBRO DE MENSUALIDAD A PARTIR DE MARZO 2023 $120.00 INSTALACIONES $1,900.00
RE-INSTALACIONES $500.00
DES-INSTALACIONES $500.00
RENTA X UNIDAD $80.00
TRACKERHOME
18 UNIDADES INSTALADAS EN AGOSTO 
</t>
        </r>
        <r>
          <rPr>
            <b/>
            <sz val="9"/>
            <color indexed="81"/>
            <rFont val="Tahoma"/>
            <family val="2"/>
          </rPr>
          <t xml:space="preserve">TOTAL 88 UNDADES </t>
        </r>
      </text>
    </comment>
    <comment ref="S198" authorId="1" shapeId="0" xr:uid="{00000000-0006-0000-0200-0000E4000000}">
      <text>
        <r>
          <rPr>
            <b/>
            <sz val="9"/>
            <color indexed="81"/>
            <rFont val="Tahoma"/>
            <family val="2"/>
          </rPr>
          <t xml:space="preserve">Luffi:
</t>
        </r>
        <r>
          <rPr>
            <sz val="10"/>
            <color indexed="81"/>
            <rFont val="Tahoma"/>
            <family val="2"/>
          </rPr>
          <t>ABONO 22-OCT-2020 $10,000.00
ABONO 22-SEP-2020  $10,800.00</t>
        </r>
        <r>
          <rPr>
            <b/>
            <sz val="9"/>
            <color indexed="81"/>
            <rFont val="Tahoma"/>
            <family val="2"/>
          </rPr>
          <t xml:space="preserve">
</t>
        </r>
        <r>
          <rPr>
            <sz val="10"/>
            <color indexed="81"/>
            <rFont val="Tahoma"/>
            <family val="2"/>
          </rPr>
          <t>ABONO 12-SEP-2020    $5,700.00</t>
        </r>
        <r>
          <rPr>
            <sz val="9"/>
            <color indexed="81"/>
            <rFont val="Tahoma"/>
            <family val="2"/>
          </rPr>
          <t xml:space="preserve">
</t>
        </r>
        <r>
          <rPr>
            <sz val="10"/>
            <color indexed="81"/>
            <rFont val="Tahoma"/>
            <family val="2"/>
          </rPr>
          <t>ABONO 20-JULIO-2020 $13,000.00
ABONO 23-JULIO-2020 $7,000.00
ABONO 21-NOV-2020 $14,600.00</t>
        </r>
      </text>
    </comment>
    <comment ref="T198" authorId="1" shapeId="0" xr:uid="{00000000-0006-0000-0200-0000E5000000}">
      <text>
        <r>
          <rPr>
            <b/>
            <sz val="9"/>
            <color indexed="81"/>
            <rFont val="Tahoma"/>
            <family val="2"/>
          </rPr>
          <t>Luffi:
COBRANZA
NOVIEMBRE</t>
        </r>
        <r>
          <rPr>
            <sz val="9"/>
            <color indexed="81"/>
            <rFont val="Tahoma"/>
            <family val="2"/>
          </rPr>
          <t xml:space="preserve">
130 UNIDADES 
4 INSTALACIONES 
2 DES-INSTALACIONES
1 RE-INSTALACION 
</t>
        </r>
        <r>
          <rPr>
            <b/>
            <sz val="9"/>
            <color indexed="81"/>
            <rFont val="Tahoma"/>
            <family val="2"/>
          </rPr>
          <t xml:space="preserve">
</t>
        </r>
        <r>
          <rPr>
            <sz val="9"/>
            <color indexed="81"/>
            <rFont val="Tahoma"/>
            <family val="2"/>
          </rPr>
          <t xml:space="preserve">15-AGOSTO-22
1- INSTALACION CHEVROLET SONICA AZUL 
2-DES-INSTALACIONES
3-RE-INSTALACIONES 
</t>
        </r>
      </text>
    </comment>
    <comment ref="E199" authorId="0" shapeId="0" xr:uid="{00000000-0006-0000-0200-0000E6000000}">
      <text>
        <r>
          <rPr>
            <b/>
            <sz val="9"/>
            <color indexed="81"/>
            <rFont val="Tahoma"/>
            <family val="2"/>
          </rPr>
          <t>PC:</t>
        </r>
        <r>
          <rPr>
            <sz val="9"/>
            <color indexed="81"/>
            <rFont val="Tahoma"/>
            <family val="2"/>
          </rPr>
          <t xml:space="preserve">
INGRESA EL 17-FEBRERO-2025 
EQUIPO $2,200.00
MENSUALIDAD $300.00</t>
        </r>
      </text>
    </comment>
    <comment ref="E200" authorId="1" shapeId="0" xr:uid="{00000000-0006-0000-0200-0000E7000000}">
      <text>
        <r>
          <rPr>
            <b/>
            <sz val="9"/>
            <color indexed="81"/>
            <rFont val="Tahoma"/>
            <family val="2"/>
          </rPr>
          <t>Luffi:</t>
        </r>
        <r>
          <rPr>
            <sz val="9"/>
            <color indexed="81"/>
            <rFont val="Tahoma"/>
            <family val="2"/>
          </rPr>
          <t xml:space="preserve">
EQUIPO+MESUALIDAD $2,000.00 YA VA INCLUIDA LA MENSUALIDAD 
</t>
        </r>
        <r>
          <rPr>
            <sz val="10"/>
            <color indexed="81"/>
            <rFont val="Tahoma"/>
            <family val="2"/>
          </rPr>
          <t xml:space="preserve">MENSUALIDAD $100.00
PLATAFORMA WOX RASTREO
INICIA 3 INSTALACIONES SEP´2020 </t>
        </r>
      </text>
    </comment>
    <comment ref="T200" authorId="1" shapeId="0" xr:uid="{00000000-0006-0000-0200-0000E8000000}">
      <text>
        <r>
          <rPr>
            <b/>
            <sz val="9"/>
            <color indexed="81"/>
            <rFont val="Tahoma"/>
            <family val="2"/>
          </rPr>
          <t xml:space="preserve">Luffi:
ENERO'23 
</t>
        </r>
        <r>
          <rPr>
            <sz val="9"/>
            <color indexed="81"/>
            <rFont val="Tahoma"/>
            <family val="2"/>
          </rPr>
          <t xml:space="preserve">CAMBIO DE SIM 27-DICIEMBRE-22 JEEP PATRIOT ROJO 
</t>
        </r>
        <r>
          <rPr>
            <b/>
            <sz val="9"/>
            <color indexed="81"/>
            <rFont val="Tahoma"/>
            <family val="2"/>
          </rPr>
          <t xml:space="preserve">
AGOSTO 2022
I</t>
        </r>
        <r>
          <rPr>
            <sz val="9"/>
            <color indexed="81"/>
            <rFont val="Tahoma"/>
            <family val="2"/>
          </rPr>
          <t xml:space="preserve">NSTALACIÓN 02-AGOSTO-2022 PONTIAC GT GRIS </t>
        </r>
      </text>
    </comment>
    <comment ref="E201" authorId="1" shapeId="0" xr:uid="{00000000-0006-0000-0200-0000E9000000}">
      <text>
        <r>
          <rPr>
            <b/>
            <sz val="9"/>
            <color indexed="81"/>
            <rFont val="Tahoma"/>
            <family val="2"/>
          </rPr>
          <t>Luffi:</t>
        </r>
        <r>
          <rPr>
            <sz val="9"/>
            <color indexed="81"/>
            <rFont val="Tahoma"/>
            <family val="2"/>
          </rPr>
          <t xml:space="preserve">
EQUIPOS $1,600
MENSUALIDAD $250
INSTALACION 5-AGOSTO-2021
</t>
        </r>
        <r>
          <rPr>
            <b/>
            <sz val="9"/>
            <color indexed="81"/>
            <rFont val="Tahoma"/>
            <family val="2"/>
          </rPr>
          <t>*COBRANZA SEP-2021</t>
        </r>
      </text>
    </comment>
    <comment ref="E202" authorId="2" shapeId="0" xr:uid="{00000000-0006-0000-0200-0000EA000000}">
      <text>
        <r>
          <rPr>
            <b/>
            <sz val="9"/>
            <color indexed="81"/>
            <rFont val="Tahoma"/>
            <family val="2"/>
          </rPr>
          <t>Usuario de Windows:</t>
        </r>
        <r>
          <rPr>
            <sz val="9"/>
            <color indexed="81"/>
            <rFont val="Tahoma"/>
            <family val="2"/>
          </rPr>
          <t xml:space="preserve">
MENSUALIDAD $250.00
MIGRACIONES $250.00
EQUIPOS $1,800.00
SENSOR DE COFRE $1,250.00
</t>
        </r>
        <r>
          <rPr>
            <b/>
            <sz val="9"/>
            <color indexed="81"/>
            <rFont val="Tahoma"/>
            <family val="2"/>
          </rPr>
          <t>INICIO DE MIGRACIONES 28-FEB-2022
1 COMPRA E INSTALACION DE EQUIPO 25-JUN-2022 
*(</t>
        </r>
        <r>
          <rPr>
            <sz val="9"/>
            <color indexed="81"/>
            <rFont val="Tahoma"/>
            <family val="2"/>
          </rPr>
          <t>INCREMENTO DE UNIDAD EN MENSUALIDAD  DE JULIO´22</t>
        </r>
        <r>
          <rPr>
            <b/>
            <sz val="9"/>
            <color indexed="81"/>
            <rFont val="Tahoma"/>
            <family val="2"/>
          </rPr>
          <t>)
CAMBIA A REMISIONES EN ABRIL'23 YA NO SE LE FACTURA</t>
        </r>
      </text>
    </comment>
    <comment ref="E203" authorId="1" shapeId="0" xr:uid="{00000000-0006-0000-0200-0000EB000000}">
      <text>
        <r>
          <rPr>
            <b/>
            <sz val="9"/>
            <color indexed="81"/>
            <rFont val="Tahoma"/>
            <family val="2"/>
          </rPr>
          <t>Luffi:</t>
        </r>
        <r>
          <rPr>
            <sz val="9"/>
            <color indexed="81"/>
            <rFont val="Tahoma"/>
            <family val="2"/>
          </rPr>
          <t xml:space="preserve">
INSTALACION -  30-ABRIL-2021
MENSUALIDAD $250</t>
        </r>
      </text>
    </comment>
    <comment ref="E204" authorId="0" shapeId="0" xr:uid="{00000000-0006-0000-0200-0000EC000000}">
      <text>
        <r>
          <rPr>
            <b/>
            <sz val="9"/>
            <color indexed="81"/>
            <rFont val="Tahoma"/>
            <family val="2"/>
          </rPr>
          <t>PC:</t>
        </r>
        <r>
          <rPr>
            <sz val="9"/>
            <color indexed="81"/>
            <rFont val="Tahoma"/>
            <family val="2"/>
          </rPr>
          <t xml:space="preserve">
ALTA DE CLIENTE 23-ENERO-2025
INGRESO A COBRANZA 17-FEBRERO-2025
EQUIPO $2,800.00
MENSUALIDAD CON ROAMING $350.00 (3)
LICENCIA DE LIBRO ELECTRONICO $650.00 (1)</t>
        </r>
      </text>
    </comment>
    <comment ref="E205" authorId="0" shapeId="0" xr:uid="{00000000-0006-0000-0200-0000ED000000}">
      <text>
        <r>
          <rPr>
            <b/>
            <sz val="9"/>
            <color indexed="81"/>
            <rFont val="Tahoma"/>
            <family val="2"/>
          </rPr>
          <t>PC:</t>
        </r>
        <r>
          <rPr>
            <sz val="9"/>
            <color indexed="81"/>
            <rFont val="Tahoma"/>
            <family val="2"/>
          </rPr>
          <t xml:space="preserve">
INGRESA EL 18-FEBRERO-2025
EQUIPO $2,200.00
MENSUALIDAD $299.00</t>
        </r>
      </text>
    </comment>
    <comment ref="E206" authorId="0" shapeId="0" xr:uid="{00000000-0006-0000-0200-0000EE000000}">
      <text>
        <r>
          <rPr>
            <b/>
            <sz val="9"/>
            <color indexed="81"/>
            <rFont val="Tahoma"/>
            <family val="2"/>
          </rPr>
          <t>PC:</t>
        </r>
        <r>
          <rPr>
            <sz val="9"/>
            <color indexed="81"/>
            <rFont val="Tahoma"/>
            <family val="2"/>
          </rPr>
          <t xml:space="preserve">
INGRESA EL 26-FEBRERO-2025
EQUIPO $1,800.00
MENSUALIDAD $300.00</t>
        </r>
      </text>
    </comment>
    <comment ref="E207" authorId="0" shapeId="0" xr:uid="{00000000-0006-0000-0200-0000EF000000}">
      <text>
        <r>
          <rPr>
            <b/>
            <sz val="9"/>
            <color indexed="81"/>
            <rFont val="Tahoma"/>
            <family val="2"/>
          </rPr>
          <t>PC:</t>
        </r>
        <r>
          <rPr>
            <sz val="9"/>
            <color indexed="81"/>
            <rFont val="Tahoma"/>
            <family val="2"/>
          </rPr>
          <t xml:space="preserve">
INGRESA EL 20-MARZO-2025
EQUIPO $1,800.00
MENSUALIDAD $300.00</t>
        </r>
      </text>
    </comment>
    <comment ref="D208" authorId="2" shapeId="0" xr:uid="{00000000-0006-0000-0200-0000F0000000}">
      <text>
        <r>
          <rPr>
            <b/>
            <sz val="9"/>
            <color indexed="81"/>
            <rFont val="Tahoma"/>
            <family val="2"/>
          </rPr>
          <t>Usuario de Windows:</t>
        </r>
        <r>
          <rPr>
            <sz val="9"/>
            <color indexed="81"/>
            <rFont val="Tahoma"/>
            <family val="2"/>
          </rPr>
          <t xml:space="preserve">
1er Contacto 
</t>
        </r>
        <r>
          <rPr>
            <b/>
            <sz val="9"/>
            <color indexed="81"/>
            <rFont val="Tahoma"/>
            <family val="2"/>
          </rPr>
          <t xml:space="preserve">Arturo Asael - 8119386704 
Ya no labora ahí </t>
        </r>
      </text>
    </comment>
    <comment ref="E208" authorId="1" shapeId="0" xr:uid="{00000000-0006-0000-0200-0000F1000000}">
      <text>
        <r>
          <rPr>
            <b/>
            <sz val="9"/>
            <color indexed="81"/>
            <rFont val="Tahoma"/>
            <family val="2"/>
          </rPr>
          <t>Luffi:</t>
        </r>
        <r>
          <rPr>
            <sz val="9"/>
            <color indexed="81"/>
            <rFont val="Tahoma"/>
            <family val="2"/>
          </rPr>
          <t xml:space="preserve">
MIGRACION DE EQUIPOS, INSTALACION DE SIM
CAMBIA A ESQUEMA DE COMODATO EL 09-ABRIL-2024
INSTALACION $650.00
RENTA $280.00
MIGRACION $450.00
EQUIPO $1,700.00
MENSUALIDAD $250.00
DES-INSTALACION $400.00
</t>
        </r>
        <r>
          <rPr>
            <b/>
            <sz val="9"/>
            <color indexed="81"/>
            <rFont val="Tahoma"/>
            <family val="2"/>
          </rPr>
          <t xml:space="preserve">
INSTALACIONES COMODATO MOVEO</t>
        </r>
        <r>
          <rPr>
            <sz val="9"/>
            <color indexed="81"/>
            <rFont val="Tahoma"/>
            <family val="2"/>
          </rPr>
          <t xml:space="preserve">
09-ABRIL-2024
CHEVROLET EXPRESS BLANCO RZM-407-B INSTALADOR: ELIUD
17-ABRIL-2024
TOYOTA HIACE BLANCO RYU-899-A 
INSTALADOR: OSCAR
</t>
        </r>
        <r>
          <rPr>
            <b/>
            <sz val="9"/>
            <color indexed="81"/>
            <rFont val="Tahoma"/>
            <family val="2"/>
          </rPr>
          <t>*INSTALACION 29-DIC-2021*
SE LE COBRA A FINALES DE ENERO´2022</t>
        </r>
      </text>
    </comment>
    <comment ref="T208" authorId="0" shapeId="0" xr:uid="{00000000-0006-0000-0200-0000F2000000}">
      <text>
        <r>
          <rPr>
            <b/>
            <sz val="9"/>
            <color indexed="81"/>
            <rFont val="Tahoma"/>
            <family val="2"/>
          </rPr>
          <t>PC:</t>
        </r>
        <r>
          <rPr>
            <sz val="9"/>
            <color indexed="81"/>
            <rFont val="Tahoma"/>
            <family val="2"/>
          </rPr>
          <t xml:space="preserve">
INSTALACION DE EQUIPO 05-ENERO-23 $1,800.00 +MENS $250.00= $2,050.00
INSTALACION 31-OCT-22</t>
        </r>
      </text>
    </comment>
    <comment ref="E209" authorId="0" shapeId="0" xr:uid="{00000000-0006-0000-0200-0000F3000000}">
      <text>
        <r>
          <rPr>
            <b/>
            <sz val="9"/>
            <color indexed="81"/>
            <rFont val="Tahoma"/>
            <family val="2"/>
          </rPr>
          <t>PC:</t>
        </r>
        <r>
          <rPr>
            <sz val="9"/>
            <color indexed="81"/>
            <rFont val="Tahoma"/>
            <family val="2"/>
          </rPr>
          <t xml:space="preserve">
ALTA 29-MARZO-2025
COMODATO
INSTALACION $549.00+IVA
MENSUALIDAD $300.00+IVA</t>
        </r>
      </text>
    </comment>
    <comment ref="E210" authorId="2" shapeId="0" xr:uid="{00000000-0006-0000-0200-0000F4000000}">
      <text>
        <r>
          <rPr>
            <b/>
            <sz val="9"/>
            <color indexed="81"/>
            <rFont val="Tahoma"/>
            <family val="2"/>
          </rPr>
          <t>Usuario de Windows:</t>
        </r>
        <r>
          <rPr>
            <sz val="9"/>
            <color indexed="81"/>
            <rFont val="Tahoma"/>
            <family val="2"/>
          </rPr>
          <t xml:space="preserve">
EQUIPO $1,850
MENSUALIDAD $250
</t>
        </r>
        <r>
          <rPr>
            <b/>
            <sz val="9"/>
            <color indexed="81"/>
            <rFont val="Tahoma"/>
            <family val="2"/>
          </rPr>
          <t>*INSTALACION 28-FEB-2022
PAGO REALIZADO EN EFECTIVO CUBRE FEB Y MAR´2022
*COBRAR MENSUALIDAD ABRIL</t>
        </r>
      </text>
    </comment>
    <comment ref="E211" authorId="1" shapeId="0" xr:uid="{00000000-0006-0000-0200-0000F5000000}">
      <text>
        <r>
          <rPr>
            <b/>
            <sz val="9"/>
            <color indexed="81"/>
            <rFont val="Tahoma"/>
            <family val="2"/>
          </rPr>
          <t>Luffi:
EQUIPOS COMODATO</t>
        </r>
        <r>
          <rPr>
            <sz val="9"/>
            <color indexed="81"/>
            <rFont val="Tahoma"/>
            <family val="2"/>
          </rPr>
          <t xml:space="preserve">
INSTALACION $650
MENSUALIDAD $300
*INICIA SERVICIO 11-SEP-2021*
</t>
        </r>
        <r>
          <rPr>
            <b/>
            <sz val="9"/>
            <color indexed="81"/>
            <rFont val="Tahoma"/>
            <family val="2"/>
          </rPr>
          <t>*PAGO X INSTALACIONES $7,150 SEP´2021
MENSUALIDAD 11 UNIDADES $3,300.00</t>
        </r>
      </text>
    </comment>
    <comment ref="T211" authorId="0" shapeId="0" xr:uid="{00000000-0006-0000-0200-0000F6000000}">
      <text>
        <r>
          <rPr>
            <b/>
            <sz val="9"/>
            <color indexed="81"/>
            <rFont val="Tahoma"/>
            <family val="2"/>
          </rPr>
          <t>PC:</t>
        </r>
        <r>
          <rPr>
            <sz val="9"/>
            <color indexed="81"/>
            <rFont val="Tahoma"/>
            <family val="2"/>
          </rPr>
          <t xml:space="preserve">
INSTALACION 02-AGOSTO-22NISSAN NP300 </t>
        </r>
      </text>
    </comment>
    <comment ref="E214" authorId="0" shapeId="0" xr:uid="{00000000-0006-0000-0200-0000F7000000}">
      <text>
        <r>
          <rPr>
            <b/>
            <sz val="9"/>
            <color indexed="81"/>
            <rFont val="Tahoma"/>
            <family val="2"/>
          </rPr>
          <t>PC:</t>
        </r>
        <r>
          <rPr>
            <sz val="9"/>
            <color indexed="81"/>
            <rFont val="Tahoma"/>
            <family val="2"/>
          </rPr>
          <t xml:space="preserve">
6 ANUALIDADES 
$1,000.00 c/u
</t>
        </r>
      </text>
    </comment>
    <comment ref="E215" authorId="1" shapeId="0" xr:uid="{00000000-0006-0000-0200-0000F8000000}">
      <text>
        <r>
          <rPr>
            <b/>
            <sz val="9"/>
            <color indexed="81"/>
            <rFont val="Tahoma"/>
            <family val="2"/>
          </rPr>
          <t>Luffi:</t>
        </r>
        <r>
          <rPr>
            <sz val="9"/>
            <color indexed="81"/>
            <rFont val="Tahoma"/>
            <family val="2"/>
          </rPr>
          <t xml:space="preserve">
</t>
        </r>
        <r>
          <rPr>
            <sz val="10"/>
            <color indexed="81"/>
            <rFont val="Tahoma"/>
            <family val="2"/>
          </rPr>
          <t xml:space="preserve">MENSUALIDAD $100.00
PLATAFORMA WOX RASTREO
SERVICIOS RODRIGO $500.00
</t>
        </r>
        <r>
          <rPr>
            <b/>
            <sz val="10"/>
            <color indexed="81"/>
            <rFont val="Tahoma"/>
            <family val="2"/>
          </rPr>
          <t xml:space="preserve">INICIA 1 INSTALACION SEP´2020 
</t>
        </r>
      </text>
    </comment>
    <comment ref="T215" authorId="1" shapeId="0" xr:uid="{00000000-0006-0000-0200-0000F9000000}">
      <text>
        <r>
          <rPr>
            <b/>
            <sz val="9"/>
            <color indexed="81"/>
            <rFont val="Tahoma"/>
            <family val="2"/>
          </rPr>
          <t>Luffi:</t>
        </r>
        <r>
          <rPr>
            <sz val="9"/>
            <color indexed="81"/>
            <rFont val="Tahoma"/>
            <family val="2"/>
          </rPr>
          <t xml:space="preserve">
SALDO A FAVOR POR $3,800
TRASPASO DE UNIDAD A CUENTA DE </t>
        </r>
        <r>
          <rPr>
            <b/>
            <sz val="9"/>
            <color indexed="81"/>
            <rFont val="Tahoma"/>
            <family val="2"/>
          </rPr>
          <t xml:space="preserve">APFEL </t>
        </r>
        <r>
          <rPr>
            <sz val="9"/>
            <color indexed="81"/>
            <rFont val="Tahoma"/>
            <family val="2"/>
          </rPr>
          <t xml:space="preserve">
</t>
        </r>
        <r>
          <rPr>
            <sz val="10"/>
            <color indexed="81"/>
            <rFont val="Tahoma"/>
            <family val="2"/>
          </rPr>
          <t xml:space="preserve">PROPORCIONALES DE MENSUALIDAD SEP´2020 </t>
        </r>
      </text>
    </comment>
    <comment ref="E219" authorId="0" shapeId="0" xr:uid="{00000000-0006-0000-0200-0000FA000000}">
      <text>
        <r>
          <rPr>
            <b/>
            <sz val="9"/>
            <color indexed="81"/>
            <rFont val="Tahoma"/>
            <family val="2"/>
          </rPr>
          <t>PC:</t>
        </r>
        <r>
          <rPr>
            <sz val="9"/>
            <color indexed="81"/>
            <rFont val="Tahoma"/>
            <family val="2"/>
          </rPr>
          <t xml:space="preserve">
CLIENTE DE SEPARACIÓN DE CUENTA DEL SR. LUIS BOLAÑOS, SE PONE EN CONTACTO EL 05-MARZO-2024 
MENSUALIDAD $280.00+IVA</t>
        </r>
      </text>
    </comment>
    <comment ref="E220" authorId="0" shapeId="0" xr:uid="{00000000-0006-0000-0200-0000FB000000}">
      <text>
        <r>
          <rPr>
            <b/>
            <sz val="9"/>
            <color indexed="81"/>
            <rFont val="Tahoma"/>
            <family val="2"/>
          </rPr>
          <t>PC:</t>
        </r>
        <r>
          <rPr>
            <sz val="9"/>
            <color indexed="81"/>
            <rFont val="Tahoma"/>
            <family val="2"/>
          </rPr>
          <t xml:space="preserve">
CLIENTE MIGRADO DEL SR. EDGAR MURO 
01-NOVIEMBRE-2024
MENSUALIDAD $300.00+IVA
MIGRACION $350.00+IVA</t>
        </r>
      </text>
    </comment>
    <comment ref="E221" authorId="0" shapeId="0" xr:uid="{00000000-0006-0000-0200-0000FC000000}">
      <text>
        <r>
          <rPr>
            <b/>
            <sz val="9"/>
            <color indexed="81"/>
            <rFont val="Tahoma"/>
            <family val="2"/>
          </rPr>
          <t>PC:</t>
        </r>
        <r>
          <rPr>
            <sz val="9"/>
            <color indexed="81"/>
            <rFont val="Tahoma"/>
            <family val="2"/>
          </rPr>
          <t xml:space="preserve">
INICIA EL 05-JUNIO-2023
MENSUALIDAD $300.00
EQUIPO $1,850.00</t>
        </r>
      </text>
    </comment>
    <comment ref="E222" authorId="0" shapeId="0" xr:uid="{00000000-0006-0000-0200-0000FD000000}">
      <text>
        <r>
          <rPr>
            <b/>
            <sz val="9"/>
            <color indexed="81"/>
            <rFont val="Tahoma"/>
            <family val="2"/>
          </rPr>
          <t>PC:</t>
        </r>
        <r>
          <rPr>
            <sz val="9"/>
            <color indexed="81"/>
            <rFont val="Tahoma"/>
            <family val="2"/>
          </rPr>
          <t xml:space="preserve">
INGRESA EL 04-JUNIO-2024
EQUIPO $2,150.00+IVA
MENSUALIDAD$300.00+IVA
REVISION $650.00+IVA</t>
        </r>
      </text>
    </comment>
    <comment ref="E223" authorId="0" shapeId="0" xr:uid="{00000000-0006-0000-0200-0000FE000000}">
      <text>
        <r>
          <rPr>
            <b/>
            <sz val="9"/>
            <color indexed="81"/>
            <rFont val="Tahoma"/>
            <family val="2"/>
          </rPr>
          <t>PC:</t>
        </r>
        <r>
          <rPr>
            <sz val="9"/>
            <color indexed="81"/>
            <rFont val="Tahoma"/>
            <family val="2"/>
          </rPr>
          <t xml:space="preserve">
REACTIVACIÓN DE EQUIPO 
14-JUNIO-2024
THERMO
REACTIVACIÓN $650.00
MENSUALIDAD $300.00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Luffi</author>
    <author>PC</author>
    <author>Usuario de Windows</author>
    <author>UBITEC</author>
  </authors>
  <commentList>
    <comment ref="E18" authorId="0" shapeId="0" xr:uid="{00000000-0006-0000-0300-000001000000}">
      <text>
        <r>
          <rPr>
            <b/>
            <sz val="9"/>
            <color indexed="81"/>
            <rFont val="Tahoma"/>
            <family val="2"/>
          </rPr>
          <t>Luffi:</t>
        </r>
        <r>
          <rPr>
            <sz val="9"/>
            <color indexed="81"/>
            <rFont val="Tahoma"/>
            <family val="2"/>
          </rPr>
          <t xml:space="preserve">
</t>
        </r>
        <r>
          <rPr>
            <sz val="10"/>
            <color indexed="81"/>
            <rFont val="Tahoma"/>
            <family val="2"/>
          </rPr>
          <t xml:space="preserve">EQUIPO $1,800.00
MENDUALIDAD $300.00
REVISIONES $500.00
RE-INSTALACION $500.00
CAMBIA A ESQUEMA DE FACTURACION EL DIA 06-AGOSTO-2024
1er INSTALACION 23-FEB-2021 
5 EQUIPOS 
2da INSTALACION 02-MAR-2021
5 EQUIPO 
</t>
        </r>
        <r>
          <rPr>
            <b/>
            <sz val="10"/>
            <color indexed="81"/>
            <rFont val="Tahoma"/>
            <family val="2"/>
          </rPr>
          <t xml:space="preserve">COBRANZA HASTA ABRIL´2021
</t>
        </r>
        <r>
          <rPr>
            <b/>
            <sz val="10"/>
            <color indexed="10"/>
            <rFont val="Tahoma"/>
            <family val="2"/>
          </rPr>
          <t>*PENDIENTE POR INSTALAR 1 EQUIPO</t>
        </r>
        <r>
          <rPr>
            <sz val="10"/>
            <color indexed="81"/>
            <rFont val="Tahoma"/>
            <family val="2"/>
          </rPr>
          <t xml:space="preserve"> </t>
        </r>
      </text>
    </comment>
    <comment ref="T18" authorId="0" shapeId="0" xr:uid="{00000000-0006-0000-0300-000002000000}">
      <text>
        <r>
          <rPr>
            <b/>
            <sz val="9"/>
            <color indexed="81"/>
            <rFont val="Tahoma"/>
            <family val="2"/>
          </rPr>
          <t>Luffi:</t>
        </r>
        <r>
          <rPr>
            <sz val="9"/>
            <color indexed="81"/>
            <rFont val="Tahoma"/>
            <family val="2"/>
          </rPr>
          <t xml:space="preserve">
REVISION DE UNIDAD $500.00 04-ENERO-2023 
 </t>
        </r>
        <r>
          <rPr>
            <b/>
            <sz val="9"/>
            <color indexed="81"/>
            <rFont val="Tahoma"/>
            <family val="2"/>
          </rPr>
          <t>$450</t>
        </r>
        <r>
          <rPr>
            <sz val="9"/>
            <color indexed="81"/>
            <rFont val="Tahoma"/>
            <family val="2"/>
          </rPr>
          <t xml:space="preserve"> </t>
        </r>
        <r>
          <rPr>
            <sz val="10"/>
            <color indexed="81"/>
            <rFont val="Tahoma"/>
            <family val="2"/>
          </rPr>
          <t>17-MAYO-2021 
Revisión de unidad No. 13 
Manipulación de equipo, desencintado, desconexión de arnés)</t>
        </r>
      </text>
    </comment>
    <comment ref="E19" authorId="0" shapeId="0" xr:uid="{00000000-0006-0000-0300-000003000000}">
      <text>
        <r>
          <rPr>
            <b/>
            <sz val="9"/>
            <color indexed="81"/>
            <rFont val="Tahoma"/>
            <family val="2"/>
          </rPr>
          <t>Luffi:</t>
        </r>
        <r>
          <rPr>
            <sz val="9"/>
            <color indexed="81"/>
            <rFont val="Tahoma"/>
            <family val="2"/>
          </rPr>
          <t xml:space="preserve">
2 EQUIPOS $2,000 + IVA $2,320.00
2 EQUIPO USO RUDO $3,400 + IVA 
4 RENTAS $280 + IVA $324.80
EQUIPO PORTATIL $3,400.00+IVA
MENSUALIDAD $649.60</t>
        </r>
      </text>
    </comment>
    <comment ref="E20" authorId="1" shapeId="0" xr:uid="{00000000-0006-0000-0300-000004000000}">
      <text>
        <r>
          <rPr>
            <b/>
            <sz val="9"/>
            <color indexed="81"/>
            <rFont val="Tahoma"/>
            <family val="2"/>
          </rPr>
          <t>PC:</t>
        </r>
        <r>
          <rPr>
            <sz val="9"/>
            <color indexed="81"/>
            <rFont val="Tahoma"/>
            <family val="2"/>
          </rPr>
          <t xml:space="preserve">
INICA EL 13-MARZO-2023 
COMODATO
INSTALACION $650.00+IVA= $S754.00
MENSUALIDAD $299.00+IVA= $346.84</t>
        </r>
      </text>
    </comment>
    <comment ref="E21" authorId="1" shapeId="0" xr:uid="{00000000-0006-0000-0300-000005000000}">
      <text>
        <r>
          <rPr>
            <b/>
            <sz val="9"/>
            <color indexed="81"/>
            <rFont val="Tahoma"/>
            <family val="2"/>
          </rPr>
          <t>PC:</t>
        </r>
        <r>
          <rPr>
            <sz val="9"/>
            <color indexed="81"/>
            <rFont val="Tahoma"/>
            <family val="2"/>
          </rPr>
          <t xml:space="preserve">
INICIA EL 27-OCTUBRE-2023
COMODATO
INSTALACION $500.00+IVA
MENSUALIDAD $270.00+IVA</t>
        </r>
      </text>
    </comment>
    <comment ref="E22" authorId="1" shapeId="0" xr:uid="{00000000-0006-0000-0300-000006000000}">
      <text>
        <r>
          <rPr>
            <b/>
            <sz val="9"/>
            <color indexed="81"/>
            <rFont val="Tahoma"/>
            <family val="2"/>
          </rPr>
          <t>PC:</t>
        </r>
        <r>
          <rPr>
            <sz val="9"/>
            <color indexed="81"/>
            <rFont val="Tahoma"/>
            <family val="2"/>
          </rPr>
          <t xml:space="preserve">
INSTALACIÓN $650.00+IVA=$754.00
EQUIPOS COMODATOS 
MENSUALIDAD $300.00+IVA=$348.00</t>
        </r>
      </text>
    </comment>
    <comment ref="T22" authorId="1" shapeId="0" xr:uid="{00000000-0006-0000-0300-000007000000}">
      <text>
        <r>
          <rPr>
            <b/>
            <sz val="9"/>
            <color indexed="81"/>
            <rFont val="Tahoma"/>
            <family val="2"/>
          </rPr>
          <t xml:space="preserve">PC:
Instalacion de 3 equipos </t>
        </r>
        <r>
          <rPr>
            <sz val="9"/>
            <color indexed="81"/>
            <rFont val="Tahoma"/>
            <family val="2"/>
          </rPr>
          <t xml:space="preserve">
</t>
        </r>
      </text>
    </comment>
    <comment ref="E23" authorId="1" shapeId="0" xr:uid="{00000000-0006-0000-0300-000008000000}">
      <text>
        <r>
          <rPr>
            <b/>
            <sz val="9"/>
            <color indexed="81"/>
            <rFont val="Tahoma"/>
            <family val="2"/>
          </rPr>
          <t>PC:</t>
        </r>
        <r>
          <rPr>
            <sz val="9"/>
            <color indexed="81"/>
            <rFont val="Tahoma"/>
            <family val="2"/>
          </rPr>
          <t xml:space="preserve">
INICIA EL 15-NOVIEMBRE-2023
EQUIPO $2,200.00+IVA
MENSUALIDAD $250.00+IVA
</t>
        </r>
      </text>
    </comment>
    <comment ref="E24" authorId="1" shapeId="0" xr:uid="{00000000-0006-0000-0300-000009000000}">
      <text>
        <r>
          <rPr>
            <b/>
            <sz val="9"/>
            <color indexed="81"/>
            <rFont val="Tahoma"/>
            <family val="2"/>
          </rPr>
          <t>PC:</t>
        </r>
        <r>
          <rPr>
            <sz val="9"/>
            <color indexed="81"/>
            <rFont val="Tahoma"/>
            <family val="2"/>
          </rPr>
          <t xml:space="preserve">
INGRESA EL 22-MAYO-2024
EQUIPO $1,850.00+IVA
MENSUALIDAD $250.00+IVA
EQUIPO USO RUDO $3,450.00+IVA</t>
        </r>
      </text>
    </comment>
    <comment ref="E25" authorId="1" shapeId="0" xr:uid="{00000000-0006-0000-0300-00000A000000}">
      <text>
        <r>
          <rPr>
            <b/>
            <sz val="9"/>
            <color indexed="81"/>
            <rFont val="Tahoma"/>
            <family val="2"/>
          </rPr>
          <t>PC:</t>
        </r>
        <r>
          <rPr>
            <sz val="9"/>
            <color indexed="81"/>
            <rFont val="Tahoma"/>
            <family val="2"/>
          </rPr>
          <t xml:space="preserve">
INGRESA EL 31-OCTUBRE-2024
EQUIPO $1,850.0+IVA
MENSUALIDAD $300.00+IVA
CAMBIA A ESQUEMA DE FACTURACION 05-FEBRERO-2025</t>
        </r>
      </text>
    </comment>
    <comment ref="E26" authorId="1" shapeId="0" xr:uid="{00000000-0006-0000-0300-00000B000000}">
      <text>
        <r>
          <rPr>
            <b/>
            <sz val="9"/>
            <color indexed="81"/>
            <rFont val="Tahoma"/>
            <family val="2"/>
          </rPr>
          <t>PC:</t>
        </r>
        <r>
          <rPr>
            <sz val="9"/>
            <color indexed="81"/>
            <rFont val="Tahoma"/>
            <family val="2"/>
          </rPr>
          <t xml:space="preserve">
INICA EL 23-NOVIEMBRE-2023
COMODATO
INSTALACION $650.00+IVA
MENSUALIDAD $279.00+IVA</t>
        </r>
      </text>
    </comment>
    <comment ref="E27" authorId="2" shapeId="0" xr:uid="{00000000-0006-0000-0300-00000C000000}">
      <text>
        <r>
          <rPr>
            <b/>
            <sz val="9"/>
            <color indexed="81"/>
            <rFont val="Tahoma"/>
            <family val="2"/>
          </rPr>
          <t>Usuario de Windows:</t>
        </r>
        <r>
          <rPr>
            <sz val="9"/>
            <color indexed="81"/>
            <rFont val="Tahoma"/>
            <family val="2"/>
          </rPr>
          <t xml:space="preserve">
</t>
        </r>
        <r>
          <rPr>
            <b/>
            <sz val="9"/>
            <color indexed="81"/>
            <rFont val="Tahoma"/>
            <family val="2"/>
          </rPr>
          <t xml:space="preserve">ESQUEMA COMODATO
</t>
        </r>
        <r>
          <rPr>
            <sz val="9"/>
            <color indexed="81"/>
            <rFont val="Tahoma"/>
            <family val="2"/>
          </rPr>
          <t xml:space="preserve">INSTALACION $650 + IVA
MENSUALIDAD $280 + IVA
DES-INSTALACION $500.0+IVA
INSTALACIONES 28-FEB-2022 Y 1-MAR-2022
</t>
        </r>
        <r>
          <rPr>
            <b/>
            <sz val="9"/>
            <color indexed="81"/>
            <rFont val="Tahoma"/>
            <family val="2"/>
          </rPr>
          <t>*FACTURADO 01-MAR-2022*</t>
        </r>
      </text>
    </comment>
    <comment ref="E28" authorId="1" shapeId="0" xr:uid="{00000000-0006-0000-0300-00000D000000}">
      <text>
        <r>
          <rPr>
            <b/>
            <sz val="9"/>
            <color indexed="81"/>
            <rFont val="Tahoma"/>
            <family val="2"/>
          </rPr>
          <t>PC:</t>
        </r>
        <r>
          <rPr>
            <sz val="9"/>
            <color indexed="81"/>
            <rFont val="Tahoma"/>
            <family val="2"/>
          </rPr>
          <t xml:space="preserve">
INCIA EL 21-ENERO-2023
1 UNIDAD 
FALTANDO 4 UNIDADES 
COMODATO 
INSTALACIÓN $650.00+IVA=$754.00
MENSUALIDAD $300.00+IVA=$348.00
REVISIONES $650.00+IVA</t>
        </r>
      </text>
    </comment>
    <comment ref="E29" authorId="1" shapeId="0" xr:uid="{00000000-0006-0000-0300-00000E000000}">
      <text>
        <r>
          <rPr>
            <b/>
            <sz val="9"/>
            <color indexed="81"/>
            <rFont val="Tahoma"/>
            <family val="2"/>
          </rPr>
          <t xml:space="preserve">PC:
</t>
        </r>
        <r>
          <rPr>
            <sz val="9"/>
            <color indexed="81"/>
            <rFont val="Tahoma"/>
            <family val="2"/>
          </rPr>
          <t xml:space="preserve">CUENTA SEPARADA DE DEX MATERIALES 06-SEPTIEMBRE-2024
</t>
        </r>
        <r>
          <rPr>
            <b/>
            <sz val="9"/>
            <color indexed="81"/>
            <rFont val="Tahoma"/>
            <family val="2"/>
          </rPr>
          <t xml:space="preserve">PAGO TRIMESTRAL 
MENSUALIDAD $300.00+IVA 
3 MESES $900.00+IVA
</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0" authorId="1" shapeId="0" xr:uid="{00000000-0006-0000-0300-00000F000000}">
      <text>
        <r>
          <rPr>
            <b/>
            <sz val="9"/>
            <color indexed="81"/>
            <rFont val="Tahoma"/>
            <family val="2"/>
          </rPr>
          <t>PC:</t>
        </r>
        <r>
          <rPr>
            <sz val="9"/>
            <color indexed="81"/>
            <rFont val="Tahoma"/>
            <family val="2"/>
          </rPr>
          <t xml:space="preserve">
RENTA 7 $350.00
1 GPS EN PLAN $650.00
1 UNIDAD MAS OCTUBRE
CAMBIO DE RAZON SOCIAL MARZO´2022
SE DIVIDE CUENTA ACERTRANS - SILVIA NERIA - AGOSTO 2023
</t>
        </r>
      </text>
    </comment>
    <comment ref="E31" authorId="1" shapeId="0" xr:uid="{00000000-0006-0000-0300-000010000000}">
      <text>
        <r>
          <rPr>
            <b/>
            <sz val="9"/>
            <color indexed="81"/>
            <rFont val="Tahoma"/>
            <family val="2"/>
          </rPr>
          <t>PC:</t>
        </r>
        <r>
          <rPr>
            <sz val="9"/>
            <color indexed="81"/>
            <rFont val="Tahoma"/>
            <family val="2"/>
          </rPr>
          <t xml:space="preserve">
INICIA EL 26-DICIEMBRE-2023
INSTALACION $650.00+IVA
MENSUALIDAD $250.00+IVA
MICROFONO $399.00
MENSUALIDAD CON MICROFONO $300.00+IVA</t>
        </r>
      </text>
    </comment>
    <comment ref="E32" authorId="1" shapeId="0" xr:uid="{00000000-0006-0000-0300-000011000000}">
      <text>
        <r>
          <rPr>
            <b/>
            <sz val="9"/>
            <color indexed="81"/>
            <rFont val="Tahoma"/>
            <family val="2"/>
          </rPr>
          <t>PC:</t>
        </r>
        <r>
          <rPr>
            <sz val="9"/>
            <color indexed="81"/>
            <rFont val="Tahoma"/>
            <family val="2"/>
          </rPr>
          <t xml:space="preserve">
RE-INGRESA EL 25-NOVIEMBRE-2024
EQUIPO $1,500.00+IVA
MENSUALIDAD $279.00+IVA</t>
        </r>
      </text>
    </comment>
    <comment ref="E33" authorId="1" shapeId="0" xr:uid="{00000000-0006-0000-0300-000012000000}">
      <text>
        <r>
          <rPr>
            <b/>
            <sz val="9"/>
            <color indexed="81"/>
            <rFont val="Tahoma"/>
            <family val="2"/>
          </rPr>
          <t>PC:</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4" authorId="1" shapeId="0" xr:uid="{00000000-0006-0000-0300-000013000000}">
      <text>
        <r>
          <rPr>
            <b/>
            <sz val="9"/>
            <color indexed="81"/>
            <rFont val="Tahoma"/>
            <family val="2"/>
          </rPr>
          <t>PC:</t>
        </r>
        <r>
          <rPr>
            <sz val="9"/>
            <color indexed="81"/>
            <rFont val="Tahoma"/>
            <family val="2"/>
          </rPr>
          <t xml:space="preserve">
INGRESA EL 11-MAYO-2024
EQUIPO $1,850.00+IVA
MENSUALIDAD $250.00+IVA
CAMBIA A ESQUEMA DE FACTURACIÓN EL 02-JULIO-2024</t>
        </r>
      </text>
    </comment>
    <comment ref="E35" authorId="0" shapeId="0" xr:uid="{00000000-0006-0000-0300-000014000000}">
      <text>
        <r>
          <rPr>
            <b/>
            <sz val="9"/>
            <color indexed="81"/>
            <rFont val="Tahoma"/>
            <family val="2"/>
          </rPr>
          <t>Luffi:</t>
        </r>
        <r>
          <rPr>
            <sz val="9"/>
            <color indexed="81"/>
            <rFont val="Tahoma"/>
            <family val="2"/>
          </rPr>
          <t xml:space="preserve">
1 EQUIPO $1,850.00
1 RENTA $250.00+ IVA $290.00
</t>
        </r>
        <r>
          <rPr>
            <b/>
            <sz val="9"/>
            <color indexed="81"/>
            <rFont val="Tahoma"/>
            <family val="2"/>
          </rPr>
          <t xml:space="preserve">MENSUALIDAD $290.00 </t>
        </r>
      </text>
    </comment>
    <comment ref="E36" authorId="2" shapeId="0" xr:uid="{00000000-0006-0000-0300-000015000000}">
      <text>
        <r>
          <rPr>
            <b/>
            <sz val="9"/>
            <color indexed="81"/>
            <rFont val="Tahoma"/>
            <family val="2"/>
          </rPr>
          <t>Usuario de Windows:</t>
        </r>
        <r>
          <rPr>
            <sz val="9"/>
            <color indexed="81"/>
            <rFont val="Tahoma"/>
            <family val="2"/>
          </rPr>
          <t xml:space="preserve">
</t>
        </r>
        <r>
          <rPr>
            <b/>
            <sz val="9"/>
            <color indexed="81"/>
            <rFont val="Tahoma"/>
            <family val="2"/>
          </rPr>
          <t xml:space="preserve">5 EQUIPOS COMODATO 
INSTALACION $650 + IVA
MENSUALIDAD $350 + IVA 
03-MAYO-2022 </t>
        </r>
        <r>
          <rPr>
            <sz val="9"/>
            <color indexed="81"/>
            <rFont val="Tahoma"/>
            <family val="2"/>
          </rPr>
          <t xml:space="preserve">DEPOSITO $5,800 
</t>
        </r>
        <r>
          <rPr>
            <b/>
            <sz val="9"/>
            <color indexed="81"/>
            <rFont val="Tahoma"/>
            <family val="2"/>
          </rPr>
          <t xml:space="preserve">INSTALACIONES 
</t>
        </r>
        <r>
          <rPr>
            <sz val="9"/>
            <color indexed="81"/>
            <rFont val="Tahoma"/>
            <family val="2"/>
          </rPr>
          <t xml:space="preserve">09-Mayo-2022 Unidad 02
10-Mayo-2022 Unidad 01, 05 y 03
CAMBIO DE RAZON SOCIAL SINERGIZ - ENDER INDUSTRIAL FEBRERO 2023 
</t>
        </r>
        <r>
          <rPr>
            <b/>
            <sz val="9"/>
            <color indexed="81"/>
            <rFont val="Tahoma"/>
            <family val="2"/>
          </rPr>
          <t>*PENDIENTE POR INSTALAR 1 UNIDAD*</t>
        </r>
      </text>
    </comment>
    <comment ref="T36" authorId="1" shapeId="0" xr:uid="{00000000-0006-0000-0300-000016000000}">
      <text>
        <r>
          <rPr>
            <b/>
            <sz val="9"/>
            <color indexed="81"/>
            <rFont val="Tahoma"/>
            <family val="2"/>
          </rPr>
          <t>PC:</t>
        </r>
        <r>
          <rPr>
            <sz val="9"/>
            <color indexed="81"/>
            <rFont val="Tahoma"/>
            <family val="2"/>
          </rPr>
          <t xml:space="preserve">
Reinstalación Moto 
15-Julio-2022 
Unidad 03 
Placas 91CLJ1</t>
        </r>
      </text>
    </comment>
    <comment ref="E37" authorId="1" shapeId="0" xr:uid="{00000000-0006-0000-0300-000017000000}">
      <text>
        <r>
          <rPr>
            <b/>
            <sz val="9"/>
            <color indexed="81"/>
            <rFont val="Tahoma"/>
            <family val="2"/>
          </rPr>
          <t>PC:</t>
        </r>
        <r>
          <rPr>
            <sz val="9"/>
            <color indexed="81"/>
            <rFont val="Tahoma"/>
            <family val="2"/>
          </rPr>
          <t xml:space="preserve">
INICIA EL 25-ENERO-2024
EQUIPO $2,250.00+IVA
MENSUALIDAD $249.00+IVA</t>
        </r>
      </text>
    </comment>
    <comment ref="E38" authorId="1" shapeId="0" xr:uid="{00000000-0006-0000-0300-000018000000}">
      <text>
        <r>
          <rPr>
            <b/>
            <sz val="9"/>
            <color indexed="81"/>
            <rFont val="Tahoma"/>
            <family val="2"/>
          </rPr>
          <t>PC:</t>
        </r>
        <r>
          <rPr>
            <sz val="9"/>
            <color indexed="81"/>
            <rFont val="Tahoma"/>
            <family val="2"/>
          </rPr>
          <t xml:space="preserve">
INGRESA EL 13-SEPTIEMBRE-2024
COMODATO 
INSTALACION $549.00+IVA
MENSUALIDAD $300.00+IVA</t>
        </r>
      </text>
    </comment>
    <comment ref="E39" authorId="1" shapeId="0" xr:uid="{00000000-0006-0000-0300-000019000000}">
      <text>
        <r>
          <rPr>
            <b/>
            <sz val="9"/>
            <color indexed="81"/>
            <rFont val="Tahoma"/>
            <family val="2"/>
          </rPr>
          <t>PC:</t>
        </r>
        <r>
          <rPr>
            <sz val="9"/>
            <color indexed="81"/>
            <rFont val="Tahoma"/>
            <family val="2"/>
          </rPr>
          <t xml:space="preserve">
MENSUALIDAD $60.00
10 UNIDADES EN JULIO'22
40 UNIDADES EN AGOSTO'22
50 UNIDADES EN SEPT'22
25 UNIDADES EN OCTUBRE'22
10 UNIDADES EN NOVIEMBRE'22
20 UNIDADES EN DICIEMBRE'22
26 UNIDADES EN ENERO'23
26 UNIDADES EN FEBRERO'23
40 UNIDADES EN MARZO'23
28 UNIDADES EN ABRIL'23
25 UNIDADES EN MAYO'23
40 UNIDADES EN JUNIO'23
19 UNIDADES EN JULIO'23
42 UNIDADES EN AGOSTO'23
24 UNIDADES EN SEPT'23
27 UNIDADES EN OCTUBRE'23
26 UNIDADES EN NOVIEMBRE'23
37 UNIDADES EN DICIEMBRE'23
- EN ENERO 2024 SE CAMBIO EL COSTO DE LA MENSUALDIAD A $40.00
- SE LE EMPIEZA A FACTURAR EN FEBRERO 2024
- CAMBIA COSTO DE MENSUALIDAD A $38.80+IVA
19 UNIDADES EN ENERO'24
52 UNIDADES EN FEBRERO'24
17 UNIDADES EN MARZO'24
25 UNIDADES EN ABRIL'24
32 UNIDADES EN MAYO'24
13 UNIDADES EN JUNIO'24
1 UNIDAD EN DICIEMBRE'24</t>
        </r>
      </text>
    </comment>
    <comment ref="T39" authorId="1" shapeId="0" xr:uid="{00000000-0006-0000-0300-00001A000000}">
      <text>
        <r>
          <rPr>
            <b/>
            <sz val="9"/>
            <color indexed="81"/>
            <rFont val="Tahoma"/>
            <family val="2"/>
          </rPr>
          <t>PC:</t>
        </r>
        <r>
          <rPr>
            <sz val="9"/>
            <color indexed="81"/>
            <rFont val="Tahoma"/>
            <family val="2"/>
          </rPr>
          <t xml:space="preserve">
REMISION ADICIONAL POR UNIDADES FALTANTES DE COBRAR 
Saldo de meses arrastrados desde julio'22</t>
        </r>
      </text>
    </comment>
    <comment ref="E40" authorId="1" shapeId="0" xr:uid="{00000000-0006-0000-0300-00001B000000}">
      <text>
        <r>
          <rPr>
            <b/>
            <sz val="9"/>
            <color indexed="81"/>
            <rFont val="Tahoma"/>
            <family val="2"/>
          </rPr>
          <t>PC:</t>
        </r>
        <r>
          <rPr>
            <sz val="9"/>
            <color indexed="81"/>
            <rFont val="Tahoma"/>
            <family val="2"/>
          </rPr>
          <t xml:space="preserve">
INGRESA EL 03-OCTUBRE-2024
COMODATO 
INSTALACION $549.00+IVA
MENSUALIDAD $300.00+IVA</t>
        </r>
      </text>
    </comment>
    <comment ref="E41" authorId="1" shapeId="0" xr:uid="{00000000-0006-0000-0300-00001C000000}">
      <text>
        <r>
          <rPr>
            <b/>
            <sz val="9"/>
            <color indexed="81"/>
            <rFont val="Tahoma"/>
            <family val="2"/>
          </rPr>
          <t>PC:</t>
        </r>
        <r>
          <rPr>
            <sz val="9"/>
            <color indexed="81"/>
            <rFont val="Tahoma"/>
            <family val="2"/>
          </rPr>
          <t xml:space="preserve">
INICA CUENTA DEMO EL 24-FEB-23
INGRESA A LA COBRANZA EL 13-ABRIL-23
INSTALACION $650.00+IVA=$754.00
MENSUALIDAD $320.00+IVA=$371.20
*COMODATO
VISITA EN FALSO $250.00+IVA</t>
        </r>
      </text>
    </comment>
    <comment ref="T41" authorId="1" shapeId="0" xr:uid="{00000000-0006-0000-0300-00001D000000}">
      <text>
        <r>
          <rPr>
            <b/>
            <sz val="9"/>
            <color indexed="81"/>
            <rFont val="Tahoma"/>
            <family val="2"/>
          </rPr>
          <t>PC:</t>
        </r>
        <r>
          <rPr>
            <sz val="9"/>
            <color indexed="81"/>
            <rFont val="Tahoma"/>
            <family val="2"/>
          </rPr>
          <t xml:space="preserve">
INSTALACIONES
PDTES- 5 
$650.00+IVA</t>
        </r>
      </text>
    </comment>
    <comment ref="E42" authorId="1" shapeId="0" xr:uid="{00000000-0006-0000-0300-00001E000000}">
      <text>
        <r>
          <rPr>
            <b/>
            <sz val="9"/>
            <color indexed="81"/>
            <rFont val="Tahoma"/>
            <family val="2"/>
          </rPr>
          <t>PC:</t>
        </r>
        <r>
          <rPr>
            <sz val="9"/>
            <color indexed="81"/>
            <rFont val="Tahoma"/>
            <family val="2"/>
          </rPr>
          <t xml:space="preserve">
INGRESA EL 14-DICIEMBRE-2024
EQUIPO $2,200.00+IVA
MENSUALIDAD $290.00</t>
        </r>
      </text>
    </comment>
    <comment ref="E43" authorId="1" shapeId="0" xr:uid="{00000000-0006-0000-0300-00001F000000}">
      <text>
        <r>
          <rPr>
            <b/>
            <sz val="9"/>
            <color indexed="81"/>
            <rFont val="Tahoma"/>
            <family val="2"/>
          </rPr>
          <t>PC:</t>
        </r>
        <r>
          <rPr>
            <sz val="9"/>
            <color indexed="81"/>
            <rFont val="Tahoma"/>
            <family val="2"/>
          </rPr>
          <t xml:space="preserve">
INGRESA EL 19-OCTUBRE-2024
COMODATO 
INSTALACION $549.00+IVA
MENSUALIDAD $300.00+IVA
NOVIEMBRE 2024 INSTALACION CON DESCUENTO UNICO -30%
INSTALACION $384.30+IVA 
REVISION $650.00+IVA
RE-INSTALACION $500.00+IVA
DES-INSTALACION $500.00+IVA</t>
        </r>
      </text>
    </comment>
    <comment ref="E44" authorId="1" shapeId="0" xr:uid="{00000000-0006-0000-0300-000020000000}">
      <text>
        <r>
          <rPr>
            <b/>
            <sz val="9"/>
            <color indexed="81"/>
            <rFont val="Tahoma"/>
            <family val="2"/>
          </rPr>
          <t>PC:</t>
        </r>
        <r>
          <rPr>
            <sz val="9"/>
            <color indexed="81"/>
            <rFont val="Tahoma"/>
            <family val="2"/>
          </rPr>
          <t xml:space="preserve">
ALTA 14-ENERO-2025 
COMODATO
INSTALACION $549.00+IVA
MENSUALIDAD $279.00+IVA</t>
        </r>
      </text>
    </comment>
    <comment ref="E45" authorId="3" shapeId="0" xr:uid="{00000000-0006-0000-0300-000021000000}">
      <text>
        <r>
          <rPr>
            <b/>
            <sz val="9"/>
            <color indexed="81"/>
            <rFont val="Tahoma"/>
            <family val="2"/>
          </rPr>
          <t>UBITEC:</t>
        </r>
        <r>
          <rPr>
            <sz val="9"/>
            <color indexed="81"/>
            <rFont val="Tahoma"/>
            <family val="2"/>
          </rPr>
          <t xml:space="preserve">
</t>
        </r>
        <r>
          <rPr>
            <sz val="10"/>
            <color indexed="81"/>
            <rFont val="Tahoma"/>
            <family val="2"/>
          </rPr>
          <t xml:space="preserve">EQUIPO $2,300 + IVA $2,668.00
MENSUALIDAD $250.00+ IVA $290.00
</t>
        </r>
        <r>
          <rPr>
            <b/>
            <sz val="10"/>
            <color indexed="81"/>
            <rFont val="Tahoma"/>
            <family val="2"/>
          </rPr>
          <t xml:space="preserve">1er SERVICIO 14-JUN-2022 
</t>
        </r>
        <r>
          <rPr>
            <sz val="10"/>
            <color indexed="81"/>
            <rFont val="Tahoma"/>
            <family val="2"/>
          </rPr>
          <t xml:space="preserve">Instalación 2 unidades </t>
        </r>
        <r>
          <rPr>
            <b/>
            <sz val="10"/>
            <color indexed="81"/>
            <rFont val="Tahoma"/>
            <family val="2"/>
          </rPr>
          <t xml:space="preserve">
2do SERVICIO 17-JUN-2022
</t>
        </r>
        <r>
          <rPr>
            <sz val="10"/>
            <color indexed="81"/>
            <rFont val="Tahoma"/>
            <family val="2"/>
          </rPr>
          <t xml:space="preserve">Instalación 1 unidad
</t>
        </r>
      </text>
    </comment>
    <comment ref="T45" authorId="1" shapeId="0" xr:uid="{00000000-0006-0000-0300-000022000000}">
      <text>
        <r>
          <rPr>
            <b/>
            <sz val="9"/>
            <color indexed="81"/>
            <rFont val="Tahoma"/>
            <family val="2"/>
          </rPr>
          <t>PC:</t>
        </r>
        <r>
          <rPr>
            <sz val="9"/>
            <color indexed="81"/>
            <rFont val="Tahoma"/>
            <family val="2"/>
          </rPr>
          <t xml:space="preserve">
INSTALACIONES 25-NOVIEMBRE-22
EQUIPO $2,300.00+IVA 
MENSUALIDAD PROPORCIONAL $41.66+IVA 
INSTALACIONES 03-DICIEMBRE-22
4 EQUIPOS $2,300.00+IVA 
MENSUALIDAD PROPORCIONAL 27 DÍAS $225.00+IVA </t>
        </r>
      </text>
    </comment>
    <comment ref="E46" authorId="0" shapeId="0" xr:uid="{00000000-0006-0000-0300-000023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7" authorId="0" shapeId="0" xr:uid="{00000000-0006-0000-0300-000024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8" authorId="1" shapeId="0" xr:uid="{00000000-0006-0000-0300-000025000000}">
      <text>
        <r>
          <rPr>
            <b/>
            <sz val="9"/>
            <color indexed="81"/>
            <rFont val="Tahoma"/>
            <family val="2"/>
          </rPr>
          <t>PC:</t>
        </r>
        <r>
          <rPr>
            <sz val="9"/>
            <color indexed="81"/>
            <rFont val="Tahoma"/>
            <family val="2"/>
          </rPr>
          <t xml:space="preserve">
INGRESA EL 07-OCTUBRE-2024 
COMODATO 
INSTALACION $549.00+IVA
MENSUALIDAD $300.00+IVA</t>
        </r>
      </text>
    </comment>
    <comment ref="E49" authorId="1" shapeId="0" xr:uid="{00000000-0006-0000-0300-000026000000}">
      <text>
        <r>
          <rPr>
            <b/>
            <sz val="9"/>
            <color indexed="81"/>
            <rFont val="Tahoma"/>
            <family val="2"/>
          </rPr>
          <t>PC:</t>
        </r>
        <r>
          <rPr>
            <sz val="9"/>
            <color indexed="81"/>
            <rFont val="Tahoma"/>
            <family val="2"/>
          </rPr>
          <t xml:space="preserve">
RE-INSTALACIÓN Y MIGRACIÓN $650.00+IVA
INICIO 03-AGOSTO-22
RENTA $300.00 MENSUAL +IVA </t>
        </r>
      </text>
    </comment>
    <comment ref="E50" authorId="1" shapeId="0" xr:uid="{00000000-0006-0000-0300-000027000000}">
      <text>
        <r>
          <rPr>
            <b/>
            <sz val="9"/>
            <color indexed="81"/>
            <rFont val="Tahoma"/>
            <family val="2"/>
          </rPr>
          <t>PC:</t>
        </r>
        <r>
          <rPr>
            <sz val="9"/>
            <color indexed="81"/>
            <rFont val="Tahoma"/>
            <family val="2"/>
          </rPr>
          <t xml:space="preserve">
ALTA 28-FEBRERO-2025
INGRESA A LA COBRANZA 01-MARZO-2025
EQUIPO $2,200.00+IVA
MENSUALIDAD $250.00+IVA</t>
        </r>
      </text>
    </comment>
    <comment ref="E51" authorId="1" shapeId="0" xr:uid="{00000000-0006-0000-0300-000028000000}">
      <text>
        <r>
          <rPr>
            <b/>
            <sz val="9"/>
            <color indexed="81"/>
            <rFont val="Tahoma"/>
            <family val="2"/>
          </rPr>
          <t>PC:</t>
        </r>
        <r>
          <rPr>
            <sz val="9"/>
            <color indexed="81"/>
            <rFont val="Tahoma"/>
            <family val="2"/>
          </rPr>
          <t xml:space="preserve">
INGRESA EL 16-NOVIEMBRE-2023
EQUIPO $1,950.00+IVA
MENSUALIDAD $300.00+IVA
VIATICOS $1,000.00+IVA</t>
        </r>
      </text>
    </comment>
    <comment ref="E52" authorId="1" shapeId="0" xr:uid="{00000000-0006-0000-0300-000029000000}">
      <text>
        <r>
          <rPr>
            <b/>
            <sz val="9"/>
            <color indexed="81"/>
            <rFont val="Tahoma"/>
            <family val="2"/>
          </rPr>
          <t>PC:</t>
        </r>
        <r>
          <rPr>
            <sz val="9"/>
            <color indexed="81"/>
            <rFont val="Tahoma"/>
            <family val="2"/>
          </rPr>
          <t xml:space="preserve">
INICIA EL 03-MAYO-2023
EQUIPO $1,590.00+IVA
MENSUALIDAD $250.00+IVA</t>
        </r>
      </text>
    </comment>
    <comment ref="E53" authorId="1" shapeId="0" xr:uid="{00000000-0006-0000-0300-00002A000000}">
      <text>
        <r>
          <rPr>
            <b/>
            <sz val="9"/>
            <color indexed="81"/>
            <rFont val="Tahoma"/>
            <family val="2"/>
          </rPr>
          <t>PC:</t>
        </r>
        <r>
          <rPr>
            <sz val="9"/>
            <color indexed="81"/>
            <rFont val="Tahoma"/>
            <family val="2"/>
          </rPr>
          <t xml:space="preserve">
INICIA EL 05-JUNIO-2023
EQUIPO $1,200.00+IVA
MENSUALIDAD $300.00+IVA
</t>
        </r>
      </text>
    </comment>
    <comment ref="C54" authorId="1" shapeId="0" xr:uid="{00000000-0006-0000-0300-00002B000000}">
      <text>
        <r>
          <rPr>
            <b/>
            <sz val="9"/>
            <color indexed="81"/>
            <rFont val="Tahoma"/>
            <family val="2"/>
          </rPr>
          <t>PC:</t>
        </r>
        <r>
          <rPr>
            <sz val="9"/>
            <color indexed="81"/>
            <rFont val="Tahoma"/>
            <family val="2"/>
          </rPr>
          <t xml:space="preserve">
DOMICILIO: CARRETERA ESTATAL LIBRE MIGUEL ALEMAN #2526
PESQUERIA, N.L.
C.P.66650</t>
        </r>
      </text>
    </comment>
    <comment ref="E54" authorId="1" shapeId="0" xr:uid="{00000000-0006-0000-0300-00002C000000}">
      <text>
        <r>
          <rPr>
            <b/>
            <sz val="9"/>
            <color indexed="81"/>
            <rFont val="Tahoma"/>
            <family val="2"/>
          </rPr>
          <t>PC:</t>
        </r>
        <r>
          <rPr>
            <sz val="9"/>
            <color indexed="81"/>
            <rFont val="Tahoma"/>
            <family val="2"/>
          </rPr>
          <t xml:space="preserve">
INSTALACION EQP. MULTIMODAL 5 PUERTOS USO RUDO $2,149.00+IVA= $2,492.84
MENSUALIDAD $349.00+IVA= $404.84
SENSOR DE COMBUSTIBLE DE VARILLA CONFIGURACION INDUCTIVA INSTALACION Y CALIBRACION A 20 LTS $5,450.00+IVA= $6,322.00
1er. INSTALACION 22-DICIEMBRE-2022 
*SE LE COBRA Y FACTURA HASTA EL 04-ENERO-2023</t>
        </r>
      </text>
    </comment>
    <comment ref="T54" authorId="1" shapeId="0" xr:uid="{00000000-0006-0000-0300-00002D000000}">
      <text>
        <r>
          <rPr>
            <b/>
            <sz val="9"/>
            <color indexed="81"/>
            <rFont val="Tahoma"/>
            <family val="2"/>
          </rPr>
          <t>PC:</t>
        </r>
        <r>
          <rPr>
            <sz val="9"/>
            <color indexed="81"/>
            <rFont val="Tahoma"/>
            <family val="2"/>
          </rPr>
          <t xml:space="preserve">
INSTALACION EQP. MULTIMODAL 5 PUERTOS USO RUDO $2,149.00+IVA= $2,492.84
SENSOR DE COMBUSTIBLE DE VARILLA CONFIGURACION INDUCTIVA INSTALACION Y CALIBRACION A 20 LTS $5,450.00+IVA= $6,322.00
INSTALCION 17-FEBRERO-2023 
1 INSTALACION $2,149.00+IVA
1 MENS. $349.00+IVA
</t>
        </r>
      </text>
    </comment>
    <comment ref="AL54" authorId="1" shapeId="0" xr:uid="{00000000-0006-0000-0300-00002E000000}">
      <text>
        <r>
          <rPr>
            <b/>
            <sz val="9"/>
            <color indexed="81"/>
            <rFont val="Tahoma"/>
            <family val="2"/>
          </rPr>
          <t>PC:</t>
        </r>
        <r>
          <rPr>
            <sz val="9"/>
            <color indexed="81"/>
            <rFont val="Tahoma"/>
            <family val="2"/>
          </rPr>
          <t xml:space="preserve">
DEVOLUCIÓN POR PAGO DUPLICADO 
SE ENVIÓ CORREO EL 17-FEB-23 </t>
        </r>
      </text>
    </comment>
    <comment ref="E55" authorId="1" shapeId="0" xr:uid="{00000000-0006-0000-0300-00002F000000}">
      <text>
        <r>
          <rPr>
            <b/>
            <sz val="9"/>
            <color indexed="81"/>
            <rFont val="Tahoma"/>
            <family val="2"/>
          </rPr>
          <t>PC:</t>
        </r>
        <r>
          <rPr>
            <sz val="9"/>
            <color indexed="81"/>
            <rFont val="Tahoma"/>
            <family val="2"/>
          </rPr>
          <t xml:space="preserve">
INGRESA EL 18-SEPTIEMBRE-2024
COMODATO 
INSTALACIÓN $549.00+IVA
MENSUALIDAD $250.00+IVA
SE LE INSTALA EL 24-SEPTIEMBRE-2024 
04 UNIDADES
25-SEPTIEMBRE-2024 05 UNIDADES</t>
        </r>
      </text>
    </comment>
    <comment ref="D56" authorId="0" shapeId="0" xr:uid="{00000000-0006-0000-0300-000030000000}">
      <text>
        <r>
          <rPr>
            <b/>
            <sz val="9"/>
            <color indexed="81"/>
            <rFont val="Tahoma"/>
            <family val="2"/>
          </rPr>
          <t>Luffi:</t>
        </r>
        <r>
          <rPr>
            <sz val="9"/>
            <color indexed="81"/>
            <rFont val="Tahoma"/>
            <family val="2"/>
          </rPr>
          <t xml:space="preserve">
Ricardo Gonzalez 818 029 3441
</t>
        </r>
        <r>
          <rPr>
            <b/>
            <sz val="9"/>
            <color indexed="10"/>
            <rFont val="Tahoma"/>
            <family val="2"/>
          </rPr>
          <t xml:space="preserve">ricardo.g@quinexus.mx; ricardo.g@quimbo.mx
</t>
        </r>
        <r>
          <rPr>
            <b/>
            <sz val="9"/>
            <color indexed="81"/>
            <rFont val="Tahoma"/>
            <family val="2"/>
          </rPr>
          <t xml:space="preserve">
</t>
        </r>
        <r>
          <rPr>
            <sz val="9"/>
            <color indexed="81"/>
            <rFont val="Tahoma"/>
            <family val="2"/>
          </rPr>
          <t>Arely López</t>
        </r>
        <r>
          <rPr>
            <sz val="9"/>
            <color indexed="10"/>
            <rFont val="Tahoma"/>
            <family val="2"/>
          </rPr>
          <t xml:space="preserve"> </t>
        </r>
        <r>
          <rPr>
            <sz val="9"/>
            <color indexed="81"/>
            <rFont val="Tahoma"/>
            <family val="2"/>
          </rPr>
          <t xml:space="preserve">811 499 1431
</t>
        </r>
        <r>
          <rPr>
            <b/>
            <sz val="9"/>
            <color indexed="10"/>
            <rFont val="Tahoma"/>
            <family val="2"/>
          </rPr>
          <t>arely.lr@quinexus.mx;</t>
        </r>
        <r>
          <rPr>
            <b/>
            <sz val="9"/>
            <color indexed="81"/>
            <rFont val="Tahoma"/>
            <family val="2"/>
          </rPr>
          <t xml:space="preserve"> 
</t>
        </r>
        <r>
          <rPr>
            <sz val="9"/>
            <color indexed="81"/>
            <rFont val="Tahoma"/>
            <family val="2"/>
          </rPr>
          <t xml:space="preserve">Juan Carlos 818 280 5631 
</t>
        </r>
        <r>
          <rPr>
            <b/>
            <sz val="9"/>
            <color indexed="10"/>
            <rFont val="Tahoma"/>
            <family val="2"/>
          </rPr>
          <t>juan.cf@quinexus.mx</t>
        </r>
        <r>
          <rPr>
            <b/>
            <sz val="9"/>
            <color indexed="81"/>
            <rFont val="Tahoma"/>
            <family val="2"/>
          </rPr>
          <t xml:space="preserve"> </t>
        </r>
      </text>
    </comment>
    <comment ref="E56" authorId="0" shapeId="0" xr:uid="{00000000-0006-0000-0300-000031000000}">
      <text>
        <r>
          <rPr>
            <b/>
            <sz val="9"/>
            <color indexed="81"/>
            <rFont val="Tahoma"/>
            <family val="2"/>
          </rPr>
          <t>Luffi:</t>
        </r>
        <r>
          <rPr>
            <sz val="9"/>
            <color indexed="81"/>
            <rFont val="Tahoma"/>
            <family val="2"/>
          </rPr>
          <t xml:space="preserve">
</t>
        </r>
        <r>
          <rPr>
            <sz val="10"/>
            <color indexed="81"/>
            <rFont val="Tahoma"/>
            <family val="2"/>
          </rPr>
          <t>RENTA $220.00
26 UNIDADES</t>
        </r>
      </text>
    </comment>
    <comment ref="N56" authorId="1" shapeId="0" xr:uid="{00000000-0006-0000-0300-000032000000}">
      <text>
        <r>
          <rPr>
            <b/>
            <sz val="9"/>
            <color indexed="81"/>
            <rFont val="Tahoma"/>
            <family val="2"/>
          </rPr>
          <t>PC:</t>
        </r>
        <r>
          <rPr>
            <sz val="9"/>
            <color indexed="81"/>
            <rFont val="Tahoma"/>
            <family val="2"/>
          </rPr>
          <t xml:space="preserve">
REMISION 61
</t>
        </r>
      </text>
    </comment>
    <comment ref="T56" authorId="0" shapeId="0" xr:uid="{00000000-0006-0000-0300-000033000000}">
      <text>
        <r>
          <rPr>
            <b/>
            <sz val="9"/>
            <color indexed="81"/>
            <rFont val="Tahoma"/>
            <family val="2"/>
          </rPr>
          <t>Luffi:</t>
        </r>
        <r>
          <rPr>
            <sz val="9"/>
            <color indexed="81"/>
            <rFont val="Tahoma"/>
            <family val="2"/>
          </rPr>
          <t xml:space="preserve">
REMISION 66 ENERO'22
REMISION 64 NOV-22 $32,012.00
13 INSTALACION
7 DES-INSTALACION
7-RE-INSTALACION
2 VISITA EN FALSO 
REMISION 60 02-JULIO-2022
$33,632.00
18 INSTALSACIONES
3 DES-INSTALACIONES 
1 RE-INSTALACION 
</t>
        </r>
        <r>
          <rPr>
            <sz val="10"/>
            <color indexed="81"/>
            <rFont val="Tahoma"/>
            <family val="2"/>
          </rPr>
          <t xml:space="preserve">
</t>
        </r>
      </text>
    </comment>
    <comment ref="U56" authorId="0" shapeId="0" xr:uid="{00000000-0006-0000-0300-000034000000}">
      <text>
        <r>
          <rPr>
            <b/>
            <sz val="9"/>
            <color indexed="81"/>
            <rFont val="Tahoma"/>
            <family val="2"/>
          </rPr>
          <t>Luffi:</t>
        </r>
        <r>
          <rPr>
            <sz val="9"/>
            <color indexed="81"/>
            <rFont val="Tahoma"/>
            <family val="2"/>
          </rPr>
          <t xml:space="preserve">
</t>
        </r>
        <r>
          <rPr>
            <sz val="10"/>
            <color indexed="81"/>
            <rFont val="Tahoma"/>
            <family val="2"/>
          </rPr>
          <t>29-JULIO-20 $3,448.00
10-AGOSTO-20 $5,940.00</t>
        </r>
      </text>
    </comment>
    <comment ref="E57" authorId="0" shapeId="0" xr:uid="{00000000-0006-0000-0300-000035000000}">
      <text>
        <r>
          <rPr>
            <b/>
            <sz val="9"/>
            <color indexed="81"/>
            <rFont val="Tahoma"/>
            <family val="2"/>
          </rPr>
          <t>Luffi:</t>
        </r>
        <r>
          <rPr>
            <sz val="9"/>
            <color indexed="81"/>
            <rFont val="Tahoma"/>
            <family val="2"/>
          </rPr>
          <t xml:space="preserve">
3 EQUIPOS $1,999.00 + IVA $2,318.84
4 RENTA $330.00 + IVA $382.80
CON CANAL DE VOZ
MENSUALIDAD $1,531.20</t>
        </r>
      </text>
    </comment>
    <comment ref="E58" authorId="1" shapeId="0" xr:uid="{00000000-0006-0000-0300-000036000000}">
      <text>
        <r>
          <rPr>
            <b/>
            <sz val="9"/>
            <color indexed="81"/>
            <rFont val="Tahoma"/>
            <family val="2"/>
          </rPr>
          <t>PC:</t>
        </r>
        <r>
          <rPr>
            <sz val="9"/>
            <color indexed="81"/>
            <rFont val="Tahoma"/>
            <family val="2"/>
          </rPr>
          <t xml:space="preserve">
INGRESA EL 07-MARZO-2025
FINANCIAMENTO 12 MESES QUIPO DASHCAM E INSTALACION GPS (PAGO INICIAL) $2,500.00+IVA
MENSUALIDAD DASH CAM $799.00+IVA
FINANCIAMENTO EQUIPO DASHCAM 11 MENS. DE $481.00+IVA</t>
        </r>
      </text>
    </comment>
    <comment ref="E59" authorId="1" shapeId="0" xr:uid="{00000000-0006-0000-0300-000037000000}">
      <text>
        <r>
          <rPr>
            <b/>
            <sz val="9"/>
            <color indexed="81"/>
            <rFont val="Tahoma"/>
            <family val="2"/>
          </rPr>
          <t>PC:</t>
        </r>
        <r>
          <rPr>
            <sz val="9"/>
            <color indexed="81"/>
            <rFont val="Tahoma"/>
            <family val="2"/>
          </rPr>
          <t xml:space="preserve">
INGRESA EL 26-ABRIL-2024 
EQUIPO $3,500.00+IVA
MENSUALIDAD $300.00+IVA
SENSOR DE DIESEL PRIMARIO $8,500.00+IVA
SENSOR DE DIESEL SECUNDARIO $8,000.00+IVA</t>
        </r>
      </text>
    </comment>
    <comment ref="E60" authorId="0" shapeId="0" xr:uid="{00000000-0006-0000-0300-000038000000}">
      <text>
        <r>
          <rPr>
            <b/>
            <sz val="9"/>
            <color indexed="81"/>
            <rFont val="Tahoma"/>
            <family val="2"/>
          </rPr>
          <t>Luffi:</t>
        </r>
        <r>
          <rPr>
            <sz val="9"/>
            <color indexed="81"/>
            <rFont val="Tahoma"/>
            <family val="2"/>
          </rPr>
          <t xml:space="preserve">
</t>
        </r>
        <r>
          <rPr>
            <sz val="10"/>
            <color indexed="81"/>
            <rFont val="Tahoma"/>
            <family val="2"/>
          </rPr>
          <t>EQ. $1,800
MEN $300
2do EQUIPO COMPRADO 17-DIC-2020 
3er EQUIPO COMPRADO 30-ENE-2021</t>
        </r>
      </text>
    </comment>
    <comment ref="E61" authorId="1" shapeId="0" xr:uid="{00000000-0006-0000-0300-000039000000}">
      <text>
        <r>
          <rPr>
            <b/>
            <sz val="9"/>
            <color indexed="81"/>
            <rFont val="Tahoma"/>
            <family val="2"/>
          </rPr>
          <t>PC:</t>
        </r>
        <r>
          <rPr>
            <sz val="9"/>
            <color indexed="81"/>
            <rFont val="Tahoma"/>
            <family val="2"/>
          </rPr>
          <t xml:space="preserve">
INICA EL 11-NOVIEMBRE-2023
EQUIPO $2,100.00+IVA
MENSUALIDAD $330.00+IVA</t>
        </r>
      </text>
    </comment>
    <comment ref="E62" authorId="1" shapeId="0" xr:uid="{00000000-0006-0000-0300-00003A000000}">
      <text>
        <r>
          <rPr>
            <sz val="9"/>
            <color indexed="81"/>
            <rFont val="Tahoma"/>
            <family val="2"/>
          </rPr>
          <t xml:space="preserve">INICIA 19 NOVIEMBRE'2022 
+COMODATO 
MENSUALIDAD $289.00+IVA 
INSTALACION $500.00+IVA </t>
        </r>
      </text>
    </comment>
    <comment ref="T62" authorId="1" shapeId="0" xr:uid="{00000000-0006-0000-0300-00003B000000}">
      <text>
        <r>
          <rPr>
            <b/>
            <sz val="9"/>
            <color indexed="81"/>
            <rFont val="Tahoma"/>
            <family val="2"/>
          </rPr>
          <t xml:space="preserve">PC:
</t>
        </r>
        <r>
          <rPr>
            <sz val="9"/>
            <color indexed="81"/>
            <rFont val="Tahoma"/>
            <family val="2"/>
          </rPr>
          <t>INSTALACION 09-FEB-2023 $500.00+IVA 
MENS. PROP. $202.30+IVA (21 DIAS $9.63 C/U) 
MENSUALIDAD PROPORCIONAL INSTALACIONES 19 NOV 2022 
11 DÍAS $105.96+IVA= $1,059.66</t>
        </r>
      </text>
    </comment>
    <comment ref="E63" authorId="1" shapeId="0" xr:uid="{00000000-0006-0000-0300-00003C000000}">
      <text>
        <r>
          <rPr>
            <b/>
            <sz val="9"/>
            <color indexed="81"/>
            <rFont val="Tahoma"/>
            <family val="2"/>
          </rPr>
          <t>PC:</t>
        </r>
        <r>
          <rPr>
            <sz val="9"/>
            <color indexed="81"/>
            <rFont val="Tahoma"/>
            <family val="2"/>
          </rPr>
          <t xml:space="preserve">
INGRESA EL 30-SEPTIEMBRE-2023
EQUIPO $1,850.00+IVA
MENSUALIDAD $300.00+IVA</t>
        </r>
      </text>
    </comment>
    <comment ref="E64" authorId="1" shapeId="0" xr:uid="{00000000-0006-0000-0300-00003D000000}">
      <text>
        <r>
          <rPr>
            <b/>
            <sz val="9"/>
            <color indexed="81"/>
            <rFont val="Tahoma"/>
            <family val="2"/>
          </rPr>
          <t>PC:</t>
        </r>
        <r>
          <rPr>
            <sz val="9"/>
            <color indexed="81"/>
            <rFont val="Tahoma"/>
            <family val="2"/>
          </rPr>
          <t xml:space="preserve">
INGRESA EL 21-OCTUBRE-2024
EQUIPO $1,850.00+IVA
MENSUALIDAD $200.00+IVA
REVISION, RECONFIGURACION Y REACTIVACION DE EQUIPO Y CUENTA $1,000.00+IVA</t>
        </r>
      </text>
    </comment>
    <comment ref="E65" authorId="1" shapeId="0" xr:uid="{00000000-0006-0000-0300-00003E000000}">
      <text>
        <r>
          <rPr>
            <b/>
            <sz val="9"/>
            <color indexed="81"/>
            <rFont val="Tahoma"/>
            <family val="2"/>
          </rPr>
          <t>PC:</t>
        </r>
        <r>
          <rPr>
            <sz val="9"/>
            <color indexed="81"/>
            <rFont val="Tahoma"/>
            <family val="2"/>
          </rPr>
          <t xml:space="preserve">
RE-INGRESO 05-DICIEMBRE-2024
EQUIPO $1,989.00+IVA
MENSUALIDAD $300.00+IVA</t>
        </r>
      </text>
    </comment>
    <comment ref="E66" authorId="1" shapeId="0" xr:uid="{00000000-0006-0000-0300-00003F000000}">
      <text>
        <r>
          <rPr>
            <b/>
            <sz val="9"/>
            <color indexed="81"/>
            <rFont val="Tahoma"/>
            <family val="2"/>
          </rPr>
          <t>PC:</t>
        </r>
        <r>
          <rPr>
            <sz val="9"/>
            <color indexed="81"/>
            <rFont val="Tahoma"/>
            <family val="2"/>
          </rPr>
          <t xml:space="preserve">
INGRESA EL 21-NOVIEMBRE-2024 
EQUIPO $2,000.00+IVA
MENSUALIDAD $250.00+IVA</t>
        </r>
      </text>
    </comment>
    <comment ref="E67" authorId="1" shapeId="0" xr:uid="{00000000-0006-0000-0300-000040000000}">
      <text>
        <r>
          <rPr>
            <b/>
            <sz val="9"/>
            <color indexed="81"/>
            <rFont val="Tahoma"/>
            <family val="2"/>
          </rPr>
          <t>PC:</t>
        </r>
        <r>
          <rPr>
            <sz val="9"/>
            <color indexed="81"/>
            <rFont val="Tahoma"/>
            <family val="2"/>
          </rPr>
          <t xml:space="preserve">
INGRESO 12-JUNIO-2023 PDTES. INST. 
MIGRACION DE LINEA $450.00+IVA
MENSUALIDAD $249.00+IVA
EQUIPO $1,999.00+IVA
NOTA: A 1 INSTALACION SE LE REBAJO EL COSTO DE MIGRACION EN EL EQUIPO, PORQUE ELLOS PENSABAN QUE SI TENIA, FUERON A REVISAR Y LA UNIDAD NO CONTABA CON GPS </t>
        </r>
      </text>
    </comment>
    <comment ref="E68" authorId="1" shapeId="0" xr:uid="{00000000-0006-0000-0300-000041000000}">
      <text>
        <r>
          <rPr>
            <b/>
            <sz val="9"/>
            <color indexed="81"/>
            <rFont val="Tahoma"/>
            <family val="2"/>
          </rPr>
          <t>PC:</t>
        </r>
        <r>
          <rPr>
            <sz val="9"/>
            <color indexed="81"/>
            <rFont val="Tahoma"/>
            <family val="2"/>
          </rPr>
          <t xml:space="preserve">
INGRESA EL 09-DICIEMBRE-2024   (RECOMENDADO DE ALBERTO PEREZ) 
EQUIPO $1,800.00+IVA
MENSUALIDAD $300.00+IVA</t>
        </r>
      </text>
    </comment>
    <comment ref="E69" authorId="1" shapeId="0" xr:uid="{00000000-0006-0000-0300-000042000000}">
      <text>
        <r>
          <rPr>
            <b/>
            <sz val="9"/>
            <color indexed="81"/>
            <rFont val="Tahoma"/>
            <family val="2"/>
          </rPr>
          <t>PC:</t>
        </r>
        <r>
          <rPr>
            <sz val="9"/>
            <color indexed="81"/>
            <rFont val="Tahoma"/>
            <family val="2"/>
          </rPr>
          <t xml:space="preserve">
INICIA EL 24-MAYO-2023 
EQUIPO  $1,879.00+IVA=$2,179.64
MENSUALIDAD  $249.00+IVA=$288.84</t>
        </r>
      </text>
    </comment>
    <comment ref="E70" authorId="1" shapeId="0" xr:uid="{00000000-0006-0000-0300-000043000000}">
      <text>
        <r>
          <rPr>
            <b/>
            <sz val="9"/>
            <color indexed="81"/>
            <rFont val="Tahoma"/>
            <family val="2"/>
          </rPr>
          <t>PC:</t>
        </r>
        <r>
          <rPr>
            <sz val="9"/>
            <color indexed="81"/>
            <rFont val="Tahoma"/>
            <family val="2"/>
          </rPr>
          <t xml:space="preserve">
INICIA EL 02-MARZO-2023 
EQUIPO $1,724+IVA=$1,999.84
MENSUALIDAD $249.00+IVA=$288.84</t>
        </r>
      </text>
    </comment>
    <comment ref="E71" authorId="0" shapeId="0" xr:uid="{00000000-0006-0000-0300-000044000000}">
      <text>
        <r>
          <rPr>
            <b/>
            <sz val="9"/>
            <color indexed="81"/>
            <rFont val="Tahoma"/>
            <family val="2"/>
          </rPr>
          <t>Luffi:</t>
        </r>
        <r>
          <rPr>
            <sz val="9"/>
            <color indexed="81"/>
            <rFont val="Tahoma"/>
            <family val="2"/>
          </rPr>
          <t xml:space="preserve">
1 RENTA $300.00
23-JUNIO-2020
INCLUYE 2 UNIDADES </t>
        </r>
      </text>
    </comment>
    <comment ref="E72" authorId="1" shapeId="0" xr:uid="{00000000-0006-0000-0300-000045000000}">
      <text>
        <r>
          <rPr>
            <b/>
            <sz val="9"/>
            <color indexed="81"/>
            <rFont val="Tahoma"/>
            <family val="2"/>
          </rPr>
          <t>PC:</t>
        </r>
        <r>
          <rPr>
            <sz val="9"/>
            <color indexed="81"/>
            <rFont val="Tahoma"/>
            <family val="2"/>
          </rPr>
          <t xml:space="preserve">
1er INSTALACIÓN 
 22-AGOSTO-2022
Equipo: $1,800.00+IVA 
Renta: $300.00+IVA </t>
        </r>
      </text>
    </comment>
    <comment ref="E73" authorId="1" shapeId="0" xr:uid="{00000000-0006-0000-0300-000046000000}">
      <text>
        <r>
          <rPr>
            <b/>
            <sz val="9"/>
            <color indexed="81"/>
            <rFont val="Tahoma"/>
            <family val="2"/>
          </rPr>
          <t>PC:</t>
        </r>
        <r>
          <rPr>
            <sz val="9"/>
            <color indexed="81"/>
            <rFont val="Tahoma"/>
            <family val="2"/>
          </rPr>
          <t xml:space="preserve">
</t>
        </r>
        <r>
          <rPr>
            <b/>
            <sz val="9"/>
            <color indexed="81"/>
            <rFont val="Tahoma"/>
            <family val="2"/>
          </rPr>
          <t>INICA EL 24-JULIO-2023
MIGRADO DE BDB 
REACTIVACION $350.00+IVA
EQUIPO $1,800.00+IVA
MENSUALIDAD $250.00+IVA</t>
        </r>
      </text>
    </comment>
    <comment ref="E74" authorId="1" shapeId="0" xr:uid="{00000000-0006-0000-0300-000047000000}">
      <text>
        <r>
          <rPr>
            <b/>
            <sz val="9"/>
            <color indexed="81"/>
            <rFont val="Tahoma"/>
            <family val="2"/>
          </rPr>
          <t>PC:</t>
        </r>
        <r>
          <rPr>
            <sz val="9"/>
            <color indexed="81"/>
            <rFont val="Tahoma"/>
            <family val="2"/>
          </rPr>
          <t xml:space="preserve">
INGRESA EL 10-JULIO-2023
EQUIPO $1,850.00
MENSUALIDAD $250.00</t>
        </r>
      </text>
    </comment>
    <comment ref="E75" authorId="1" shapeId="0" xr:uid="{00000000-0006-0000-0300-000048000000}">
      <text>
        <r>
          <rPr>
            <b/>
            <sz val="9"/>
            <color indexed="81"/>
            <rFont val="Tahoma"/>
            <family val="2"/>
          </rPr>
          <t>PC:</t>
        </r>
        <r>
          <rPr>
            <sz val="9"/>
            <color indexed="81"/>
            <rFont val="Tahoma"/>
            <family val="2"/>
          </rPr>
          <t xml:space="preserve">
INICIA EL 07-MARZO-2024
EQUIPO $2,250.00+IVA
MENSUALIDAD CON CANAL DE VOZ $300.00+IVA</t>
        </r>
      </text>
    </comment>
    <comment ref="E76" authorId="1" shapeId="0" xr:uid="{00000000-0006-0000-0300-000049000000}">
      <text>
        <r>
          <rPr>
            <b/>
            <sz val="9"/>
            <color indexed="81"/>
            <rFont val="Tahoma"/>
            <family val="2"/>
          </rPr>
          <t>PC:</t>
        </r>
        <r>
          <rPr>
            <sz val="9"/>
            <color indexed="81"/>
            <rFont val="Tahoma"/>
            <family val="2"/>
          </rPr>
          <t xml:space="preserve">
INGRESA EL 09-ABRIL-2024 
COMODATO 
INSTALACION $500.00+IVA
MENSUALIDAD $279.00+IVA</t>
        </r>
      </text>
    </comment>
    <comment ref="E77" authorId="1" shapeId="0" xr:uid="{00000000-0006-0000-0300-00004A000000}">
      <text>
        <r>
          <rPr>
            <b/>
            <sz val="9"/>
            <color indexed="81"/>
            <rFont val="Tahoma"/>
            <family val="2"/>
          </rPr>
          <t>PC:</t>
        </r>
        <r>
          <rPr>
            <sz val="9"/>
            <color indexed="81"/>
            <rFont val="Tahoma"/>
            <family val="2"/>
          </rPr>
          <t xml:space="preserve">
INICIA EL 11-NOVIEMBRE.2023
COMODATO
INSTALACION $499.00+IVA
MENSUALIDAD $269.00+IVA
DES-INSTALACION $650.00+IVA</t>
        </r>
      </text>
    </comment>
    <comment ref="T77" authorId="1" shapeId="0" xr:uid="{00000000-0006-0000-0300-00004B000000}">
      <text>
        <r>
          <rPr>
            <b/>
            <sz val="9"/>
            <color indexed="81"/>
            <rFont val="Tahoma"/>
            <family val="2"/>
          </rPr>
          <t>PC:</t>
        </r>
        <r>
          <rPr>
            <sz val="9"/>
            <color indexed="81"/>
            <rFont val="Tahoma"/>
            <family val="2"/>
          </rPr>
          <t xml:space="preserve">
FACTURA 2424 CORRESPONDE A SERVICIO DE DES-INSTALACIONES</t>
        </r>
      </text>
    </comment>
    <comment ref="E78" authorId="1" shapeId="0" xr:uid="{00000000-0006-0000-0300-00004C000000}">
      <text>
        <r>
          <rPr>
            <b/>
            <sz val="9"/>
            <color indexed="81"/>
            <rFont val="Tahoma"/>
            <family val="2"/>
          </rPr>
          <t>PC:</t>
        </r>
        <r>
          <rPr>
            <sz val="9"/>
            <color indexed="81"/>
            <rFont val="Tahoma"/>
            <family val="2"/>
          </rPr>
          <t xml:space="preserve">
RE-INGRESO 04-AGOSTO-2022 
MENSUALIDAD $289.00+IVA 
EQUIPO $2,000.00+IVA INSTALACION DE EQUIPO $361.00+IVA 
REVISON $300.00+IVA=$348.00
FACTURAS PENDIENTES JUNIO'2020 </t>
        </r>
      </text>
    </comment>
    <comment ref="T78" authorId="1" shapeId="0" xr:uid="{00000000-0006-0000-0300-00004D000000}">
      <text>
        <r>
          <rPr>
            <b/>
            <sz val="9"/>
            <color indexed="81"/>
            <rFont val="Tahoma"/>
            <family val="2"/>
          </rPr>
          <t>PC:</t>
        </r>
        <r>
          <rPr>
            <sz val="9"/>
            <color indexed="81"/>
            <rFont val="Tahoma"/>
            <family val="2"/>
          </rPr>
          <t xml:space="preserve">
INSTALACION DE 2 EQUIPOS 04-AGOSTO-22 
ABONO A FACTURAS JUNIO'20 $968.00</t>
        </r>
      </text>
    </comment>
    <comment ref="E79" authorId="0" shapeId="0" xr:uid="{00000000-0006-0000-0300-00004E000000}">
      <text>
        <r>
          <rPr>
            <b/>
            <sz val="9"/>
            <color indexed="81"/>
            <rFont val="Tahoma"/>
            <family val="2"/>
          </rPr>
          <t>Luffi:</t>
        </r>
        <r>
          <rPr>
            <sz val="9"/>
            <color indexed="81"/>
            <rFont val="Tahoma"/>
            <family val="2"/>
          </rPr>
          <t xml:space="preserve">
MAR´2021
11 EQUIPOS COMODATO Y MONITOREO DE COMBUSTIBLE $406
UNIDADES: ECO 08, 09, 10, 11, 12, 14, 15, 16, 17 y No. 1 y 2
04 EQUIPOS COMODATO $348
UNIDADES: No. 3, 4, 6 y TOYOTA YARIS 
FEB´2021
11 EQUIPOS COMODATO Y MONITOREO DE COMBUSTIBLE $406
03 EQUIPO COMODATO $348 
11 MENSUALIDAD FIJA POR $350 + IVA = $406.00 
04 MENSUALIDAD FIJA POR $300 + IVA = $348.00 
INSTALACION $500 + IVA $580.00 C/U
MENSUALIDAD SIN SENSOR $300 + IVA $348.00 C/U
MENSUALIDAD CON SENSOR $350 + IVA $406.00 C/U
SENSORES COMBUSTIBLE $5,600 + IVA $6,496.00 C/U</t>
        </r>
      </text>
    </comment>
    <comment ref="T79" authorId="1" shapeId="0" xr:uid="{00000000-0006-0000-0300-00004F000000}">
      <text>
        <r>
          <rPr>
            <b/>
            <sz val="9"/>
            <color indexed="81"/>
            <rFont val="Tahoma"/>
            <family val="2"/>
          </rPr>
          <t>PC:</t>
        </r>
        <r>
          <rPr>
            <sz val="9"/>
            <color indexed="81"/>
            <rFont val="Tahoma"/>
            <family val="2"/>
          </rPr>
          <t xml:space="preserve">
COBRO DE RE-INSTALACIÓN POR MANIPULACIÓN 
26-AGOSTO-22
UNIDAD 07 Y UNIDAD 11  
650+IVA</t>
        </r>
      </text>
    </comment>
    <comment ref="E80" authorId="1" shapeId="0" xr:uid="{00000000-0006-0000-0300-000050000000}">
      <text>
        <r>
          <rPr>
            <b/>
            <sz val="9"/>
            <color indexed="81"/>
            <rFont val="Tahoma"/>
            <family val="2"/>
          </rPr>
          <t>PC:</t>
        </r>
        <r>
          <rPr>
            <sz val="9"/>
            <color indexed="81"/>
            <rFont val="Tahoma"/>
            <family val="2"/>
          </rPr>
          <t xml:space="preserve">
INGRESA EL 13-SEPTIEMBRE-2024
COMODATO
INSTALACIÓN $549.00+IVA
MENSUALIDAD $300.00+IVA
CAMBIA A ESQUEMA DE FACTURACION 05-FEBRERO-2025 A NOMBRE DE NORMA LETICIA GONZALEZ VAZQUEZ</t>
        </r>
      </text>
    </comment>
    <comment ref="E81" authorId="1" shapeId="0" xr:uid="{00000000-0006-0000-0300-000051000000}">
      <text>
        <r>
          <rPr>
            <b/>
            <sz val="9"/>
            <color indexed="81"/>
            <rFont val="Tahoma"/>
            <family val="2"/>
          </rPr>
          <t>PC:</t>
        </r>
        <r>
          <rPr>
            <sz val="9"/>
            <color indexed="81"/>
            <rFont val="Tahoma"/>
            <family val="2"/>
          </rPr>
          <t xml:space="preserve">
INGRESA EL 25-SEPTIEMBRE-2024
COMODATO
INSTALACIÓN $549.00+IVA
MENSUALIDAD $300.00+IVA</t>
        </r>
      </text>
    </comment>
    <comment ref="E82" authorId="0" shapeId="0" xr:uid="{00000000-0006-0000-0300-000052000000}">
      <text>
        <r>
          <rPr>
            <b/>
            <sz val="9"/>
            <color indexed="81"/>
            <rFont val="Tahoma"/>
            <family val="2"/>
          </rPr>
          <t>Luffi:</t>
        </r>
        <r>
          <rPr>
            <sz val="9"/>
            <color indexed="81"/>
            <rFont val="Tahoma"/>
            <family val="2"/>
          </rPr>
          <t xml:space="preserve">
MEN $300.00
EQUIPO $1,800</t>
        </r>
      </text>
    </comment>
    <comment ref="T82" authorId="0" shapeId="0" xr:uid="{00000000-0006-0000-0300-000053000000}">
      <text>
        <r>
          <rPr>
            <b/>
            <sz val="9"/>
            <color indexed="81"/>
            <rFont val="Tahoma"/>
            <family val="2"/>
          </rPr>
          <t>Luffi:</t>
        </r>
        <r>
          <rPr>
            <sz val="9"/>
            <color indexed="81"/>
            <rFont val="Tahoma"/>
            <family val="2"/>
          </rPr>
          <t xml:space="preserve">
</t>
        </r>
        <r>
          <rPr>
            <b/>
            <sz val="9"/>
            <color indexed="81"/>
            <rFont val="Tahoma"/>
            <family val="2"/>
          </rPr>
          <t>20-ENERO-2022</t>
        </r>
        <r>
          <rPr>
            <sz val="9"/>
            <color indexed="81"/>
            <rFont val="Tahoma"/>
            <family val="2"/>
          </rPr>
          <t xml:space="preserve">
DES-INSTALACION Y RE-INSTALACION
(NISSAN RH-55-927 / NISSAN RA-0631-A) 
$1,000.00 + IVA </t>
        </r>
        <r>
          <rPr>
            <b/>
            <sz val="9"/>
            <color indexed="81"/>
            <rFont val="Tahoma"/>
            <family val="2"/>
          </rPr>
          <t>$1,160.00</t>
        </r>
        <r>
          <rPr>
            <sz val="9"/>
            <color indexed="81"/>
            <rFont val="Tahoma"/>
            <family val="2"/>
          </rPr>
          <t xml:space="preserve">
INSTALACION (NISSAN RA-0630-A)
$1,800.00 + IVA </t>
        </r>
        <r>
          <rPr>
            <b/>
            <sz val="9"/>
            <color indexed="81"/>
            <rFont val="Tahoma"/>
            <family val="2"/>
          </rPr>
          <t xml:space="preserve">$2,088.00
31-ENERO-2022
</t>
        </r>
        <r>
          <rPr>
            <sz val="9"/>
            <color indexed="81"/>
            <rFont val="Tahoma"/>
            <family val="2"/>
          </rPr>
          <t xml:space="preserve">DES-INSTALACION Y RE-INSTALACION 
(NISSAN RD-92-855 / NISSAN PW-3723-A)
$1,000.00 + IVA </t>
        </r>
        <r>
          <rPr>
            <b/>
            <sz val="9"/>
            <color indexed="81"/>
            <rFont val="Tahoma"/>
            <family val="2"/>
          </rPr>
          <t xml:space="preserve">$1,160.00
</t>
        </r>
        <r>
          <rPr>
            <sz val="9"/>
            <color indexed="81"/>
            <rFont val="Tahoma"/>
            <family val="2"/>
          </rPr>
          <t xml:space="preserve">
INSTALACION (NISSAN RA-0887-A)
$1,800.00 + IVA  </t>
        </r>
        <r>
          <rPr>
            <b/>
            <sz val="9"/>
            <color indexed="81"/>
            <rFont val="Tahoma"/>
            <family val="2"/>
          </rPr>
          <t>$2,088.00</t>
        </r>
      </text>
    </comment>
    <comment ref="E83" authorId="1" shapeId="0" xr:uid="{00000000-0006-0000-0300-000054000000}">
      <text>
        <r>
          <rPr>
            <b/>
            <sz val="9"/>
            <color indexed="81"/>
            <rFont val="Tahoma"/>
            <family val="2"/>
          </rPr>
          <t>PC:</t>
        </r>
        <r>
          <rPr>
            <sz val="9"/>
            <color indexed="81"/>
            <rFont val="Tahoma"/>
            <family val="2"/>
          </rPr>
          <t xml:space="preserve">
INGRESA EL 12-MAYO-2024  
COMODATO
INSTALACION $650.00+IVA
MENSUALIDAD $220.00+IVA</t>
        </r>
      </text>
    </comment>
    <comment ref="E84" authorId="1" shapeId="0" xr:uid="{00000000-0006-0000-0300-000055000000}">
      <text>
        <r>
          <rPr>
            <b/>
            <sz val="9"/>
            <color indexed="81"/>
            <rFont val="Tahoma"/>
            <family val="2"/>
          </rPr>
          <t>PC:</t>
        </r>
        <r>
          <rPr>
            <sz val="9"/>
            <color indexed="81"/>
            <rFont val="Tahoma"/>
            <family val="2"/>
          </rPr>
          <t xml:space="preserve">
INICIA EL 08-SEP-2023
EQUIPO $1,850.00+IVA
MENSUALIDAD $250.00+IVA
</t>
        </r>
      </text>
    </comment>
    <comment ref="E85" authorId="1" shapeId="0" xr:uid="{00000000-0006-0000-0300-000056000000}">
      <text>
        <r>
          <rPr>
            <b/>
            <sz val="9"/>
            <color indexed="81"/>
            <rFont val="Tahoma"/>
            <family val="2"/>
          </rPr>
          <t>PC:</t>
        </r>
        <r>
          <rPr>
            <sz val="9"/>
            <color indexed="81"/>
            <rFont val="Tahoma"/>
            <family val="2"/>
          </rPr>
          <t xml:space="preserve">
INGRESA EL 21-OCTUBRE-2024
COMODATO
INSTALACION $549.00+IVA
MENSUALIDAD $300.00+IVA</t>
        </r>
      </text>
    </comment>
    <comment ref="E86" authorId="1" shapeId="0" xr:uid="{00000000-0006-0000-0300-000057000000}">
      <text>
        <r>
          <rPr>
            <b/>
            <sz val="9"/>
            <color indexed="81"/>
            <rFont val="Tahoma"/>
            <family val="2"/>
          </rPr>
          <t>PC:</t>
        </r>
        <r>
          <rPr>
            <sz val="9"/>
            <color indexed="81"/>
            <rFont val="Tahoma"/>
            <family val="2"/>
          </rPr>
          <t xml:space="preserve">
INGRESA EL 12-ENERO-2024
SE LE INSTALA EL 15-ENERO-2024
EQUIPO E INST. $2,550.00+IVA
MENSUALIDAD $300.00+IVA</t>
        </r>
      </text>
    </comment>
    <comment ref="E87" authorId="1" shapeId="0" xr:uid="{00000000-0006-0000-0300-000058000000}">
      <text>
        <r>
          <rPr>
            <b/>
            <sz val="9"/>
            <color indexed="81"/>
            <rFont val="Tahoma"/>
            <family val="2"/>
          </rPr>
          <t>PC:</t>
        </r>
        <r>
          <rPr>
            <sz val="9"/>
            <color indexed="81"/>
            <rFont val="Tahoma"/>
            <family val="2"/>
          </rPr>
          <t xml:space="preserve">
INGRESA EL 14-SEPTIEMBRE-2024
CAMBIA A ESQUEMA DE FACTURACION 04-MARZO-2025
COMODATO
INSTALACIÓN $549.00
MENSUALIDAD $300.00
</t>
        </r>
      </text>
    </comment>
    <comment ref="E88" authorId="1" shapeId="0" xr:uid="{00000000-0006-0000-0300-000059000000}">
      <text>
        <r>
          <rPr>
            <b/>
            <sz val="9"/>
            <color indexed="81"/>
            <rFont val="Tahoma"/>
            <family val="2"/>
          </rPr>
          <t>PC:</t>
        </r>
        <r>
          <rPr>
            <sz val="9"/>
            <color indexed="81"/>
            <rFont val="Tahoma"/>
            <family val="2"/>
          </rPr>
          <t xml:space="preserve">
INGRESA EL 11-OCTUBRE-2024
COMODATO
INSTALACIÓN $549.00+IVA
MENSUALIDAD $300.00+IVA
VISITA EN FALSO $250.00+IVA</t>
        </r>
      </text>
    </comment>
    <comment ref="E89" authorId="1" shapeId="0" xr:uid="{00000000-0006-0000-0300-00005A000000}">
      <text>
        <r>
          <rPr>
            <b/>
            <sz val="9"/>
            <color indexed="81"/>
            <rFont val="Tahoma"/>
            <family val="2"/>
          </rPr>
          <t>PC:</t>
        </r>
        <r>
          <rPr>
            <sz val="9"/>
            <color indexed="81"/>
            <rFont val="Tahoma"/>
            <family val="2"/>
          </rPr>
          <t xml:space="preserve">
INGRESA EL 10-OCTUBRE-2024
COMODATO 
INSTALACION $549.00+IVA
MENSUALIDAD $300.00+IVA</t>
        </r>
      </text>
    </comment>
    <comment ref="E90" authorId="1" shapeId="0" xr:uid="{00000000-0006-0000-0300-00005B000000}">
      <text>
        <r>
          <rPr>
            <b/>
            <sz val="9"/>
            <color indexed="81"/>
            <rFont val="Tahoma"/>
            <family val="2"/>
          </rPr>
          <t>PC:</t>
        </r>
        <r>
          <rPr>
            <sz val="9"/>
            <color indexed="81"/>
            <rFont val="Tahoma"/>
            <family val="2"/>
          </rPr>
          <t xml:space="preserve">
INGRESA EL 10-OCTUBRE-2023
EQUIPO $2,000.00+IVA
MENSUALIDAD $250.00+IVA</t>
        </r>
      </text>
    </comment>
    <comment ref="E91" authorId="1" shapeId="0" xr:uid="{00000000-0006-0000-0300-00005C000000}">
      <text>
        <r>
          <rPr>
            <b/>
            <sz val="9"/>
            <color indexed="81"/>
            <rFont val="Tahoma"/>
            <family val="2"/>
          </rPr>
          <t>PC:</t>
        </r>
        <r>
          <rPr>
            <sz val="9"/>
            <color indexed="81"/>
            <rFont val="Tahoma"/>
            <family val="2"/>
          </rPr>
          <t xml:space="preserve">
INICA EL 13-NOVIEMBRE-2023
EQUIPO $2,200.00+IVA
MENSUALIDAD $250.00+IVA</t>
        </r>
      </text>
    </comment>
    <comment ref="E92" authorId="0" shapeId="0" xr:uid="{00000000-0006-0000-0300-00005D000000}">
      <text>
        <r>
          <rPr>
            <b/>
            <sz val="9"/>
            <color indexed="81"/>
            <rFont val="Tahoma"/>
            <family val="2"/>
          </rPr>
          <t>Luffi:</t>
        </r>
        <r>
          <rPr>
            <sz val="9"/>
            <color indexed="81"/>
            <rFont val="Tahoma"/>
            <family val="2"/>
          </rPr>
          <t xml:space="preserve">
EQUIPO $2,200.00+IVA
MENSUALIDAD 
$250.00 C/U + IVA 
</t>
        </r>
      </text>
    </comment>
    <comment ref="E93" authorId="1" shapeId="0" xr:uid="{00000000-0006-0000-0300-00005E000000}">
      <text>
        <r>
          <rPr>
            <b/>
            <sz val="9"/>
            <color indexed="81"/>
            <rFont val="Tahoma"/>
            <family val="2"/>
          </rPr>
          <t>PC:</t>
        </r>
        <r>
          <rPr>
            <sz val="9"/>
            <color indexed="81"/>
            <rFont val="Tahoma"/>
            <family val="2"/>
          </rPr>
          <t xml:space="preserve">
INICA EL 22-MARZO-2023
EQUIPO: $2,500.00+IVA= $2,900.00
MENSUALIDAD: $350.00+IVA= $406.00
EQUIPO PORTATIL $5,420.00+IVA
REVISION $450.00+IVA
FEBRERO DE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4" authorId="1" shapeId="0" xr:uid="{00000000-0006-0000-0300-00005F000000}">
      <text>
        <r>
          <rPr>
            <b/>
            <sz val="9"/>
            <color indexed="81"/>
            <rFont val="Tahoma"/>
            <family val="2"/>
          </rPr>
          <t>PC:</t>
        </r>
        <r>
          <rPr>
            <sz val="9"/>
            <color indexed="81"/>
            <rFont val="Tahoma"/>
            <family val="2"/>
          </rPr>
          <t xml:space="preserve">
INICA EL 22-MARZO-2023
EQUIPO: $2,500.00+IVA= $2,900.00
MENSUALIDAD: $350.00+IVA= $406.00
FEBRERO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5" authorId="0" shapeId="0" xr:uid="{00000000-0006-0000-0300-000060000000}">
      <text>
        <r>
          <rPr>
            <b/>
            <sz val="9"/>
            <color indexed="81"/>
            <rFont val="Tahoma"/>
            <family val="2"/>
          </rPr>
          <t>Luffi:</t>
        </r>
        <r>
          <rPr>
            <sz val="9"/>
            <color indexed="81"/>
            <rFont val="Tahoma"/>
            <family val="2"/>
          </rPr>
          <t xml:space="preserve">
RENTA 7 $350.00
1 GPS EN PLAN $650.00
EQUIPO $1,800.00+IVA
1 UNIDAD MAS OCTUBRE
</t>
        </r>
        <r>
          <rPr>
            <b/>
            <sz val="9"/>
            <color indexed="81"/>
            <rFont val="Tahoma"/>
            <family val="2"/>
          </rPr>
          <t xml:space="preserve">CAMBIO DE RAZON SOCIAL MARZO´2022
SE DIVIDE CUENTA ACERTRANS - SILVIA NERIA - AGOSTO 2023
</t>
        </r>
      </text>
    </comment>
    <comment ref="E96" authorId="1" shapeId="0" xr:uid="{00000000-0006-0000-0300-000061000000}">
      <text>
        <r>
          <rPr>
            <b/>
            <sz val="9"/>
            <color indexed="81"/>
            <rFont val="Tahoma"/>
            <family val="2"/>
          </rPr>
          <t>PC:</t>
        </r>
        <r>
          <rPr>
            <sz val="9"/>
            <color indexed="81"/>
            <rFont val="Tahoma"/>
            <family val="2"/>
          </rPr>
          <t xml:space="preserve">
INGRESA EL  08-ENERO-2025
EQUIPO $1,850.00+IVA
MENSUALIDAD $249.00+IVA</t>
        </r>
      </text>
    </comment>
    <comment ref="E97" authorId="1" shapeId="0" xr:uid="{00000000-0006-0000-0300-000062000000}">
      <text>
        <r>
          <rPr>
            <b/>
            <sz val="9"/>
            <color indexed="81"/>
            <rFont val="Tahoma"/>
            <family val="2"/>
          </rPr>
          <t>PC:</t>
        </r>
        <r>
          <rPr>
            <sz val="9"/>
            <color indexed="81"/>
            <rFont val="Tahoma"/>
            <family val="2"/>
          </rPr>
          <t xml:space="preserve">
INGRESA EL 23-OCTUBRE-2024
COMODATO
INSTALACION $549.00+IVA
MENSUALIDAD $300.00+IVA
SE ENVIAN EQUIPOS EL 30-OCTUBRE-2024 A HIDALGO 
</t>
        </r>
      </text>
    </comment>
    <comment ref="E98" authorId="1" shapeId="0" xr:uid="{00000000-0006-0000-0300-000063000000}">
      <text>
        <r>
          <rPr>
            <b/>
            <sz val="9"/>
            <color indexed="81"/>
            <rFont val="Tahoma"/>
            <family val="2"/>
          </rPr>
          <t>PC:</t>
        </r>
        <r>
          <rPr>
            <sz val="9"/>
            <color indexed="81"/>
            <rFont val="Tahoma"/>
            <family val="2"/>
          </rPr>
          <t xml:space="preserve">
INICIA EL 10-MARZO-2023 
COMODATO 
INSTALACIÓN $650.00+IVA= $754.00
MENSUALIDAD $300.00+IVA= $348.00</t>
        </r>
      </text>
    </comment>
    <comment ref="E99" authorId="1" shapeId="0" xr:uid="{00000000-0006-0000-0300-000064000000}">
      <text>
        <r>
          <rPr>
            <b/>
            <sz val="9"/>
            <color indexed="81"/>
            <rFont val="Tahoma"/>
            <family val="2"/>
          </rPr>
          <t>PC:</t>
        </r>
        <r>
          <rPr>
            <sz val="9"/>
            <color indexed="81"/>
            <rFont val="Tahoma"/>
            <family val="2"/>
          </rPr>
          <t xml:space="preserve">
UNIDADES DE ERNESTO GOMEZ SE LE INSTALA EL 09-ENERO-2025
COMODATO 
INSTALACION $549.0+IVA
MENSUALIDAD $250.00´+IVA</t>
        </r>
      </text>
    </comment>
    <comment ref="E100" authorId="1" shapeId="0" xr:uid="{00000000-0006-0000-0300-000065000000}">
      <text>
        <r>
          <rPr>
            <b/>
            <sz val="9"/>
            <color indexed="81"/>
            <rFont val="Tahoma"/>
            <family val="2"/>
          </rPr>
          <t xml:space="preserve">PC:
</t>
        </r>
        <r>
          <rPr>
            <sz val="9"/>
            <color indexed="81"/>
            <rFont val="Tahoma"/>
            <family val="2"/>
          </rPr>
          <t>INICIA EL 23-NOVIEMBRE-2022 
3 UNIDADES 
EQUIPO E INSTALACIÓN $1,900.00+IVA = "2,204.00
MENSUALIDAD $275.00+IVA= $319.00 
DES-INSTALACION $650.00+IVA
RE-INSTALACION $650.00+IVA</t>
        </r>
      </text>
    </comment>
    <comment ref="T100" authorId="1" shapeId="0" xr:uid="{00000000-0006-0000-0300-000066000000}">
      <text>
        <r>
          <rPr>
            <b/>
            <sz val="9"/>
            <color indexed="81"/>
            <rFont val="Tahoma"/>
            <family val="2"/>
          </rPr>
          <t>PC:</t>
        </r>
        <r>
          <rPr>
            <sz val="9"/>
            <color indexed="81"/>
            <rFont val="Tahoma"/>
            <family val="2"/>
          </rPr>
          <t xml:space="preserve">
REVISION DE UNIDAD 30-ENE-23 *EQUIPO MANIPULADO $350.00+IVA=$406.00INCREMENTA 3 UNIDADES 07-DICIEMBRE-22 
3 EQUIPOS $1,900.00+IVA 
MENSUALIDAD PROPORCIONAL $210.83+IVA
MENSUALIDAD PROPORCIONAL 
INST. 3 UNIDADES 23-NOV-22 (7 DÍAS) $64.16 c/u = $192.50+IVA:$223.30
INST. 3 UNIDADES 25-NOV-22 /5 DÍAS) $45.83 c/U = $137.50+IVA:$159.42 
INCREMENTO DE 3 EQUIPO $1,900.00+IVA
3 MESNS. $275.00+IVA </t>
        </r>
      </text>
    </comment>
    <comment ref="E101" authorId="1" shapeId="0" xr:uid="{00000000-0006-0000-0300-000067000000}">
      <text>
        <r>
          <rPr>
            <b/>
            <sz val="9"/>
            <color indexed="81"/>
            <rFont val="Tahoma"/>
            <family val="2"/>
          </rPr>
          <t>PC:</t>
        </r>
        <r>
          <rPr>
            <sz val="9"/>
            <color indexed="81"/>
            <rFont val="Tahoma"/>
            <family val="2"/>
          </rPr>
          <t xml:space="preserve">
INGRESA EL 11-ENERO-2025
INSTALACION $549.00+IVA
MENSUALIDAD $299.00+IVA</t>
        </r>
      </text>
    </comment>
    <comment ref="E102" authorId="0" shapeId="0" xr:uid="{00000000-0006-0000-0300-000068000000}">
      <text>
        <r>
          <rPr>
            <b/>
            <sz val="9"/>
            <color indexed="81"/>
            <rFont val="Tahoma"/>
            <family val="2"/>
          </rPr>
          <t>Luffi:</t>
        </r>
        <r>
          <rPr>
            <sz val="9"/>
            <color indexed="81"/>
            <rFont val="Tahoma"/>
            <family val="2"/>
          </rPr>
          <t xml:space="preserve">
</t>
        </r>
        <r>
          <rPr>
            <sz val="10"/>
            <color indexed="81"/>
            <rFont val="Tahoma"/>
            <family val="2"/>
          </rPr>
          <t xml:space="preserve">4 RENTA $300.00 c/u
EQUIPO $1,800.00
SENSOR DE TEMPERATURA $900.00
SEPTIEMBRE 2024: INGRESA A ESQUEMA DE FACTURACIÓN Y SE LE COBRA +IVA
21-JULIO-2020 1 UNIDAD MAS 
16-FEBRERO-2023 1 UNIDAD MAS *SE LE COBRA MENS. PROPR. DE 9 DÍAS PORQUE LA UNIDAD NO REPORTABA Y SE FUE A REVISAR </t>
        </r>
      </text>
    </comment>
    <comment ref="E103" authorId="0" shapeId="0" xr:uid="{00000000-0006-0000-0300-000069000000}">
      <text>
        <r>
          <rPr>
            <b/>
            <sz val="9"/>
            <color indexed="81"/>
            <rFont val="Tahoma"/>
            <family val="2"/>
          </rPr>
          <t>Luffi:</t>
        </r>
        <r>
          <rPr>
            <sz val="9"/>
            <color indexed="81"/>
            <rFont val="Tahoma"/>
            <family val="2"/>
          </rPr>
          <t xml:space="preserve">
</t>
        </r>
        <r>
          <rPr>
            <b/>
            <sz val="10"/>
            <color indexed="81"/>
            <rFont val="Tahoma"/>
            <family val="2"/>
          </rPr>
          <t>6 UNIDADES COMODATO</t>
        </r>
        <r>
          <rPr>
            <sz val="9"/>
            <color indexed="81"/>
            <rFont val="Tahoma"/>
            <family val="2"/>
          </rPr>
          <t xml:space="preserve">
INSTALACION $500 + IVA
DESINSTALACIONES $500+IVA
RE-INSTALACIONES $500.00+IVA
MENSUALIDAD $350 + IVA
 AGRAGA 1 UNID. 10-OCT-22
INSTALACIONES 
26 Y 27 FEBRERO´2021
SE LE FACTURA HASTA ABRIL´2021|</t>
        </r>
      </text>
    </comment>
    <comment ref="E104" authorId="1" shapeId="0" xr:uid="{00000000-0006-0000-0300-00006A000000}">
      <text>
        <r>
          <rPr>
            <b/>
            <sz val="9"/>
            <color indexed="81"/>
            <rFont val="Tahoma"/>
            <family val="2"/>
          </rPr>
          <t>PC:</t>
        </r>
        <r>
          <rPr>
            <sz val="9"/>
            <color indexed="81"/>
            <rFont val="Tahoma"/>
            <family val="2"/>
          </rPr>
          <t xml:space="preserve">
ALTA 31-MARZO-2025
COMODATO 
INSTALACION $549.00+IVA
MENSUALIDAD $300.00+IVA</t>
        </r>
      </text>
    </comment>
    <comment ref="E105" authorId="1" shapeId="0" xr:uid="{00000000-0006-0000-0300-00006B000000}">
      <text>
        <r>
          <rPr>
            <b/>
            <sz val="9"/>
            <color indexed="81"/>
            <rFont val="Tahoma"/>
            <family val="2"/>
          </rPr>
          <t>PC:</t>
        </r>
        <r>
          <rPr>
            <sz val="9"/>
            <color indexed="81"/>
            <rFont val="Tahoma"/>
            <family val="2"/>
          </rPr>
          <t xml:space="preserve">
ALTA 04-ABRIL-2025
EQUIPO $1,700.00+IVA
MENSUALIDAD $300.00+IVA
</t>
        </r>
      </text>
    </comment>
    <comment ref="E106" authorId="1" shapeId="0" xr:uid="{00000000-0006-0000-0300-00006C000000}">
      <text>
        <r>
          <rPr>
            <b/>
            <sz val="9"/>
            <color indexed="81"/>
            <rFont val="Tahoma"/>
            <family val="2"/>
          </rPr>
          <t>PC:</t>
        </r>
        <r>
          <rPr>
            <sz val="9"/>
            <color indexed="81"/>
            <rFont val="Tahoma"/>
            <family val="2"/>
          </rPr>
          <t xml:space="preserve">
ALTA 23-ABRIL-2025
EQUIPO $2,050.00+IVA
MENSUALIDAD $300.00+IVA</t>
        </r>
      </text>
    </comment>
    <comment ref="E107" authorId="0" shapeId="0" xr:uid="{00000000-0006-0000-0300-00006D000000}">
      <text>
        <r>
          <rPr>
            <b/>
            <sz val="9"/>
            <color indexed="81"/>
            <rFont val="Tahoma"/>
            <family val="2"/>
          </rPr>
          <t>Luffi:</t>
        </r>
        <r>
          <rPr>
            <sz val="9"/>
            <color indexed="81"/>
            <rFont val="Tahoma"/>
            <family val="2"/>
          </rPr>
          <t xml:space="preserve">
EMPIEZA ESQUEMA EN PLAN 
PLATAFORMA NUEVA NOVIEMBRE´2020 
*MENSUALIDAD        $150.00   +  IVA = $174.00
*EQUIPO                 $1,724.00 + IVA = $1,999.84
*INSTALACION         $600.00   + IVA = $696.00
*RE-INSTALACION    $600.00   + IVA = $696.00
*DES-INSTALACION  $650.00   + IVA = $754.00
*REVISION              $450.00   + IVA = $522.00
*VISITA EN FALSO   $250.00   + IVA = $290.00
*MIGRACION            $450.00   + IVA = $522.00
</t>
        </r>
      </text>
    </comment>
    <comment ref="T107" authorId="1" shapeId="0" xr:uid="{00000000-0006-0000-0300-00006E000000}">
      <text>
        <r>
          <rPr>
            <b/>
            <sz val="9"/>
            <color indexed="81"/>
            <rFont val="Tahoma"/>
            <family val="2"/>
          </rPr>
          <t>PC:</t>
        </r>
        <r>
          <rPr>
            <sz val="9"/>
            <color indexed="81"/>
            <rFont val="Tahoma"/>
            <family val="2"/>
          </rPr>
          <t xml:space="preserve">
7 EQUIPOS 
1 DES-INSTALACIÓN U.364 9-AGO-22 $650+IVA
1 RE-INSTALACIÓN U.368 9-AGO-22 $600+IVA
2 VISITA EN FALSO 13-AGO-22 $250 c/u +IVA </t>
        </r>
      </text>
    </comment>
    <comment ref="E108" authorId="0" shapeId="0" xr:uid="{00000000-0006-0000-0300-00006F000000}">
      <text>
        <r>
          <rPr>
            <b/>
            <sz val="9"/>
            <color indexed="81"/>
            <rFont val="Tahoma"/>
            <family val="2"/>
          </rPr>
          <t>Luffi:</t>
        </r>
        <r>
          <rPr>
            <sz val="9"/>
            <color indexed="81"/>
            <rFont val="Tahoma"/>
            <family val="2"/>
          </rPr>
          <t xml:space="preserve">
1 UNIDAD 
EQUIPO $1,879 + IVA  $2,179.64
RENTA   $300 + IVA    $348.00
 REVISIONES $450.0+IVA = $522.00
</t>
        </r>
        <r>
          <rPr>
            <b/>
            <sz val="9"/>
            <color indexed="81"/>
            <rFont val="Tahoma"/>
            <family val="2"/>
          </rPr>
          <t>INSTALACION 12-FEB-2021</t>
        </r>
      </text>
    </comment>
    <comment ref="E109" authorId="1" shapeId="0" xr:uid="{00000000-0006-0000-0300-000070000000}">
      <text>
        <r>
          <rPr>
            <b/>
            <sz val="9"/>
            <color indexed="81"/>
            <rFont val="Tahoma"/>
            <family val="2"/>
          </rPr>
          <t>PC:</t>
        </r>
        <r>
          <rPr>
            <sz val="9"/>
            <color indexed="81"/>
            <rFont val="Tahoma"/>
            <family val="2"/>
          </rPr>
          <t xml:space="preserve">
ALTA 22-ABRIL-2025
COMODATO
INSTALACION $549.00+IVA
MENSUALIDAD $299.00+IVA</t>
        </r>
      </text>
    </comment>
    <comment ref="E110" authorId="0" shapeId="0" xr:uid="{00000000-0006-0000-0300-000071000000}">
      <text>
        <r>
          <rPr>
            <b/>
            <sz val="9"/>
            <color indexed="81"/>
            <rFont val="Tahoma"/>
            <family val="2"/>
          </rPr>
          <t>Luffi:</t>
        </r>
        <r>
          <rPr>
            <sz val="9"/>
            <color indexed="81"/>
            <rFont val="Tahoma"/>
            <family val="2"/>
          </rPr>
          <t xml:space="preserve">
22 MIGRACIONES $350.00 + IVA
44 MENSUALIDAD $200.00 + IVA
1 EQUIPO $1,850.00 + IVA 
INSTALACION $650.00+IVA
RE-INSTALACIONES $650.00 + IVA
DES-INTALACIONES $
REVISIONES $450.00+IVA 
</t>
        </r>
        <r>
          <rPr>
            <b/>
            <sz val="9"/>
            <color indexed="81"/>
            <rFont val="Tahoma"/>
            <family val="2"/>
          </rPr>
          <t>*INICIA SEPTIEMBRE´2021*</t>
        </r>
      </text>
    </comment>
    <comment ref="T110" authorId="1" shapeId="0" xr:uid="{00000000-0006-0000-0300-000072000000}">
      <text>
        <r>
          <rPr>
            <b/>
            <sz val="9"/>
            <color indexed="81"/>
            <rFont val="Tahoma"/>
            <family val="2"/>
          </rPr>
          <t>PC:</t>
        </r>
        <r>
          <rPr>
            <sz val="9"/>
            <color indexed="81"/>
            <rFont val="Tahoma"/>
            <family val="2"/>
          </rPr>
          <t xml:space="preserve">
FACTURA ADICIONAL MAYO 2023
7 EQUIPOES E INST. DIF. DE $1,200.00+IVA POR CADA UNO </t>
        </r>
      </text>
    </comment>
    <comment ref="E111" authorId="1" shapeId="0" xr:uid="{00000000-0006-0000-0300-000073000000}">
      <text>
        <r>
          <rPr>
            <b/>
            <sz val="9"/>
            <color indexed="81"/>
            <rFont val="Tahoma"/>
            <family val="2"/>
          </rPr>
          <t>PC:</t>
        </r>
        <r>
          <rPr>
            <sz val="9"/>
            <color indexed="81"/>
            <rFont val="Tahoma"/>
            <family val="2"/>
          </rPr>
          <t xml:space="preserve">
ALTA 13-MARZO-2025
EQUIPO $1,700.00+IVA
MENSUALIDAD $300.00+IVA</t>
        </r>
      </text>
    </comment>
    <comment ref="D112" authorId="0" shapeId="0" xr:uid="{00000000-0006-0000-0300-000074000000}">
      <text>
        <r>
          <rPr>
            <b/>
            <sz val="9"/>
            <color indexed="81"/>
            <rFont val="Tahoma"/>
            <family val="2"/>
          </rPr>
          <t>Luffi:</t>
        </r>
        <r>
          <rPr>
            <sz val="9"/>
            <color indexed="81"/>
            <rFont val="Tahoma"/>
            <family val="2"/>
          </rPr>
          <t xml:space="preserve">
</t>
        </r>
        <r>
          <rPr>
            <sz val="9"/>
            <color indexed="10"/>
            <rFont val="Tahoma"/>
            <family val="2"/>
          </rPr>
          <t>Romeo Sierra - 811 591 1798
romeo.sierra@molldelvalle.com;</t>
        </r>
        <r>
          <rPr>
            <sz val="9"/>
            <color indexed="81"/>
            <rFont val="Tahoma"/>
            <family val="2"/>
          </rPr>
          <t xml:space="preserve">
YA NO LABORA AHÍ </t>
        </r>
      </text>
    </comment>
    <comment ref="E112" authorId="0" shapeId="0" xr:uid="{00000000-0006-0000-0300-000075000000}">
      <text>
        <r>
          <rPr>
            <b/>
            <sz val="9"/>
            <color indexed="81"/>
            <rFont val="Tahoma"/>
            <family val="2"/>
          </rPr>
          <t>Luffi:</t>
        </r>
        <r>
          <rPr>
            <sz val="9"/>
            <color indexed="81"/>
            <rFont val="Tahoma"/>
            <family val="2"/>
          </rPr>
          <t xml:space="preserve">
EQUIPO COMODATO
MENSUALIDAD $350 + IVA $406.00
INSTALACION $650 + IVA $754.00
</t>
        </r>
        <r>
          <rPr>
            <b/>
            <sz val="9"/>
            <color indexed="81"/>
            <rFont val="Tahoma"/>
            <family val="2"/>
          </rPr>
          <t>INSTALACION 25-AGOSTO-2021</t>
        </r>
      </text>
    </comment>
    <comment ref="E113" authorId="0" shapeId="0" xr:uid="{00000000-0006-0000-0300-000076000000}">
      <text>
        <r>
          <rPr>
            <b/>
            <sz val="9"/>
            <color indexed="81"/>
            <rFont val="Tahoma"/>
            <family val="2"/>
          </rPr>
          <t>Luffi:</t>
        </r>
        <r>
          <rPr>
            <sz val="9"/>
            <color indexed="81"/>
            <rFont val="Tahoma"/>
            <family val="2"/>
          </rPr>
          <t xml:space="preserve">
EQUIPO. $2,400 + IVA
MENSUALIDAD $250 + IVA 
</t>
        </r>
        <r>
          <rPr>
            <b/>
            <sz val="9"/>
            <color indexed="81"/>
            <rFont val="Tahoma"/>
            <family val="2"/>
          </rPr>
          <t>FACTURACION 28-SEP-2021
INSTALACION 29-SEP-2021
*COBRANZA HASTA NOV´2021</t>
        </r>
      </text>
    </comment>
    <comment ref="E114" authorId="0" shapeId="0" xr:uid="{00000000-0006-0000-0300-000077000000}">
      <text>
        <r>
          <rPr>
            <b/>
            <sz val="9"/>
            <color indexed="81"/>
            <rFont val="Tahoma"/>
            <family val="2"/>
          </rPr>
          <t>Luffi:</t>
        </r>
        <r>
          <rPr>
            <sz val="9"/>
            <color indexed="81"/>
            <rFont val="Tahoma"/>
            <family val="2"/>
          </rPr>
          <t xml:space="preserve">
</t>
        </r>
        <r>
          <rPr>
            <sz val="10"/>
            <color indexed="81"/>
            <rFont val="Tahoma"/>
            <family val="2"/>
          </rPr>
          <t>6</t>
        </r>
        <r>
          <rPr>
            <sz val="9"/>
            <color indexed="81"/>
            <rFont val="Tahoma"/>
            <family val="2"/>
          </rPr>
          <t xml:space="preserve"> </t>
        </r>
        <r>
          <rPr>
            <sz val="10"/>
            <color indexed="81"/>
            <rFont val="Tahoma"/>
            <family val="2"/>
          </rPr>
          <t xml:space="preserve">EQUIPOS $1,810.35 + IVA
6 MENSUALIDAD $315.00 + IVA
RE-INSTALACIÓN $650.00+ÍVA
DES-INSTALACIÓN $650.00+IVA 
INSTALACIONES SE REALIZARANA 31-MAY-2021
NO SE COBRA EN JUNIO POR FECHA DE INSTALACION
</t>
        </r>
        <r>
          <rPr>
            <b/>
            <sz val="10"/>
            <color indexed="81"/>
            <rFont val="Tahoma"/>
            <family val="2"/>
          </rPr>
          <t>*INSTALADAS 4 HASTA JUNIO*
2 INSTALACIONES 28-ENE-2022
FACTURADOS FEB´2022 - F. 
INSTALACIÓN 06-JULIO-2022</t>
        </r>
      </text>
    </comment>
    <comment ref="T114" authorId="1" shapeId="0" xr:uid="{00000000-0006-0000-0300-000078000000}">
      <text>
        <r>
          <rPr>
            <b/>
            <sz val="9"/>
            <color indexed="81"/>
            <rFont val="Tahoma"/>
            <family val="2"/>
          </rPr>
          <t xml:space="preserve">PC:
</t>
        </r>
        <r>
          <rPr>
            <sz val="9"/>
            <color indexed="81"/>
            <rFont val="Tahoma"/>
            <family val="2"/>
          </rPr>
          <t xml:space="preserve">DES-INSTALACION 12-OCT-22 FORD FIESTA $650.00+IVA 
RE-INSTALACION 12-OCT-22 CHEVROLET AVEO $650.00+IVA
INSTALACIÓN 06-JULIO-2022 MOTO HONDA BLANCO 67RZP2
3 INSTALACIONES 20-JULIO-2022
Dodge Ram 700 Blanco PS-9110-A 
Renault Kangoo Blanca RB-6974-A 
Renault Kangoo Blanca RB-6975-A
</t>
        </r>
      </text>
    </comment>
    <comment ref="E115" authorId="1" shapeId="0" xr:uid="{00000000-0006-0000-0300-000079000000}">
      <text>
        <r>
          <rPr>
            <b/>
            <sz val="9"/>
            <color indexed="81"/>
            <rFont val="Tahoma"/>
            <family val="2"/>
          </rPr>
          <t>PC:</t>
        </r>
        <r>
          <rPr>
            <sz val="9"/>
            <color indexed="81"/>
            <rFont val="Tahoma"/>
            <family val="2"/>
          </rPr>
          <t xml:space="preserve">
ALTA 27-MARZO-2025
EQUIPO $1,700.00+IVA
MENSUALIDAD $300.00+IVA</t>
        </r>
      </text>
    </comment>
    <comment ref="E116" authorId="1" shapeId="0" xr:uid="{00000000-0006-0000-0300-00007A000000}">
      <text>
        <r>
          <rPr>
            <b/>
            <sz val="9"/>
            <color indexed="81"/>
            <rFont val="Tahoma"/>
            <family val="2"/>
          </rPr>
          <t>PC:</t>
        </r>
        <r>
          <rPr>
            <sz val="9"/>
            <color indexed="81"/>
            <rFont val="Tahoma"/>
            <family val="2"/>
          </rPr>
          <t xml:space="preserve">
ALTA 13-MARZO-2025
EQUIPO $1,700.00+IVA
MENSUALIDAD CON BOTON DE PANICO $300.00+IVA</t>
        </r>
      </text>
    </comment>
    <comment ref="E117" authorId="1" shapeId="0" xr:uid="{00000000-0006-0000-0300-00007B000000}">
      <text>
        <r>
          <rPr>
            <b/>
            <sz val="9"/>
            <color indexed="81"/>
            <rFont val="Tahoma"/>
            <family val="2"/>
          </rPr>
          <t>PC:</t>
        </r>
        <r>
          <rPr>
            <sz val="9"/>
            <color indexed="81"/>
            <rFont val="Tahoma"/>
            <family val="2"/>
          </rPr>
          <t xml:space="preserve">
ALTA 14-MARZO-2025
EQUIPO $1,700.00+IVA
MENSUALIDAD $300.00+IVA</t>
        </r>
      </text>
    </comment>
    <comment ref="E118" authorId="0" shapeId="0" xr:uid="{00000000-0006-0000-0300-00007C000000}">
      <text>
        <r>
          <rPr>
            <b/>
            <sz val="9"/>
            <color indexed="81"/>
            <rFont val="Tahoma"/>
            <family val="2"/>
          </rPr>
          <t>Luffi:</t>
        </r>
        <r>
          <rPr>
            <sz val="9"/>
            <color indexed="81"/>
            <rFont val="Tahoma"/>
            <family val="2"/>
          </rPr>
          <t xml:space="preserve">
</t>
        </r>
        <r>
          <rPr>
            <sz val="10"/>
            <color indexed="81"/>
            <rFont val="Tahoma"/>
            <family val="2"/>
          </rPr>
          <t xml:space="preserve">RECONFIGURACION DE EQUIPO Y MENSUALIDAD $1,136.80
EQUIPO $1,800.00 + IVA $2,088.00
RECONFIGURACION $650.00 + IVA $754.00
MENSUALIDAD $330.00 + IVA $382.80
SERVICIO 27-ENE-2021
</t>
        </r>
        <r>
          <rPr>
            <b/>
            <sz val="10"/>
            <color indexed="81"/>
            <rFont val="Tahoma"/>
            <family val="2"/>
          </rPr>
          <t xml:space="preserve">GENERAR COBRANZA EN MARZO´2021           
</t>
        </r>
        <r>
          <rPr>
            <sz val="10"/>
            <color indexed="81"/>
            <rFont val="Tahoma"/>
            <family val="2"/>
          </rPr>
          <t xml:space="preserve">SERVICIO 10-JUNIO-2022 (Se Integra en Julio)
</t>
        </r>
        <r>
          <rPr>
            <b/>
            <sz val="10"/>
            <color indexed="81"/>
            <rFont val="Tahoma"/>
            <family val="2"/>
          </rPr>
          <t>GENERA COBRANZA EN JULIO´2022</t>
        </r>
      </text>
    </comment>
    <comment ref="T118" authorId="1" shapeId="0" xr:uid="{00000000-0006-0000-0300-00007D000000}">
      <text>
        <r>
          <rPr>
            <b/>
            <sz val="9"/>
            <color indexed="81"/>
            <rFont val="Tahoma"/>
            <family val="2"/>
          </rPr>
          <t>PC:</t>
        </r>
        <r>
          <rPr>
            <sz val="9"/>
            <color indexed="81"/>
            <rFont val="Tahoma"/>
            <family val="2"/>
          </rPr>
          <t xml:space="preserve">
INSTALACIÓN 10-JUNIO-2022 $1,800.00 + MENSUALIDAD $330.00 </t>
        </r>
      </text>
    </comment>
    <comment ref="E119" authorId="0" shapeId="0" xr:uid="{00000000-0006-0000-0300-00007E000000}">
      <text>
        <r>
          <rPr>
            <b/>
            <sz val="9"/>
            <color indexed="81"/>
            <rFont val="Tahoma"/>
            <family val="2"/>
          </rPr>
          <t>Luffi:</t>
        </r>
        <r>
          <rPr>
            <sz val="9"/>
            <color indexed="81"/>
            <rFont val="Tahoma"/>
            <family val="2"/>
          </rPr>
          <t xml:space="preserve">
EQUIPO $2,000.00
RENTA $270.00
SENSOR DE COMBUSTUBLE $5,600.00+IVA
MENSUALIDAD CON SENSOR DE COMBUSTIBLE $320.00+IVA
INSTALACION 25-NOV-2021
</t>
        </r>
        <r>
          <rPr>
            <b/>
            <sz val="9"/>
            <color indexed="81"/>
            <rFont val="Tahoma"/>
            <family val="2"/>
          </rPr>
          <t xml:space="preserve">*SE EMPIEZA A COBRA MENSUALIDAD EN ENERO´2022*
</t>
        </r>
        <r>
          <rPr>
            <sz val="9"/>
            <color indexed="81"/>
            <rFont val="Tahoma"/>
            <family val="2"/>
          </rPr>
          <t>RE-INGRESA EL 26-MARZO-2025
MIGRACIONES (NO COBRADAS) SOLO MENSUALIDAD MENSUALIDAD $300.00+IVA</t>
        </r>
      </text>
    </comment>
    <comment ref="E120" authorId="1" shapeId="0" xr:uid="{00000000-0006-0000-0300-00007F000000}">
      <text>
        <r>
          <rPr>
            <b/>
            <sz val="9"/>
            <color indexed="81"/>
            <rFont val="Tahoma"/>
            <family val="2"/>
          </rPr>
          <t>PC:</t>
        </r>
        <r>
          <rPr>
            <sz val="9"/>
            <color indexed="81"/>
            <rFont val="Tahoma"/>
            <family val="2"/>
          </rPr>
          <t xml:space="preserve">
ALTA 29-MARZO-2025
EQUIPO $1,950.00+IVA
MENSUALIDAD $300.00+IVA
MIGRACION $500.00+IVA</t>
        </r>
      </text>
    </comment>
    <comment ref="E121" authorId="2" shapeId="0" xr:uid="{00000000-0006-0000-0300-000080000000}">
      <text>
        <r>
          <rPr>
            <b/>
            <sz val="9"/>
            <color indexed="81"/>
            <rFont val="Tahoma"/>
            <family val="2"/>
          </rPr>
          <t>Usuario de Windows:</t>
        </r>
        <r>
          <rPr>
            <sz val="9"/>
            <color indexed="81"/>
            <rFont val="Tahoma"/>
            <family val="2"/>
          </rPr>
          <t xml:space="preserve">
</t>
        </r>
        <r>
          <rPr>
            <b/>
            <sz val="10"/>
            <color indexed="81"/>
            <rFont val="Tahoma"/>
            <family val="2"/>
          </rPr>
          <t>INSTALACION 01-MARZO-2022</t>
        </r>
        <r>
          <rPr>
            <sz val="10"/>
            <color indexed="81"/>
            <rFont val="Tahoma"/>
            <family val="2"/>
          </rPr>
          <t xml:space="preserve">
EQUIPO $2,241.38 + IVA
SENSOR DE TEMPERATURA CAJA REF. $899 + IVA
SENSOR DE SOMBUSTIBLE $4,827.59 + IVA
MENSUALIDAD SENSOR COMBUSTIBLE  $350 + IVA 
MENSUALIDAD SENSOR COMBUSTIBLE Y TEMPERTAURA $400 + IVA 
RE-INSTALACIONES $650.00+IVA
SENSOR DE COMBUSTIBLE $5,900.00+IVA COTIZACION NOV 2022 Y MARZO 2023 
SENSOR DE COMBUSTIBLE ABRIL 2023 $5,600.00+IVA
INTEGRACION DE WEB SERVICE $8,500.00+IVA=$9,860.00
(31-OCT- PAGO 02-NOV)
</t>
        </r>
        <r>
          <rPr>
            <b/>
            <sz val="10"/>
            <color indexed="81"/>
            <rFont val="Tahoma"/>
            <family val="2"/>
          </rPr>
          <t xml:space="preserve">FACTURA 05-ABRIL-2022
CORTE 15 DE CADA MES </t>
        </r>
      </text>
    </comment>
    <comment ref="T121" authorId="1" shapeId="0" xr:uid="{00000000-0006-0000-0300-000081000000}">
      <text>
        <r>
          <rPr>
            <b/>
            <sz val="9"/>
            <color indexed="81"/>
            <rFont val="Tahoma"/>
            <family val="2"/>
          </rPr>
          <t>PC:</t>
        </r>
        <r>
          <rPr>
            <sz val="9"/>
            <color indexed="81"/>
            <rFont val="Tahoma"/>
            <family val="2"/>
          </rPr>
          <t xml:space="preserve">
FACTURA 1653 POR COTIZACION 
2 EQUIPOS
2 MENS
2 SENSOR DE VARILLA
EQUIPO E INSTALACION $1,900.00+IVA
SENSOR DE COMBUSTIBLE DE VARILLA $5,900.00+IVA</t>
        </r>
      </text>
    </comment>
    <comment ref="AH121" authorId="1" shapeId="0" xr:uid="{00000000-0006-0000-0300-000082000000}">
      <text>
        <r>
          <rPr>
            <b/>
            <sz val="9"/>
            <color indexed="81"/>
            <rFont val="Tahoma"/>
            <family val="2"/>
          </rPr>
          <t>PC:</t>
        </r>
        <r>
          <rPr>
            <sz val="9"/>
            <color indexed="81"/>
            <rFont val="Tahoma"/>
            <family val="2"/>
          </rPr>
          <t xml:space="preserve">
SENSOR DE DIESEL 
INSTALADO 09-MAYO-2023
</t>
        </r>
      </text>
    </comment>
    <comment ref="E122" authorId="1" shapeId="0" xr:uid="{00000000-0006-0000-0300-000083000000}">
      <text>
        <r>
          <rPr>
            <b/>
            <sz val="9"/>
            <color indexed="81"/>
            <rFont val="Tahoma"/>
            <family val="2"/>
          </rPr>
          <t>PC:</t>
        </r>
        <r>
          <rPr>
            <sz val="9"/>
            <color indexed="81"/>
            <rFont val="Tahoma"/>
            <family val="2"/>
          </rPr>
          <t xml:space="preserve">
MIGRACION EL 22-ENERO-2025 
CLIENTE BACOCA(SR. HECTOR RODRIGUEZ) 
1 MIGRACION DEL SR. LUIS CARLOS CABELLO MARROQUIN - A BACOCA
Correo trafico.bacoca@hotmail.com
Contacto Hector Rodriguez Tel. 8115538897
MIGRACION DE UNIDAD 
EQUIPO $2,241
SENSOR DIESEL $5,600
SENSOR TEMPERATURA $899
MENSUALIDAD CON SENSOR DE COMBUSTIBLE $350 
MENSUALIDAD CON SENSOR DE COMBUSTIBLE Y DIESEL $400
UNIDADES A MIGRAR 
CAJA #110 PLACAS: 57UU5L - Identificada en Plataforma TH-03 57UU5L (Con Sensores TyD)
43 AD 6A - Identificada en Plataforma Tracto 03 43-AD-6A (Sin Sensores)</t>
        </r>
      </text>
    </comment>
    <comment ref="E123" authorId="1" shapeId="0" xr:uid="{00000000-0006-0000-0300-000084000000}">
      <text>
        <r>
          <rPr>
            <b/>
            <sz val="9"/>
            <color indexed="81"/>
            <rFont val="Tahoma"/>
            <family val="2"/>
          </rPr>
          <t>PC:</t>
        </r>
        <r>
          <rPr>
            <sz val="9"/>
            <color indexed="81"/>
            <rFont val="Tahoma"/>
            <family val="2"/>
          </rPr>
          <t xml:space="preserve">
INGRESA A COBRANZA EL 13-MARZO-2025
ALTA EL 14-MARZO-2025
EQUIPO $2,089.00+IVA
MENSUALIDAD C/BOTON DE PANICO $300.00+IVA</t>
        </r>
      </text>
    </comment>
    <comment ref="E124" authorId="1" shapeId="0" xr:uid="{00000000-0006-0000-0300-000085000000}">
      <text>
        <r>
          <rPr>
            <b/>
            <sz val="9"/>
            <color indexed="81"/>
            <rFont val="Tahoma"/>
            <family val="2"/>
          </rPr>
          <t>PC:</t>
        </r>
        <r>
          <rPr>
            <sz val="9"/>
            <color indexed="81"/>
            <rFont val="Tahoma"/>
            <family val="2"/>
          </rPr>
          <t xml:space="preserve">
ALTA 22-ABRIL-2025
COMODATO
INSTALACION $549.00+IVA
MENSUALIDAD $229.00+IVA</t>
        </r>
      </text>
    </comment>
    <comment ref="E125" authorId="0" shapeId="0" xr:uid="{00000000-0006-0000-0300-000086000000}">
      <text>
        <r>
          <rPr>
            <b/>
            <sz val="9"/>
            <color indexed="81"/>
            <rFont val="Tahoma"/>
            <family val="2"/>
          </rPr>
          <t>Luffi:</t>
        </r>
        <r>
          <rPr>
            <sz val="9"/>
            <color indexed="81"/>
            <rFont val="Tahoma"/>
            <family val="2"/>
          </rPr>
          <t xml:space="preserve">
EQUIPO $1900 + IVA
MENSUALIDAD $250 + IVA 
*</t>
        </r>
        <r>
          <rPr>
            <b/>
            <sz val="9"/>
            <color indexed="81"/>
            <rFont val="Tahoma"/>
            <family val="2"/>
          </rPr>
          <t>INSTALACION 29-JUNIO-2021*
COBRAR HASTA AGOSTO</t>
        </r>
      </text>
    </comment>
    <comment ref="E126" authorId="0" shapeId="0" xr:uid="{00000000-0006-0000-0300-000087000000}">
      <text>
        <r>
          <rPr>
            <b/>
            <sz val="9"/>
            <color indexed="81"/>
            <rFont val="Tahoma"/>
            <family val="2"/>
          </rPr>
          <t>Luffi:</t>
        </r>
        <r>
          <rPr>
            <sz val="9"/>
            <color indexed="81"/>
            <rFont val="Tahoma"/>
            <family val="2"/>
          </rPr>
          <t xml:space="preserve">
</t>
        </r>
        <r>
          <rPr>
            <sz val="10"/>
            <color indexed="81"/>
            <rFont val="Tahoma"/>
            <family val="2"/>
          </rPr>
          <t xml:space="preserve">1 UNIDAD 
EQUIPO $1,879 + IVA
MENSUALIDAD $350 + IVA
4 MENSUALIDADES $300.00C/U+IVA
2 MENS. DASH CAM $900.00C/U+IVA
CAMARA DASH CAM $8,790.00+IVA
REVISIONES CON COSTO  $400.00+IVA
RE-INSTALACIONES $500.00+IVA
DES-INSTALACIONES $500.00+IVA
VISITA EN FALSO $250.00+IVA
</t>
        </r>
        <r>
          <rPr>
            <b/>
            <sz val="10"/>
            <color indexed="81"/>
            <rFont val="Tahoma"/>
            <family val="2"/>
          </rPr>
          <t>INSTLACION 20-OCTUBRE-2020
*COBRA PROPORCIONAL EN NOV´2020</t>
        </r>
      </text>
    </comment>
    <comment ref="E127" authorId="1" shapeId="0" xr:uid="{00000000-0006-0000-0300-000088000000}">
      <text>
        <r>
          <rPr>
            <b/>
            <sz val="9"/>
            <color indexed="81"/>
            <rFont val="Tahoma"/>
            <family val="2"/>
          </rPr>
          <t>PC:</t>
        </r>
        <r>
          <rPr>
            <sz val="9"/>
            <color indexed="81"/>
            <rFont val="Tahoma"/>
            <family val="2"/>
          </rPr>
          <t xml:space="preserve">
ALTA 26-ABRIL-2025
COMODATO
INSTALACION $549.00+IVA
MENSUALIDAD $299.00+IVA 
SEMESTRE $1,794.00+IVA
-BONIFICACION $299.00+IVA</t>
        </r>
      </text>
    </comment>
    <comment ref="E128" authorId="1" shapeId="0" xr:uid="{00000000-0006-0000-0300-000089000000}">
      <text>
        <r>
          <rPr>
            <b/>
            <sz val="9"/>
            <color indexed="81"/>
            <rFont val="Tahoma"/>
            <family val="2"/>
          </rPr>
          <t>PC:</t>
        </r>
        <r>
          <rPr>
            <sz val="9"/>
            <color indexed="81"/>
            <rFont val="Tahoma"/>
            <family val="2"/>
          </rPr>
          <t xml:space="preserve">
ALTA 18-MARZO-2025
MIGRACIÓN $650.00+IVA
MENSUALIDAD $250.00
EQUIPO $1,700.00</t>
        </r>
      </text>
    </comment>
    <comment ref="E129" authorId="1" shapeId="0" xr:uid="{00000000-0006-0000-0300-00008A000000}">
      <text>
        <r>
          <rPr>
            <b/>
            <sz val="9"/>
            <color indexed="81"/>
            <rFont val="Tahoma"/>
            <family val="2"/>
          </rPr>
          <t>PC:</t>
        </r>
        <r>
          <rPr>
            <sz val="9"/>
            <color indexed="81"/>
            <rFont val="Tahoma"/>
            <family val="2"/>
          </rPr>
          <t xml:space="preserve">
ALTA EL 22-ENERO-2025
SE EMPIEZA A CONSIDERAR A PARTIR DE FEBRERO 2025
EQUIPO TELTONIKA 4G/2G GMC 130 $2,400.00+IVA
SENSOR DE COMBUSTIBLE LIGO VARILLA INDUCTIVA $5,600.00+IVA
SENSOR DE TEMPERATURA TIPO PROBETA ANALOGICA SIN COSTO $0.00
SEMESTRE POR UNIDAD $1,800.00+IVA
BONIFICACION SOBRE SEMESTRE (1 MES) -$300.00</t>
        </r>
      </text>
    </comment>
    <comment ref="E130" authorId="1" shapeId="0" xr:uid="{00000000-0006-0000-0300-00008B000000}">
      <text>
        <r>
          <rPr>
            <b/>
            <sz val="9"/>
            <color indexed="81"/>
            <rFont val="Tahoma"/>
            <family val="2"/>
          </rPr>
          <t>PC:</t>
        </r>
        <r>
          <rPr>
            <sz val="9"/>
            <color indexed="81"/>
            <rFont val="Tahoma"/>
            <family val="2"/>
          </rPr>
          <t xml:space="preserve">
INGRESA EL 17-OCTUBRE-2024
SERVICIOS EXTERNOS SIN MENSUALIDAD Y SIN PLATAFORMA 
INSTALACION $700.00+IVA
DES-INSTALACION $500.00+IVA
VISITA EN FALSO $250.00+IVA
RE-INSTALACION $700.00+IVA</t>
        </r>
      </text>
    </comment>
    <comment ref="E131" authorId="1" shapeId="0" xr:uid="{00000000-0006-0000-0300-00008C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E132" authorId="1" shapeId="0" xr:uid="{00000000-0006-0000-0300-00008D000000}">
      <text>
        <r>
          <rPr>
            <b/>
            <sz val="9"/>
            <color indexed="81"/>
            <rFont val="Tahoma"/>
            <family val="2"/>
          </rPr>
          <t>PC:</t>
        </r>
        <r>
          <rPr>
            <sz val="9"/>
            <color indexed="81"/>
            <rFont val="Tahoma"/>
            <family val="2"/>
          </rPr>
          <t xml:space="preserve">
INGRESA EL 08-ENERO-2025
EQUIPO $2,099.00+IVA
ANUALIDAD $3,000.00+IVA-2 MESES DE BONIFICACION </t>
        </r>
      </text>
    </comment>
    <comment ref="E133" authorId="1" shapeId="0" xr:uid="{00000000-0006-0000-0300-00008E000000}">
      <text>
        <r>
          <rPr>
            <b/>
            <sz val="9"/>
            <color indexed="81"/>
            <rFont val="Tahoma"/>
            <family val="2"/>
          </rPr>
          <t>PC:</t>
        </r>
        <r>
          <rPr>
            <sz val="9"/>
            <color indexed="81"/>
            <rFont val="Tahoma"/>
            <family val="2"/>
          </rPr>
          <t xml:space="preserve">
RE-INGRESA EL 11-NOVIEMBRE-2023
INSTALACION $650.00+IVA
ANUALIDAD $2,500.00+IVA
EQUIPOS $997.00+IVA</t>
        </r>
      </text>
    </comment>
    <comment ref="E134" authorId="1" shapeId="0" xr:uid="{00000000-0006-0000-0300-00008F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E136" authorId="0" shapeId="0" xr:uid="{00000000-0006-0000-0300-000090000000}">
      <text>
        <r>
          <rPr>
            <b/>
            <sz val="9"/>
            <color indexed="81"/>
            <rFont val="Tahoma"/>
            <family val="2"/>
          </rPr>
          <t>Luffi:</t>
        </r>
        <r>
          <rPr>
            <sz val="9"/>
            <color indexed="81"/>
            <rFont val="Tahoma"/>
            <family val="2"/>
          </rPr>
          <t xml:space="preserve">
25-OCTUBRE-2022 
1 REVISION Y RE-INSTALACIÓN $650.00+IVA
</t>
        </r>
        <r>
          <rPr>
            <sz val="10"/>
            <color indexed="81"/>
            <rFont val="Tahoma"/>
            <family val="2"/>
          </rPr>
          <t xml:space="preserve">INSTALACION 14-MAYO-2021
2 EQUIPO NUEVOS  $1,850 + IVA 
1 MIGRACION          $ 450 + IVA
3 MENSUALIDAD $300 + IVA C/U 
</t>
        </r>
        <r>
          <rPr>
            <b/>
            <sz val="10"/>
            <color indexed="81"/>
            <rFont val="Tahoma"/>
            <family val="2"/>
          </rPr>
          <t>*ESTA PENDIENTE LA MIGRACION EL EQUIPO ESTA BLOQUEADO SOLO SE COBRARAN 2 RENTAS</t>
        </r>
      </text>
    </comment>
    <comment ref="T136" authorId="1" shapeId="0" xr:uid="{00000000-0006-0000-0300-000091000000}">
      <text>
        <r>
          <rPr>
            <b/>
            <sz val="9"/>
            <color indexed="81"/>
            <rFont val="Tahoma"/>
            <family val="2"/>
          </rPr>
          <t>PC:</t>
        </r>
        <r>
          <rPr>
            <sz val="9"/>
            <color indexed="81"/>
            <rFont val="Tahoma"/>
            <family val="2"/>
          </rPr>
          <t xml:space="preserve">
REVISIÓN Y RE-INSTALACION 25-OCT-22 $650.00+IVA</t>
        </r>
      </text>
    </comment>
    <comment ref="E137" authorId="1" shapeId="0" xr:uid="{00000000-0006-0000-0300-000092000000}">
      <text>
        <r>
          <rPr>
            <b/>
            <sz val="9"/>
            <color indexed="81"/>
            <rFont val="Tahoma"/>
            <family val="2"/>
          </rPr>
          <t>PC:</t>
        </r>
        <r>
          <rPr>
            <sz val="9"/>
            <color indexed="81"/>
            <rFont val="Tahoma"/>
            <family val="2"/>
          </rPr>
          <t xml:space="preserve">
INGRESA EL 17-MAYO-2024
EQUIPO $1,500.00
MENSUALIDAD $250.00</t>
        </r>
      </text>
    </comment>
    <comment ref="E138" authorId="1" shapeId="0" xr:uid="{00000000-0006-0000-0300-000093000000}">
      <text>
        <r>
          <rPr>
            <b/>
            <sz val="9"/>
            <color indexed="81"/>
            <rFont val="Tahoma"/>
            <family val="2"/>
          </rPr>
          <t>PC:</t>
        </r>
        <r>
          <rPr>
            <sz val="9"/>
            <color indexed="81"/>
            <rFont val="Tahoma"/>
            <family val="2"/>
          </rPr>
          <t xml:space="preserve">
INGRESA EL 30-JUNIO-2023
EQUIPO $1,950.00+IVA
MENSUALIDAD $300.00+IVA</t>
        </r>
      </text>
    </comment>
    <comment ref="E139" authorId="0" shapeId="0" xr:uid="{00000000-0006-0000-0300-000094000000}">
      <text>
        <r>
          <rPr>
            <b/>
            <sz val="9"/>
            <color indexed="81"/>
            <rFont val="Tahoma"/>
            <family val="2"/>
          </rPr>
          <t>Luffi:</t>
        </r>
        <r>
          <rPr>
            <sz val="9"/>
            <color indexed="81"/>
            <rFont val="Tahoma"/>
            <family val="2"/>
          </rPr>
          <t xml:space="preserve">
RENTA $300.00
INSTALACION $350.00 COMODATO
EQUIPO $1,850.00
SERVICIOS $350.00
PEPE $200.00
OLID $100.00
</t>
        </r>
      </text>
    </comment>
    <comment ref="S139" authorId="0" shapeId="0" xr:uid="{00000000-0006-0000-0300-000095000000}">
      <text>
        <r>
          <rPr>
            <b/>
            <sz val="9"/>
            <color indexed="81"/>
            <rFont val="Tahoma"/>
            <family val="2"/>
          </rPr>
          <t>Luffi:</t>
        </r>
        <r>
          <rPr>
            <sz val="9"/>
            <color indexed="81"/>
            <rFont val="Tahoma"/>
            <family val="2"/>
          </rPr>
          <t xml:space="preserve">
</t>
        </r>
        <r>
          <rPr>
            <b/>
            <sz val="9"/>
            <color indexed="81"/>
            <rFont val="Tahoma"/>
            <family val="2"/>
          </rPr>
          <t xml:space="preserve">MAYO (COMODATO)
42 UNIDADES RASTREO $300
1 UNIDAD CON MICROFONO $350
</t>
        </r>
        <r>
          <rPr>
            <sz val="9"/>
            <color indexed="81"/>
            <rFont val="Tahoma"/>
            <family val="2"/>
          </rPr>
          <t xml:space="preserve">
</t>
        </r>
        <r>
          <rPr>
            <b/>
            <sz val="10"/>
            <color indexed="81"/>
            <rFont val="Tahoma"/>
            <family val="2"/>
          </rPr>
          <t xml:space="preserve">AJUSTE </t>
        </r>
        <r>
          <rPr>
            <b/>
            <sz val="10"/>
            <color indexed="10"/>
            <rFont val="Tahoma"/>
            <family val="2"/>
          </rPr>
          <t>-$900.00</t>
        </r>
        <r>
          <rPr>
            <sz val="10"/>
            <color indexed="81"/>
            <rFont val="Tahoma"/>
            <family val="2"/>
          </rPr>
          <t xml:space="preserve">
3 UNIDADES QUE NO REPORTAN </t>
        </r>
      </text>
    </comment>
    <comment ref="T139" authorId="0" shapeId="0" xr:uid="{00000000-0006-0000-0300-000096000000}">
      <text>
        <r>
          <rPr>
            <b/>
            <sz val="9"/>
            <color indexed="81"/>
            <rFont val="Tahoma"/>
            <family val="2"/>
          </rPr>
          <t xml:space="preserve">Luffi:
REMISION 50 DIC'22
</t>
        </r>
        <r>
          <rPr>
            <sz val="9"/>
            <color indexed="81"/>
            <rFont val="Tahoma"/>
            <family val="2"/>
          </rPr>
          <t>3 DES-INSTALACIONES $1,050.00
1 MIGRACIÓN JAIR MARTÍNEZ -$350.00</t>
        </r>
        <r>
          <rPr>
            <b/>
            <sz val="9"/>
            <color indexed="81"/>
            <rFont val="Tahoma"/>
            <family val="2"/>
          </rPr>
          <t xml:space="preserve">
REMISION 49 NOV'22</t>
        </r>
        <r>
          <rPr>
            <sz val="9"/>
            <color indexed="81"/>
            <rFont val="Tahoma"/>
            <family val="2"/>
          </rPr>
          <t xml:space="preserve">
2 INSTALACIONES
3DES-INSTALACIONES
1MIGRACIÓN -$350.00
04-AGO-22 $2,100.00 
SERVICIOS ADICIONALES REMISION 47 
</t>
        </r>
        <r>
          <rPr>
            <b/>
            <sz val="9"/>
            <color indexed="81"/>
            <rFont val="Tahoma"/>
            <family val="2"/>
          </rPr>
          <t xml:space="preserve">
02-FEB-2022 $1,800 PAGO DE EQUIPO 
</t>
        </r>
        <r>
          <rPr>
            <sz val="9"/>
            <color indexed="81"/>
            <rFont val="Tahoma"/>
            <family val="2"/>
          </rPr>
          <t>UNIDAD 032 ALBERTO VAZQUEZ SIERRA DENALI BLANCA´2018</t>
        </r>
        <r>
          <rPr>
            <b/>
            <sz val="9"/>
            <color indexed="81"/>
            <rFont val="Tahoma"/>
            <family val="2"/>
          </rPr>
          <t xml:space="preserve">
JUNIO´2021 $2,490
SERVICIOS ADICIONALES REMISION 35
MAYO´2021 $1,630.00
SERVICIOS ADICIONALES REMISION 34
</t>
        </r>
        <r>
          <rPr>
            <sz val="9"/>
            <color indexed="81"/>
            <rFont val="Tahoma"/>
            <family val="2"/>
          </rPr>
          <t xml:space="preserve">
</t>
        </r>
        <r>
          <rPr>
            <b/>
            <sz val="10"/>
            <color indexed="81"/>
            <rFont val="Tahoma"/>
            <family val="2"/>
          </rPr>
          <t>FEB-2021 $2,820.00</t>
        </r>
        <r>
          <rPr>
            <sz val="9"/>
            <color indexed="81"/>
            <rFont val="Tahoma"/>
            <family val="2"/>
          </rPr>
          <t xml:space="preserve">
</t>
        </r>
        <r>
          <rPr>
            <sz val="10"/>
            <color indexed="81"/>
            <rFont val="Tahoma"/>
            <family val="2"/>
          </rPr>
          <t xml:space="preserve">5 DES-INSTALACIONES $0.00
4 RE-INSTALACIONES $350 = $1,400.00
3 INSTALACIONES $1,420.00
</t>
        </r>
        <r>
          <rPr>
            <sz val="9"/>
            <color indexed="81"/>
            <rFont val="Tahoma"/>
            <family val="2"/>
          </rPr>
          <t xml:space="preserve">
2</t>
        </r>
        <r>
          <rPr>
            <sz val="10"/>
            <color indexed="81"/>
            <rFont val="Tahoma"/>
            <family val="2"/>
          </rPr>
          <t xml:space="preserve"> INSTALACIONES NUEVAS $890.00
14-SEP-2020  $350 + $160.00 = $510.00
28-SEP-2020  $350 + $ 30.00  = $380.00
</t>
        </r>
        <r>
          <rPr>
            <sz val="9"/>
            <color indexed="81"/>
            <rFont val="Tahoma"/>
            <family val="2"/>
          </rPr>
          <t xml:space="preserve">
5</t>
        </r>
        <r>
          <rPr>
            <sz val="10"/>
            <color indexed="81"/>
            <rFont val="Tahoma"/>
            <family val="2"/>
          </rPr>
          <t xml:space="preserve"> INSTALACIONES NUEVAS 
03-AGO-2020  $350.00 + $300.00
08-AGO-2020  $350.00 + $220.00
08-AGO-2020  $350.00 + $220.00
26-AGO-2020  $350.00 + $ 40.00
27-AGO-2020  $350.00 + $ 30.00
04-JUNIO-2020 $350.00 + $260.00
22-JUNIO-2020 $350.00 + $ 80.00
25-JUNIO-2020 $350.00 + $ 50.00
</t>
        </r>
        <r>
          <rPr>
            <b/>
            <sz val="10"/>
            <color indexed="81"/>
            <rFont val="Tahoma"/>
            <family val="2"/>
          </rPr>
          <t>TOTAL $1,440.00
OLID $3,750.00 + $129.87 =$3,879.87
PEPE $5,400.00 + $260.13 =$5,660.13</t>
        </r>
      </text>
    </comment>
    <comment ref="U139" authorId="0" shapeId="0" xr:uid="{00000000-0006-0000-0300-000097000000}">
      <text>
        <r>
          <rPr>
            <b/>
            <sz val="9"/>
            <color indexed="81"/>
            <rFont val="Tahoma"/>
            <family val="2"/>
          </rPr>
          <t>Luffi:</t>
        </r>
        <r>
          <rPr>
            <sz val="9"/>
            <color indexed="81"/>
            <rFont val="Tahoma"/>
            <family val="2"/>
          </rPr>
          <t xml:space="preserve">
</t>
        </r>
        <r>
          <rPr>
            <sz val="9"/>
            <color indexed="81"/>
            <rFont val="Tahoma"/>
            <family val="2"/>
          </rPr>
          <t>COBRO DE EXTRAVIO DE EQUIPO 
CTE. ALBERTO VAZQUEZ 
AGOSTO´2021</t>
        </r>
      </text>
    </comment>
    <comment ref="E140" authorId="0" shapeId="0" xr:uid="{00000000-0006-0000-0300-000098000000}">
      <text>
        <r>
          <rPr>
            <b/>
            <sz val="9"/>
            <color indexed="81"/>
            <rFont val="Tahoma"/>
            <family val="2"/>
          </rPr>
          <t>Luffi:</t>
        </r>
        <r>
          <rPr>
            <sz val="9"/>
            <color indexed="81"/>
            <rFont val="Tahoma"/>
            <family val="2"/>
          </rPr>
          <t xml:space="preserve">
</t>
        </r>
        <r>
          <rPr>
            <sz val="10"/>
            <color indexed="81"/>
            <rFont val="Tahoma"/>
            <family val="2"/>
          </rPr>
          <t xml:space="preserve">4 RENTA $250.00 + IVA
2 BAJAS PROVICIONALES
SE REACTIVARAN EN MARZO
06-JULIO-2022 INSTALACION NVO EQP. </t>
        </r>
      </text>
    </comment>
    <comment ref="E141" authorId="1" shapeId="0" xr:uid="{00000000-0006-0000-0300-000099000000}">
      <text>
        <r>
          <rPr>
            <b/>
            <sz val="9"/>
            <color indexed="81"/>
            <rFont val="Tahoma"/>
            <family val="2"/>
          </rPr>
          <t>PC:</t>
        </r>
        <r>
          <rPr>
            <sz val="9"/>
            <color indexed="81"/>
            <rFont val="Tahoma"/>
            <family val="2"/>
          </rPr>
          <t xml:space="preserve">
EQUIPO $1,800.00+IVA 
MENSUALIDAD $300.00+IVA 
11-MARZO-2023
2 GPS REMOLQUE $3,400.00+IVA c/u =$3,944.00
1 GPS TRACTO $1,800.00+IVA= $2,088.00
3 MENSUALIDADES $300.00+IVA= $348.00
REVISION $500.00+IVA
DES-INSTALACIONES $500.00+IVA
RE-INSTALACIONES $500.00+IVA
VISITA EN FALSO $250.00+IVA
</t>
        </r>
      </text>
    </comment>
    <comment ref="T141" authorId="1" shapeId="0" xr:uid="{00000000-0006-0000-0300-00009A000000}">
      <text>
        <r>
          <rPr>
            <b/>
            <sz val="9"/>
            <color indexed="81"/>
            <rFont val="Tahoma"/>
            <family val="2"/>
          </rPr>
          <t>PC:</t>
        </r>
        <r>
          <rPr>
            <sz val="9"/>
            <color indexed="81"/>
            <rFont val="Tahoma"/>
            <family val="2"/>
          </rPr>
          <t xml:space="preserve">
30-SEPTIEMBRE-2023 2 GPS REMOLQUE $3,400.00+IVA C/U 
11-MARZO-2023 
2 GPS REMOLQUES $3,400.00 C/U
</t>
        </r>
      </text>
    </comment>
    <comment ref="AG141" authorId="1" shapeId="0" xr:uid="{00000000-0006-0000-0300-00009B000000}">
      <text>
        <r>
          <rPr>
            <b/>
            <sz val="9"/>
            <color indexed="81"/>
            <rFont val="Tahoma"/>
            <family val="2"/>
          </rPr>
          <t>PC:</t>
        </r>
        <r>
          <rPr>
            <sz val="9"/>
            <color indexed="81"/>
            <rFont val="Tahoma"/>
            <family val="2"/>
          </rPr>
          <t xml:space="preserve">
VENTA DE EQUIPO PAGADO EN EFECTIVO EL MISMO DIA </t>
        </r>
      </text>
    </comment>
    <comment ref="AL141" authorId="1" shapeId="0" xr:uid="{00000000-0006-0000-0300-00009C000000}">
      <text>
        <r>
          <rPr>
            <b/>
            <sz val="9"/>
            <color indexed="81"/>
            <rFont val="Tahoma"/>
            <family val="2"/>
          </rPr>
          <t>PC:</t>
        </r>
        <r>
          <rPr>
            <sz val="9"/>
            <color indexed="81"/>
            <rFont val="Tahoma"/>
            <family val="2"/>
          </rPr>
          <t xml:space="preserve">
REVISION DE UNIDADES PAGO EN EFECTIVO A JESUS GALVAN </t>
        </r>
      </text>
    </comment>
    <comment ref="E142" authorId="1" shapeId="0" xr:uid="{00000000-0006-0000-0300-00009D000000}">
      <text>
        <r>
          <rPr>
            <b/>
            <sz val="9"/>
            <color indexed="81"/>
            <rFont val="Tahoma"/>
            <family val="2"/>
          </rPr>
          <t>PC:</t>
        </r>
        <r>
          <rPr>
            <sz val="9"/>
            <color indexed="81"/>
            <rFont val="Tahoma"/>
            <family val="2"/>
          </rPr>
          <t xml:space="preserve">
INGRESA EL 23-JULIO-2024
EQUIPO $1,000.00
MENSUALIDAD $300.00
</t>
        </r>
      </text>
    </comment>
    <comment ref="E143" authorId="1" shapeId="0" xr:uid="{00000000-0006-0000-0300-00009E000000}">
      <text>
        <r>
          <rPr>
            <b/>
            <sz val="9"/>
            <color indexed="81"/>
            <rFont val="Tahoma"/>
            <family val="2"/>
          </rPr>
          <t>PC:</t>
        </r>
        <r>
          <rPr>
            <sz val="9"/>
            <color indexed="81"/>
            <rFont val="Tahoma"/>
            <family val="2"/>
          </rPr>
          <t xml:space="preserve">
INGRESA EL 05-JULIO-2024
BAJA 05-SEPTIEMBRE-2024
RE-INGRESO 24-SEPTIEMBRE-2024
BAJA 07-FEBRERO-2025
RE-INGRESO 10-ABRIL-2025
EQUIPO $1,800.00
RENTA $250.00</t>
        </r>
      </text>
    </comment>
    <comment ref="E144" authorId="1" shapeId="0" xr:uid="{00000000-0006-0000-0300-00009F000000}">
      <text>
        <r>
          <rPr>
            <b/>
            <sz val="9"/>
            <color indexed="81"/>
            <rFont val="Tahoma"/>
            <family val="2"/>
          </rPr>
          <t>PC:</t>
        </r>
        <r>
          <rPr>
            <sz val="9"/>
            <color indexed="81"/>
            <rFont val="Tahoma"/>
            <family val="2"/>
          </rPr>
          <t xml:space="preserve">
CLIENTE MIGRADO DE  ALEJANDRO MARMOLEJO 17-ENERO-2025
EQUIPO $1,800.00
MENSUALIDAD $350.00</t>
        </r>
      </text>
    </comment>
    <comment ref="E145" authorId="1" shapeId="0" xr:uid="{00000000-0006-0000-0300-0000A0000000}">
      <text>
        <r>
          <rPr>
            <b/>
            <sz val="9"/>
            <color indexed="81"/>
            <rFont val="Tahoma"/>
            <family val="2"/>
          </rPr>
          <t>PC:</t>
        </r>
        <r>
          <rPr>
            <sz val="9"/>
            <color indexed="81"/>
            <rFont val="Tahoma"/>
            <family val="2"/>
          </rPr>
          <t xml:space="preserve">
CLIENTE NUEVO 06-DICIEMBRE-2024
EQUIPO $1,850.00
MENSUALIDAD CON CANAL DE VOZ $250.00</t>
        </r>
      </text>
    </comment>
    <comment ref="E146" authorId="1" shapeId="0" xr:uid="{00000000-0006-0000-0300-0000A1000000}">
      <text>
        <r>
          <rPr>
            <b/>
            <sz val="9"/>
            <color indexed="81"/>
            <rFont val="Tahoma"/>
            <family val="2"/>
          </rPr>
          <t>PC:</t>
        </r>
        <r>
          <rPr>
            <sz val="9"/>
            <color indexed="81"/>
            <rFont val="Tahoma"/>
            <family val="2"/>
          </rPr>
          <t xml:space="preserve">
INGRESA EL 29-OCTUBRE-2024
EQUIPO $2,100.00
MENSUALIDAD $150.00</t>
        </r>
      </text>
    </comment>
    <comment ref="E147" authorId="1" shapeId="0" xr:uid="{00000000-0006-0000-0300-0000A2000000}">
      <text>
        <r>
          <rPr>
            <b/>
            <sz val="9"/>
            <color indexed="81"/>
            <rFont val="Tahoma"/>
            <family val="2"/>
          </rPr>
          <t>PC:</t>
        </r>
        <r>
          <rPr>
            <sz val="9"/>
            <color indexed="81"/>
            <rFont val="Tahoma"/>
            <family val="2"/>
          </rPr>
          <t xml:space="preserve">
INGRESA EL 09-JULIO-2024
COMODATO
INSTALACION $500.00
MENS. $250.00</t>
        </r>
      </text>
    </comment>
    <comment ref="E148" authorId="1" shapeId="0" xr:uid="{00000000-0006-0000-0300-0000A3000000}">
      <text>
        <r>
          <rPr>
            <b/>
            <sz val="9"/>
            <color indexed="81"/>
            <rFont val="Tahoma"/>
            <family val="2"/>
          </rPr>
          <t>PC:</t>
        </r>
        <r>
          <rPr>
            <sz val="9"/>
            <color indexed="81"/>
            <rFont val="Tahoma"/>
            <family val="2"/>
          </rPr>
          <t xml:space="preserve">
SE LE INSTALA EL 07-JUNIO-2024 EQUIPO USO RUDO
EL 11-JUNIO-2024 INSTALA EQP. DASH CAM
SE AGREGA A LA COBRANZA EL 10-JUNIO-2024
EQUIPO 3ER GENERACION USO RUDO PARA REMOLQUE $3,600.00
MENSUALIDAD $250.00
EQUIPO DASH CAM $8,790.00
MENSUALIDAD DASH CAM $900.00
</t>
        </r>
      </text>
    </comment>
    <comment ref="E149" authorId="1" shapeId="0" xr:uid="{00000000-0006-0000-0300-0000A4000000}">
      <text>
        <r>
          <rPr>
            <b/>
            <sz val="9"/>
            <color indexed="81"/>
            <rFont val="Tahoma"/>
            <family val="2"/>
          </rPr>
          <t>PC:</t>
        </r>
        <r>
          <rPr>
            <sz val="9"/>
            <color indexed="81"/>
            <rFont val="Tahoma"/>
            <family val="2"/>
          </rPr>
          <t xml:space="preserve">
INGRESA EL 30-ENERO-2025
EQUIPO $1,800.00
MENSUALIDAD $350.00</t>
        </r>
      </text>
    </comment>
    <comment ref="E150" authorId="1" shapeId="0" xr:uid="{00000000-0006-0000-0300-0000A5000000}">
      <text>
        <r>
          <rPr>
            <b/>
            <sz val="9"/>
            <color indexed="81"/>
            <rFont val="Tahoma"/>
            <family val="2"/>
          </rPr>
          <t xml:space="preserve">PC:
</t>
        </r>
        <r>
          <rPr>
            <sz val="9"/>
            <color indexed="81"/>
            <rFont val="Tahoma"/>
            <family val="2"/>
          </rPr>
          <t xml:space="preserve">20-Junio-2022  Instalación 
Equipo $2,000.00
Mensualidad $300.00 </t>
        </r>
      </text>
    </comment>
    <comment ref="E151" authorId="1" shapeId="0" xr:uid="{00000000-0006-0000-0300-0000A6000000}">
      <text>
        <r>
          <rPr>
            <b/>
            <sz val="9"/>
            <color indexed="81"/>
            <rFont val="Tahoma"/>
            <family val="2"/>
          </rPr>
          <t>PC:</t>
        </r>
        <r>
          <rPr>
            <sz val="9"/>
            <color indexed="81"/>
            <rFont val="Tahoma"/>
            <family val="2"/>
          </rPr>
          <t xml:space="preserve">
ALTA 07-ABRIL-2025
COMODATO PROMOCION
INSTALACION $549.00
MENSUALIDAD $300.00</t>
        </r>
      </text>
    </comment>
    <comment ref="E152" authorId="1" shapeId="0" xr:uid="{00000000-0006-0000-0300-0000A7000000}">
      <text>
        <r>
          <rPr>
            <b/>
            <sz val="9"/>
            <color indexed="81"/>
            <rFont val="Tahoma"/>
            <family val="2"/>
          </rPr>
          <t>PC:</t>
        </r>
        <r>
          <rPr>
            <sz val="9"/>
            <color indexed="81"/>
            <rFont val="Tahoma"/>
            <family val="2"/>
          </rPr>
          <t xml:space="preserve">
INGRESA EL 29-OCTUBRE-2024
EQUIPO $1,850.00
MENSUALIDAD $299.00</t>
        </r>
      </text>
    </comment>
    <comment ref="E153" authorId="0" shapeId="0" xr:uid="{00000000-0006-0000-0300-0000A8000000}">
      <text>
        <r>
          <rPr>
            <b/>
            <sz val="9"/>
            <color indexed="81"/>
            <rFont val="Tahoma"/>
            <family val="2"/>
          </rPr>
          <t>Luffi:</t>
        </r>
        <r>
          <rPr>
            <sz val="9"/>
            <color indexed="81"/>
            <rFont val="Tahoma"/>
            <family val="2"/>
          </rPr>
          <t xml:space="preserve">
EQUIPO TRASPASADO POR CHUY SOCIO JOSE LUIS 
MENSUALIDAD $300.00
RE-INSTALACION $650.00
</t>
        </r>
        <r>
          <rPr>
            <b/>
            <sz val="9"/>
            <color indexed="81"/>
            <rFont val="Tahoma"/>
            <family val="2"/>
          </rPr>
          <t>*INSTALACION 20-DIC-2021 
*SE LE COBRA HASTA FEB´2022</t>
        </r>
      </text>
    </comment>
    <comment ref="E154" authorId="1" shapeId="0" xr:uid="{00000000-0006-0000-0300-0000A9000000}">
      <text>
        <r>
          <rPr>
            <b/>
            <sz val="9"/>
            <color indexed="81"/>
            <rFont val="Tahoma"/>
            <family val="2"/>
          </rPr>
          <t>PC:</t>
        </r>
        <r>
          <rPr>
            <sz val="9"/>
            <color indexed="81"/>
            <rFont val="Tahoma"/>
            <family val="2"/>
          </rPr>
          <t xml:space="preserve">
INGRESA EL 14-SEPTIEMBRE-2024 
COMODATO 
INSTALACIÓN $549.00
MENSUALIDAD $300.00</t>
        </r>
      </text>
    </comment>
    <comment ref="E155" authorId="0" shapeId="0" xr:uid="{00000000-0006-0000-0300-0000AA000000}">
      <text>
        <r>
          <rPr>
            <b/>
            <sz val="9"/>
            <color indexed="81"/>
            <rFont val="Tahoma"/>
            <family val="2"/>
          </rPr>
          <t>Luffi:</t>
        </r>
        <r>
          <rPr>
            <sz val="9"/>
            <color indexed="81"/>
            <rFont val="Tahoma"/>
            <family val="2"/>
          </rPr>
          <t xml:space="preserve">
TRASPASO DE CLIENTE DE PLAY MOTORS 
EQUIPO $1,850
MENSUALIDAD $300</t>
        </r>
      </text>
    </comment>
    <comment ref="E156" authorId="1" shapeId="0" xr:uid="{00000000-0006-0000-0300-0000AB000000}">
      <text>
        <r>
          <rPr>
            <b/>
            <sz val="9"/>
            <color indexed="81"/>
            <rFont val="Tahoma"/>
            <family val="2"/>
          </rPr>
          <t>PC:</t>
        </r>
        <r>
          <rPr>
            <sz val="9"/>
            <color indexed="81"/>
            <rFont val="Tahoma"/>
            <family val="2"/>
          </rPr>
          <t xml:space="preserve">
INGRESA EL 09-OCTUBRE-2024
EQUIPOS DASH CAM $7,000.00
MENSUALIDAD $900.00</t>
        </r>
      </text>
    </comment>
    <comment ref="E157" authorId="1" shapeId="0" xr:uid="{00000000-0006-0000-0300-0000AC000000}">
      <text>
        <r>
          <rPr>
            <b/>
            <sz val="9"/>
            <color indexed="81"/>
            <rFont val="Tahoma"/>
            <family val="2"/>
          </rPr>
          <t>PC:</t>
        </r>
        <r>
          <rPr>
            <sz val="9"/>
            <color indexed="81"/>
            <rFont val="Tahoma"/>
            <family val="2"/>
          </rPr>
          <t xml:space="preserve">
INICIA EL 29-AGOSTO-2023
EQUIPO $1,850.00
MENSUALIDAD $250.00</t>
        </r>
      </text>
    </comment>
    <comment ref="E158" authorId="1" shapeId="0" xr:uid="{00000000-0006-0000-0300-0000AD000000}">
      <text>
        <r>
          <rPr>
            <b/>
            <sz val="9"/>
            <color indexed="81"/>
            <rFont val="Tahoma"/>
            <family val="2"/>
          </rPr>
          <t>PC:</t>
        </r>
        <r>
          <rPr>
            <sz val="9"/>
            <color indexed="81"/>
            <rFont val="Tahoma"/>
            <family val="2"/>
          </rPr>
          <t xml:space="preserve">
COMODATO 
INGRESA EL 27-SEPTIEMBRE-2024
INSTALACION $549.00
MENSUALIDAD $300.00</t>
        </r>
      </text>
    </comment>
    <comment ref="E159" authorId="0" shapeId="0" xr:uid="{00000000-0006-0000-0300-0000AE000000}">
      <text>
        <r>
          <rPr>
            <b/>
            <sz val="9"/>
            <color indexed="81"/>
            <rFont val="Tahoma"/>
            <family val="2"/>
          </rPr>
          <t>Luffi:</t>
        </r>
        <r>
          <rPr>
            <sz val="9"/>
            <color indexed="81"/>
            <rFont val="Tahoma"/>
            <family val="2"/>
          </rPr>
          <t xml:space="preserve">
</t>
        </r>
        <r>
          <rPr>
            <sz val="10"/>
            <color indexed="81"/>
            <rFont val="Tahoma"/>
            <family val="2"/>
          </rPr>
          <t>8 RENTAS $297.00 
DES-INSTALACIÓN $500.00
REVISIONES $500.00</t>
        </r>
      </text>
    </comment>
    <comment ref="T159" authorId="1" shapeId="0" xr:uid="{00000000-0006-0000-0300-0000AF000000}">
      <text>
        <r>
          <rPr>
            <b/>
            <sz val="9"/>
            <color indexed="81"/>
            <rFont val="Tahoma"/>
            <family val="2"/>
          </rPr>
          <t>PC:</t>
        </r>
        <r>
          <rPr>
            <sz val="9"/>
            <color indexed="81"/>
            <rFont val="Tahoma"/>
            <family val="2"/>
          </rPr>
          <t xml:space="preserve">
REVISION DE UNIDAD 15-NOV-22 FROD BCO. PLACAS 25AG2W $500.00</t>
        </r>
      </text>
    </comment>
    <comment ref="E160" authorId="0" shapeId="0" xr:uid="{00000000-0006-0000-0300-0000B0000000}">
      <text>
        <r>
          <rPr>
            <b/>
            <sz val="9"/>
            <color indexed="81"/>
            <rFont val="Tahoma"/>
            <family val="2"/>
          </rPr>
          <t>Luffi:</t>
        </r>
        <r>
          <rPr>
            <sz val="9"/>
            <color indexed="81"/>
            <rFont val="Tahoma"/>
            <family val="2"/>
          </rPr>
          <t xml:space="preserve">
</t>
        </r>
        <r>
          <rPr>
            <b/>
            <sz val="9"/>
            <color indexed="81"/>
            <rFont val="Tahoma"/>
            <family val="2"/>
          </rPr>
          <t xml:space="preserve">CLIENTE DE PRESTACOCHE MIGRADO
</t>
        </r>
        <r>
          <rPr>
            <sz val="9"/>
            <color indexed="81"/>
            <rFont val="Tahoma"/>
            <family val="2"/>
          </rPr>
          <t xml:space="preserve">MIGRADO $650.00
MENSUALIDAD $300.00
EQUIPO $2,100.00
</t>
        </r>
        <r>
          <rPr>
            <b/>
            <sz val="9"/>
            <color indexed="81"/>
            <rFont val="Tahoma"/>
            <family val="2"/>
          </rPr>
          <t>RECONFIGURACION 05-ENERO-2022</t>
        </r>
      </text>
    </comment>
    <comment ref="E161" authorId="1" shapeId="0" xr:uid="{00000000-0006-0000-0300-0000B1000000}">
      <text>
        <r>
          <rPr>
            <b/>
            <sz val="9"/>
            <color indexed="81"/>
            <rFont val="Tahoma"/>
            <family val="2"/>
          </rPr>
          <t>PC:</t>
        </r>
        <r>
          <rPr>
            <sz val="9"/>
            <color indexed="81"/>
            <rFont val="Tahoma"/>
            <family val="2"/>
          </rPr>
          <t xml:space="preserve">
INICIA EL 09-MARZO-2023 
EQUIPO $2,200.00
MENSUALIDAD $249.00</t>
        </r>
      </text>
    </comment>
    <comment ref="E162" authorId="1" shapeId="0" xr:uid="{00000000-0006-0000-0300-0000B2000000}">
      <text>
        <r>
          <rPr>
            <b/>
            <sz val="9"/>
            <color indexed="81"/>
            <rFont val="Tahoma"/>
            <family val="2"/>
          </rPr>
          <t>PC:</t>
        </r>
        <r>
          <rPr>
            <sz val="9"/>
            <color indexed="81"/>
            <rFont val="Tahoma"/>
            <family val="2"/>
          </rPr>
          <t xml:space="preserve">
INICIA EL 12-NOV-22 
1er.Pago $1,769.00 11-Nov-22
2do. Pago $1,769.00 14-Nov-22
EQUIPO $1,800.00+IVA 
MESUALIDAD $250.00+IVA 
VIÁTICOS $1,000.00</t>
        </r>
      </text>
    </comment>
    <comment ref="S162" authorId="1" shapeId="0" xr:uid="{00000000-0006-0000-0300-0000B3000000}">
      <text>
        <r>
          <rPr>
            <b/>
            <sz val="9"/>
            <color indexed="81"/>
            <rFont val="Tahoma"/>
            <family val="2"/>
          </rPr>
          <t>PC:</t>
        </r>
        <r>
          <rPr>
            <sz val="9"/>
            <color indexed="81"/>
            <rFont val="Tahoma"/>
            <family val="2"/>
          </rPr>
          <t xml:space="preserve">
INICIA 12-NOV-22
MENSUALIDAD $250.00+IVA=$290.00</t>
        </r>
      </text>
    </comment>
    <comment ref="T162" authorId="1" shapeId="0" xr:uid="{00000000-0006-0000-0300-0000B4000000}">
      <text>
        <r>
          <rPr>
            <b/>
            <sz val="9"/>
            <color indexed="81"/>
            <rFont val="Tahoma"/>
            <family val="2"/>
          </rPr>
          <t>PC:</t>
        </r>
        <r>
          <rPr>
            <sz val="9"/>
            <color indexed="81"/>
            <rFont val="Tahoma"/>
            <family val="2"/>
          </rPr>
          <t xml:space="preserve">
INSTALACION Y EQUIPO $1,800.00
MENSUALIDAD $250.00
</t>
        </r>
      </text>
    </comment>
    <comment ref="E163" authorId="1" shapeId="0" xr:uid="{00000000-0006-0000-0300-0000B5000000}">
      <text>
        <r>
          <rPr>
            <b/>
            <sz val="9"/>
            <color indexed="81"/>
            <rFont val="Tahoma"/>
            <family val="2"/>
          </rPr>
          <t>PC:</t>
        </r>
        <r>
          <rPr>
            <sz val="9"/>
            <color indexed="81"/>
            <rFont val="Tahoma"/>
            <family val="2"/>
          </rPr>
          <t xml:space="preserve">
INGRESA EL 22-NOVIEMBRE-2024
EQUIPO $1.850.00
MENSUALIDAD $300.00</t>
        </r>
      </text>
    </comment>
    <comment ref="E164" authorId="1" shapeId="0" xr:uid="{00000000-0006-0000-0300-0000B6000000}">
      <text>
        <r>
          <rPr>
            <b/>
            <sz val="9"/>
            <color indexed="81"/>
            <rFont val="Tahoma"/>
            <family val="2"/>
          </rPr>
          <t>PC:</t>
        </r>
        <r>
          <rPr>
            <sz val="9"/>
            <color indexed="81"/>
            <rFont val="Tahoma"/>
            <family val="2"/>
          </rPr>
          <t xml:space="preserve">
INICA EL 21-SEP-2022 
EQUIPO $1,800.00
RENTA $280.00
REVISION Y CAMBIO DE MICRÓFONO $250.00</t>
        </r>
      </text>
    </comment>
    <comment ref="T164" authorId="1" shapeId="0" xr:uid="{00000000-0006-0000-0300-0000B7000000}">
      <text>
        <r>
          <rPr>
            <b/>
            <sz val="9"/>
            <color indexed="81"/>
            <rFont val="Tahoma"/>
            <family val="2"/>
          </rPr>
          <t>PC:</t>
        </r>
        <r>
          <rPr>
            <sz val="9"/>
            <color indexed="81"/>
            <rFont val="Tahoma"/>
            <family val="2"/>
          </rPr>
          <t xml:space="preserve">
REVISION Y CAMBIO DE MICROFONO 
13-ENERO-2023
$250.00</t>
        </r>
      </text>
    </comment>
    <comment ref="E165" authorId="1" shapeId="0" xr:uid="{00000000-0006-0000-0300-0000B8000000}">
      <text>
        <r>
          <rPr>
            <b/>
            <sz val="9"/>
            <color indexed="81"/>
            <rFont val="Tahoma"/>
            <family val="2"/>
          </rPr>
          <t>PC:</t>
        </r>
        <r>
          <rPr>
            <sz val="9"/>
            <color indexed="81"/>
            <rFont val="Tahoma"/>
            <family val="2"/>
          </rPr>
          <t xml:space="preserve">
INICIA EL 26-DICIEMBRE-2024
EQUIPO $1,850.00
MENSUALIDAD $300.00</t>
        </r>
      </text>
    </comment>
    <comment ref="E166" authorId="1" shapeId="0" xr:uid="{00000000-0006-0000-0300-0000B9000000}">
      <text>
        <r>
          <rPr>
            <b/>
            <sz val="9"/>
            <color indexed="81"/>
            <rFont val="Tahoma"/>
            <family val="2"/>
          </rPr>
          <t>PC:</t>
        </r>
        <r>
          <rPr>
            <sz val="9"/>
            <color indexed="81"/>
            <rFont val="Tahoma"/>
            <family val="2"/>
          </rPr>
          <t xml:space="preserve">
MIGRACIÓN 07-FEBRERO-2025  DEL SR. GUILLERMO REHLAENDER 
 MENSUALIDAD $300.00 
MIGRACIÓN CLIENTE DE ANUALIDAD 
JAIR MARTINEZ LE VENDIO LA UNIDAD
EL SR. GUILLERMO REHLAENDER SE QUEDO CON EL SERVICIO EN FORMA MENSUAL 
MENSUALIDAD $280.00+IVA
ANUALIDAD $3,000.00+IVA
Baja Cta. Jair Martinez (Migracion de Play Motors)
Correo jairmartinez208@gmail.com
Contacto 8135611076
Esquema - Migracion Venta de equipo con Anualidad 
Equipo $1,950
Anualidad $3,600 (Bonificacion $600) - Neto $3,000 
Total $ 5,742</t>
        </r>
      </text>
    </comment>
    <comment ref="E167" authorId="1" shapeId="0" xr:uid="{00000000-0006-0000-0300-0000BA000000}">
      <text>
        <r>
          <rPr>
            <b/>
            <sz val="9"/>
            <color indexed="81"/>
            <rFont val="Tahoma"/>
            <family val="2"/>
          </rPr>
          <t>PC:</t>
        </r>
        <r>
          <rPr>
            <sz val="9"/>
            <color indexed="81"/>
            <rFont val="Tahoma"/>
            <family val="2"/>
          </rPr>
          <t xml:space="preserve">
INGRESA EL 18-SEPTIEMBRE-2024
COMODATO
INSTALACION $549.00
MENSUALIDAD $300.00</t>
        </r>
      </text>
    </comment>
    <comment ref="E168" authorId="1" shapeId="0" xr:uid="{00000000-0006-0000-0300-0000BB000000}">
      <text>
        <r>
          <rPr>
            <b/>
            <sz val="9"/>
            <color indexed="81"/>
            <rFont val="Tahoma"/>
            <family val="2"/>
          </rPr>
          <t>PC:</t>
        </r>
        <r>
          <rPr>
            <sz val="9"/>
            <color indexed="81"/>
            <rFont val="Tahoma"/>
            <family val="2"/>
          </rPr>
          <t xml:space="preserve">
Tecnico de Saltillo
Instala el 27-enero-2024
Se le empieza a cobrar en Marzo 2024
Mensualidad $200.00</t>
        </r>
      </text>
    </comment>
    <comment ref="E169" authorId="0" shapeId="0" xr:uid="{00000000-0006-0000-0300-0000BC000000}">
      <text>
        <r>
          <rPr>
            <b/>
            <sz val="9"/>
            <color indexed="81"/>
            <rFont val="Tahoma"/>
            <family val="2"/>
          </rPr>
          <t>Luffi:</t>
        </r>
        <r>
          <rPr>
            <sz val="9"/>
            <color indexed="81"/>
            <rFont val="Tahoma"/>
            <family val="2"/>
          </rPr>
          <t xml:space="preserve">
4</t>
        </r>
        <r>
          <rPr>
            <sz val="10"/>
            <color indexed="81"/>
            <rFont val="Tahoma"/>
            <family val="2"/>
          </rPr>
          <t xml:space="preserve"> RENTA $350.00</t>
        </r>
        <r>
          <rPr>
            <sz val="9"/>
            <color indexed="81"/>
            <rFont val="Tahoma"/>
            <family val="2"/>
          </rPr>
          <t xml:space="preserve"> 
SE DAN DE BAJA 2 UNIDADES 
</t>
        </r>
        <r>
          <rPr>
            <b/>
            <sz val="9"/>
            <color indexed="81"/>
            <rFont val="Tahoma"/>
            <family val="2"/>
          </rPr>
          <t>2-OCT-2020 (SENTRA Y MARCH)</t>
        </r>
        <r>
          <rPr>
            <sz val="9"/>
            <color indexed="81"/>
            <rFont val="Tahoma"/>
            <family val="2"/>
          </rPr>
          <t xml:space="preserve">
</t>
        </r>
        <r>
          <rPr>
            <b/>
            <sz val="9"/>
            <color indexed="81"/>
            <rFont val="Tahoma"/>
            <family val="2"/>
          </rPr>
          <t xml:space="preserve">1 INSTALACION 22-MAR-2022
AVEO ROJO 
EQUIPO $1,500.00 </t>
        </r>
      </text>
    </comment>
    <comment ref="T169" authorId="2" shapeId="0" xr:uid="{00000000-0006-0000-0300-0000BD000000}">
      <text>
        <r>
          <rPr>
            <b/>
            <sz val="9"/>
            <color indexed="81"/>
            <rFont val="Tahoma"/>
            <family val="2"/>
          </rPr>
          <t>Usuario de Windows:</t>
        </r>
        <r>
          <rPr>
            <sz val="9"/>
            <color indexed="81"/>
            <rFont val="Tahoma"/>
            <family val="2"/>
          </rPr>
          <t xml:space="preserve">
EQUIPO GPS</t>
        </r>
      </text>
    </comment>
    <comment ref="E170" authorId="1" shapeId="0" xr:uid="{00000000-0006-0000-0300-0000BE000000}">
      <text>
        <r>
          <rPr>
            <b/>
            <sz val="9"/>
            <color indexed="81"/>
            <rFont val="Tahoma"/>
            <family val="2"/>
          </rPr>
          <t>PC:</t>
        </r>
        <r>
          <rPr>
            <sz val="9"/>
            <color indexed="81"/>
            <rFont val="Tahoma"/>
            <family val="2"/>
          </rPr>
          <t xml:space="preserve">
INICIA EL 08-SEP-2023
EQUIPO $2,199.00
MENSUALIDAD $250.00</t>
        </r>
      </text>
    </comment>
    <comment ref="E171" authorId="1" shapeId="0" xr:uid="{00000000-0006-0000-0300-0000BF000000}">
      <text>
        <r>
          <rPr>
            <b/>
            <sz val="9"/>
            <color indexed="81"/>
            <rFont val="Tahoma"/>
            <family val="2"/>
          </rPr>
          <t>PC:</t>
        </r>
        <r>
          <rPr>
            <sz val="9"/>
            <color indexed="81"/>
            <rFont val="Tahoma"/>
            <family val="2"/>
          </rPr>
          <t xml:space="preserve">
COMODATO
INGRESA EL 11-SEPTIEMBRE-2024
INSTALACIÓN $549.00
MENSUALIDAD $300.00</t>
        </r>
      </text>
    </comment>
    <comment ref="E172" authorId="1" shapeId="0" xr:uid="{00000000-0006-0000-0300-0000C0000000}">
      <text>
        <r>
          <rPr>
            <b/>
            <sz val="9"/>
            <color indexed="81"/>
            <rFont val="Tahoma"/>
            <family val="2"/>
          </rPr>
          <t>PC:</t>
        </r>
        <r>
          <rPr>
            <sz val="9"/>
            <color indexed="81"/>
            <rFont val="Tahoma"/>
            <family val="2"/>
          </rPr>
          <t xml:space="preserve">
INGRESA EL 14-FEBRERO-2024
EQUIPO $1,600.00
MENSUALIDAD $250.00</t>
        </r>
      </text>
    </comment>
    <comment ref="E173" authorId="1" shapeId="0" xr:uid="{00000000-0006-0000-0300-0000C1000000}">
      <text>
        <r>
          <rPr>
            <b/>
            <sz val="9"/>
            <color indexed="81"/>
            <rFont val="Tahoma"/>
            <family val="2"/>
          </rPr>
          <t>PC:</t>
        </r>
        <r>
          <rPr>
            <sz val="9"/>
            <color indexed="81"/>
            <rFont val="Tahoma"/>
            <family val="2"/>
          </rPr>
          <t xml:space="preserve">
CLIENTE NUEVO 26-NOVIEMBRE-2024
EQUIPO $2,200.00 
MENSUALIDAD $300.00</t>
        </r>
      </text>
    </comment>
    <comment ref="E174" authorId="1" shapeId="0" xr:uid="{00000000-0006-0000-0300-0000C2000000}">
      <text>
        <r>
          <rPr>
            <b/>
            <sz val="9"/>
            <color indexed="81"/>
            <rFont val="Tahoma"/>
            <family val="2"/>
          </rPr>
          <t>PC:</t>
        </r>
        <r>
          <rPr>
            <sz val="9"/>
            <color indexed="81"/>
            <rFont val="Tahoma"/>
            <family val="2"/>
          </rPr>
          <t xml:space="preserve">
INGRESA EL 18-OCTUBRE-2024
EQUIPO $1,850.00+IVA
MENSUALIDAD $249.00+IVA</t>
        </r>
      </text>
    </comment>
    <comment ref="E175" authorId="1" shapeId="0" xr:uid="{00000000-0006-0000-0300-0000C3000000}">
      <text>
        <r>
          <rPr>
            <b/>
            <sz val="9"/>
            <color indexed="81"/>
            <rFont val="Tahoma"/>
            <family val="2"/>
          </rPr>
          <t>PC:</t>
        </r>
        <r>
          <rPr>
            <sz val="9"/>
            <color indexed="81"/>
            <rFont val="Tahoma"/>
            <family val="2"/>
          </rPr>
          <t xml:space="preserve">
INGRESA EL 10-ENERO-2025
EQUIPO $2,000.00
MENSUALIDAD $250.00
RECOMENDADO DE EDUARDO ALMAGUER</t>
        </r>
      </text>
    </comment>
    <comment ref="D176" authorId="0" shapeId="0" xr:uid="{00000000-0006-0000-0300-0000C4000000}">
      <text>
        <r>
          <rPr>
            <b/>
            <sz val="9"/>
            <color indexed="81"/>
            <rFont val="Tahoma"/>
            <family val="2"/>
          </rPr>
          <t>Luffi:</t>
        </r>
        <r>
          <rPr>
            <sz val="9"/>
            <color indexed="81"/>
            <rFont val="Tahoma"/>
            <family val="2"/>
          </rPr>
          <t xml:space="preserve">
</t>
        </r>
        <r>
          <rPr>
            <b/>
            <sz val="9"/>
            <color indexed="10"/>
            <rFont val="Tahoma"/>
            <family val="2"/>
          </rPr>
          <t xml:space="preserve">rafacova@live.com.mx 
NO MANDAR CORREOS AQUÍ </t>
        </r>
      </text>
    </comment>
    <comment ref="E176" authorId="0" shapeId="0" xr:uid="{00000000-0006-0000-0300-0000C5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E177" authorId="1" shapeId="0" xr:uid="{00000000-0006-0000-0300-0000C6000000}">
      <text>
        <r>
          <rPr>
            <b/>
            <sz val="9"/>
            <color indexed="81"/>
            <rFont val="Tahoma"/>
            <family val="2"/>
          </rPr>
          <t>PC:</t>
        </r>
        <r>
          <rPr>
            <sz val="9"/>
            <color indexed="81"/>
            <rFont val="Tahoma"/>
            <family val="2"/>
          </rPr>
          <t xml:space="preserve">
INGRESA EL 01-NOVIEMBRE-2024
EQUIPO $1,850.00
MENSUALIDAD $300.00</t>
        </r>
      </text>
    </comment>
    <comment ref="E178" authorId="1" shapeId="0" xr:uid="{00000000-0006-0000-0300-0000C7000000}">
      <text>
        <r>
          <rPr>
            <b/>
            <sz val="9"/>
            <color indexed="81"/>
            <rFont val="Tahoma"/>
            <family val="2"/>
          </rPr>
          <t>PC:</t>
        </r>
        <r>
          <rPr>
            <sz val="9"/>
            <color indexed="81"/>
            <rFont val="Tahoma"/>
            <family val="2"/>
          </rPr>
          <t xml:space="preserve">
INICIA EL 16-MAYO-2023
EQUIPO $1,800.00+IVA
MENSUALIDAD $350.00+IVA
SE LE COBRO 6 MESES ADELANTADOS COBRAR HASTA NOVIEMBRE 2023</t>
        </r>
      </text>
    </comment>
    <comment ref="E179" authorId="1" shapeId="0" xr:uid="{00000000-0006-0000-0300-0000C8000000}">
      <text>
        <r>
          <rPr>
            <b/>
            <sz val="9"/>
            <color indexed="81"/>
            <rFont val="Tahoma"/>
            <family val="2"/>
          </rPr>
          <t>PC:</t>
        </r>
        <r>
          <rPr>
            <sz val="9"/>
            <color indexed="81"/>
            <rFont val="Tahoma"/>
            <family val="2"/>
          </rPr>
          <t xml:space="preserve">
CLIENTE MIGRADO DE PREPAGO 
14 Y 22 DE DICIEMBRE'22 
EQUIPO $1,920.00
MENSUALIDAD $300.00
SIM $100.00</t>
        </r>
      </text>
    </comment>
    <comment ref="T179" authorId="1" shapeId="0" xr:uid="{00000000-0006-0000-0300-0000C9000000}">
      <text>
        <r>
          <rPr>
            <b/>
            <sz val="9"/>
            <color indexed="81"/>
            <rFont val="Tahoma"/>
            <family val="2"/>
          </rPr>
          <t>PC:</t>
        </r>
        <r>
          <rPr>
            <sz val="9"/>
            <color indexed="81"/>
            <rFont val="Tahoma"/>
            <family val="2"/>
          </rPr>
          <t xml:space="preserve">
RE-INSTALACION 28-DICIEMBRE-2022
$500.00</t>
        </r>
      </text>
    </comment>
    <comment ref="E180" authorId="1" shapeId="0" xr:uid="{00000000-0006-0000-0300-0000CA000000}">
      <text>
        <r>
          <rPr>
            <b/>
            <sz val="9"/>
            <color indexed="81"/>
            <rFont val="Tahoma"/>
            <family val="2"/>
          </rPr>
          <t>PC:</t>
        </r>
        <r>
          <rPr>
            <sz val="9"/>
            <color indexed="81"/>
            <rFont val="Tahoma"/>
            <family val="2"/>
          </rPr>
          <t xml:space="preserve">
PRIMA DE JOSE LUIS 
INGRESA EL 09-SEPTIEMBRE-2024
EQUIPO $1,000.00
MENSUALIDAD $250.00</t>
        </r>
      </text>
    </comment>
    <comment ref="E181" authorId="1" shapeId="0" xr:uid="{00000000-0006-0000-0300-0000CB000000}">
      <text>
        <r>
          <rPr>
            <b/>
            <sz val="9"/>
            <color indexed="81"/>
            <rFont val="Tahoma"/>
            <family val="2"/>
          </rPr>
          <t>PC:</t>
        </r>
        <r>
          <rPr>
            <sz val="9"/>
            <color indexed="81"/>
            <rFont val="Tahoma"/>
            <family val="2"/>
          </rPr>
          <t xml:space="preserve">
INGRESA EL 21-SEPTIEMBRE-2024
EQUIPO $2,200.00
MENSUALIDAD $300.00</t>
        </r>
      </text>
    </comment>
    <comment ref="E182" authorId="0" shapeId="0" xr:uid="{00000000-0006-0000-0300-0000CC000000}">
      <text>
        <r>
          <rPr>
            <b/>
            <sz val="9"/>
            <color indexed="81"/>
            <rFont val="Tahoma"/>
            <family val="2"/>
          </rPr>
          <t>Luffi:</t>
        </r>
        <r>
          <rPr>
            <sz val="9"/>
            <color indexed="81"/>
            <rFont val="Tahoma"/>
            <family val="2"/>
          </rPr>
          <t xml:space="preserve">
</t>
        </r>
        <r>
          <rPr>
            <sz val="10"/>
            <color indexed="81"/>
            <rFont val="Tahoma"/>
            <family val="2"/>
          </rPr>
          <t xml:space="preserve">INSTALACIÓN 21-FEB-2021
2da UNIDAD 
AJUSTE SOBRE RENTA A $250.00 
</t>
        </r>
        <r>
          <rPr>
            <b/>
            <sz val="10"/>
            <color indexed="81"/>
            <rFont val="Tahoma"/>
            <family val="2"/>
          </rPr>
          <t>SE COBRA EN ABRIL 
EQUIPO $1,900.00
MENSUALIDAD $250.00</t>
        </r>
      </text>
    </comment>
    <comment ref="E183" authorId="1" shapeId="0" xr:uid="{00000000-0006-0000-0300-0000CD000000}">
      <text>
        <r>
          <rPr>
            <b/>
            <sz val="9"/>
            <color indexed="81"/>
            <rFont val="Tahoma"/>
            <family val="2"/>
          </rPr>
          <t>PC:</t>
        </r>
        <r>
          <rPr>
            <sz val="9"/>
            <color indexed="81"/>
            <rFont val="Tahoma"/>
            <family val="2"/>
          </rPr>
          <t xml:space="preserve">
INGRESA EL 11-JUNIO-2024
PRIMO DE JOSE LUIS 
$250.00</t>
        </r>
      </text>
    </comment>
    <comment ref="E184" authorId="1" shapeId="0" xr:uid="{00000000-0006-0000-0300-0000CE000000}">
      <text>
        <r>
          <rPr>
            <b/>
            <sz val="9"/>
            <color indexed="81"/>
            <rFont val="Tahoma"/>
            <family val="2"/>
          </rPr>
          <t>PC:</t>
        </r>
        <r>
          <rPr>
            <sz val="9"/>
            <color indexed="81"/>
            <rFont val="Tahoma"/>
            <family val="2"/>
          </rPr>
          <t xml:space="preserve">
INGRESA EL 11-JULIO-2024
EQUIPO $1,800.00
MENS. $250.00</t>
        </r>
      </text>
    </comment>
    <comment ref="E185" authorId="1" shapeId="0" xr:uid="{00000000-0006-0000-0300-0000CF000000}">
      <text>
        <r>
          <rPr>
            <b/>
            <sz val="9"/>
            <color indexed="81"/>
            <rFont val="Tahoma"/>
            <family val="2"/>
          </rPr>
          <t>PC:</t>
        </r>
        <r>
          <rPr>
            <sz val="9"/>
            <color indexed="81"/>
            <rFont val="Tahoma"/>
            <family val="2"/>
          </rPr>
          <t xml:space="preserve">
SE INSTALO EL 01-MARZO-2024
EQUIPOS PAR A COBRAR A MARCO ESQUIVEL 
EQUIPO $1,724.00+IVA(EN CASO DE REQUERIR FACTURA)
ANUALIDAD $1,800.00($150.00XMES)+IVA/EN CASO DE REQUERIR FACTURA
</t>
        </r>
      </text>
    </comment>
    <comment ref="E186" authorId="1" shapeId="0" xr:uid="{00000000-0006-0000-0300-0000D0000000}">
      <text>
        <r>
          <rPr>
            <b/>
            <sz val="9"/>
            <color indexed="81"/>
            <rFont val="Tahoma"/>
            <family val="2"/>
          </rPr>
          <t>PC:</t>
        </r>
        <r>
          <rPr>
            <sz val="9"/>
            <color indexed="81"/>
            <rFont val="Tahoma"/>
            <family val="2"/>
          </rPr>
          <t xml:space="preserve">
INICIO 01-NOVIEMBRE-2023
SEPARACION DE CUENTA MONICA BECERRA SOLICITADO EL 10-OCTUBRE-2023 
MENSUALIDAD $250.00</t>
        </r>
      </text>
    </comment>
    <comment ref="E187" authorId="1" shapeId="0" xr:uid="{00000000-0006-0000-0300-0000D1000000}">
      <text>
        <r>
          <rPr>
            <b/>
            <sz val="9"/>
            <color indexed="81"/>
            <rFont val="Tahoma"/>
            <family val="2"/>
          </rPr>
          <t>PC:</t>
        </r>
        <r>
          <rPr>
            <sz val="9"/>
            <color indexed="81"/>
            <rFont val="Tahoma"/>
            <family val="2"/>
          </rPr>
          <t xml:space="preserve">
ALTA DE CLIENTE 11-ABRIL-2025
COMODATO
INSTALACION $550.00
MENSUALIDAD $300.00</t>
        </r>
      </text>
    </comment>
    <comment ref="E188" authorId="1" shapeId="0" xr:uid="{00000000-0006-0000-0300-0000D2000000}">
      <text>
        <r>
          <rPr>
            <b/>
            <sz val="9"/>
            <color indexed="81"/>
            <rFont val="Tahoma"/>
            <family val="2"/>
          </rPr>
          <t>PC:</t>
        </r>
        <r>
          <rPr>
            <sz val="9"/>
            <color indexed="81"/>
            <rFont val="Tahoma"/>
            <family val="2"/>
          </rPr>
          <t xml:space="preserve">
INGRESA EL 13-SEPTIEMBRE-2024
COMODATO
INSTALACIÓN $549.00+IVA
MENSUALIDAD $300.00+IVA</t>
        </r>
      </text>
    </comment>
    <comment ref="E189" authorId="1" shapeId="0" xr:uid="{00000000-0006-0000-0300-0000D3000000}">
      <text>
        <r>
          <rPr>
            <b/>
            <sz val="9"/>
            <color indexed="81"/>
            <rFont val="Tahoma"/>
            <family val="2"/>
          </rPr>
          <t>PC:</t>
        </r>
        <r>
          <rPr>
            <sz val="9"/>
            <color indexed="81"/>
            <rFont val="Tahoma"/>
            <family val="2"/>
          </rPr>
          <t xml:space="preserve">
INGRESA EL 29-OCTUBRE-2024
EQUIPO $1,850.00
MENSUALIDAD $300.00</t>
        </r>
      </text>
    </comment>
    <comment ref="E190" authorId="1" shapeId="0" xr:uid="{00000000-0006-0000-0300-0000D4000000}">
      <text>
        <r>
          <rPr>
            <b/>
            <sz val="9"/>
            <color indexed="81"/>
            <rFont val="Tahoma"/>
            <family val="2"/>
          </rPr>
          <t>PC:</t>
        </r>
        <r>
          <rPr>
            <sz val="9"/>
            <color indexed="81"/>
            <rFont val="Tahoma"/>
            <family val="2"/>
          </rPr>
          <t xml:space="preserve">
CLIENTE PREPAGO CAMBIA A ESQUEMA MENSUAL EL 03-ENERO-2024
MENSUALIDAD $250.00
EQUIPO $1,800.00
DES-INSTALACION $650.00
RE-INSTALACION $650.00</t>
        </r>
      </text>
    </comment>
    <comment ref="D191" authorId="0" shapeId="0" xr:uid="{00000000-0006-0000-0300-0000D5000000}">
      <text>
        <r>
          <rPr>
            <b/>
            <sz val="9"/>
            <color indexed="81"/>
            <rFont val="Tahoma"/>
            <family val="2"/>
          </rPr>
          <t>Luffi:</t>
        </r>
        <r>
          <rPr>
            <sz val="9"/>
            <color indexed="81"/>
            <rFont val="Tahoma"/>
            <family val="2"/>
          </rPr>
          <t xml:space="preserve">
RODRIGO MORENO  
811 600 1270
</t>
        </r>
        <r>
          <rPr>
            <b/>
            <u/>
            <sz val="9"/>
            <color indexed="81"/>
            <rFont val="Tahoma"/>
            <family val="2"/>
          </rPr>
          <t>rodrigo.moreno.v88@gmail.com</t>
        </r>
      </text>
    </comment>
    <comment ref="E191" authorId="0" shapeId="0" xr:uid="{00000000-0006-0000-0300-0000D6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S191" authorId="0" shapeId="0" xr:uid="{00000000-0006-0000-0300-0000D7000000}">
      <text>
        <r>
          <rPr>
            <b/>
            <sz val="9"/>
            <color indexed="81"/>
            <rFont val="Tahoma"/>
            <family val="2"/>
          </rPr>
          <t>Luffi:</t>
        </r>
        <r>
          <rPr>
            <sz val="9"/>
            <color indexed="81"/>
            <rFont val="Tahoma"/>
            <family val="2"/>
          </rPr>
          <t xml:space="preserve">
</t>
        </r>
        <r>
          <rPr>
            <sz val="10"/>
            <color indexed="81"/>
            <rFont val="Tahoma"/>
            <family val="2"/>
          </rPr>
          <t xml:space="preserve">MENSUALIDAD $1,450 
05-SEP-20
FINANCIAMIENTO EQ $200 
9-SEP-20 ULTIMO PAGO </t>
        </r>
      </text>
    </comment>
    <comment ref="T191" authorId="0" shapeId="0" xr:uid="{00000000-0006-0000-0300-0000D8000000}">
      <text>
        <r>
          <rPr>
            <b/>
            <sz val="9"/>
            <color indexed="81"/>
            <rFont val="Tahoma"/>
            <family val="2"/>
          </rPr>
          <t xml:space="preserve">Luffi:
RE-INSTALACIÓN 02-DIC-22
DES-INSTALACIÓN KIA SORENTO 14-OCTUBRE-22 PAGO EFECTIVO 
</t>
        </r>
        <r>
          <rPr>
            <sz val="9"/>
            <color indexed="81"/>
            <rFont val="Tahoma"/>
            <family val="2"/>
          </rPr>
          <t xml:space="preserve">
</t>
        </r>
        <r>
          <rPr>
            <sz val="10"/>
            <color indexed="81"/>
            <rFont val="Tahoma"/>
            <family val="2"/>
          </rPr>
          <t xml:space="preserve">2 PAGOS DE FINANCIAMIENTOS EQUIPOS QUEDAN LIBERADOS EL 09-SEP-2020 </t>
        </r>
      </text>
    </comment>
    <comment ref="U191" authorId="0" shapeId="0" xr:uid="{00000000-0006-0000-0300-0000D9000000}">
      <text>
        <r>
          <rPr>
            <b/>
            <sz val="9"/>
            <color indexed="81"/>
            <rFont val="Tahoma"/>
            <family val="2"/>
          </rPr>
          <t>Luffi:</t>
        </r>
        <r>
          <rPr>
            <sz val="9"/>
            <color indexed="81"/>
            <rFont val="Tahoma"/>
            <family val="2"/>
          </rPr>
          <t xml:space="preserve">
</t>
        </r>
        <r>
          <rPr>
            <sz val="10"/>
            <color indexed="81"/>
            <rFont val="Tahoma"/>
            <family val="2"/>
          </rPr>
          <t>ABONO 04-AGO-20 $1,450.00 MONICA BERCERRA</t>
        </r>
        <r>
          <rPr>
            <sz val="9"/>
            <color indexed="81"/>
            <rFont val="Tahoma"/>
            <family val="2"/>
          </rPr>
          <t xml:space="preserve">
</t>
        </r>
        <r>
          <rPr>
            <sz val="10"/>
            <color indexed="81"/>
            <rFont val="Tahoma"/>
            <family val="2"/>
          </rPr>
          <t>ABONO 14-AGO-20 $1,450.00 RODRIGO MORENO</t>
        </r>
      </text>
    </comment>
    <comment ref="E192" authorId="1" shapeId="0" xr:uid="{00000000-0006-0000-0300-0000DA000000}">
      <text>
        <r>
          <rPr>
            <b/>
            <sz val="9"/>
            <color indexed="81"/>
            <rFont val="Tahoma"/>
            <family val="2"/>
          </rPr>
          <t>PC:</t>
        </r>
        <r>
          <rPr>
            <sz val="9"/>
            <color indexed="81"/>
            <rFont val="Tahoma"/>
            <family val="2"/>
          </rPr>
          <t xml:space="preserve">
INGRESA EL 04-MAYO-2024
EQUIPO $2,200.00
MENSUALDIAD $300.00</t>
        </r>
      </text>
    </comment>
    <comment ref="E193" authorId="1" shapeId="0" xr:uid="{00000000-0006-0000-0300-0000DB000000}">
      <text>
        <r>
          <rPr>
            <b/>
            <sz val="9"/>
            <color indexed="81"/>
            <rFont val="Tahoma"/>
            <family val="2"/>
          </rPr>
          <t>PC:</t>
        </r>
        <r>
          <rPr>
            <sz val="9"/>
            <color indexed="81"/>
            <rFont val="Tahoma"/>
            <family val="2"/>
          </rPr>
          <t xml:space="preserve">
INGRESA EL 12-NOVIEMBRE-2024
COMODATO
INSTALACION $549.00+IVA
MENSUALIDAD $300.00+IVA</t>
        </r>
      </text>
    </comment>
    <comment ref="E194" authorId="1" shapeId="0" xr:uid="{00000000-0006-0000-0300-0000DC000000}">
      <text>
        <r>
          <rPr>
            <b/>
            <sz val="9"/>
            <color indexed="81"/>
            <rFont val="Tahoma"/>
            <family val="2"/>
          </rPr>
          <t>PC:</t>
        </r>
        <r>
          <rPr>
            <sz val="9"/>
            <color indexed="81"/>
            <rFont val="Tahoma"/>
            <family val="2"/>
          </rPr>
          <t xml:space="preserve">
INICA EL 29-FEBRERO-2024 
EQUIPO $2,250.00
MESNUALIDAD $299.00
</t>
        </r>
      </text>
    </comment>
    <comment ref="E195" authorId="1" shapeId="0" xr:uid="{00000000-0006-0000-0300-0000DD000000}">
      <text>
        <r>
          <rPr>
            <b/>
            <sz val="9"/>
            <color indexed="81"/>
            <rFont val="Tahoma"/>
            <family val="2"/>
          </rPr>
          <t>PC:</t>
        </r>
        <r>
          <rPr>
            <sz val="9"/>
            <color indexed="81"/>
            <rFont val="Tahoma"/>
            <family val="2"/>
          </rPr>
          <t xml:space="preserve">
CLIENTE MIGRADO DE PLAY MOTORS 05-NOVIEMBRE-2024
EQUIPO $1,950.00
MENSUALIDAD $300.00</t>
        </r>
      </text>
    </comment>
    <comment ref="E196" authorId="0" shapeId="0" xr:uid="{00000000-0006-0000-0300-0000DE000000}">
      <text>
        <r>
          <rPr>
            <b/>
            <sz val="9"/>
            <color indexed="81"/>
            <rFont val="Tahoma"/>
            <family val="2"/>
          </rPr>
          <t>Luffi:</t>
        </r>
        <r>
          <rPr>
            <sz val="9"/>
            <color indexed="81"/>
            <rFont val="Tahoma"/>
            <family val="2"/>
          </rPr>
          <t xml:space="preserve">
</t>
        </r>
        <r>
          <rPr>
            <sz val="10"/>
            <color indexed="81"/>
            <rFont val="Tahoma"/>
            <family val="2"/>
          </rPr>
          <t xml:space="preserve">MEN. $350.00 CANAL DE VOZ
PEPE: $250.00
OLID: $100.00
</t>
        </r>
      </text>
    </comment>
    <comment ref="E197" authorId="1" shapeId="0" xr:uid="{00000000-0006-0000-0300-0000DF000000}">
      <text>
        <r>
          <rPr>
            <b/>
            <sz val="9"/>
            <color indexed="81"/>
            <rFont val="Tahoma"/>
            <family val="2"/>
          </rPr>
          <t>PC:</t>
        </r>
        <r>
          <rPr>
            <sz val="9"/>
            <color indexed="81"/>
            <rFont val="Tahoma"/>
            <family val="2"/>
          </rPr>
          <t xml:space="preserve">
INGRESA EL 05-JULIO-2023
EQUIPO $2,200.00
MENSUALIDAD $249.00</t>
        </r>
      </text>
    </comment>
    <comment ref="E198" authorId="1" shapeId="0" xr:uid="{00000000-0006-0000-0300-0000E0000000}">
      <text>
        <r>
          <rPr>
            <b/>
            <sz val="9"/>
            <color indexed="81"/>
            <rFont val="Tahoma"/>
            <family val="2"/>
          </rPr>
          <t>PC:</t>
        </r>
        <r>
          <rPr>
            <sz val="9"/>
            <color indexed="81"/>
            <rFont val="Tahoma"/>
            <family val="2"/>
          </rPr>
          <t xml:space="preserve">
INGRESA EL 24-OCTUBRE-2024
EQUIPO $1,850.00
MENSUALIDAD CON MICROFONO $300.00</t>
        </r>
      </text>
    </comment>
    <comment ref="E199" authorId="1" shapeId="0" xr:uid="{00000000-0006-0000-0300-0000E1000000}">
      <text>
        <r>
          <rPr>
            <b/>
            <sz val="9"/>
            <color indexed="81"/>
            <rFont val="Tahoma"/>
            <family val="2"/>
          </rPr>
          <t>PC:</t>
        </r>
        <r>
          <rPr>
            <sz val="9"/>
            <color indexed="81"/>
            <rFont val="Tahoma"/>
            <family val="2"/>
          </rPr>
          <t xml:space="preserve">
ALTA MIERCOLES 05-MARZO-2025
EQUIPO $2,000.00
MENSUALIDAD $300.00</t>
        </r>
      </text>
    </comment>
    <comment ref="E200" authorId="1" shapeId="0" xr:uid="{00000000-0006-0000-0300-0000E2000000}">
      <text>
        <r>
          <rPr>
            <b/>
            <sz val="9"/>
            <color indexed="81"/>
            <rFont val="Tahoma"/>
            <family val="2"/>
          </rPr>
          <t>PC:</t>
        </r>
        <r>
          <rPr>
            <sz val="9"/>
            <color indexed="81"/>
            <rFont val="Tahoma"/>
            <family val="2"/>
          </rPr>
          <t xml:space="preserve">
ALTA 04-ABRIL-2025
COMODATO - PROMOCION
INSTALACION $550.00
MENSUALIDAD $300.00</t>
        </r>
      </text>
    </comment>
    <comment ref="E201" authorId="1" shapeId="0" xr:uid="{00000000-0006-0000-0300-0000E3000000}">
      <text>
        <r>
          <rPr>
            <b/>
            <sz val="9"/>
            <color indexed="81"/>
            <rFont val="Tahoma"/>
            <family val="2"/>
          </rPr>
          <t>PC:</t>
        </r>
        <r>
          <rPr>
            <sz val="9"/>
            <color indexed="81"/>
            <rFont val="Tahoma"/>
            <family val="2"/>
          </rPr>
          <t xml:space="preserve">
INGRESA EL 25-JUNIO-2024
SE LE INSTALA EL 26-JUNIO-2024
COMODATO
INSTALACION $499.00+IVA
MENSUALIDAD $300.00+IVA
SEPTIEMBRE 2024 SOLICITA SIN FACTURA COBRANZA </t>
        </r>
      </text>
    </comment>
    <comment ref="E202" authorId="1" shapeId="0" xr:uid="{00000000-0006-0000-0300-0000E4000000}">
      <text>
        <r>
          <rPr>
            <b/>
            <sz val="9"/>
            <color indexed="81"/>
            <rFont val="Tahoma"/>
            <family val="2"/>
          </rPr>
          <t xml:space="preserve">PI
</t>
        </r>
        <r>
          <rPr>
            <sz val="9"/>
            <color indexed="81"/>
            <rFont val="Tahoma"/>
            <family val="2"/>
          </rPr>
          <t>INGRESA EL 21-MARZO-2024 
EQUIPO $2,250.00
MENSUALIDAD $250.00</t>
        </r>
      </text>
    </comment>
    <comment ref="E203" authorId="1" shapeId="0" xr:uid="{00000000-0006-0000-0300-0000E5000000}">
      <text>
        <r>
          <rPr>
            <b/>
            <sz val="9"/>
            <color indexed="81"/>
            <rFont val="Tahoma"/>
            <family val="2"/>
          </rPr>
          <t>PC:</t>
        </r>
        <r>
          <rPr>
            <sz val="9"/>
            <color indexed="81"/>
            <rFont val="Tahoma"/>
            <family val="2"/>
          </rPr>
          <t xml:space="preserve">
INGRESA EL 24-ABRIL-2024
EQUIPO $1,800.00
MENSUALIDAD $250.00</t>
        </r>
      </text>
    </comment>
    <comment ref="E204" authorId="1" shapeId="0" xr:uid="{00000000-0006-0000-0300-0000E6000000}">
      <text>
        <r>
          <rPr>
            <b/>
            <sz val="9"/>
            <color indexed="81"/>
            <rFont val="Tahoma"/>
            <family val="2"/>
          </rPr>
          <t>PC:</t>
        </r>
        <r>
          <rPr>
            <sz val="9"/>
            <color indexed="81"/>
            <rFont val="Tahoma"/>
            <family val="2"/>
          </rPr>
          <t xml:space="preserve">
INGRESA EL 09-SEPTIEMBRE-2024 
EQUIPO $2,200.00
MENSUALIDAD $280.00</t>
        </r>
      </text>
    </comment>
    <comment ref="E205" authorId="1" shapeId="0" xr:uid="{00000000-0006-0000-0300-0000E7000000}">
      <text>
        <r>
          <rPr>
            <b/>
            <sz val="9"/>
            <color indexed="81"/>
            <rFont val="Tahoma"/>
            <family val="2"/>
          </rPr>
          <t>PC:</t>
        </r>
        <r>
          <rPr>
            <sz val="9"/>
            <color indexed="81"/>
            <rFont val="Tahoma"/>
            <family val="2"/>
          </rPr>
          <t xml:space="preserve">
INICIA EL 01-AGOSTO-2023
EQUIPO $2,200.00
MENSUALIDAD $300.00</t>
        </r>
      </text>
    </comment>
    <comment ref="E206" authorId="0" shapeId="0" xr:uid="{00000000-0006-0000-0300-0000E8000000}">
      <text>
        <r>
          <rPr>
            <b/>
            <sz val="9"/>
            <color indexed="81"/>
            <rFont val="Tahoma"/>
            <family val="2"/>
          </rPr>
          <t>Luffi:</t>
        </r>
        <r>
          <rPr>
            <sz val="9"/>
            <color indexed="81"/>
            <rFont val="Tahoma"/>
            <family val="2"/>
          </rPr>
          <t xml:space="preserve">
NUEVO COBRO DE MENSUALIDAD A PARTIR DE MARZO 2023 $120.00
MENSUALIDAD $80.00
PLATAFORMA TRACKERHOME 
RE-CONFIGURACIONES$350.00
ENERO´2020 
1 DES Y RE - INSTALACIÓN $700.00
SEBRING-FOCUS
</t>
        </r>
        <r>
          <rPr>
            <sz val="10"/>
            <color indexed="81"/>
            <rFont val="Tahoma"/>
            <family val="2"/>
          </rPr>
          <t>BAJA 9 UNIDADES 28-JULIO-2020 (47)</t>
        </r>
      </text>
    </comment>
    <comment ref="S206" authorId="0" shapeId="0" xr:uid="{00000000-0006-0000-0300-0000E9000000}">
      <text>
        <r>
          <rPr>
            <b/>
            <sz val="9"/>
            <color indexed="81"/>
            <rFont val="Tahoma"/>
            <family val="2"/>
          </rPr>
          <t xml:space="preserve">Luffi:
</t>
        </r>
        <r>
          <rPr>
            <sz val="10"/>
            <color indexed="81"/>
            <rFont val="Tahoma"/>
            <family val="2"/>
          </rPr>
          <t>ABONO 18-ENE-2021 $1,900
ABONO 14-ENE-2021 $6,500
ABONO 04-ENE-2021 $7,000</t>
        </r>
        <r>
          <rPr>
            <sz val="9"/>
            <color indexed="81"/>
            <rFont val="Tahoma"/>
            <family val="2"/>
          </rPr>
          <t xml:space="preserve">
</t>
        </r>
        <r>
          <rPr>
            <sz val="10"/>
            <color indexed="81"/>
            <rFont val="Tahoma"/>
            <family val="2"/>
          </rPr>
          <t>ABONO 18-DIC-2020 $5,000
ABONO 05-DIC-2020 $10,000
ABONO 21-NOV-2020 $5,000
ABONO 05-NOV-2020 $5,000
ABONO 02-NOV-2020 $1,500
ABONO 15-OCT-2020 $1,200
(MANDA 1,900 SOLO SE TOMAN 1,200 DE ABONO SE COBRAN 2 SERVICIOS 350 POR DES-INSTALACION Y RE-INSTALACION) 
ABONO 08-OCT-2020 $4,000</t>
        </r>
        <r>
          <rPr>
            <sz val="9"/>
            <color indexed="81"/>
            <rFont val="Tahoma"/>
            <family val="2"/>
          </rPr>
          <t xml:space="preserve">
</t>
        </r>
        <r>
          <rPr>
            <sz val="10"/>
            <color indexed="81"/>
            <rFont val="Tahoma"/>
            <family val="2"/>
          </rPr>
          <t>ABONO 21-SEP-2020 $5,700
ABONO 14-SEP-2020 $1,500
ABONO 10-SEP-2020 $3,200
ABONO 03-SEP-2020 $7,000
ABONO 20-JUL-2020 $7,000</t>
        </r>
      </text>
    </comment>
    <comment ref="T206" authorId="0" shapeId="0" xr:uid="{00000000-0006-0000-0300-0000EA000000}">
      <text>
        <r>
          <rPr>
            <b/>
            <sz val="9"/>
            <color indexed="81"/>
            <rFont val="Tahoma"/>
            <family val="2"/>
          </rPr>
          <t xml:space="preserve">Luffi:
TOTAL $2,100.00 MAYO´2021
</t>
        </r>
        <r>
          <rPr>
            <sz val="9"/>
            <color indexed="81"/>
            <rFont val="Tahoma"/>
            <family val="2"/>
          </rPr>
          <t xml:space="preserve">23-ABR-2021 DES-INSTALACION VW PASSAT BCO $350
28-ABR-2021 RE-INSTALACION CHEVROLET EQUINOX NEGRO $350
07-MAY-2021 DES-INSTALACION CHEVROLET MAILBU BCO $350
07-MAY-2021 RE-INSTALACION NISSAN SENTRA BCO $350
17-MAY-2021 DES-INSTALACION HYUNDAI ATTIUD BLANCO $350
17-MAY-2021 RE-INSTALACION CHEVROLET AVEO BCO $350
</t>
        </r>
        <r>
          <rPr>
            <b/>
            <sz val="9"/>
            <color indexed="81"/>
            <rFont val="Tahoma"/>
            <family val="2"/>
          </rPr>
          <t xml:space="preserve">
COBRANZA AGOSTO2022 1ER QUINCENA
10 INSTALACIONES 
6 RE-INSTALACIONES 
6-DES-INSTALACIONES </t>
        </r>
      </text>
    </comment>
    <comment ref="U206" authorId="0" shapeId="0" xr:uid="{00000000-0006-0000-0300-0000EB000000}">
      <text>
        <r>
          <rPr>
            <b/>
            <sz val="9"/>
            <color indexed="81"/>
            <rFont val="Tahoma"/>
            <family val="2"/>
          </rPr>
          <t>Luffi:</t>
        </r>
        <r>
          <rPr>
            <sz val="9"/>
            <color indexed="81"/>
            <rFont val="Tahoma"/>
            <family val="2"/>
          </rPr>
          <t xml:space="preserve">
MIGRACION DE 67 UNIDADES 
23-JULIO-2021
</t>
        </r>
      </text>
    </comment>
    <comment ref="E207" authorId="0" shapeId="0" xr:uid="{00000000-0006-0000-0300-0000EC000000}">
      <text>
        <r>
          <rPr>
            <b/>
            <sz val="9"/>
            <color indexed="81"/>
            <rFont val="Tahoma"/>
            <family val="2"/>
          </rPr>
          <t>Luffi:</t>
        </r>
        <r>
          <rPr>
            <sz val="9"/>
            <color indexed="81"/>
            <rFont val="Tahoma"/>
            <family val="2"/>
          </rPr>
          <t xml:space="preserve">
NUEVO COBRO DE MENSUALIDAD A PARTIR DE MARZO 2023 $120.00 INSTALACIONES $1,900.00
RE-INSTALACIONES $500.00
DES-INSTALACIONES $500.00
RENTA X UNIDAD $80.00
TRACKERHOME
18 UNIDADES INSTALADAS EN AGOSTO 
</t>
        </r>
        <r>
          <rPr>
            <b/>
            <sz val="9"/>
            <color indexed="81"/>
            <rFont val="Tahoma"/>
            <family val="2"/>
          </rPr>
          <t xml:space="preserve">TOTAL 88 UNDADES </t>
        </r>
      </text>
    </comment>
    <comment ref="S207" authorId="0" shapeId="0" xr:uid="{00000000-0006-0000-0300-0000ED000000}">
      <text>
        <r>
          <rPr>
            <b/>
            <sz val="9"/>
            <color indexed="81"/>
            <rFont val="Tahoma"/>
            <family val="2"/>
          </rPr>
          <t xml:space="preserve">Luffi:
</t>
        </r>
        <r>
          <rPr>
            <sz val="10"/>
            <color indexed="81"/>
            <rFont val="Tahoma"/>
            <family val="2"/>
          </rPr>
          <t>ABONO 22-OCT-2020 $10,000.00
ABONO 22-SEP-2020  $10,800.00</t>
        </r>
        <r>
          <rPr>
            <b/>
            <sz val="9"/>
            <color indexed="81"/>
            <rFont val="Tahoma"/>
            <family val="2"/>
          </rPr>
          <t xml:space="preserve">
</t>
        </r>
        <r>
          <rPr>
            <sz val="10"/>
            <color indexed="81"/>
            <rFont val="Tahoma"/>
            <family val="2"/>
          </rPr>
          <t>ABONO 12-SEP-2020    $5,700.00</t>
        </r>
        <r>
          <rPr>
            <sz val="9"/>
            <color indexed="81"/>
            <rFont val="Tahoma"/>
            <family val="2"/>
          </rPr>
          <t xml:space="preserve">
</t>
        </r>
        <r>
          <rPr>
            <sz val="10"/>
            <color indexed="81"/>
            <rFont val="Tahoma"/>
            <family val="2"/>
          </rPr>
          <t>ABONO 20-JULIO-2020 $13,000.00
ABONO 23-JULIO-2020 $7,000.00
ABONO 21-NOV-2020 $14,600.00</t>
        </r>
      </text>
    </comment>
    <comment ref="T207" authorId="0" shapeId="0" xr:uid="{00000000-0006-0000-0300-0000EE000000}">
      <text>
        <r>
          <rPr>
            <b/>
            <sz val="9"/>
            <color indexed="81"/>
            <rFont val="Tahoma"/>
            <family val="2"/>
          </rPr>
          <t>Luffi:
COBRANZA
NOVIEMBRE</t>
        </r>
        <r>
          <rPr>
            <sz val="9"/>
            <color indexed="81"/>
            <rFont val="Tahoma"/>
            <family val="2"/>
          </rPr>
          <t xml:space="preserve">
130 UNIDADES 
4 INSTALACIONES 
2 DES-INSTALACIONES
1 RE-INSTALACION 
</t>
        </r>
        <r>
          <rPr>
            <b/>
            <sz val="9"/>
            <color indexed="81"/>
            <rFont val="Tahoma"/>
            <family val="2"/>
          </rPr>
          <t xml:space="preserve">
</t>
        </r>
        <r>
          <rPr>
            <sz val="9"/>
            <color indexed="81"/>
            <rFont val="Tahoma"/>
            <family val="2"/>
          </rPr>
          <t xml:space="preserve">15-AGOSTO-22
1- INSTALACION CHEVROLET SONICA AZUL 
2-DES-INSTALACIONES
3-RE-INSTALACIONES 
</t>
        </r>
      </text>
    </comment>
    <comment ref="E208" authorId="1" shapeId="0" xr:uid="{00000000-0006-0000-0300-0000EF000000}">
      <text>
        <r>
          <rPr>
            <b/>
            <sz val="9"/>
            <color indexed="81"/>
            <rFont val="Tahoma"/>
            <family val="2"/>
          </rPr>
          <t>PC:</t>
        </r>
        <r>
          <rPr>
            <sz val="9"/>
            <color indexed="81"/>
            <rFont val="Tahoma"/>
            <family val="2"/>
          </rPr>
          <t xml:space="preserve">
INICIA EL 16-ABRIL-2025
COMODATO 
INSTALACION $550.00
MENSUALIDAD $300.00</t>
        </r>
      </text>
    </comment>
    <comment ref="E209" authorId="1" shapeId="0" xr:uid="{00000000-0006-0000-0300-0000F0000000}">
      <text>
        <r>
          <rPr>
            <b/>
            <sz val="9"/>
            <color indexed="81"/>
            <rFont val="Tahoma"/>
            <family val="2"/>
          </rPr>
          <t>PC:</t>
        </r>
        <r>
          <rPr>
            <sz val="9"/>
            <color indexed="81"/>
            <rFont val="Tahoma"/>
            <family val="2"/>
          </rPr>
          <t xml:space="preserve">
INGRESA EL 17-FEBRERO-2025 
EQUIPO $2,200.00
MENSUALIDAD $300.00</t>
        </r>
      </text>
    </comment>
    <comment ref="E210" authorId="1" shapeId="0" xr:uid="{00000000-0006-0000-0300-0000F1000000}">
      <text>
        <r>
          <rPr>
            <b/>
            <sz val="9"/>
            <color indexed="81"/>
            <rFont val="Tahoma"/>
            <family val="2"/>
          </rPr>
          <t>PC:</t>
        </r>
        <r>
          <rPr>
            <sz val="9"/>
            <color indexed="81"/>
            <rFont val="Tahoma"/>
            <family val="2"/>
          </rPr>
          <t xml:space="preserve">
ALTA 25-ABRIL-2025
COMODATO
INSTALACION $550.00
MENSUALIDAD $300.00</t>
        </r>
      </text>
    </comment>
    <comment ref="E211" authorId="0" shapeId="0" xr:uid="{00000000-0006-0000-0300-0000F2000000}">
      <text>
        <r>
          <rPr>
            <b/>
            <sz val="9"/>
            <color indexed="81"/>
            <rFont val="Tahoma"/>
            <family val="2"/>
          </rPr>
          <t>Luffi:</t>
        </r>
        <r>
          <rPr>
            <sz val="9"/>
            <color indexed="81"/>
            <rFont val="Tahoma"/>
            <family val="2"/>
          </rPr>
          <t xml:space="preserve">
EQUIPO+MESUALIDAD $2,000.00 YA VA INCLUIDA LA MENSUALIDAD 
</t>
        </r>
        <r>
          <rPr>
            <sz val="10"/>
            <color indexed="81"/>
            <rFont val="Tahoma"/>
            <family val="2"/>
          </rPr>
          <t xml:space="preserve">MENSUALIDAD $100.00
PLATAFORMA WOX RASTREO
INICIA 3 INSTALACIONES SEP´2020 </t>
        </r>
      </text>
    </comment>
    <comment ref="T211" authorId="0" shapeId="0" xr:uid="{00000000-0006-0000-0300-0000F3000000}">
      <text>
        <r>
          <rPr>
            <b/>
            <sz val="9"/>
            <color indexed="81"/>
            <rFont val="Tahoma"/>
            <family val="2"/>
          </rPr>
          <t xml:space="preserve">Luffi:
ENERO'23 
</t>
        </r>
        <r>
          <rPr>
            <sz val="9"/>
            <color indexed="81"/>
            <rFont val="Tahoma"/>
            <family val="2"/>
          </rPr>
          <t xml:space="preserve">CAMBIO DE SIM 27-DICIEMBRE-22 JEEP PATRIOT ROJO 
</t>
        </r>
        <r>
          <rPr>
            <b/>
            <sz val="9"/>
            <color indexed="81"/>
            <rFont val="Tahoma"/>
            <family val="2"/>
          </rPr>
          <t xml:space="preserve">
AGOSTO 2022
I</t>
        </r>
        <r>
          <rPr>
            <sz val="9"/>
            <color indexed="81"/>
            <rFont val="Tahoma"/>
            <family val="2"/>
          </rPr>
          <t xml:space="preserve">NSTALACIÓN 02-AGOSTO-2022 PONTIAC GT GRIS </t>
        </r>
      </text>
    </comment>
    <comment ref="E212" authorId="0" shapeId="0" xr:uid="{00000000-0006-0000-0300-0000F4000000}">
      <text>
        <r>
          <rPr>
            <b/>
            <sz val="9"/>
            <color indexed="81"/>
            <rFont val="Tahoma"/>
            <family val="2"/>
          </rPr>
          <t>Luffi:</t>
        </r>
        <r>
          <rPr>
            <sz val="9"/>
            <color indexed="81"/>
            <rFont val="Tahoma"/>
            <family val="2"/>
          </rPr>
          <t xml:space="preserve">
EQUIPOS $1,600
MENSUALIDAD $250
INSTALACION 5-AGOSTO-2021
</t>
        </r>
        <r>
          <rPr>
            <b/>
            <sz val="9"/>
            <color indexed="81"/>
            <rFont val="Tahoma"/>
            <family val="2"/>
          </rPr>
          <t>*COBRANZA SEP-2021</t>
        </r>
      </text>
    </comment>
    <comment ref="E213" authorId="2" shapeId="0" xr:uid="{00000000-0006-0000-0300-0000F5000000}">
      <text>
        <r>
          <rPr>
            <b/>
            <sz val="9"/>
            <color indexed="81"/>
            <rFont val="Tahoma"/>
            <family val="2"/>
          </rPr>
          <t>Usuario de Windows:</t>
        </r>
        <r>
          <rPr>
            <sz val="9"/>
            <color indexed="81"/>
            <rFont val="Tahoma"/>
            <family val="2"/>
          </rPr>
          <t xml:space="preserve">
MENSUALIDAD $250.00
MIGRACIONES $250.00
EQUIPOS $1,800.00
SENSOR DE COFRE $1,250.00
</t>
        </r>
        <r>
          <rPr>
            <b/>
            <sz val="9"/>
            <color indexed="81"/>
            <rFont val="Tahoma"/>
            <family val="2"/>
          </rPr>
          <t>INICIO DE MIGRACIONES 28-FEB-2022
1 COMPRA E INSTALACION DE EQUIPO 25-JUN-2022 
*(</t>
        </r>
        <r>
          <rPr>
            <sz val="9"/>
            <color indexed="81"/>
            <rFont val="Tahoma"/>
            <family val="2"/>
          </rPr>
          <t>INCREMENTO DE UNIDAD EN MENSUALIDAD  DE JULIO´22</t>
        </r>
        <r>
          <rPr>
            <b/>
            <sz val="9"/>
            <color indexed="81"/>
            <rFont val="Tahoma"/>
            <family val="2"/>
          </rPr>
          <t>)
CAMBIA A REMISIONES EN ABRIL'23 YA NO SE LE FACTURA</t>
        </r>
      </text>
    </comment>
    <comment ref="E214" authorId="0" shapeId="0" xr:uid="{00000000-0006-0000-0300-0000F6000000}">
      <text>
        <r>
          <rPr>
            <b/>
            <sz val="9"/>
            <color indexed="81"/>
            <rFont val="Tahoma"/>
            <family val="2"/>
          </rPr>
          <t>Luffi:</t>
        </r>
        <r>
          <rPr>
            <sz val="9"/>
            <color indexed="81"/>
            <rFont val="Tahoma"/>
            <family val="2"/>
          </rPr>
          <t xml:space="preserve">
INSTALACION -  30-ABRIL-2021
MENSUALIDAD $250</t>
        </r>
      </text>
    </comment>
    <comment ref="E215" authorId="1" shapeId="0" xr:uid="{00000000-0006-0000-0300-0000F7000000}">
      <text>
        <r>
          <rPr>
            <b/>
            <sz val="9"/>
            <color indexed="81"/>
            <rFont val="Tahoma"/>
            <family val="2"/>
          </rPr>
          <t>PC:</t>
        </r>
        <r>
          <rPr>
            <sz val="9"/>
            <color indexed="81"/>
            <rFont val="Tahoma"/>
            <family val="2"/>
          </rPr>
          <t xml:space="preserve">
ALTA DE CLIENTE 23-ENERO-2025
INGRESO A COBRANZA 17-FEBRERO-2025
EQUIPO $2,800.00
MENSUALIDAD CON ROAMING $350.00 (3)
LICENCIA DE LIBRO ELECTRONICO $650.00 (1)</t>
        </r>
      </text>
    </comment>
    <comment ref="E216" authorId="1" shapeId="0" xr:uid="{00000000-0006-0000-0300-0000F8000000}">
      <text>
        <r>
          <rPr>
            <b/>
            <sz val="9"/>
            <color indexed="81"/>
            <rFont val="Tahoma"/>
            <family val="2"/>
          </rPr>
          <t>PC:</t>
        </r>
        <r>
          <rPr>
            <sz val="9"/>
            <color indexed="81"/>
            <rFont val="Tahoma"/>
            <family val="2"/>
          </rPr>
          <t xml:space="preserve">
INGRESA EL 18-FEBRERO-2025
EQUIPO $2,200.00
MENSUALIDAD $299.00</t>
        </r>
      </text>
    </comment>
    <comment ref="E217" authorId="1" shapeId="0" xr:uid="{00000000-0006-0000-0300-0000F9000000}">
      <text>
        <r>
          <rPr>
            <b/>
            <sz val="9"/>
            <color indexed="81"/>
            <rFont val="Tahoma"/>
            <family val="2"/>
          </rPr>
          <t>PC:</t>
        </r>
        <r>
          <rPr>
            <sz val="9"/>
            <color indexed="81"/>
            <rFont val="Tahoma"/>
            <family val="2"/>
          </rPr>
          <t xml:space="preserve">
ALTA 26-ABRIL-2025
ESQUEMA NO DEFINIDO
EQUIPO $1,850
MENSUALIDAD $250</t>
        </r>
      </text>
    </comment>
    <comment ref="E218" authorId="1" shapeId="0" xr:uid="{00000000-0006-0000-0300-0000FA000000}">
      <text>
        <r>
          <rPr>
            <b/>
            <sz val="9"/>
            <color indexed="81"/>
            <rFont val="Tahoma"/>
            <family val="2"/>
          </rPr>
          <t>PC:</t>
        </r>
        <r>
          <rPr>
            <sz val="9"/>
            <color indexed="81"/>
            <rFont val="Tahoma"/>
            <family val="2"/>
          </rPr>
          <t xml:space="preserve">
INGRESA EL 26-FEBRERO-2025
EQUIPO $1,800.00
MENSUALIDAD $300.00</t>
        </r>
      </text>
    </comment>
    <comment ref="E219" authorId="1" shapeId="0" xr:uid="{00000000-0006-0000-0300-0000FB000000}">
      <text>
        <r>
          <rPr>
            <b/>
            <sz val="9"/>
            <color indexed="81"/>
            <rFont val="Tahoma"/>
            <family val="2"/>
          </rPr>
          <t>PC:</t>
        </r>
        <r>
          <rPr>
            <sz val="9"/>
            <color indexed="81"/>
            <rFont val="Tahoma"/>
            <family val="2"/>
          </rPr>
          <t xml:space="preserve">
ALTA 23-ABRIL-2025
COMODATO 
INSTALACION $550.00
MENSUALIDAD $300.00</t>
        </r>
      </text>
    </comment>
    <comment ref="E220" authorId="1" shapeId="0" xr:uid="{00000000-0006-0000-0300-0000FC000000}">
      <text>
        <r>
          <rPr>
            <b/>
            <sz val="9"/>
            <color indexed="81"/>
            <rFont val="Tahoma"/>
            <family val="2"/>
          </rPr>
          <t>PC:</t>
        </r>
        <r>
          <rPr>
            <sz val="9"/>
            <color indexed="81"/>
            <rFont val="Tahoma"/>
            <family val="2"/>
          </rPr>
          <t xml:space="preserve">
INGRESA EL 20-MARZO-2025
EQUIPO $1,800.00
MENSUALIDAD $300.00</t>
        </r>
      </text>
    </comment>
    <comment ref="E221" authorId="1" shapeId="0" xr:uid="{00000000-0006-0000-0300-0000FD000000}">
      <text>
        <r>
          <rPr>
            <b/>
            <sz val="9"/>
            <color indexed="81"/>
            <rFont val="Tahoma"/>
            <family val="2"/>
          </rPr>
          <t>PC:</t>
        </r>
        <r>
          <rPr>
            <sz val="9"/>
            <color indexed="81"/>
            <rFont val="Tahoma"/>
            <family val="2"/>
          </rPr>
          <t xml:space="preserve">
ALTA 26-ABRIL-2025
COMODATO
INSTALACION $550.00
MENSUALIDAD $300.00</t>
        </r>
      </text>
    </comment>
    <comment ref="D222" authorId="2" shapeId="0" xr:uid="{00000000-0006-0000-0300-0000FE000000}">
      <text>
        <r>
          <rPr>
            <b/>
            <sz val="9"/>
            <color indexed="81"/>
            <rFont val="Tahoma"/>
            <family val="2"/>
          </rPr>
          <t>Usuario de Windows:</t>
        </r>
        <r>
          <rPr>
            <sz val="9"/>
            <color indexed="81"/>
            <rFont val="Tahoma"/>
            <family val="2"/>
          </rPr>
          <t xml:space="preserve">
1er Contacto 
</t>
        </r>
        <r>
          <rPr>
            <b/>
            <sz val="9"/>
            <color indexed="81"/>
            <rFont val="Tahoma"/>
            <family val="2"/>
          </rPr>
          <t xml:space="preserve">Arturo Asael - 8119386704 
Ya no labora ahí </t>
        </r>
      </text>
    </comment>
    <comment ref="E222" authorId="0" shapeId="0" xr:uid="{00000000-0006-0000-0300-0000FF000000}">
      <text>
        <r>
          <rPr>
            <b/>
            <sz val="9"/>
            <color indexed="81"/>
            <rFont val="Tahoma"/>
            <family val="2"/>
          </rPr>
          <t>Luffi:</t>
        </r>
        <r>
          <rPr>
            <sz val="9"/>
            <color indexed="81"/>
            <rFont val="Tahoma"/>
            <family val="2"/>
          </rPr>
          <t xml:space="preserve">
MIGRACION DE EQUIPOS, INSTALACION DE SIM
CAMBIA A ESQUEMA DE COMODATO EL 09-ABRIL-2024
INSTALACION $650.00
RENTA $280.00
MIGRACION $450.00
EQUIPO $1,700.00
MENSUALIDAD $250.00
DES-INSTALACION $400.00
</t>
        </r>
        <r>
          <rPr>
            <b/>
            <sz val="9"/>
            <color indexed="81"/>
            <rFont val="Tahoma"/>
            <family val="2"/>
          </rPr>
          <t xml:space="preserve">
INSTALACIONES COMODATO MOVEO</t>
        </r>
        <r>
          <rPr>
            <sz val="9"/>
            <color indexed="81"/>
            <rFont val="Tahoma"/>
            <family val="2"/>
          </rPr>
          <t xml:space="preserve">
09-ABRIL-2024
CHEVROLET EXPRESS BLANCO RZM-407-B INSTALADOR: ELIUD
17-ABRIL-2024
TOYOTA HIACE BLANCO RYU-899-A 
INSTALADOR: OSCAR
</t>
        </r>
        <r>
          <rPr>
            <b/>
            <sz val="9"/>
            <color indexed="81"/>
            <rFont val="Tahoma"/>
            <family val="2"/>
          </rPr>
          <t>*INSTALACION 29-DIC-2021*
SE LE COBRA A FINALES DE ENERO´2022</t>
        </r>
      </text>
    </comment>
    <comment ref="T222" authorId="1" shapeId="0" xr:uid="{00000000-0006-0000-0300-000000010000}">
      <text>
        <r>
          <rPr>
            <b/>
            <sz val="9"/>
            <color indexed="81"/>
            <rFont val="Tahoma"/>
            <family val="2"/>
          </rPr>
          <t>PC:</t>
        </r>
        <r>
          <rPr>
            <sz val="9"/>
            <color indexed="81"/>
            <rFont val="Tahoma"/>
            <family val="2"/>
          </rPr>
          <t xml:space="preserve">
INSTALACION DE EQUIPO 05-ENERO-23 $1,800.00 +MENS $250.00= $2,050.00
INSTALACION 31-OCT-22</t>
        </r>
      </text>
    </comment>
    <comment ref="E223" authorId="1" shapeId="0" xr:uid="{00000000-0006-0000-0300-000001010000}">
      <text>
        <r>
          <rPr>
            <b/>
            <sz val="9"/>
            <color indexed="81"/>
            <rFont val="Tahoma"/>
            <family val="2"/>
          </rPr>
          <t>PC:</t>
        </r>
        <r>
          <rPr>
            <sz val="9"/>
            <color indexed="81"/>
            <rFont val="Tahoma"/>
            <family val="2"/>
          </rPr>
          <t xml:space="preserve">
ALTA 29-MARZO-2025
COMODATO
INSTALACION $549.00+IVA
MENSUALIDAD $300.00+IVA</t>
        </r>
      </text>
    </comment>
    <comment ref="E224" authorId="2" shapeId="0" xr:uid="{00000000-0006-0000-0300-000002010000}">
      <text>
        <r>
          <rPr>
            <b/>
            <sz val="9"/>
            <color indexed="81"/>
            <rFont val="Tahoma"/>
            <family val="2"/>
          </rPr>
          <t>Usuario de Windows:</t>
        </r>
        <r>
          <rPr>
            <sz val="9"/>
            <color indexed="81"/>
            <rFont val="Tahoma"/>
            <family val="2"/>
          </rPr>
          <t xml:space="preserve">
EQUIPO $1,850
MENSUALIDAD $250
</t>
        </r>
        <r>
          <rPr>
            <b/>
            <sz val="9"/>
            <color indexed="81"/>
            <rFont val="Tahoma"/>
            <family val="2"/>
          </rPr>
          <t>*INSTALACION 28-FEB-2022
PAGO REALIZADO EN EFECTIVO CUBRE FEB Y MAR´2022
*COBRAR MENSUALIDAD ABRIL</t>
        </r>
      </text>
    </comment>
    <comment ref="E225" authorId="0" shapeId="0" xr:uid="{00000000-0006-0000-0300-000003010000}">
      <text>
        <r>
          <rPr>
            <b/>
            <sz val="9"/>
            <color indexed="81"/>
            <rFont val="Tahoma"/>
            <family val="2"/>
          </rPr>
          <t>Luffi:
EQUIPOS COMODATO</t>
        </r>
        <r>
          <rPr>
            <sz val="9"/>
            <color indexed="81"/>
            <rFont val="Tahoma"/>
            <family val="2"/>
          </rPr>
          <t xml:space="preserve">
INSTALACION $650
MENSUALIDAD $300
*INICIA SERVICIO 11-SEP-2021*
</t>
        </r>
        <r>
          <rPr>
            <b/>
            <sz val="9"/>
            <color indexed="81"/>
            <rFont val="Tahoma"/>
            <family val="2"/>
          </rPr>
          <t>*PAGO X INSTALACIONES $7,150 SEP´2021
MENSUALIDAD 11 UNIDADES $3,300.00</t>
        </r>
      </text>
    </comment>
    <comment ref="T225" authorId="1" shapeId="0" xr:uid="{00000000-0006-0000-0300-000004010000}">
      <text>
        <r>
          <rPr>
            <b/>
            <sz val="9"/>
            <color indexed="81"/>
            <rFont val="Tahoma"/>
            <family val="2"/>
          </rPr>
          <t>PC:</t>
        </r>
        <r>
          <rPr>
            <sz val="9"/>
            <color indexed="81"/>
            <rFont val="Tahoma"/>
            <family val="2"/>
          </rPr>
          <t xml:space="preserve">
INSTALACION 02-AGOSTO-22NISSAN NP300 </t>
        </r>
      </text>
    </comment>
    <comment ref="E227" authorId="1" shapeId="0" xr:uid="{00000000-0006-0000-0300-000005010000}">
      <text>
        <r>
          <rPr>
            <b/>
            <sz val="9"/>
            <color indexed="81"/>
            <rFont val="Tahoma"/>
            <family val="2"/>
          </rPr>
          <t>PC:</t>
        </r>
        <r>
          <rPr>
            <sz val="9"/>
            <color indexed="81"/>
            <rFont val="Tahoma"/>
            <family val="2"/>
          </rPr>
          <t xml:space="preserve">
6 ANUALIDADES 
$1,000.00 c/u
</t>
        </r>
      </text>
    </comment>
    <comment ref="E231" authorId="0" shapeId="0" xr:uid="{00000000-0006-0000-0300-000006010000}">
      <text>
        <r>
          <rPr>
            <b/>
            <sz val="9"/>
            <color indexed="81"/>
            <rFont val="Tahoma"/>
            <family val="2"/>
          </rPr>
          <t>Luffi:</t>
        </r>
        <r>
          <rPr>
            <sz val="9"/>
            <color indexed="81"/>
            <rFont val="Tahoma"/>
            <family val="2"/>
          </rPr>
          <t xml:space="preserve">
</t>
        </r>
        <r>
          <rPr>
            <sz val="10"/>
            <color indexed="81"/>
            <rFont val="Tahoma"/>
            <family val="2"/>
          </rPr>
          <t xml:space="preserve">MENSUALIDAD $100.00
PLATAFORMA WOX RASTREO
SERVICIOS RODRIGO $500.00
</t>
        </r>
        <r>
          <rPr>
            <b/>
            <sz val="10"/>
            <color indexed="81"/>
            <rFont val="Tahoma"/>
            <family val="2"/>
          </rPr>
          <t xml:space="preserve">INICIA 1 INSTALACION SEP´2020 
</t>
        </r>
      </text>
    </comment>
    <comment ref="T231" authorId="0" shapeId="0" xr:uid="{00000000-0006-0000-0300-000007010000}">
      <text>
        <r>
          <rPr>
            <b/>
            <sz val="9"/>
            <color indexed="81"/>
            <rFont val="Tahoma"/>
            <family val="2"/>
          </rPr>
          <t>Luffi:</t>
        </r>
        <r>
          <rPr>
            <sz val="9"/>
            <color indexed="81"/>
            <rFont val="Tahoma"/>
            <family val="2"/>
          </rPr>
          <t xml:space="preserve">
SALDO A FAVOR POR $3,800
TRASPASO DE UNIDAD A CUENTA DE </t>
        </r>
        <r>
          <rPr>
            <b/>
            <sz val="9"/>
            <color indexed="81"/>
            <rFont val="Tahoma"/>
            <family val="2"/>
          </rPr>
          <t xml:space="preserve">APFEL </t>
        </r>
        <r>
          <rPr>
            <sz val="9"/>
            <color indexed="81"/>
            <rFont val="Tahoma"/>
            <family val="2"/>
          </rPr>
          <t xml:space="preserve">
</t>
        </r>
        <r>
          <rPr>
            <sz val="10"/>
            <color indexed="81"/>
            <rFont val="Tahoma"/>
            <family val="2"/>
          </rPr>
          <t xml:space="preserve">PROPORCIONALES DE MENSUALIDAD SEP´2020 </t>
        </r>
      </text>
    </comment>
    <comment ref="E232" authorId="1" shapeId="0" xr:uid="{00000000-0006-0000-0300-000008010000}">
      <text>
        <r>
          <rPr>
            <b/>
            <sz val="9"/>
            <color indexed="81"/>
            <rFont val="Tahoma"/>
            <family val="2"/>
          </rPr>
          <t>PC:</t>
        </r>
        <r>
          <rPr>
            <sz val="9"/>
            <color indexed="81"/>
            <rFont val="Tahoma"/>
            <family val="2"/>
          </rPr>
          <t xml:space="preserve">
ALTA DE CLIENTE 14-ABRIL-2025
COMODATO
INSTALACION $550.00
MENSUALIDAD $300.00</t>
        </r>
      </text>
    </comment>
    <comment ref="E233" authorId="1" shapeId="0" xr:uid="{00000000-0006-0000-0300-000009010000}">
      <text>
        <r>
          <rPr>
            <b/>
            <sz val="9"/>
            <color indexed="81"/>
            <rFont val="Tahoma"/>
            <family val="2"/>
          </rPr>
          <t>PC:</t>
        </r>
        <r>
          <rPr>
            <sz val="9"/>
            <color indexed="81"/>
            <rFont val="Tahoma"/>
            <family val="2"/>
          </rPr>
          <t xml:space="preserve">
ALTA 23-ABRIL-2025
COMODATO
INSTALACION $550.00
MENSUALIDAD $300.00</t>
        </r>
      </text>
    </comment>
    <comment ref="E237" authorId="1" shapeId="0" xr:uid="{00000000-0006-0000-0300-00000A010000}">
      <text>
        <r>
          <rPr>
            <b/>
            <sz val="9"/>
            <color indexed="81"/>
            <rFont val="Tahoma"/>
            <family val="2"/>
          </rPr>
          <t>PC:</t>
        </r>
        <r>
          <rPr>
            <sz val="9"/>
            <color indexed="81"/>
            <rFont val="Tahoma"/>
            <family val="2"/>
          </rPr>
          <t xml:space="preserve">
INGRESA EL 01-FEBRERO-2024
EQUIPO $1,200.00+IVA
MENSUALIDAD $250.00+IVA</t>
        </r>
      </text>
    </comment>
    <comment ref="E238" authorId="1" shapeId="0" xr:uid="{00000000-0006-0000-0300-00000B010000}">
      <text>
        <r>
          <rPr>
            <b/>
            <sz val="9"/>
            <color indexed="81"/>
            <rFont val="Tahoma"/>
            <family val="2"/>
          </rPr>
          <t xml:space="preserve">PC:
</t>
        </r>
        <r>
          <rPr>
            <sz val="10"/>
            <color indexed="81"/>
            <rFont val="Tahoma"/>
            <family val="2"/>
          </rPr>
          <t>INICIA EL 02-MAYO-2023 SR. VICTOR DAMIAN ZAPATA NORIEGA
EQUIPO $1,850.00
MENSUALIDAD $250.00
RE-INGRESO SR. ISMAEL ESCAREÑO  19-OCTUBRE-2024</t>
        </r>
      </text>
    </comment>
    <comment ref="E239" authorId="1" shapeId="0" xr:uid="{00000000-0006-0000-0300-00000C010000}">
      <text>
        <r>
          <rPr>
            <b/>
            <sz val="9"/>
            <color indexed="81"/>
            <rFont val="Tahoma"/>
            <family val="2"/>
          </rPr>
          <t>PC:</t>
        </r>
        <r>
          <rPr>
            <sz val="9"/>
            <color indexed="81"/>
            <rFont val="Tahoma"/>
            <family val="2"/>
          </rPr>
          <t xml:space="preserve">
CLIENTE DE SEPARACIÓN DE CUENTA DEL SR. LUIS BOLAÑOS, SE PONE EN CONTACTO EL 05-MARZO-2024 
MENSUALIDAD $280.00+IVA</t>
        </r>
      </text>
    </comment>
    <comment ref="E240" authorId="1" shapeId="0" xr:uid="{00000000-0006-0000-0300-00000D010000}">
      <text>
        <r>
          <rPr>
            <b/>
            <sz val="9"/>
            <color indexed="81"/>
            <rFont val="Tahoma"/>
            <family val="2"/>
          </rPr>
          <t>PC:</t>
        </r>
        <r>
          <rPr>
            <sz val="9"/>
            <color indexed="81"/>
            <rFont val="Tahoma"/>
            <family val="2"/>
          </rPr>
          <t xml:space="preserve">
CLIENTE MIGRADO DEL SR. EDGAR MURO 
01-NOVIEMBRE-2024
MENSUALIDAD $300.00+IVA
MIGRACION $350.00+IVA</t>
        </r>
      </text>
    </comment>
    <comment ref="E241" authorId="1" shapeId="0" xr:uid="{00000000-0006-0000-0300-00000E010000}">
      <text>
        <r>
          <rPr>
            <b/>
            <sz val="9"/>
            <color indexed="81"/>
            <rFont val="Tahoma"/>
            <family val="2"/>
          </rPr>
          <t>PC:</t>
        </r>
        <r>
          <rPr>
            <sz val="9"/>
            <color indexed="81"/>
            <rFont val="Tahoma"/>
            <family val="2"/>
          </rPr>
          <t xml:space="preserve">
INICIA EL 05-JUNIO-2023
MENSUALIDAD $300.00
EQUIPO $1,850.00</t>
        </r>
      </text>
    </comment>
    <comment ref="E242" authorId="1" shapeId="0" xr:uid="{00000000-0006-0000-0300-00000F010000}">
      <text>
        <r>
          <rPr>
            <b/>
            <sz val="9"/>
            <color indexed="81"/>
            <rFont val="Tahoma"/>
            <family val="2"/>
          </rPr>
          <t>PC:</t>
        </r>
        <r>
          <rPr>
            <sz val="9"/>
            <color indexed="81"/>
            <rFont val="Tahoma"/>
            <family val="2"/>
          </rPr>
          <t xml:space="preserve">
INGRESA EL 04-JUNIO-2024
EQUIPO $2,150.00+IVA
MENSUALIDAD$300.00+IVA
REVISION $650.00+IVA</t>
        </r>
      </text>
    </comment>
    <comment ref="E243" authorId="1" shapeId="0" xr:uid="{00000000-0006-0000-0300-000010010000}">
      <text>
        <r>
          <rPr>
            <b/>
            <sz val="9"/>
            <color indexed="81"/>
            <rFont val="Tahoma"/>
            <family val="2"/>
          </rPr>
          <t>PC:</t>
        </r>
        <r>
          <rPr>
            <sz val="9"/>
            <color indexed="81"/>
            <rFont val="Tahoma"/>
            <family val="2"/>
          </rPr>
          <t xml:space="preserve">
REACTIVACIÓN DE EQUIPO 
14-JUNIO-2024
THERMO
REACTIVACIÓN $650.00
MENSUALIDAD $300.00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Luffi</author>
    <author>PC</author>
    <author>Usuario de Windows</author>
    <author>UBITEC</author>
  </authors>
  <commentList>
    <comment ref="E18" authorId="0" shapeId="0" xr:uid="{00000000-0006-0000-0400-000001000000}">
      <text>
        <r>
          <rPr>
            <b/>
            <sz val="9"/>
            <color indexed="81"/>
            <rFont val="Tahoma"/>
            <family val="2"/>
          </rPr>
          <t>Luffi:</t>
        </r>
        <r>
          <rPr>
            <sz val="9"/>
            <color indexed="81"/>
            <rFont val="Tahoma"/>
            <family val="2"/>
          </rPr>
          <t xml:space="preserve">
</t>
        </r>
        <r>
          <rPr>
            <sz val="10"/>
            <color indexed="81"/>
            <rFont val="Tahoma"/>
            <family val="2"/>
          </rPr>
          <t xml:space="preserve">EQUIPO $1,800.00
MENDUALIDAD $300.00
REVISIONES $500.00
RE-INSTALACION $500.00
CAMBIA A ESQUEMA DE FACTURACION EL DIA 06-AGOSTO-2024
1er INSTALACION 23-FEB-2021 
5 EQUIPOS 
2da INSTALACION 02-MAR-2021
5 EQUIPO 
</t>
        </r>
        <r>
          <rPr>
            <b/>
            <sz val="10"/>
            <color indexed="81"/>
            <rFont val="Tahoma"/>
            <family val="2"/>
          </rPr>
          <t xml:space="preserve">COBRANZA HASTA ABRIL´2021
</t>
        </r>
        <r>
          <rPr>
            <b/>
            <sz val="10"/>
            <color indexed="10"/>
            <rFont val="Tahoma"/>
            <family val="2"/>
          </rPr>
          <t>*PENDIENTE POR INSTALAR 1 EQUIPO</t>
        </r>
        <r>
          <rPr>
            <sz val="10"/>
            <color indexed="81"/>
            <rFont val="Tahoma"/>
            <family val="2"/>
          </rPr>
          <t xml:space="preserve"> </t>
        </r>
      </text>
    </comment>
    <comment ref="T18" authorId="0" shapeId="0" xr:uid="{00000000-0006-0000-0400-000002000000}">
      <text>
        <r>
          <rPr>
            <b/>
            <sz val="9"/>
            <color indexed="81"/>
            <rFont val="Tahoma"/>
            <family val="2"/>
          </rPr>
          <t>Luffi:</t>
        </r>
        <r>
          <rPr>
            <sz val="9"/>
            <color indexed="81"/>
            <rFont val="Tahoma"/>
            <family val="2"/>
          </rPr>
          <t xml:space="preserve">
REVISION DE UNIDAD $500.00 04-ENERO-2023 
 </t>
        </r>
        <r>
          <rPr>
            <b/>
            <sz val="9"/>
            <color indexed="81"/>
            <rFont val="Tahoma"/>
            <family val="2"/>
          </rPr>
          <t>$450</t>
        </r>
        <r>
          <rPr>
            <sz val="9"/>
            <color indexed="81"/>
            <rFont val="Tahoma"/>
            <family val="2"/>
          </rPr>
          <t xml:space="preserve"> </t>
        </r>
        <r>
          <rPr>
            <sz val="10"/>
            <color indexed="81"/>
            <rFont val="Tahoma"/>
            <family val="2"/>
          </rPr>
          <t>17-MAYO-2021 
Revisión de unidad No. 13 
Manipulación de equipo, desencintado, desconexión de arnés)</t>
        </r>
      </text>
    </comment>
    <comment ref="E19" authorId="0" shapeId="0" xr:uid="{00000000-0006-0000-0400-000003000000}">
      <text>
        <r>
          <rPr>
            <b/>
            <sz val="9"/>
            <color indexed="81"/>
            <rFont val="Tahoma"/>
            <family val="2"/>
          </rPr>
          <t>Luffi:</t>
        </r>
        <r>
          <rPr>
            <sz val="9"/>
            <color indexed="81"/>
            <rFont val="Tahoma"/>
            <family val="2"/>
          </rPr>
          <t xml:space="preserve">
2 EQUIPOS $2,000 + IVA $2,320.00
2 EQUIPO USO RUDO $3,400 + IVA 
4 RENTAS $280 + IVA $324.80
EQUIPO PORTATIL $3,400.00+IVA
MENSUALIDAD $649.60</t>
        </r>
      </text>
    </comment>
    <comment ref="E20" authorId="1" shapeId="0" xr:uid="{00000000-0006-0000-0400-000004000000}">
      <text>
        <r>
          <rPr>
            <b/>
            <sz val="9"/>
            <color indexed="81"/>
            <rFont val="Tahoma"/>
            <family val="2"/>
          </rPr>
          <t>PC:</t>
        </r>
        <r>
          <rPr>
            <sz val="9"/>
            <color indexed="81"/>
            <rFont val="Tahoma"/>
            <family val="2"/>
          </rPr>
          <t xml:space="preserve">
INICA EL 13-MARZO-2023 
COMODATO
INSTALACION $650.00+IVA= $S754.00
MENSUALIDAD $299.00+IVA= $346.84</t>
        </r>
      </text>
    </comment>
    <comment ref="E21" authorId="1" shapeId="0" xr:uid="{00000000-0006-0000-0400-000005000000}">
      <text>
        <r>
          <rPr>
            <b/>
            <sz val="9"/>
            <color indexed="81"/>
            <rFont val="Tahoma"/>
            <family val="2"/>
          </rPr>
          <t>PC:</t>
        </r>
        <r>
          <rPr>
            <sz val="9"/>
            <color indexed="81"/>
            <rFont val="Tahoma"/>
            <family val="2"/>
          </rPr>
          <t xml:space="preserve">
INICIA EL 27-OCTUBRE-2023
COMODATO
INSTALACION $500.00+IVA
MENSUALIDAD $270.00+IVA</t>
        </r>
      </text>
    </comment>
    <comment ref="E22" authorId="1" shapeId="0" xr:uid="{00000000-0006-0000-0400-000006000000}">
      <text>
        <r>
          <rPr>
            <b/>
            <sz val="9"/>
            <color indexed="81"/>
            <rFont val="Tahoma"/>
            <family val="2"/>
          </rPr>
          <t>PC:</t>
        </r>
        <r>
          <rPr>
            <sz val="9"/>
            <color indexed="81"/>
            <rFont val="Tahoma"/>
            <family val="2"/>
          </rPr>
          <t xml:space="preserve">
INSTALACIÓN $650.00+IVA=$754.00
EQUIPOS COMODATOS 
MENSUALIDAD $300.00+IVA=$348.00</t>
        </r>
      </text>
    </comment>
    <comment ref="T22" authorId="1" shapeId="0" xr:uid="{00000000-0006-0000-0400-000007000000}">
      <text>
        <r>
          <rPr>
            <b/>
            <sz val="9"/>
            <color indexed="81"/>
            <rFont val="Tahoma"/>
            <family val="2"/>
          </rPr>
          <t xml:space="preserve">PC:
Instalacion de 3 equipos </t>
        </r>
        <r>
          <rPr>
            <sz val="9"/>
            <color indexed="81"/>
            <rFont val="Tahoma"/>
            <family val="2"/>
          </rPr>
          <t xml:space="preserve">
</t>
        </r>
      </text>
    </comment>
    <comment ref="E23" authorId="1" shapeId="0" xr:uid="{00000000-0006-0000-0400-000008000000}">
      <text>
        <r>
          <rPr>
            <b/>
            <sz val="9"/>
            <color indexed="81"/>
            <rFont val="Tahoma"/>
            <family val="2"/>
          </rPr>
          <t>PC:</t>
        </r>
        <r>
          <rPr>
            <sz val="9"/>
            <color indexed="81"/>
            <rFont val="Tahoma"/>
            <family val="2"/>
          </rPr>
          <t xml:space="preserve">
INICIA EL 15-NOVIEMBRE-2023
EQUIPO $2,200.00+IVA
MENSUALIDAD $250.00+IVA
</t>
        </r>
      </text>
    </comment>
    <comment ref="E24" authorId="1" shapeId="0" xr:uid="{00000000-0006-0000-0400-000009000000}">
      <text>
        <r>
          <rPr>
            <b/>
            <sz val="9"/>
            <color indexed="81"/>
            <rFont val="Tahoma"/>
            <family val="2"/>
          </rPr>
          <t>PC:</t>
        </r>
        <r>
          <rPr>
            <sz val="9"/>
            <color indexed="81"/>
            <rFont val="Tahoma"/>
            <family val="2"/>
          </rPr>
          <t xml:space="preserve">
INGRESA EL 22-MAYO-2024
EQUIPO $1,850.00+IVA
MENSUALIDAD $250.00+IVA
EQUIPO USO RUDO $3,450.00+IVA</t>
        </r>
      </text>
    </comment>
    <comment ref="E25" authorId="1" shapeId="0" xr:uid="{00000000-0006-0000-0400-00000A000000}">
      <text>
        <r>
          <rPr>
            <b/>
            <sz val="9"/>
            <color indexed="81"/>
            <rFont val="Tahoma"/>
            <family val="2"/>
          </rPr>
          <t>PC:</t>
        </r>
        <r>
          <rPr>
            <sz val="9"/>
            <color indexed="81"/>
            <rFont val="Tahoma"/>
            <family val="2"/>
          </rPr>
          <t xml:space="preserve">
INGRESA EL 31-OCTUBRE-2024
EQUIPO $1,850.0+IVA
MENSUALIDAD $300.00+IVA
CAMBIA A ESQUEMA DE FACTURACION 05-FEBRERO-2025</t>
        </r>
      </text>
    </comment>
    <comment ref="E26" authorId="1" shapeId="0" xr:uid="{00000000-0006-0000-0400-00000B000000}">
      <text>
        <r>
          <rPr>
            <b/>
            <sz val="9"/>
            <color indexed="81"/>
            <rFont val="Tahoma"/>
            <family val="2"/>
          </rPr>
          <t>PC:</t>
        </r>
        <r>
          <rPr>
            <sz val="9"/>
            <color indexed="81"/>
            <rFont val="Tahoma"/>
            <family val="2"/>
          </rPr>
          <t xml:space="preserve">
INICA EL 23-NOVIEMBRE-2023
COMODATO
INSTALACION $650.00+IVA
MENSUALIDAD $279.00+IVA
DES-INSTALACION $500.00+IVA
RE-INSTALACION $500.00+IVA</t>
        </r>
      </text>
    </comment>
    <comment ref="E27" authorId="2" shapeId="0" xr:uid="{00000000-0006-0000-0400-00000C000000}">
      <text>
        <r>
          <rPr>
            <b/>
            <sz val="9"/>
            <color indexed="81"/>
            <rFont val="Tahoma"/>
            <family val="2"/>
          </rPr>
          <t>Usuario de Windows:</t>
        </r>
        <r>
          <rPr>
            <sz val="9"/>
            <color indexed="81"/>
            <rFont val="Tahoma"/>
            <family val="2"/>
          </rPr>
          <t xml:space="preserve">
</t>
        </r>
        <r>
          <rPr>
            <b/>
            <sz val="9"/>
            <color indexed="81"/>
            <rFont val="Tahoma"/>
            <family val="2"/>
          </rPr>
          <t xml:space="preserve">ESQUEMA COMODATO
</t>
        </r>
        <r>
          <rPr>
            <sz val="9"/>
            <color indexed="81"/>
            <rFont val="Tahoma"/>
            <family val="2"/>
          </rPr>
          <t xml:space="preserve">INSTALACION $650 + IVA
MENSUALIDAD $280 + IVA
DES-INSTALACION $500.0+IVA
INSTALACIONES 28-FEB-2022 Y 1-MAR-2022
</t>
        </r>
        <r>
          <rPr>
            <b/>
            <sz val="9"/>
            <color indexed="81"/>
            <rFont val="Tahoma"/>
            <family val="2"/>
          </rPr>
          <t>*FACTURADO 01-MAR-2022*</t>
        </r>
      </text>
    </comment>
    <comment ref="E28" authorId="1" shapeId="0" xr:uid="{00000000-0006-0000-0400-00000D000000}">
      <text>
        <r>
          <rPr>
            <b/>
            <sz val="9"/>
            <color indexed="81"/>
            <rFont val="Tahoma"/>
            <family val="2"/>
          </rPr>
          <t>PC:</t>
        </r>
        <r>
          <rPr>
            <sz val="9"/>
            <color indexed="81"/>
            <rFont val="Tahoma"/>
            <family val="2"/>
          </rPr>
          <t xml:space="preserve">
INCIA EL 21-ENERO-2023
1 UNIDAD 
FALTANDO 4 UNIDADES 
COMODATO 
INSTALACIÓN $650.00+IVA=$754.00
MENSUALIDAD $300.00+IVA=$348.00
REVISIONES $650.00+IVA</t>
        </r>
      </text>
    </comment>
    <comment ref="E29" authorId="1" shapeId="0" xr:uid="{00000000-0006-0000-0400-00000E000000}">
      <text>
        <r>
          <rPr>
            <b/>
            <sz val="9"/>
            <color indexed="81"/>
            <rFont val="Tahoma"/>
            <family val="2"/>
          </rPr>
          <t xml:space="preserve">PC:
</t>
        </r>
        <r>
          <rPr>
            <sz val="9"/>
            <color indexed="81"/>
            <rFont val="Tahoma"/>
            <family val="2"/>
          </rPr>
          <t xml:space="preserve">CUENTA SEPARADA DE DEX MATERIALES 06-SEPTIEMBRE-2024
</t>
        </r>
        <r>
          <rPr>
            <b/>
            <sz val="9"/>
            <color indexed="81"/>
            <rFont val="Tahoma"/>
            <family val="2"/>
          </rPr>
          <t xml:space="preserve">PAGO TRIMESTRAL 
MENSUALIDAD $300.00+IVA 
3 MESES $900.00+IVA
</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0" authorId="1" shapeId="0" xr:uid="{00000000-0006-0000-0400-00000F000000}">
      <text>
        <r>
          <rPr>
            <b/>
            <sz val="9"/>
            <color indexed="81"/>
            <rFont val="Tahoma"/>
            <family val="2"/>
          </rPr>
          <t>PC:</t>
        </r>
        <r>
          <rPr>
            <sz val="9"/>
            <color indexed="81"/>
            <rFont val="Tahoma"/>
            <family val="2"/>
          </rPr>
          <t xml:space="preserve">
RENTA 7 $350.00
1 GPS EN PLAN $650.00
1 UNIDAD MAS OCTUBRE
CAMBIO DE RAZON SOCIAL MARZO´2022
SE DIVIDE CUENTA ACERTRANS - SILVIA NERIA - AGOSTO 2023
</t>
        </r>
      </text>
    </comment>
    <comment ref="E31" authorId="1" shapeId="0" xr:uid="{00000000-0006-0000-0400-000010000000}">
      <text>
        <r>
          <rPr>
            <b/>
            <sz val="9"/>
            <color indexed="81"/>
            <rFont val="Tahoma"/>
            <family val="2"/>
          </rPr>
          <t>PC:</t>
        </r>
        <r>
          <rPr>
            <sz val="9"/>
            <color indexed="81"/>
            <rFont val="Tahoma"/>
            <family val="2"/>
          </rPr>
          <t xml:space="preserve">
INICIA EL 26-DICIEMBRE-2023
INSTALACION $650.00+IVA
MENSUALIDAD $250.00+IVA
MICROFONO $399.00
MENSUALIDAD CON MICROFONO $300.00+IVA</t>
        </r>
      </text>
    </comment>
    <comment ref="E32" authorId="1" shapeId="0" xr:uid="{00000000-0006-0000-0400-000011000000}">
      <text>
        <r>
          <rPr>
            <b/>
            <sz val="9"/>
            <color indexed="81"/>
            <rFont val="Tahoma"/>
            <family val="2"/>
          </rPr>
          <t>PC:</t>
        </r>
        <r>
          <rPr>
            <sz val="9"/>
            <color indexed="81"/>
            <rFont val="Tahoma"/>
            <family val="2"/>
          </rPr>
          <t xml:space="preserve">
RE-INGRESA EL 25-NOVIEMBRE-2024
EQUIPO $1,500.00+IVA
MENSUALIDAD $279.00+IVA</t>
        </r>
      </text>
    </comment>
    <comment ref="E33" authorId="1" shapeId="0" xr:uid="{00000000-0006-0000-0400-000012000000}">
      <text>
        <r>
          <rPr>
            <b/>
            <sz val="9"/>
            <color indexed="81"/>
            <rFont val="Tahoma"/>
            <family val="2"/>
          </rPr>
          <t>PC:</t>
        </r>
        <r>
          <rPr>
            <sz val="9"/>
            <color indexed="81"/>
            <rFont val="Tahoma"/>
            <family val="2"/>
          </rPr>
          <t xml:space="preserve">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E34" authorId="1" shapeId="0" xr:uid="{00000000-0006-0000-0400-000013000000}">
      <text>
        <r>
          <rPr>
            <b/>
            <sz val="9"/>
            <color indexed="81"/>
            <rFont val="Tahoma"/>
            <family val="2"/>
          </rPr>
          <t>PC:</t>
        </r>
        <r>
          <rPr>
            <sz val="9"/>
            <color indexed="81"/>
            <rFont val="Tahoma"/>
            <family val="2"/>
          </rPr>
          <t xml:space="preserve">
INGRESA EL 11-MAYO-2024
EQUIPO $1,850.00+IVA
MENSUALIDAD $250.00+IVA
CAMBIA A ESQUEMA DE FACTURACIÓN EL 02-JULIO-2024</t>
        </r>
      </text>
    </comment>
    <comment ref="E35" authorId="0" shapeId="0" xr:uid="{00000000-0006-0000-0400-000014000000}">
      <text>
        <r>
          <rPr>
            <b/>
            <sz val="9"/>
            <color indexed="81"/>
            <rFont val="Tahoma"/>
            <family val="2"/>
          </rPr>
          <t>Luffi:</t>
        </r>
        <r>
          <rPr>
            <sz val="9"/>
            <color indexed="81"/>
            <rFont val="Tahoma"/>
            <family val="2"/>
          </rPr>
          <t xml:space="preserve">
1 EQUIPO $1,850.00
1 RENTA $250.00+ IVA $290.00
</t>
        </r>
        <r>
          <rPr>
            <b/>
            <sz val="9"/>
            <color indexed="81"/>
            <rFont val="Tahoma"/>
            <family val="2"/>
          </rPr>
          <t xml:space="preserve">MENSUALIDAD $290.00 </t>
        </r>
      </text>
    </comment>
    <comment ref="E36" authorId="2" shapeId="0" xr:uid="{00000000-0006-0000-0400-000015000000}">
      <text>
        <r>
          <rPr>
            <b/>
            <sz val="9"/>
            <color indexed="81"/>
            <rFont val="Tahoma"/>
            <family val="2"/>
          </rPr>
          <t>Usuario de Windows:</t>
        </r>
        <r>
          <rPr>
            <sz val="9"/>
            <color indexed="81"/>
            <rFont val="Tahoma"/>
            <family val="2"/>
          </rPr>
          <t xml:space="preserve">
</t>
        </r>
        <r>
          <rPr>
            <b/>
            <sz val="9"/>
            <color indexed="81"/>
            <rFont val="Tahoma"/>
            <family val="2"/>
          </rPr>
          <t xml:space="preserve">5 EQUIPOS COMODATO 
INSTALACION $650 + IVA
MENSUALIDAD $350 + IVA 
03-MAYO-2022 </t>
        </r>
        <r>
          <rPr>
            <sz val="9"/>
            <color indexed="81"/>
            <rFont val="Tahoma"/>
            <family val="2"/>
          </rPr>
          <t xml:space="preserve">DEPOSITO $5,800 
</t>
        </r>
        <r>
          <rPr>
            <b/>
            <sz val="9"/>
            <color indexed="81"/>
            <rFont val="Tahoma"/>
            <family val="2"/>
          </rPr>
          <t xml:space="preserve">INSTALACIONES 
</t>
        </r>
        <r>
          <rPr>
            <sz val="9"/>
            <color indexed="81"/>
            <rFont val="Tahoma"/>
            <family val="2"/>
          </rPr>
          <t xml:space="preserve">09-Mayo-2022 Unidad 02
10-Mayo-2022 Unidad 01, 05 y 03
CAMBIO DE RAZON SOCIAL SINERGIZ - ENDER INDUSTRIAL FEBRERO 2023 
</t>
        </r>
        <r>
          <rPr>
            <b/>
            <sz val="9"/>
            <color indexed="81"/>
            <rFont val="Tahoma"/>
            <family val="2"/>
          </rPr>
          <t>*PENDIENTE POR INSTALAR 1 UNIDAD*</t>
        </r>
      </text>
    </comment>
    <comment ref="T36" authorId="1" shapeId="0" xr:uid="{00000000-0006-0000-0400-000016000000}">
      <text>
        <r>
          <rPr>
            <b/>
            <sz val="9"/>
            <color indexed="81"/>
            <rFont val="Tahoma"/>
            <family val="2"/>
          </rPr>
          <t>PC:</t>
        </r>
        <r>
          <rPr>
            <sz val="9"/>
            <color indexed="81"/>
            <rFont val="Tahoma"/>
            <family val="2"/>
          </rPr>
          <t xml:space="preserve">
Reinstalación Moto 
15-Julio-2022 
Unidad 03 
Placas 91CLJ1</t>
        </r>
      </text>
    </comment>
    <comment ref="E37" authorId="1" shapeId="0" xr:uid="{00000000-0006-0000-0400-000017000000}">
      <text>
        <r>
          <rPr>
            <b/>
            <sz val="9"/>
            <color indexed="81"/>
            <rFont val="Tahoma"/>
            <family val="2"/>
          </rPr>
          <t>PC:</t>
        </r>
        <r>
          <rPr>
            <sz val="9"/>
            <color indexed="81"/>
            <rFont val="Tahoma"/>
            <family val="2"/>
          </rPr>
          <t xml:space="preserve">
INICIA EL 25-ENERO-2024
EQUIPO $2,250.00+IVA
MENSUALIDAD $249.00+IVA</t>
        </r>
      </text>
    </comment>
    <comment ref="E38" authorId="1" shapeId="0" xr:uid="{00000000-0006-0000-0400-000018000000}">
      <text>
        <r>
          <rPr>
            <b/>
            <sz val="9"/>
            <color indexed="81"/>
            <rFont val="Tahoma"/>
            <family val="2"/>
          </rPr>
          <t>PC:</t>
        </r>
        <r>
          <rPr>
            <sz val="9"/>
            <color indexed="81"/>
            <rFont val="Tahoma"/>
            <family val="2"/>
          </rPr>
          <t xml:space="preserve">
INGRESA EL 13-SEPTIEMBRE-2024
COMODATO 
INSTALACION $549.00+IVA
MENSUALIDAD $300.00+IVA</t>
        </r>
      </text>
    </comment>
    <comment ref="E39" authorId="1" shapeId="0" xr:uid="{00000000-0006-0000-0400-000019000000}">
      <text>
        <r>
          <rPr>
            <b/>
            <sz val="9"/>
            <color indexed="81"/>
            <rFont val="Tahoma"/>
            <family val="2"/>
          </rPr>
          <t>PC:</t>
        </r>
        <r>
          <rPr>
            <sz val="9"/>
            <color indexed="81"/>
            <rFont val="Tahoma"/>
            <family val="2"/>
          </rPr>
          <t xml:space="preserve">
MENSUALIDAD $60.00
10 UNIDADES EN JULIO'22
40 UNIDADES EN AGOSTO'22
50 UNIDADES EN SEPT'22
25 UNIDADES EN OCTUBRE'22
10 UNIDADES EN NOVIEMBRE'22
20 UNIDADES EN DICIEMBRE'22
26 UNIDADES EN ENERO'23
26 UNIDADES EN FEBRERO'23
40 UNIDADES EN MARZO'23
28 UNIDADES EN ABRIL'23
25 UNIDADES EN MAYO'23
40 UNIDADES EN JUNIO'23
19 UNIDADES EN JULIO'23
42 UNIDADES EN AGOSTO'23
24 UNIDADES EN SEPT'23
27 UNIDADES EN OCTUBRE'23
26 UNIDADES EN NOVIEMBRE'23
37 UNIDADES EN DICIEMBRE'23
- EN ENERO 2024 SE CAMBIO EL COSTO DE LA MENSUALDIAD A $40.00
- SE LE EMPIEZA A FACTURAR EN FEBRERO 2024
- CAMBIA COSTO DE MENSUALIDAD A $38.80+IVA
19 UNIDADES EN ENERO'24
52 UNIDADES EN FEBRERO'24
17 UNIDADES EN MARZO'24
25 UNIDADES EN ABRIL'24
32 UNIDADES EN MAYO'24
13 UNIDADES EN JUNIO'24
1 UNIDAD EN DICIEMBRE'24</t>
        </r>
      </text>
    </comment>
    <comment ref="T39" authorId="1" shapeId="0" xr:uid="{00000000-0006-0000-0400-00001A000000}">
      <text>
        <r>
          <rPr>
            <b/>
            <sz val="9"/>
            <color indexed="81"/>
            <rFont val="Tahoma"/>
            <family val="2"/>
          </rPr>
          <t>PC:</t>
        </r>
        <r>
          <rPr>
            <sz val="9"/>
            <color indexed="81"/>
            <rFont val="Tahoma"/>
            <family val="2"/>
          </rPr>
          <t xml:space="preserve">
REMISION ADICIONAL POR UNIDADES FALTANTES DE COBRAR 
Saldo de meses arrastrados desde julio'22</t>
        </r>
      </text>
    </comment>
    <comment ref="E40" authorId="1" shapeId="0" xr:uid="{00000000-0006-0000-0400-00001B000000}">
      <text>
        <r>
          <rPr>
            <b/>
            <sz val="9"/>
            <color indexed="81"/>
            <rFont val="Tahoma"/>
            <family val="2"/>
          </rPr>
          <t>PC:</t>
        </r>
        <r>
          <rPr>
            <sz val="9"/>
            <color indexed="81"/>
            <rFont val="Tahoma"/>
            <family val="2"/>
          </rPr>
          <t xml:space="preserve">
INGRESA EL 03-OCTUBRE-2024
COMODATO 
INSTALACION $549.00+IVA
MENSUALIDAD $300.00+IVA</t>
        </r>
      </text>
    </comment>
    <comment ref="E41" authorId="1" shapeId="0" xr:uid="{00000000-0006-0000-0400-00001C000000}">
      <text>
        <r>
          <rPr>
            <b/>
            <sz val="9"/>
            <color indexed="81"/>
            <rFont val="Tahoma"/>
            <family val="2"/>
          </rPr>
          <t>PC:</t>
        </r>
        <r>
          <rPr>
            <sz val="9"/>
            <color indexed="81"/>
            <rFont val="Tahoma"/>
            <family val="2"/>
          </rPr>
          <t xml:space="preserve">
INICA CUENTA DEMO EL 24-FEB-23
INGRESA A LA COBRANZA EL 13-ABRIL-23
INSTALACION $650.00+IVA=$754.00
MENSUALIDAD $320.00+IVA=$371.20
*COMODATO
VISITA EN FALSO $250.00+IVA</t>
        </r>
      </text>
    </comment>
    <comment ref="T41" authorId="1" shapeId="0" xr:uid="{00000000-0006-0000-0400-00001D000000}">
      <text>
        <r>
          <rPr>
            <b/>
            <sz val="9"/>
            <color indexed="81"/>
            <rFont val="Tahoma"/>
            <family val="2"/>
          </rPr>
          <t>PC:</t>
        </r>
        <r>
          <rPr>
            <sz val="9"/>
            <color indexed="81"/>
            <rFont val="Tahoma"/>
            <family val="2"/>
          </rPr>
          <t xml:space="preserve">
INSTALACIONES
PDTES- 5 
$650.00+IVA</t>
        </r>
      </text>
    </comment>
    <comment ref="E42" authorId="1" shapeId="0" xr:uid="{00000000-0006-0000-0400-00001E000000}">
      <text>
        <r>
          <rPr>
            <b/>
            <sz val="9"/>
            <color indexed="81"/>
            <rFont val="Tahoma"/>
            <family val="2"/>
          </rPr>
          <t>PC:</t>
        </r>
        <r>
          <rPr>
            <sz val="9"/>
            <color indexed="81"/>
            <rFont val="Tahoma"/>
            <family val="2"/>
          </rPr>
          <t xml:space="preserve">
INGRESA EL 14-DICIEMBRE-2024
EQUIPO $2,200.00+IVA
MENSUALIDAD $290.00</t>
        </r>
      </text>
    </comment>
    <comment ref="E43" authorId="1" shapeId="0" xr:uid="{00000000-0006-0000-0400-00001F000000}">
      <text>
        <r>
          <rPr>
            <b/>
            <sz val="9"/>
            <color indexed="81"/>
            <rFont val="Tahoma"/>
            <family val="2"/>
          </rPr>
          <t>PC:</t>
        </r>
        <r>
          <rPr>
            <sz val="9"/>
            <color indexed="81"/>
            <rFont val="Tahoma"/>
            <family val="2"/>
          </rPr>
          <t xml:space="preserve">
INGRESA EL 19-OCTUBRE-2024
COMODATO 
INSTALACION $549.00+IVA
MENSUALIDAD $300.00+IVA
NOVIEMBRE 2024 INSTALACION CON DESCUENTO UNICO -30%
INSTALACION $384.30+IVA 
REVISION $650.00+IVA
RE-INSTALACION $500.00+IVA
DES-INSTALACION $500.00+IVA</t>
        </r>
      </text>
    </comment>
    <comment ref="E44" authorId="1" shapeId="0" xr:uid="{00000000-0006-0000-0400-000020000000}">
      <text>
        <r>
          <rPr>
            <b/>
            <sz val="9"/>
            <color indexed="81"/>
            <rFont val="Tahoma"/>
            <family val="2"/>
          </rPr>
          <t>PC:</t>
        </r>
        <r>
          <rPr>
            <sz val="9"/>
            <color indexed="81"/>
            <rFont val="Tahoma"/>
            <family val="2"/>
          </rPr>
          <t xml:space="preserve">
ALTA 14-ENERO-2025 
COMODATO
INSTALACION $549.00+IVA
MENSUALIDAD $279.00+IVA</t>
        </r>
      </text>
    </comment>
    <comment ref="E45" authorId="3" shapeId="0" xr:uid="{00000000-0006-0000-0400-000021000000}">
      <text>
        <r>
          <rPr>
            <b/>
            <sz val="9"/>
            <color indexed="81"/>
            <rFont val="Tahoma"/>
            <family val="2"/>
          </rPr>
          <t>UBITEC:</t>
        </r>
        <r>
          <rPr>
            <sz val="9"/>
            <color indexed="81"/>
            <rFont val="Tahoma"/>
            <family val="2"/>
          </rPr>
          <t xml:space="preserve">
</t>
        </r>
        <r>
          <rPr>
            <sz val="10"/>
            <color indexed="81"/>
            <rFont val="Tahoma"/>
            <family val="2"/>
          </rPr>
          <t xml:space="preserve">EQUIPO $2,300 + IVA $2,668.00
MENSUALIDAD $250.00+ IVA $290.00
</t>
        </r>
        <r>
          <rPr>
            <b/>
            <sz val="10"/>
            <color indexed="81"/>
            <rFont val="Tahoma"/>
            <family val="2"/>
          </rPr>
          <t xml:space="preserve">1er SERVICIO 14-JUN-2022 
</t>
        </r>
        <r>
          <rPr>
            <sz val="10"/>
            <color indexed="81"/>
            <rFont val="Tahoma"/>
            <family val="2"/>
          </rPr>
          <t xml:space="preserve">Instalación 2 unidades </t>
        </r>
        <r>
          <rPr>
            <b/>
            <sz val="10"/>
            <color indexed="81"/>
            <rFont val="Tahoma"/>
            <family val="2"/>
          </rPr>
          <t xml:space="preserve">
2do SERVICIO 17-JUN-2022
</t>
        </r>
        <r>
          <rPr>
            <sz val="10"/>
            <color indexed="81"/>
            <rFont val="Tahoma"/>
            <family val="2"/>
          </rPr>
          <t xml:space="preserve">Instalación 1 unidad
</t>
        </r>
      </text>
    </comment>
    <comment ref="T45" authorId="1" shapeId="0" xr:uid="{00000000-0006-0000-0400-000022000000}">
      <text>
        <r>
          <rPr>
            <b/>
            <sz val="9"/>
            <color indexed="81"/>
            <rFont val="Tahoma"/>
            <family val="2"/>
          </rPr>
          <t>PC:</t>
        </r>
        <r>
          <rPr>
            <sz val="9"/>
            <color indexed="81"/>
            <rFont val="Tahoma"/>
            <family val="2"/>
          </rPr>
          <t xml:space="preserve">
INSTALACIONES 25-NOVIEMBRE-22
EQUIPO $2,300.00+IVA 
MENSUALIDAD PROPORCIONAL $41.66+IVA 
INSTALACIONES 03-DICIEMBRE-22
4 EQUIPOS $2,300.00+IVA 
MENSUALIDAD PROPORCIONAL 27 DÍAS $225.00+IVA </t>
        </r>
      </text>
    </comment>
    <comment ref="E46" authorId="0" shapeId="0" xr:uid="{00000000-0006-0000-0400-000023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7" authorId="0" shapeId="0" xr:uid="{00000000-0006-0000-0400-000024000000}">
      <text>
        <r>
          <rPr>
            <b/>
            <sz val="9"/>
            <color indexed="81"/>
            <rFont val="Tahoma"/>
            <family val="2"/>
          </rPr>
          <t>Luffi:</t>
        </r>
        <r>
          <rPr>
            <sz val="9"/>
            <color indexed="81"/>
            <rFont val="Tahoma"/>
            <family val="2"/>
          </rPr>
          <t xml:space="preserve">
1 EQUIPO $3,000 + IVA  $3,480.00
12 DIAS DE RE NTA $120.00 + IVA 
CAMIONETA DE SR. SANTOS 
MENSUALIDAD $696.00</t>
        </r>
      </text>
    </comment>
    <comment ref="E48" authorId="1" shapeId="0" xr:uid="{00000000-0006-0000-0400-000025000000}">
      <text>
        <r>
          <rPr>
            <b/>
            <sz val="9"/>
            <color indexed="81"/>
            <rFont val="Tahoma"/>
            <family val="2"/>
          </rPr>
          <t>PC:</t>
        </r>
        <r>
          <rPr>
            <sz val="9"/>
            <color indexed="81"/>
            <rFont val="Tahoma"/>
            <family val="2"/>
          </rPr>
          <t xml:space="preserve">
INGRESA EL 07-OCTUBRE-2024 
COMODATO 
INSTALACION $549.00+IVA
MENSUALIDAD $300.00+IVA</t>
        </r>
      </text>
    </comment>
    <comment ref="E49" authorId="1" shapeId="0" xr:uid="{00000000-0006-0000-0400-000026000000}">
      <text>
        <r>
          <rPr>
            <b/>
            <sz val="9"/>
            <color indexed="81"/>
            <rFont val="Tahoma"/>
            <family val="2"/>
          </rPr>
          <t>PC:</t>
        </r>
        <r>
          <rPr>
            <sz val="9"/>
            <color indexed="81"/>
            <rFont val="Tahoma"/>
            <family val="2"/>
          </rPr>
          <t xml:space="preserve">
RE-INSTALACIÓN Y MIGRACIÓN $650.00+IVA
INICIO 03-AGOSTO-22
RENTA $300.00 MENSUAL +IVA </t>
        </r>
      </text>
    </comment>
    <comment ref="E50" authorId="1" shapeId="0" xr:uid="{00000000-0006-0000-0400-000027000000}">
      <text>
        <r>
          <rPr>
            <b/>
            <sz val="9"/>
            <color indexed="81"/>
            <rFont val="Tahoma"/>
            <family val="2"/>
          </rPr>
          <t>PC:</t>
        </r>
        <r>
          <rPr>
            <sz val="9"/>
            <color indexed="81"/>
            <rFont val="Tahoma"/>
            <family val="2"/>
          </rPr>
          <t xml:space="preserve">
ALTA 28-FEBRERO-2025
INGRESA A LA COBRANZA 01-MARZO-2025
EQUIPO $2,200.00+IVA
MENSUALIDAD $250.00+IVA</t>
        </r>
      </text>
    </comment>
    <comment ref="E51" authorId="1" shapeId="0" xr:uid="{00000000-0006-0000-0400-000028000000}">
      <text>
        <r>
          <rPr>
            <b/>
            <sz val="9"/>
            <color indexed="81"/>
            <rFont val="Tahoma"/>
            <family val="2"/>
          </rPr>
          <t>PC:</t>
        </r>
        <r>
          <rPr>
            <sz val="9"/>
            <color indexed="81"/>
            <rFont val="Tahoma"/>
            <family val="2"/>
          </rPr>
          <t xml:space="preserve">
INGRESA EL 16-NOVIEMBRE-2023
EQUIPO $1,950.00+IVA
MENSUALIDAD $300.00+IVA
VIATICOS $1,000.00+IVA</t>
        </r>
      </text>
    </comment>
    <comment ref="E52" authorId="1" shapeId="0" xr:uid="{00000000-0006-0000-0400-000029000000}">
      <text>
        <r>
          <rPr>
            <b/>
            <sz val="9"/>
            <color indexed="81"/>
            <rFont val="Tahoma"/>
            <family val="2"/>
          </rPr>
          <t>PC:</t>
        </r>
        <r>
          <rPr>
            <sz val="9"/>
            <color indexed="81"/>
            <rFont val="Tahoma"/>
            <family val="2"/>
          </rPr>
          <t xml:space="preserve">
INICIA EL 03-MAYO-2023
EQUIPO $1,590.00+IVA
MENSUALIDAD $250.00+IVA</t>
        </r>
      </text>
    </comment>
    <comment ref="E53" authorId="1" shapeId="0" xr:uid="{00000000-0006-0000-0400-00002A000000}">
      <text>
        <r>
          <rPr>
            <b/>
            <sz val="9"/>
            <color indexed="81"/>
            <rFont val="Tahoma"/>
            <family val="2"/>
          </rPr>
          <t>PC:</t>
        </r>
        <r>
          <rPr>
            <sz val="9"/>
            <color indexed="81"/>
            <rFont val="Tahoma"/>
            <family val="2"/>
          </rPr>
          <t xml:space="preserve">
INICIA EL 05-JUNIO-2023
EQUIPO $1,200.00+IVA
MENSUALIDAD $300.00+IVA
</t>
        </r>
      </text>
    </comment>
    <comment ref="C54" authorId="1" shapeId="0" xr:uid="{00000000-0006-0000-0400-00002B000000}">
      <text>
        <r>
          <rPr>
            <b/>
            <sz val="9"/>
            <color indexed="81"/>
            <rFont val="Tahoma"/>
            <family val="2"/>
          </rPr>
          <t>PC:</t>
        </r>
        <r>
          <rPr>
            <sz val="9"/>
            <color indexed="81"/>
            <rFont val="Tahoma"/>
            <family val="2"/>
          </rPr>
          <t xml:space="preserve">
DOMICILIO: CARRETERA ESTATAL LIBRE MIGUEL ALEMAN #2526
PESQUERIA, N.L.
C.P.66650</t>
        </r>
      </text>
    </comment>
    <comment ref="E54" authorId="1" shapeId="0" xr:uid="{00000000-0006-0000-0400-00002C000000}">
      <text>
        <r>
          <rPr>
            <b/>
            <sz val="9"/>
            <color indexed="81"/>
            <rFont val="Tahoma"/>
            <family val="2"/>
          </rPr>
          <t>PC:</t>
        </r>
        <r>
          <rPr>
            <sz val="9"/>
            <color indexed="81"/>
            <rFont val="Tahoma"/>
            <family val="2"/>
          </rPr>
          <t xml:space="preserve">
INSTALACION EQP. MULTIMODAL 5 PUERTOS USO RUDO $2,149.00+IVA= $2,492.84
MENSUALIDAD $349.00+IVA= $404.84
SENSOR DE COMBUSTIBLE DE VARILLA CONFIGURACION INDUCTIVA INSTALACION Y CALIBRACION A 20 LTS $5,450.00+IVA= $6,322.00
1er. INSTALACION 22-DICIEMBRE-2022 
*SE LE COBRA Y FACTURA HASTA EL 04-ENERO-2023</t>
        </r>
      </text>
    </comment>
    <comment ref="T54" authorId="1" shapeId="0" xr:uid="{00000000-0006-0000-0400-00002D000000}">
      <text>
        <r>
          <rPr>
            <b/>
            <sz val="9"/>
            <color indexed="81"/>
            <rFont val="Tahoma"/>
            <family val="2"/>
          </rPr>
          <t>PC:</t>
        </r>
        <r>
          <rPr>
            <sz val="9"/>
            <color indexed="81"/>
            <rFont val="Tahoma"/>
            <family val="2"/>
          </rPr>
          <t xml:space="preserve">
INSTALACION EQP. MULTIMODAL 5 PUERTOS USO RUDO $2,149.00+IVA= $2,492.84
SENSOR DE COMBUSTIBLE DE VARILLA CONFIGURACION INDUCTIVA INSTALACION Y CALIBRACION A 20 LTS $5,450.00+IVA= $6,322.00
INSTALCION 17-FEBRERO-2023 
1 INSTALACION $2,149.00+IVA
1 MENS. $349.00+IVA
</t>
        </r>
      </text>
    </comment>
    <comment ref="AL54" authorId="1" shapeId="0" xr:uid="{00000000-0006-0000-0400-00002E000000}">
      <text>
        <r>
          <rPr>
            <b/>
            <sz val="9"/>
            <color indexed="81"/>
            <rFont val="Tahoma"/>
            <family val="2"/>
          </rPr>
          <t>PC:</t>
        </r>
        <r>
          <rPr>
            <sz val="9"/>
            <color indexed="81"/>
            <rFont val="Tahoma"/>
            <family val="2"/>
          </rPr>
          <t xml:space="preserve">
DEVOLUCIÓN POR PAGO DUPLICADO 
SE ENVIÓ CORREO EL 17-FEB-23 </t>
        </r>
      </text>
    </comment>
    <comment ref="E55" authorId="1" shapeId="0" xr:uid="{00000000-0006-0000-0400-00002F000000}">
      <text>
        <r>
          <rPr>
            <b/>
            <sz val="9"/>
            <color indexed="81"/>
            <rFont val="Tahoma"/>
            <family val="2"/>
          </rPr>
          <t>PC:</t>
        </r>
        <r>
          <rPr>
            <sz val="9"/>
            <color indexed="81"/>
            <rFont val="Tahoma"/>
            <family val="2"/>
          </rPr>
          <t xml:space="preserve">
INGRESA EL 18-SEPTIEMBRE-2024
COMODATO 
INSTALACIÓN $549.00+IVA
MENSUALIDAD $250.00+IVA
SE LE INSTALA EL 24-SEPTIEMBRE-2024 
04 UNIDADES
25-SEPTIEMBRE-2024 05 UNIDADES</t>
        </r>
      </text>
    </comment>
    <comment ref="D56" authorId="0" shapeId="0" xr:uid="{00000000-0006-0000-0400-000030000000}">
      <text>
        <r>
          <rPr>
            <b/>
            <sz val="9"/>
            <color indexed="81"/>
            <rFont val="Tahoma"/>
            <family val="2"/>
          </rPr>
          <t>Luffi:</t>
        </r>
        <r>
          <rPr>
            <sz val="9"/>
            <color indexed="81"/>
            <rFont val="Tahoma"/>
            <family val="2"/>
          </rPr>
          <t xml:space="preserve">
Ricardo Gonzalez 818 029 3441
</t>
        </r>
        <r>
          <rPr>
            <b/>
            <sz val="9"/>
            <color indexed="10"/>
            <rFont val="Tahoma"/>
            <family val="2"/>
          </rPr>
          <t xml:space="preserve">ricardo.g@quinexus.mx; ricardo.g@quimbo.mx
</t>
        </r>
        <r>
          <rPr>
            <b/>
            <sz val="9"/>
            <color indexed="81"/>
            <rFont val="Tahoma"/>
            <family val="2"/>
          </rPr>
          <t xml:space="preserve">
</t>
        </r>
        <r>
          <rPr>
            <sz val="9"/>
            <color indexed="81"/>
            <rFont val="Tahoma"/>
            <family val="2"/>
          </rPr>
          <t>Arely López</t>
        </r>
        <r>
          <rPr>
            <sz val="9"/>
            <color indexed="10"/>
            <rFont val="Tahoma"/>
            <family val="2"/>
          </rPr>
          <t xml:space="preserve"> </t>
        </r>
        <r>
          <rPr>
            <sz val="9"/>
            <color indexed="81"/>
            <rFont val="Tahoma"/>
            <family val="2"/>
          </rPr>
          <t xml:space="preserve">811 499 1431
</t>
        </r>
        <r>
          <rPr>
            <b/>
            <sz val="9"/>
            <color indexed="10"/>
            <rFont val="Tahoma"/>
            <family val="2"/>
          </rPr>
          <t>arely.lr@quinexus.mx;</t>
        </r>
        <r>
          <rPr>
            <b/>
            <sz val="9"/>
            <color indexed="81"/>
            <rFont val="Tahoma"/>
            <family val="2"/>
          </rPr>
          <t xml:space="preserve"> 
</t>
        </r>
        <r>
          <rPr>
            <sz val="9"/>
            <color indexed="81"/>
            <rFont val="Tahoma"/>
            <family val="2"/>
          </rPr>
          <t xml:space="preserve">Juan Carlos 818 280 5631 
</t>
        </r>
        <r>
          <rPr>
            <b/>
            <sz val="9"/>
            <color indexed="10"/>
            <rFont val="Tahoma"/>
            <family val="2"/>
          </rPr>
          <t>juan.cf@quinexus.mx</t>
        </r>
        <r>
          <rPr>
            <b/>
            <sz val="9"/>
            <color indexed="81"/>
            <rFont val="Tahoma"/>
            <family val="2"/>
          </rPr>
          <t xml:space="preserve"> </t>
        </r>
      </text>
    </comment>
    <comment ref="E56" authorId="0" shapeId="0" xr:uid="{00000000-0006-0000-0400-000031000000}">
      <text>
        <r>
          <rPr>
            <b/>
            <sz val="9"/>
            <color indexed="81"/>
            <rFont val="Tahoma"/>
            <family val="2"/>
          </rPr>
          <t>Luffi:</t>
        </r>
        <r>
          <rPr>
            <sz val="9"/>
            <color indexed="81"/>
            <rFont val="Tahoma"/>
            <family val="2"/>
          </rPr>
          <t xml:space="preserve">
</t>
        </r>
        <r>
          <rPr>
            <sz val="10"/>
            <color indexed="81"/>
            <rFont val="Tahoma"/>
            <family val="2"/>
          </rPr>
          <t>RENTA $220.00
26 UNIDADES</t>
        </r>
      </text>
    </comment>
    <comment ref="N56" authorId="1" shapeId="0" xr:uid="{00000000-0006-0000-0400-000032000000}">
      <text>
        <r>
          <rPr>
            <b/>
            <sz val="9"/>
            <color indexed="81"/>
            <rFont val="Tahoma"/>
            <family val="2"/>
          </rPr>
          <t>PC:</t>
        </r>
        <r>
          <rPr>
            <sz val="9"/>
            <color indexed="81"/>
            <rFont val="Tahoma"/>
            <family val="2"/>
          </rPr>
          <t xml:space="preserve">
REMISION 61
</t>
        </r>
      </text>
    </comment>
    <comment ref="T56" authorId="0" shapeId="0" xr:uid="{00000000-0006-0000-0400-000033000000}">
      <text>
        <r>
          <rPr>
            <b/>
            <sz val="9"/>
            <color indexed="81"/>
            <rFont val="Tahoma"/>
            <family val="2"/>
          </rPr>
          <t>Luffi:</t>
        </r>
        <r>
          <rPr>
            <sz val="9"/>
            <color indexed="81"/>
            <rFont val="Tahoma"/>
            <family val="2"/>
          </rPr>
          <t xml:space="preserve">
REMISION 66 ENERO'22
REMISION 64 NOV-22 $32,012.00
13 INSTALACION
7 DES-INSTALACION
7-RE-INSTALACION
2 VISITA EN FALSO 
REMISION 60 02-JULIO-2022
$33,632.00
18 INSTALSACIONES
3 DES-INSTALACIONES 
1 RE-INSTALACION 
</t>
        </r>
        <r>
          <rPr>
            <sz val="10"/>
            <color indexed="81"/>
            <rFont val="Tahoma"/>
            <family val="2"/>
          </rPr>
          <t xml:space="preserve">
</t>
        </r>
      </text>
    </comment>
    <comment ref="U56" authorId="0" shapeId="0" xr:uid="{00000000-0006-0000-0400-000034000000}">
      <text>
        <r>
          <rPr>
            <b/>
            <sz val="9"/>
            <color indexed="81"/>
            <rFont val="Tahoma"/>
            <family val="2"/>
          </rPr>
          <t>Luffi:</t>
        </r>
        <r>
          <rPr>
            <sz val="9"/>
            <color indexed="81"/>
            <rFont val="Tahoma"/>
            <family val="2"/>
          </rPr>
          <t xml:space="preserve">
</t>
        </r>
        <r>
          <rPr>
            <sz val="10"/>
            <color indexed="81"/>
            <rFont val="Tahoma"/>
            <family val="2"/>
          </rPr>
          <t>29-JULIO-20 $3,448.00
10-AGOSTO-20 $5,940.00</t>
        </r>
      </text>
    </comment>
    <comment ref="E57" authorId="0" shapeId="0" xr:uid="{00000000-0006-0000-0400-000035000000}">
      <text>
        <r>
          <rPr>
            <b/>
            <sz val="9"/>
            <color indexed="81"/>
            <rFont val="Tahoma"/>
            <family val="2"/>
          </rPr>
          <t>Luffi:</t>
        </r>
        <r>
          <rPr>
            <sz val="9"/>
            <color indexed="81"/>
            <rFont val="Tahoma"/>
            <family val="2"/>
          </rPr>
          <t xml:space="preserve">
3 EQUIPOS $1,999.00 + IVA $2,318.84
4 RENTA $330.00 + IVA $382.80
CON CANAL DE VOZ
MENSUALIDAD $1,531.20</t>
        </r>
      </text>
    </comment>
    <comment ref="E58" authorId="1" shapeId="0" xr:uid="{00000000-0006-0000-0400-000036000000}">
      <text>
        <r>
          <rPr>
            <b/>
            <sz val="9"/>
            <color indexed="81"/>
            <rFont val="Tahoma"/>
            <family val="2"/>
          </rPr>
          <t>PC:</t>
        </r>
        <r>
          <rPr>
            <sz val="9"/>
            <color indexed="81"/>
            <rFont val="Tahoma"/>
            <family val="2"/>
          </rPr>
          <t xml:space="preserve">
INGRESA EL 07-MARZO-2025
FINANCIAMENTO 12 MESES QUIPO DASHCAM E INSTALACION GPS (PAGO INICIAL) $2,500.00+IVA
MENSUALIDAD DASH CAM $799.00+IVA
FINANCIAMENTO EQUIPO DASHCAM 11 MENS. DE $481.00+IVA</t>
        </r>
      </text>
    </comment>
    <comment ref="E59" authorId="1" shapeId="0" xr:uid="{00000000-0006-0000-0400-000037000000}">
      <text>
        <r>
          <rPr>
            <b/>
            <sz val="9"/>
            <color indexed="81"/>
            <rFont val="Tahoma"/>
            <family val="2"/>
          </rPr>
          <t>PC:</t>
        </r>
        <r>
          <rPr>
            <sz val="9"/>
            <color indexed="81"/>
            <rFont val="Tahoma"/>
            <family val="2"/>
          </rPr>
          <t xml:space="preserve">
INGRESA EL 26-ABRIL-2024 
EQUIPO $3,500.00+IVA
MENSUALIDAD $300.00+IVA
SENSOR DE DIESEL PRIMARIO $8,500.00+IVA
SENSOR DE DIESEL SECUNDARIO $8,000.00+IVA</t>
        </r>
      </text>
    </comment>
    <comment ref="E60" authorId="0" shapeId="0" xr:uid="{00000000-0006-0000-0400-000038000000}">
      <text>
        <r>
          <rPr>
            <b/>
            <sz val="9"/>
            <color indexed="81"/>
            <rFont val="Tahoma"/>
            <family val="2"/>
          </rPr>
          <t>Luffi:</t>
        </r>
        <r>
          <rPr>
            <sz val="9"/>
            <color indexed="81"/>
            <rFont val="Tahoma"/>
            <family val="2"/>
          </rPr>
          <t xml:space="preserve">
</t>
        </r>
        <r>
          <rPr>
            <sz val="10"/>
            <color indexed="81"/>
            <rFont val="Tahoma"/>
            <family val="2"/>
          </rPr>
          <t>EQ. $1,800
MEN $300
2do EQUIPO COMPRADO 17-DIC-2020 
3er EQUIPO COMPRADO 30-ENE-2021</t>
        </r>
      </text>
    </comment>
    <comment ref="E61" authorId="1" shapeId="0" xr:uid="{00000000-0006-0000-0400-000039000000}">
      <text>
        <r>
          <rPr>
            <b/>
            <sz val="9"/>
            <color indexed="81"/>
            <rFont val="Tahoma"/>
            <family val="2"/>
          </rPr>
          <t>PC:</t>
        </r>
        <r>
          <rPr>
            <sz val="9"/>
            <color indexed="81"/>
            <rFont val="Tahoma"/>
            <family val="2"/>
          </rPr>
          <t xml:space="preserve">
INICA EL 11-NOVIEMBRE-2023
EQUIPO $2,100.00+IVA
MENSUALIDAD $330.00+IVA</t>
        </r>
      </text>
    </comment>
    <comment ref="E62" authorId="1" shapeId="0" xr:uid="{00000000-0006-0000-0400-00003A000000}">
      <text>
        <r>
          <rPr>
            <sz val="9"/>
            <color indexed="81"/>
            <rFont val="Tahoma"/>
            <family val="2"/>
          </rPr>
          <t xml:space="preserve">INICIA 19 NOVIEMBRE'2022 
+COMODATO 
MENSUALIDAD $289.00+IVA 
INSTALACION $500.00+IVA </t>
        </r>
      </text>
    </comment>
    <comment ref="T62" authorId="1" shapeId="0" xr:uid="{00000000-0006-0000-0400-00003B000000}">
      <text>
        <r>
          <rPr>
            <b/>
            <sz val="9"/>
            <color indexed="81"/>
            <rFont val="Tahoma"/>
            <family val="2"/>
          </rPr>
          <t xml:space="preserve">PC:
</t>
        </r>
        <r>
          <rPr>
            <sz val="9"/>
            <color indexed="81"/>
            <rFont val="Tahoma"/>
            <family val="2"/>
          </rPr>
          <t>INSTALACION 09-FEB-2023 $500.00+IVA 
MENS. PROP. $202.30+IVA (21 DIAS $9.63 C/U) 
MENSUALIDAD PROPORCIONAL INSTALACIONES 19 NOV 2022 
11 DÍAS $105.96+IVA= $1,059.66</t>
        </r>
      </text>
    </comment>
    <comment ref="E63" authorId="1" shapeId="0" xr:uid="{00000000-0006-0000-0400-00003C000000}">
      <text>
        <r>
          <rPr>
            <b/>
            <sz val="9"/>
            <color indexed="81"/>
            <rFont val="Tahoma"/>
            <family val="2"/>
          </rPr>
          <t>PC:</t>
        </r>
        <r>
          <rPr>
            <sz val="9"/>
            <color indexed="81"/>
            <rFont val="Tahoma"/>
            <family val="2"/>
          </rPr>
          <t xml:space="preserve">
INGRESA EL 30-SEPTIEMBRE-2023
EQUIPO $1,850.00+IVA
MENSUALIDAD $300.00+IVA</t>
        </r>
      </text>
    </comment>
    <comment ref="E64" authorId="1" shapeId="0" xr:uid="{00000000-0006-0000-0400-00003D000000}">
      <text>
        <r>
          <rPr>
            <b/>
            <sz val="9"/>
            <color indexed="81"/>
            <rFont val="Tahoma"/>
            <family val="2"/>
          </rPr>
          <t>PC:</t>
        </r>
        <r>
          <rPr>
            <sz val="9"/>
            <color indexed="81"/>
            <rFont val="Tahoma"/>
            <family val="2"/>
          </rPr>
          <t xml:space="preserve">
INGRESA EL 21-OCTUBRE-2024
EQUIPO $1,850.00+IVA
MENSUALIDAD $200.00+IVA
REVISION, RECONFIGURACION Y REACTIVACION DE EQUIPO Y CUENTA $1,000.00+IVA</t>
        </r>
      </text>
    </comment>
    <comment ref="E65" authorId="1" shapeId="0" xr:uid="{00000000-0006-0000-0400-00003E000000}">
      <text>
        <r>
          <rPr>
            <b/>
            <sz val="9"/>
            <color indexed="81"/>
            <rFont val="Tahoma"/>
            <family val="2"/>
          </rPr>
          <t>PC:</t>
        </r>
        <r>
          <rPr>
            <sz val="9"/>
            <color indexed="81"/>
            <rFont val="Tahoma"/>
            <family val="2"/>
          </rPr>
          <t xml:space="preserve">
RE-INGRESO 05-DICIEMBRE-2024
EQUIPO $1,989.00+IVA
MENSUALIDAD $300.00+IVA</t>
        </r>
      </text>
    </comment>
    <comment ref="E66" authorId="1" shapeId="0" xr:uid="{00000000-0006-0000-0400-00003F000000}">
      <text>
        <r>
          <rPr>
            <b/>
            <sz val="9"/>
            <color indexed="81"/>
            <rFont val="Tahoma"/>
            <family val="2"/>
          </rPr>
          <t>PC:</t>
        </r>
        <r>
          <rPr>
            <sz val="9"/>
            <color indexed="81"/>
            <rFont val="Tahoma"/>
            <family val="2"/>
          </rPr>
          <t xml:space="preserve">
INGRESA EL 21-NOVIEMBRE-2024 
EQUIPO $2,000.00+IVA
MENSUALIDAD $250.00+IVA</t>
        </r>
      </text>
    </comment>
    <comment ref="E67" authorId="1" shapeId="0" xr:uid="{00000000-0006-0000-0400-000040000000}">
      <text>
        <r>
          <rPr>
            <b/>
            <sz val="9"/>
            <color indexed="81"/>
            <rFont val="Tahoma"/>
            <family val="2"/>
          </rPr>
          <t>PC:</t>
        </r>
        <r>
          <rPr>
            <sz val="9"/>
            <color indexed="81"/>
            <rFont val="Tahoma"/>
            <family val="2"/>
          </rPr>
          <t xml:space="preserve">
INGRESA EL 09-DICIEMBRE-2024   (RECOMENDADO DE ALBERTO PEREZ) 
EQUIPO $1,800.00+IVA
MENSUALIDAD $300.00+IVA</t>
        </r>
      </text>
    </comment>
    <comment ref="E68" authorId="1" shapeId="0" xr:uid="{00000000-0006-0000-0400-000041000000}">
      <text>
        <r>
          <rPr>
            <b/>
            <sz val="9"/>
            <color indexed="81"/>
            <rFont val="Tahoma"/>
            <family val="2"/>
          </rPr>
          <t>PC:</t>
        </r>
        <r>
          <rPr>
            <sz val="9"/>
            <color indexed="81"/>
            <rFont val="Tahoma"/>
            <family val="2"/>
          </rPr>
          <t xml:space="preserve">
INICIA EL 24-MAYO-2023 
EQUIPO  $1,879.00+IVA=$2,179.64
MENSUALIDAD  $249.00+IVA=$288.84</t>
        </r>
      </text>
    </comment>
    <comment ref="E69" authorId="1" shapeId="0" xr:uid="{00000000-0006-0000-0400-000042000000}">
      <text>
        <r>
          <rPr>
            <b/>
            <sz val="9"/>
            <color indexed="81"/>
            <rFont val="Tahoma"/>
            <family val="2"/>
          </rPr>
          <t>PC:</t>
        </r>
        <r>
          <rPr>
            <sz val="9"/>
            <color indexed="81"/>
            <rFont val="Tahoma"/>
            <family val="2"/>
          </rPr>
          <t xml:space="preserve">
INICIA EL 02-MARZO-2023 
EQUIPO $1,724+IVA=$1,999.84
MENSUALIDAD $249.00+IVA=$288.84</t>
        </r>
      </text>
    </comment>
    <comment ref="E70" authorId="0" shapeId="0" xr:uid="{00000000-0006-0000-0400-000043000000}">
      <text>
        <r>
          <rPr>
            <b/>
            <sz val="9"/>
            <color indexed="81"/>
            <rFont val="Tahoma"/>
            <family val="2"/>
          </rPr>
          <t>Luffi:</t>
        </r>
        <r>
          <rPr>
            <sz val="9"/>
            <color indexed="81"/>
            <rFont val="Tahoma"/>
            <family val="2"/>
          </rPr>
          <t xml:space="preserve">
1 RENTA $300.00
23-JUNIO-2020
INCLUYE 2 UNIDADES </t>
        </r>
      </text>
    </comment>
    <comment ref="E71" authorId="1" shapeId="0" xr:uid="{00000000-0006-0000-0400-000044000000}">
      <text>
        <r>
          <rPr>
            <b/>
            <sz val="9"/>
            <color indexed="81"/>
            <rFont val="Tahoma"/>
            <family val="2"/>
          </rPr>
          <t>PC:</t>
        </r>
        <r>
          <rPr>
            <sz val="9"/>
            <color indexed="81"/>
            <rFont val="Tahoma"/>
            <family val="2"/>
          </rPr>
          <t xml:space="preserve">
1er INSTALACIÓN 
 22-AGOSTO-2022
Equipo: $1,800.00+IVA 
Renta: $300.00+IVA </t>
        </r>
      </text>
    </comment>
    <comment ref="E72" authorId="1" shapeId="0" xr:uid="{00000000-0006-0000-0400-000045000000}">
      <text>
        <r>
          <rPr>
            <b/>
            <sz val="9"/>
            <color indexed="81"/>
            <rFont val="Tahoma"/>
            <family val="2"/>
          </rPr>
          <t>PC:</t>
        </r>
        <r>
          <rPr>
            <sz val="9"/>
            <color indexed="81"/>
            <rFont val="Tahoma"/>
            <family val="2"/>
          </rPr>
          <t xml:space="preserve">
</t>
        </r>
        <r>
          <rPr>
            <b/>
            <sz val="9"/>
            <color indexed="81"/>
            <rFont val="Tahoma"/>
            <family val="2"/>
          </rPr>
          <t>INICA EL 24-JULIO-2023
MIGRADO DE BDB 
REACTIVACION $350.00+IVA
EQUIPO $1,800.00+IVA
MENSUALIDAD $250.00+IVA</t>
        </r>
      </text>
    </comment>
    <comment ref="E73" authorId="1" shapeId="0" xr:uid="{00000000-0006-0000-0400-000046000000}">
      <text>
        <r>
          <rPr>
            <b/>
            <sz val="9"/>
            <color indexed="81"/>
            <rFont val="Tahoma"/>
            <family val="2"/>
          </rPr>
          <t>PC:</t>
        </r>
        <r>
          <rPr>
            <sz val="9"/>
            <color indexed="81"/>
            <rFont val="Tahoma"/>
            <family val="2"/>
          </rPr>
          <t xml:space="preserve">
INGRESA EL 10-JULIO-2023
EQUIPO $1,850.00
MENSUALIDAD $250.00</t>
        </r>
      </text>
    </comment>
    <comment ref="E74" authorId="1" shapeId="0" xr:uid="{00000000-0006-0000-0400-000047000000}">
      <text>
        <r>
          <rPr>
            <b/>
            <sz val="9"/>
            <color indexed="81"/>
            <rFont val="Tahoma"/>
            <family val="2"/>
          </rPr>
          <t>PC:</t>
        </r>
        <r>
          <rPr>
            <sz val="9"/>
            <color indexed="81"/>
            <rFont val="Tahoma"/>
            <family val="2"/>
          </rPr>
          <t xml:space="preserve">
INICIA EL 07-MARZO-2024
EQUIPO $2,250.00+IVA
MENSUALIDAD CON CANAL DE VOZ $300.00+IVA</t>
        </r>
      </text>
    </comment>
    <comment ref="E75" authorId="1" shapeId="0" xr:uid="{00000000-0006-0000-0400-000048000000}">
      <text>
        <r>
          <rPr>
            <b/>
            <sz val="9"/>
            <color indexed="81"/>
            <rFont val="Tahoma"/>
            <family val="2"/>
          </rPr>
          <t>PC:</t>
        </r>
        <r>
          <rPr>
            <sz val="9"/>
            <color indexed="81"/>
            <rFont val="Tahoma"/>
            <family val="2"/>
          </rPr>
          <t xml:space="preserve">
INGRESA EL 09-ABRIL-2024 
COMODATO 
INSTALACION $500.00+IVA
MENSUALIDAD $279.00+IVA</t>
        </r>
      </text>
    </comment>
    <comment ref="E76" authorId="1" shapeId="0" xr:uid="{00000000-0006-0000-0400-000049000000}">
      <text>
        <r>
          <rPr>
            <b/>
            <sz val="9"/>
            <color indexed="81"/>
            <rFont val="Tahoma"/>
            <family val="2"/>
          </rPr>
          <t>PC:</t>
        </r>
        <r>
          <rPr>
            <sz val="9"/>
            <color indexed="81"/>
            <rFont val="Tahoma"/>
            <family val="2"/>
          </rPr>
          <t xml:space="preserve">
INICIA EL 11-NOVIEMBRE.2023
COMODATO
INSTALACION $499.00+IVA
MENSUALIDAD $269.00+IVA
DES-INSTALACION $650.00+IVA</t>
        </r>
      </text>
    </comment>
    <comment ref="T76" authorId="1" shapeId="0" xr:uid="{00000000-0006-0000-0400-00004A000000}">
      <text>
        <r>
          <rPr>
            <b/>
            <sz val="9"/>
            <color indexed="81"/>
            <rFont val="Tahoma"/>
            <family val="2"/>
          </rPr>
          <t>PC:</t>
        </r>
        <r>
          <rPr>
            <sz val="9"/>
            <color indexed="81"/>
            <rFont val="Tahoma"/>
            <family val="2"/>
          </rPr>
          <t xml:space="preserve">
FACTURA 2424 CORRESPONDE A SERVICIO DE DES-INSTALACIONES</t>
        </r>
      </text>
    </comment>
    <comment ref="E77" authorId="1" shapeId="0" xr:uid="{00000000-0006-0000-0400-00004B000000}">
      <text>
        <r>
          <rPr>
            <b/>
            <sz val="9"/>
            <color indexed="81"/>
            <rFont val="Tahoma"/>
            <family val="2"/>
          </rPr>
          <t>PC:</t>
        </r>
        <r>
          <rPr>
            <sz val="9"/>
            <color indexed="81"/>
            <rFont val="Tahoma"/>
            <family val="2"/>
          </rPr>
          <t xml:space="preserve">
RE-INGRESO 04-AGOSTO-2022 
MENSUALIDAD $289.00+IVA 
EQUIPO $2,000.00+IVA INSTALACION DE EQUIPO $361.00+IVA 
REVISON $300.00+IVA=$348.00
FACTURAS PENDIENTES JUNIO'2020 </t>
        </r>
      </text>
    </comment>
    <comment ref="T77" authorId="1" shapeId="0" xr:uid="{00000000-0006-0000-0400-00004C000000}">
      <text>
        <r>
          <rPr>
            <b/>
            <sz val="9"/>
            <color indexed="81"/>
            <rFont val="Tahoma"/>
            <family val="2"/>
          </rPr>
          <t>PC:</t>
        </r>
        <r>
          <rPr>
            <sz val="9"/>
            <color indexed="81"/>
            <rFont val="Tahoma"/>
            <family val="2"/>
          </rPr>
          <t xml:space="preserve">
INSTALACION DE 2 EQUIPOS 04-AGOSTO-22 
ABONO A FACTURAS JUNIO'20 $968.00</t>
        </r>
      </text>
    </comment>
    <comment ref="E78" authorId="0" shapeId="0" xr:uid="{00000000-0006-0000-0400-00004D000000}">
      <text>
        <r>
          <rPr>
            <b/>
            <sz val="9"/>
            <color indexed="81"/>
            <rFont val="Tahoma"/>
            <family val="2"/>
          </rPr>
          <t>Luffi:</t>
        </r>
        <r>
          <rPr>
            <sz val="9"/>
            <color indexed="81"/>
            <rFont val="Tahoma"/>
            <family val="2"/>
          </rPr>
          <t xml:space="preserve">
MAR´2021
11 EQUIPOS COMODATO Y MONITOREO DE COMBUSTIBLE $406
UNIDADES: ECO 08, 09, 10, 11, 12, 14, 15, 16, 17 y No. 1 y 2
04 EQUIPOS COMODATO $348
UNIDADES: No. 3, 4, 6 y TOYOTA YARIS 
FEB´2021
11 EQUIPOS COMODATO Y MONITOREO DE COMBUSTIBLE $406
03 EQUIPO COMODATO $348 
11 MENSUALIDAD FIJA POR $350 + IVA = $406.00 
04 MENSUALIDAD FIJA POR $300 + IVA = $348.00 
INSTALACION $500 + IVA $580.00 C/U
MENSUALIDAD SIN SENSOR $300 + IVA $348.00 C/U
MENSUALIDAD CON SENSOR $350 + IVA $406.00 C/U
SENSORES COMBUSTIBLE $5,600 + IVA $6,496.00 C/U</t>
        </r>
      </text>
    </comment>
    <comment ref="T78" authorId="1" shapeId="0" xr:uid="{00000000-0006-0000-0400-00004E000000}">
      <text>
        <r>
          <rPr>
            <b/>
            <sz val="9"/>
            <color indexed="81"/>
            <rFont val="Tahoma"/>
            <family val="2"/>
          </rPr>
          <t>PC:</t>
        </r>
        <r>
          <rPr>
            <sz val="9"/>
            <color indexed="81"/>
            <rFont val="Tahoma"/>
            <family val="2"/>
          </rPr>
          <t xml:space="preserve">
COBRO DE RE-INSTALACIÓN POR MANIPULACIÓN 
26-AGOSTO-22
UNIDAD 07 Y UNIDAD 11  
650+IVA</t>
        </r>
      </text>
    </comment>
    <comment ref="E79" authorId="1" shapeId="0" xr:uid="{00000000-0006-0000-0400-00004F000000}">
      <text>
        <r>
          <rPr>
            <b/>
            <sz val="9"/>
            <color indexed="81"/>
            <rFont val="Tahoma"/>
            <family val="2"/>
          </rPr>
          <t>PC:</t>
        </r>
        <r>
          <rPr>
            <sz val="9"/>
            <color indexed="81"/>
            <rFont val="Tahoma"/>
            <family val="2"/>
          </rPr>
          <t xml:space="preserve">
INGRESA EL 13-SEPTIEMBRE-2024
COMODATO
INSTALACIÓN $549.00+IVA
MENSUALIDAD $300.00+IVA
CAMBIA A ESQUEMA DE FACTURACION 05-FEBRERO-2025 A NOMBRE DE NORMA LETICIA GONZALEZ VAZQUEZ</t>
        </r>
      </text>
    </comment>
    <comment ref="E80" authorId="1" shapeId="0" xr:uid="{00000000-0006-0000-0400-000050000000}">
      <text>
        <r>
          <rPr>
            <b/>
            <sz val="9"/>
            <color indexed="81"/>
            <rFont val="Tahoma"/>
            <family val="2"/>
          </rPr>
          <t>PC:</t>
        </r>
        <r>
          <rPr>
            <sz val="9"/>
            <color indexed="81"/>
            <rFont val="Tahoma"/>
            <family val="2"/>
          </rPr>
          <t xml:space="preserve">
INGRESA EL 25-SEPTIEMBRE-2024
COMODATO
INSTALACIÓN $549.00+IVA
MENSUALIDAD $300.00+IVA</t>
        </r>
      </text>
    </comment>
    <comment ref="E81" authorId="0" shapeId="0" xr:uid="{00000000-0006-0000-0400-000051000000}">
      <text>
        <r>
          <rPr>
            <b/>
            <sz val="9"/>
            <color indexed="81"/>
            <rFont val="Tahoma"/>
            <family val="2"/>
          </rPr>
          <t>Luffi:</t>
        </r>
        <r>
          <rPr>
            <sz val="9"/>
            <color indexed="81"/>
            <rFont val="Tahoma"/>
            <family val="2"/>
          </rPr>
          <t xml:space="preserve">
MEN $300.00
EQUIPO $1,800</t>
        </r>
      </text>
    </comment>
    <comment ref="T81" authorId="0" shapeId="0" xr:uid="{00000000-0006-0000-0400-000052000000}">
      <text>
        <r>
          <rPr>
            <b/>
            <sz val="9"/>
            <color indexed="81"/>
            <rFont val="Tahoma"/>
            <family val="2"/>
          </rPr>
          <t>Luffi:</t>
        </r>
        <r>
          <rPr>
            <sz val="9"/>
            <color indexed="81"/>
            <rFont val="Tahoma"/>
            <family val="2"/>
          </rPr>
          <t xml:space="preserve">
</t>
        </r>
        <r>
          <rPr>
            <b/>
            <sz val="9"/>
            <color indexed="81"/>
            <rFont val="Tahoma"/>
            <family val="2"/>
          </rPr>
          <t>20-ENERO-2022</t>
        </r>
        <r>
          <rPr>
            <sz val="9"/>
            <color indexed="81"/>
            <rFont val="Tahoma"/>
            <family val="2"/>
          </rPr>
          <t xml:space="preserve">
DES-INSTALACION Y RE-INSTALACION
(NISSAN RH-55-927 / NISSAN RA-0631-A) 
$1,000.00 + IVA </t>
        </r>
        <r>
          <rPr>
            <b/>
            <sz val="9"/>
            <color indexed="81"/>
            <rFont val="Tahoma"/>
            <family val="2"/>
          </rPr>
          <t>$1,160.00</t>
        </r>
        <r>
          <rPr>
            <sz val="9"/>
            <color indexed="81"/>
            <rFont val="Tahoma"/>
            <family val="2"/>
          </rPr>
          <t xml:space="preserve">
INSTALACION (NISSAN RA-0630-A)
$1,800.00 + IVA </t>
        </r>
        <r>
          <rPr>
            <b/>
            <sz val="9"/>
            <color indexed="81"/>
            <rFont val="Tahoma"/>
            <family val="2"/>
          </rPr>
          <t xml:space="preserve">$2,088.00
31-ENERO-2022
</t>
        </r>
        <r>
          <rPr>
            <sz val="9"/>
            <color indexed="81"/>
            <rFont val="Tahoma"/>
            <family val="2"/>
          </rPr>
          <t xml:space="preserve">DES-INSTALACION Y RE-INSTALACION 
(NISSAN RD-92-855 / NISSAN PW-3723-A)
$1,000.00 + IVA </t>
        </r>
        <r>
          <rPr>
            <b/>
            <sz val="9"/>
            <color indexed="81"/>
            <rFont val="Tahoma"/>
            <family val="2"/>
          </rPr>
          <t xml:space="preserve">$1,160.00
</t>
        </r>
        <r>
          <rPr>
            <sz val="9"/>
            <color indexed="81"/>
            <rFont val="Tahoma"/>
            <family val="2"/>
          </rPr>
          <t xml:space="preserve">
INSTALACION (NISSAN RA-0887-A)
$1,800.00 + IVA  </t>
        </r>
        <r>
          <rPr>
            <b/>
            <sz val="9"/>
            <color indexed="81"/>
            <rFont val="Tahoma"/>
            <family val="2"/>
          </rPr>
          <t>$2,088.00</t>
        </r>
      </text>
    </comment>
    <comment ref="E82" authorId="1" shapeId="0" xr:uid="{00000000-0006-0000-0400-000053000000}">
      <text>
        <r>
          <rPr>
            <b/>
            <sz val="9"/>
            <color indexed="81"/>
            <rFont val="Tahoma"/>
            <family val="2"/>
          </rPr>
          <t>PC:</t>
        </r>
        <r>
          <rPr>
            <sz val="9"/>
            <color indexed="81"/>
            <rFont val="Tahoma"/>
            <family val="2"/>
          </rPr>
          <t xml:space="preserve">
INGRESA EL 12-MAYO-2024  
COMODATO
INSTALACION $650.00+IVA
MENSUALIDAD $220.00+IVA</t>
        </r>
      </text>
    </comment>
    <comment ref="E83" authorId="1" shapeId="0" xr:uid="{00000000-0006-0000-0400-000054000000}">
      <text>
        <r>
          <rPr>
            <b/>
            <sz val="9"/>
            <color indexed="81"/>
            <rFont val="Tahoma"/>
            <family val="2"/>
          </rPr>
          <t>PC:</t>
        </r>
        <r>
          <rPr>
            <sz val="9"/>
            <color indexed="81"/>
            <rFont val="Tahoma"/>
            <family val="2"/>
          </rPr>
          <t xml:space="preserve">
INICIA EL 08-SEP-2023
EQUIPO $1,850.00+IVA
MENSUALIDAD $250.00+IVA
</t>
        </r>
      </text>
    </comment>
    <comment ref="E84" authorId="1" shapeId="0" xr:uid="{00000000-0006-0000-0400-000055000000}">
      <text>
        <r>
          <rPr>
            <b/>
            <sz val="9"/>
            <color indexed="81"/>
            <rFont val="Tahoma"/>
            <family val="2"/>
          </rPr>
          <t>PC:</t>
        </r>
        <r>
          <rPr>
            <sz val="9"/>
            <color indexed="81"/>
            <rFont val="Tahoma"/>
            <family val="2"/>
          </rPr>
          <t xml:space="preserve">
INGRESA EL 21-OCTUBRE-2024
COMODATO
INSTALACION $549.00+IVA
MENSUALIDAD $300.00+IVA</t>
        </r>
      </text>
    </comment>
    <comment ref="E85" authorId="1" shapeId="0" xr:uid="{00000000-0006-0000-0400-000056000000}">
      <text>
        <r>
          <rPr>
            <b/>
            <sz val="9"/>
            <color indexed="81"/>
            <rFont val="Tahoma"/>
            <family val="2"/>
          </rPr>
          <t>PC:</t>
        </r>
        <r>
          <rPr>
            <sz val="9"/>
            <color indexed="81"/>
            <rFont val="Tahoma"/>
            <family val="2"/>
          </rPr>
          <t xml:space="preserve">
INGRESA EL 12-ENERO-2024
SE LE INSTALA EL 15-ENERO-2024
EQUIPO E INST. $2,550.00+IVA
MENSUALIDAD $300.00+IVA</t>
        </r>
      </text>
    </comment>
    <comment ref="E86" authorId="1" shapeId="0" xr:uid="{00000000-0006-0000-0400-000057000000}">
      <text>
        <r>
          <rPr>
            <b/>
            <sz val="9"/>
            <color indexed="81"/>
            <rFont val="Tahoma"/>
            <family val="2"/>
          </rPr>
          <t>PC:</t>
        </r>
        <r>
          <rPr>
            <sz val="9"/>
            <color indexed="81"/>
            <rFont val="Tahoma"/>
            <family val="2"/>
          </rPr>
          <t xml:space="preserve">
INGRESA EL 14-SEPTIEMBRE-2024
CAMBIA A ESQUEMA DE FACTURACION 04-MARZO-2025
COMODATO
INSTALACIÓN $549.00
MENSUALIDAD $300.00
</t>
        </r>
      </text>
    </comment>
    <comment ref="E87" authorId="1" shapeId="0" xr:uid="{00000000-0006-0000-0400-000058000000}">
      <text>
        <r>
          <rPr>
            <b/>
            <sz val="9"/>
            <color indexed="81"/>
            <rFont val="Tahoma"/>
            <family val="2"/>
          </rPr>
          <t>PC:</t>
        </r>
        <r>
          <rPr>
            <sz val="9"/>
            <color indexed="81"/>
            <rFont val="Tahoma"/>
            <family val="2"/>
          </rPr>
          <t xml:space="preserve">
INGRESA EL 11-OCTUBRE-2024
COMODATO
INSTALACIÓN $549.00+IVA
MENSUALIDAD $300.00+IVA
VISITA EN FALSO $250.00+IVA</t>
        </r>
      </text>
    </comment>
    <comment ref="E88" authorId="1" shapeId="0" xr:uid="{00000000-0006-0000-0400-000059000000}">
      <text>
        <r>
          <rPr>
            <b/>
            <sz val="9"/>
            <color indexed="81"/>
            <rFont val="Tahoma"/>
            <family val="2"/>
          </rPr>
          <t>PC:</t>
        </r>
        <r>
          <rPr>
            <sz val="9"/>
            <color indexed="81"/>
            <rFont val="Tahoma"/>
            <family val="2"/>
          </rPr>
          <t xml:space="preserve">
INGRESA EL 10-OCTUBRE-2024
COMODATO 
INSTALACION $549.00+IVA
MENSUALIDAD $300.00+IVA</t>
        </r>
      </text>
    </comment>
    <comment ref="E89" authorId="1" shapeId="0" xr:uid="{00000000-0006-0000-0400-00005A000000}">
      <text>
        <r>
          <rPr>
            <b/>
            <sz val="9"/>
            <color indexed="81"/>
            <rFont val="Tahoma"/>
            <family val="2"/>
          </rPr>
          <t>PC:</t>
        </r>
        <r>
          <rPr>
            <sz val="9"/>
            <color indexed="81"/>
            <rFont val="Tahoma"/>
            <family val="2"/>
          </rPr>
          <t xml:space="preserve">
INGRESA EL 10-OCTUBRE-2023
EQUIPO $2,000.00+IVA
MENSUALIDAD $250.00+IVA</t>
        </r>
      </text>
    </comment>
    <comment ref="E90" authorId="1" shapeId="0" xr:uid="{00000000-0006-0000-0400-00005B000000}">
      <text>
        <r>
          <rPr>
            <b/>
            <sz val="9"/>
            <color indexed="81"/>
            <rFont val="Tahoma"/>
            <family val="2"/>
          </rPr>
          <t>PC:</t>
        </r>
        <r>
          <rPr>
            <sz val="9"/>
            <color indexed="81"/>
            <rFont val="Tahoma"/>
            <family val="2"/>
          </rPr>
          <t xml:space="preserve">
INICA EL 13-NOVIEMBRE-2023
EQUIPO $2,200.00+IVA
MENSUALIDAD $250.00+IVA</t>
        </r>
      </text>
    </comment>
    <comment ref="E91" authorId="0" shapeId="0" xr:uid="{00000000-0006-0000-0400-00005C000000}">
      <text>
        <r>
          <rPr>
            <b/>
            <sz val="9"/>
            <color indexed="81"/>
            <rFont val="Tahoma"/>
            <family val="2"/>
          </rPr>
          <t>Luffi:</t>
        </r>
        <r>
          <rPr>
            <sz val="9"/>
            <color indexed="81"/>
            <rFont val="Tahoma"/>
            <family val="2"/>
          </rPr>
          <t xml:space="preserve">
EQUIPO $2,200.00+IVA
MENSUALIDAD 
$250.00 C/U + IVA 
</t>
        </r>
      </text>
    </comment>
    <comment ref="E92" authorId="1" shapeId="0" xr:uid="{00000000-0006-0000-0400-00005D000000}">
      <text>
        <r>
          <rPr>
            <b/>
            <sz val="9"/>
            <color indexed="81"/>
            <rFont val="Tahoma"/>
            <family val="2"/>
          </rPr>
          <t>PC:</t>
        </r>
        <r>
          <rPr>
            <sz val="9"/>
            <color indexed="81"/>
            <rFont val="Tahoma"/>
            <family val="2"/>
          </rPr>
          <t xml:space="preserve">
INICA EL 22-MARZO-2023
EQUIPO: $2,500.00+IVA= $2,900.00
MENSUALIDAD: $350.00+IVA= $406.00
EQUIPO PORTATIL $5,420.00+IVA
REVISION $450.00+IVA
FEBRERO DE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3" authorId="1" shapeId="0" xr:uid="{00000000-0006-0000-0400-00005E000000}">
      <text>
        <r>
          <rPr>
            <b/>
            <sz val="9"/>
            <color indexed="81"/>
            <rFont val="Tahoma"/>
            <family val="2"/>
          </rPr>
          <t>PC:</t>
        </r>
        <r>
          <rPr>
            <sz val="9"/>
            <color indexed="81"/>
            <rFont val="Tahoma"/>
            <family val="2"/>
          </rPr>
          <t xml:space="preserve">
INICA EL 22-MARZO-2023
EQUIPO: $2,500.00+IVA= $2,900.00
MENSUALIDAD: $350.00+IVA= $406.00
FEBRERO 2025 DIVISION DE COBRANZA
UNIDADES SH TRANSPORTACIONES
DRP TRANSPORTES - 04 UNIDADES
12-LBA-05: MERCEDES 21
12-LBA-58: MERCEDES 22
15-LBA-18: MERCEDES 18
RJ-96-171: MERCEDES 17 (43LBA39)
JUAN FRANCISCO SANCHEZ- 08 UNIDADES
SSL-963-A : TOYOTA HAICE
23-LBA-67: MERCEDES 23
29-LBA-39: MERCEDES 24
4409 PORTATIL
4466 PORTATIL
4516 PORTATIL 
4607 PORTATIL 
4748 PORTATIL MERCEDES 25</t>
        </r>
      </text>
    </comment>
    <comment ref="E94" authorId="0" shapeId="0" xr:uid="{00000000-0006-0000-0400-00005F000000}">
      <text>
        <r>
          <rPr>
            <b/>
            <sz val="9"/>
            <color indexed="81"/>
            <rFont val="Tahoma"/>
            <family val="2"/>
          </rPr>
          <t>Luffi:</t>
        </r>
        <r>
          <rPr>
            <sz val="9"/>
            <color indexed="81"/>
            <rFont val="Tahoma"/>
            <family val="2"/>
          </rPr>
          <t xml:space="preserve">
RENTA 7 $350.00
1 GPS EN PLAN $650.00
EQUIPO $1,800.00+IVA
1 UNIDAD MAS OCTUBRE
</t>
        </r>
        <r>
          <rPr>
            <b/>
            <sz val="9"/>
            <color indexed="81"/>
            <rFont val="Tahoma"/>
            <family val="2"/>
          </rPr>
          <t xml:space="preserve">CAMBIO DE RAZON SOCIAL MARZO´2022
SE DIVIDE CUENTA ACERTRANS - SILVIA NERIA - AGOSTO 2023
</t>
        </r>
      </text>
    </comment>
    <comment ref="E95" authorId="1" shapeId="0" xr:uid="{00000000-0006-0000-0400-000060000000}">
      <text>
        <r>
          <rPr>
            <b/>
            <sz val="9"/>
            <color indexed="81"/>
            <rFont val="Tahoma"/>
            <family val="2"/>
          </rPr>
          <t>PC:</t>
        </r>
        <r>
          <rPr>
            <sz val="9"/>
            <color indexed="81"/>
            <rFont val="Tahoma"/>
            <family val="2"/>
          </rPr>
          <t xml:space="preserve">
INGRESA EL  08-ENERO-2025
EQUIPO $1,850.00+IVA
MENSUALIDAD $249.00+IVA</t>
        </r>
      </text>
    </comment>
    <comment ref="E96" authorId="1" shapeId="0" xr:uid="{00000000-0006-0000-0400-000061000000}">
      <text>
        <r>
          <rPr>
            <b/>
            <sz val="9"/>
            <color indexed="81"/>
            <rFont val="Tahoma"/>
            <family val="2"/>
          </rPr>
          <t>PC:</t>
        </r>
        <r>
          <rPr>
            <sz val="9"/>
            <color indexed="81"/>
            <rFont val="Tahoma"/>
            <family val="2"/>
          </rPr>
          <t xml:space="preserve">
INGRESA EL 23-OCTUBRE-2024
COMODATO
INSTALACION $549.00+IVA
MENSUALIDAD $300.00+IVA
SE ENVIAN EQUIPOS EL 30-OCTUBRE-2024 A HIDALGO 
</t>
        </r>
      </text>
    </comment>
    <comment ref="E97" authorId="1" shapeId="0" xr:uid="{00000000-0006-0000-0400-000062000000}">
      <text>
        <r>
          <rPr>
            <b/>
            <sz val="9"/>
            <color indexed="81"/>
            <rFont val="Tahoma"/>
            <family val="2"/>
          </rPr>
          <t>PC:</t>
        </r>
        <r>
          <rPr>
            <sz val="9"/>
            <color indexed="81"/>
            <rFont val="Tahoma"/>
            <family val="2"/>
          </rPr>
          <t xml:space="preserve">
INICIA EL 10-MARZO-2023 
COMODATO 
INSTALACIÓN $650.00+IVA= $754.00
MENSUALIDAD $300.00+IVA= $348.00</t>
        </r>
      </text>
    </comment>
    <comment ref="E98" authorId="1" shapeId="0" xr:uid="{00000000-0006-0000-0400-000063000000}">
      <text>
        <r>
          <rPr>
            <b/>
            <sz val="9"/>
            <color indexed="81"/>
            <rFont val="Tahoma"/>
            <family val="2"/>
          </rPr>
          <t>PC:</t>
        </r>
        <r>
          <rPr>
            <sz val="9"/>
            <color indexed="81"/>
            <rFont val="Tahoma"/>
            <family val="2"/>
          </rPr>
          <t xml:space="preserve">
UNIDADES DE ERNESTO GOMEZ SE LE INSTALA EL 09-ENERO-2025
COMODATO 
INSTALACION $549.0+IVA
MENSUALIDAD $250.00´+IVA</t>
        </r>
      </text>
    </comment>
    <comment ref="E99" authorId="1" shapeId="0" xr:uid="{00000000-0006-0000-0400-000064000000}">
      <text>
        <r>
          <rPr>
            <b/>
            <sz val="9"/>
            <color indexed="81"/>
            <rFont val="Tahoma"/>
            <family val="2"/>
          </rPr>
          <t xml:space="preserve">PC:
</t>
        </r>
        <r>
          <rPr>
            <sz val="9"/>
            <color indexed="81"/>
            <rFont val="Tahoma"/>
            <family val="2"/>
          </rPr>
          <t>INICIA EL 23-NOVIEMBRE-2022 
3 UNIDADES 
EQUIPO E INSTALACIÓN $1,900.00+IVA = "2,204.00
MENSUALIDAD $275.00+IVA= $319.00 
DES-INSTALACION $650.00+IVA
RE-INSTALACION $650.00+IVA</t>
        </r>
      </text>
    </comment>
    <comment ref="T99" authorId="1" shapeId="0" xr:uid="{00000000-0006-0000-0400-000065000000}">
      <text>
        <r>
          <rPr>
            <b/>
            <sz val="9"/>
            <color indexed="81"/>
            <rFont val="Tahoma"/>
            <family val="2"/>
          </rPr>
          <t>PC:</t>
        </r>
        <r>
          <rPr>
            <sz val="9"/>
            <color indexed="81"/>
            <rFont val="Tahoma"/>
            <family val="2"/>
          </rPr>
          <t xml:space="preserve">
REVISION DE UNIDAD 30-ENE-23 *EQUIPO MANIPULADO $350.00+IVA=$406.00INCREMENTA 3 UNIDADES 07-DICIEMBRE-22 
3 EQUIPOS $1,900.00+IVA 
MENSUALIDAD PROPORCIONAL $210.83+IVA
MENSUALIDAD PROPORCIONAL 
INST. 3 UNIDADES 23-NOV-22 (7 DÍAS) $64.16 c/u = $192.50+IVA:$223.30
INST. 3 UNIDADES 25-NOV-22 /5 DÍAS) $45.83 c/U = $137.50+IVA:$159.42 
INCREMENTO DE 3 EQUIPO $1,900.00+IVA
3 MESNS. $275.00+IVA </t>
        </r>
      </text>
    </comment>
    <comment ref="E100" authorId="1" shapeId="0" xr:uid="{00000000-0006-0000-0400-000066000000}">
      <text>
        <r>
          <rPr>
            <b/>
            <sz val="9"/>
            <color indexed="81"/>
            <rFont val="Tahoma"/>
            <family val="2"/>
          </rPr>
          <t>PC:</t>
        </r>
        <r>
          <rPr>
            <sz val="9"/>
            <color indexed="81"/>
            <rFont val="Tahoma"/>
            <family val="2"/>
          </rPr>
          <t xml:space="preserve">
INGRESA EL 11-ENERO-2025
INSTALACION $549.00+IVA
MENSUALIDAD $299.00+IVA</t>
        </r>
      </text>
    </comment>
    <comment ref="E101" authorId="0" shapeId="0" xr:uid="{00000000-0006-0000-0400-000067000000}">
      <text>
        <r>
          <rPr>
            <b/>
            <sz val="9"/>
            <color indexed="81"/>
            <rFont val="Tahoma"/>
            <family val="2"/>
          </rPr>
          <t>Luffi:</t>
        </r>
        <r>
          <rPr>
            <sz val="9"/>
            <color indexed="81"/>
            <rFont val="Tahoma"/>
            <family val="2"/>
          </rPr>
          <t xml:space="preserve">
</t>
        </r>
        <r>
          <rPr>
            <sz val="10"/>
            <color indexed="81"/>
            <rFont val="Tahoma"/>
            <family val="2"/>
          </rPr>
          <t xml:space="preserve">4 RENTA $300.00 c/u
EQUIPO $1,800.00
SENSOR DE TEMPERATURA $900.00
SEPTIEMBRE 2024: INGRESA A ESQUEMA DE FACTURACIÓN Y SE LE COBRA +IVA
21-JULIO-2020 1 UNIDAD MAS 
16-FEBRERO-2023 1 UNIDAD MAS *SE LE COBRA MENS. PROPR. DE 9 DÍAS PORQUE LA UNIDAD NO REPORTABA Y SE FUE A REVISAR </t>
        </r>
      </text>
    </comment>
    <comment ref="E102" authorId="0" shapeId="0" xr:uid="{00000000-0006-0000-0400-000068000000}">
      <text>
        <r>
          <rPr>
            <b/>
            <sz val="9"/>
            <color indexed="81"/>
            <rFont val="Tahoma"/>
            <family val="2"/>
          </rPr>
          <t>Luffi:</t>
        </r>
        <r>
          <rPr>
            <sz val="9"/>
            <color indexed="81"/>
            <rFont val="Tahoma"/>
            <family val="2"/>
          </rPr>
          <t xml:space="preserve">
</t>
        </r>
        <r>
          <rPr>
            <b/>
            <sz val="10"/>
            <color indexed="81"/>
            <rFont val="Tahoma"/>
            <family val="2"/>
          </rPr>
          <t>6 UNIDADES COMODATO</t>
        </r>
        <r>
          <rPr>
            <sz val="9"/>
            <color indexed="81"/>
            <rFont val="Tahoma"/>
            <family val="2"/>
          </rPr>
          <t xml:space="preserve">
INSTALACION $500 + IVA
DESINSTALACIONES $500+IVA
RE-INSTALACIONES $500.00+IVA
MENSUALIDAD $350 + IVA
 AGRAGA 1 UNID. 10-OCT-22
INSTALACIONES 
26 Y 27 FEBRERO´2021
SE LE FACTURA HASTA ABRIL´2021|</t>
        </r>
      </text>
    </comment>
    <comment ref="E103" authorId="1" shapeId="0" xr:uid="{00000000-0006-0000-0400-000069000000}">
      <text>
        <r>
          <rPr>
            <b/>
            <sz val="9"/>
            <color indexed="81"/>
            <rFont val="Tahoma"/>
            <family val="2"/>
          </rPr>
          <t>PC:</t>
        </r>
        <r>
          <rPr>
            <sz val="9"/>
            <color indexed="81"/>
            <rFont val="Tahoma"/>
            <family val="2"/>
          </rPr>
          <t xml:space="preserve">
ALTA 31-MARZO-2025
COMODATO 
INSTALACION $549.00+IVA
MENSUALIDAD $300.00+IVA</t>
        </r>
      </text>
    </comment>
    <comment ref="E104" authorId="1" shapeId="0" xr:uid="{00000000-0006-0000-0400-00006A000000}">
      <text>
        <r>
          <rPr>
            <b/>
            <sz val="9"/>
            <color indexed="81"/>
            <rFont val="Tahoma"/>
            <family val="2"/>
          </rPr>
          <t>PC:</t>
        </r>
        <r>
          <rPr>
            <sz val="9"/>
            <color indexed="81"/>
            <rFont val="Tahoma"/>
            <family val="2"/>
          </rPr>
          <t xml:space="preserve">
ALTA 04-ABRIL-2025
EQUIPO $1,700.00+IVA
MENSUALIDAD $300.00+IVA
</t>
        </r>
      </text>
    </comment>
    <comment ref="E105" authorId="1" shapeId="0" xr:uid="{00000000-0006-0000-0400-00006B000000}">
      <text>
        <r>
          <rPr>
            <b/>
            <sz val="9"/>
            <color indexed="81"/>
            <rFont val="Tahoma"/>
            <family val="2"/>
          </rPr>
          <t>PC:</t>
        </r>
        <r>
          <rPr>
            <sz val="9"/>
            <color indexed="81"/>
            <rFont val="Tahoma"/>
            <family val="2"/>
          </rPr>
          <t xml:space="preserve">
ALTA 23-ABRIL-2025
EQUIPO $2,050.00+IVA
MENSUALIDAD $300.00+IVA</t>
        </r>
      </text>
    </comment>
    <comment ref="E106" authorId="0" shapeId="0" xr:uid="{00000000-0006-0000-0400-00006C000000}">
      <text>
        <r>
          <rPr>
            <b/>
            <sz val="9"/>
            <color indexed="81"/>
            <rFont val="Tahoma"/>
            <family val="2"/>
          </rPr>
          <t>Luffi:</t>
        </r>
        <r>
          <rPr>
            <sz val="9"/>
            <color indexed="81"/>
            <rFont val="Tahoma"/>
            <family val="2"/>
          </rPr>
          <t xml:space="preserve">
EMPIEZA ESQUEMA EN PLAN 
PLATAFORMA NUEVA NOVIEMBRE´2020 
*MENSUALIDAD        $150.00   +  IVA = $174.00
*EQUIPO                 $1,724.00 + IVA = $1,999.84
*INSTALACION         $600.00   + IVA = $696.00
*RE-INSTALACION    $600.00   + IVA = $696.00
*DES-INSTALACION  $650.00   + IVA = $754.00
*REVISION              $450.00   + IVA = $522.00
*VISITA EN FALSO   $250.00   + IVA = $290.00
*MIGRACION            $450.00   + IVA = $522.00
</t>
        </r>
      </text>
    </comment>
    <comment ref="T106" authorId="1" shapeId="0" xr:uid="{00000000-0006-0000-0400-00006D000000}">
      <text>
        <r>
          <rPr>
            <b/>
            <sz val="9"/>
            <color indexed="81"/>
            <rFont val="Tahoma"/>
            <family val="2"/>
          </rPr>
          <t>PC:</t>
        </r>
        <r>
          <rPr>
            <sz val="9"/>
            <color indexed="81"/>
            <rFont val="Tahoma"/>
            <family val="2"/>
          </rPr>
          <t xml:space="preserve">
7 EQUIPOS 
1 DES-INSTALACIÓN U.364 9-AGO-22 $650+IVA
1 RE-INSTALACIÓN U.368 9-AGO-22 $600+IVA
2 VISITA EN FALSO 13-AGO-22 $250 c/u +IVA </t>
        </r>
      </text>
    </comment>
    <comment ref="E107" authorId="0" shapeId="0" xr:uid="{00000000-0006-0000-0400-00006E000000}">
      <text>
        <r>
          <rPr>
            <b/>
            <sz val="9"/>
            <color indexed="81"/>
            <rFont val="Tahoma"/>
            <family val="2"/>
          </rPr>
          <t>Luffi:</t>
        </r>
        <r>
          <rPr>
            <sz val="9"/>
            <color indexed="81"/>
            <rFont val="Tahoma"/>
            <family val="2"/>
          </rPr>
          <t xml:space="preserve">
1 UNIDAD 
EQUIPO $1,879 + IVA  $2,179.64
RENTA   $300 + IVA    $348.00
 REVISIONES $450.0+IVA = $522.00
</t>
        </r>
        <r>
          <rPr>
            <b/>
            <sz val="9"/>
            <color indexed="81"/>
            <rFont val="Tahoma"/>
            <family val="2"/>
          </rPr>
          <t>INSTALACION 12-FEB-2021</t>
        </r>
      </text>
    </comment>
    <comment ref="E108" authorId="1" shapeId="0" xr:uid="{00000000-0006-0000-0400-00006F000000}">
      <text>
        <r>
          <rPr>
            <b/>
            <sz val="9"/>
            <color indexed="81"/>
            <rFont val="Tahoma"/>
            <family val="2"/>
          </rPr>
          <t>PC:</t>
        </r>
        <r>
          <rPr>
            <sz val="9"/>
            <color indexed="81"/>
            <rFont val="Tahoma"/>
            <family val="2"/>
          </rPr>
          <t xml:space="preserve">
ALTA 22-ABRIL-2025
COMODATO
INSTALACION $549.00+IVA
MENSUALIDAD $299.00+IVA</t>
        </r>
      </text>
    </comment>
    <comment ref="E109" authorId="0" shapeId="0" xr:uid="{00000000-0006-0000-0400-000070000000}">
      <text>
        <r>
          <rPr>
            <b/>
            <sz val="9"/>
            <color indexed="81"/>
            <rFont val="Tahoma"/>
            <family val="2"/>
          </rPr>
          <t>Luffi:</t>
        </r>
        <r>
          <rPr>
            <sz val="9"/>
            <color indexed="81"/>
            <rFont val="Tahoma"/>
            <family val="2"/>
          </rPr>
          <t xml:space="preserve">
22 MIGRACIONES $350.00 + IVA
44 MENSUALIDAD $200.00 + IVA
1 EQUIPO $1,850.00 + IVA 
INSTALACION $650.00+IVA
RE-INSTALACIONES $650.00 + IVA
DES-INTALACIONES $
REVISIONES $450.00+IVA 
</t>
        </r>
        <r>
          <rPr>
            <b/>
            <sz val="9"/>
            <color indexed="81"/>
            <rFont val="Tahoma"/>
            <family val="2"/>
          </rPr>
          <t>*INICIA SEPTIEMBRE´2021*</t>
        </r>
      </text>
    </comment>
    <comment ref="T109" authorId="1" shapeId="0" xr:uid="{00000000-0006-0000-0400-000071000000}">
      <text>
        <r>
          <rPr>
            <b/>
            <sz val="9"/>
            <color indexed="81"/>
            <rFont val="Tahoma"/>
            <family val="2"/>
          </rPr>
          <t>PC:</t>
        </r>
        <r>
          <rPr>
            <sz val="9"/>
            <color indexed="81"/>
            <rFont val="Tahoma"/>
            <family val="2"/>
          </rPr>
          <t xml:space="preserve">
FACTURA ADICIONAL MAYO 2023
7 EQUIPOES E INST. DIF. DE $1,200.00+IVA POR CADA UNO </t>
        </r>
      </text>
    </comment>
    <comment ref="E110" authorId="1" shapeId="0" xr:uid="{00000000-0006-0000-0400-000072000000}">
      <text>
        <r>
          <rPr>
            <b/>
            <sz val="9"/>
            <color indexed="81"/>
            <rFont val="Tahoma"/>
            <family val="2"/>
          </rPr>
          <t>PC:</t>
        </r>
        <r>
          <rPr>
            <sz val="9"/>
            <color indexed="81"/>
            <rFont val="Tahoma"/>
            <family val="2"/>
          </rPr>
          <t xml:space="preserve">
ALTA 13-MARZO-2025
EQUIPO $1,700.00+IVA
MENSUALIDAD $300.00+IVA</t>
        </r>
      </text>
    </comment>
    <comment ref="D111" authorId="0" shapeId="0" xr:uid="{00000000-0006-0000-0400-000073000000}">
      <text>
        <r>
          <rPr>
            <b/>
            <sz val="9"/>
            <color indexed="81"/>
            <rFont val="Tahoma"/>
            <family val="2"/>
          </rPr>
          <t>Luffi:</t>
        </r>
        <r>
          <rPr>
            <sz val="9"/>
            <color indexed="81"/>
            <rFont val="Tahoma"/>
            <family val="2"/>
          </rPr>
          <t xml:space="preserve">
</t>
        </r>
        <r>
          <rPr>
            <sz val="9"/>
            <color indexed="10"/>
            <rFont val="Tahoma"/>
            <family val="2"/>
          </rPr>
          <t>Romeo Sierra - 811 591 1798
romeo.sierra@molldelvalle.com;</t>
        </r>
        <r>
          <rPr>
            <sz val="9"/>
            <color indexed="81"/>
            <rFont val="Tahoma"/>
            <family val="2"/>
          </rPr>
          <t xml:space="preserve">
YA NO LABORA AHÍ </t>
        </r>
      </text>
    </comment>
    <comment ref="E111" authorId="0" shapeId="0" xr:uid="{00000000-0006-0000-0400-000074000000}">
      <text>
        <r>
          <rPr>
            <b/>
            <sz val="9"/>
            <color indexed="81"/>
            <rFont val="Tahoma"/>
            <family val="2"/>
          </rPr>
          <t>Luffi:</t>
        </r>
        <r>
          <rPr>
            <sz val="9"/>
            <color indexed="81"/>
            <rFont val="Tahoma"/>
            <family val="2"/>
          </rPr>
          <t xml:space="preserve">
EQUIPO COMODATO
MENSUALIDAD $350 + IVA $406.00
INSTALACION $650 + IVA $754.00
</t>
        </r>
        <r>
          <rPr>
            <b/>
            <sz val="9"/>
            <color indexed="81"/>
            <rFont val="Tahoma"/>
            <family val="2"/>
          </rPr>
          <t>INSTALACION 25-AGOSTO-2021</t>
        </r>
      </text>
    </comment>
    <comment ref="E112" authorId="0" shapeId="0" xr:uid="{00000000-0006-0000-0400-000075000000}">
      <text>
        <r>
          <rPr>
            <b/>
            <sz val="9"/>
            <color indexed="81"/>
            <rFont val="Tahoma"/>
            <family val="2"/>
          </rPr>
          <t>Luffi:</t>
        </r>
        <r>
          <rPr>
            <sz val="9"/>
            <color indexed="81"/>
            <rFont val="Tahoma"/>
            <family val="2"/>
          </rPr>
          <t xml:space="preserve">
EQUIPO. $2,400 + IVA
MENSUALIDAD $250 + IVA 
</t>
        </r>
        <r>
          <rPr>
            <b/>
            <sz val="9"/>
            <color indexed="81"/>
            <rFont val="Tahoma"/>
            <family val="2"/>
          </rPr>
          <t>FACTURACION 28-SEP-2021
INSTALACION 29-SEP-2021
*COBRANZA HASTA NOV´2021</t>
        </r>
      </text>
    </comment>
    <comment ref="E113" authorId="0" shapeId="0" xr:uid="{00000000-0006-0000-0400-000076000000}">
      <text>
        <r>
          <rPr>
            <b/>
            <sz val="9"/>
            <color indexed="81"/>
            <rFont val="Tahoma"/>
            <family val="2"/>
          </rPr>
          <t>Luffi:</t>
        </r>
        <r>
          <rPr>
            <sz val="9"/>
            <color indexed="81"/>
            <rFont val="Tahoma"/>
            <family val="2"/>
          </rPr>
          <t xml:space="preserve">
</t>
        </r>
        <r>
          <rPr>
            <sz val="10"/>
            <color indexed="81"/>
            <rFont val="Tahoma"/>
            <family val="2"/>
          </rPr>
          <t>6</t>
        </r>
        <r>
          <rPr>
            <sz val="9"/>
            <color indexed="81"/>
            <rFont val="Tahoma"/>
            <family val="2"/>
          </rPr>
          <t xml:space="preserve"> </t>
        </r>
        <r>
          <rPr>
            <sz val="10"/>
            <color indexed="81"/>
            <rFont val="Tahoma"/>
            <family val="2"/>
          </rPr>
          <t xml:space="preserve">EQUIPOS $1,810.35 + IVA
6 MENSUALIDAD $315.00 + IVA
RE-INSTALACIÓN $650.00+ÍVA
DES-INSTALACIÓN $650.00+IVA 
INSTALACIONES SE REALIZARANA 31-MAY-2021
NO SE COBRA EN JUNIO POR FECHA DE INSTALACION
</t>
        </r>
        <r>
          <rPr>
            <b/>
            <sz val="10"/>
            <color indexed="81"/>
            <rFont val="Tahoma"/>
            <family val="2"/>
          </rPr>
          <t>*INSTALADAS 4 HASTA JUNIO*
2 INSTALACIONES 28-ENE-2022
FACTURADOS FEB´2022 - F. 
INSTALACIÓN 06-JULIO-2022</t>
        </r>
      </text>
    </comment>
    <comment ref="T113" authorId="1" shapeId="0" xr:uid="{00000000-0006-0000-0400-000077000000}">
      <text>
        <r>
          <rPr>
            <b/>
            <sz val="9"/>
            <color indexed="81"/>
            <rFont val="Tahoma"/>
            <family val="2"/>
          </rPr>
          <t xml:space="preserve">PC:
</t>
        </r>
        <r>
          <rPr>
            <sz val="9"/>
            <color indexed="81"/>
            <rFont val="Tahoma"/>
            <family val="2"/>
          </rPr>
          <t xml:space="preserve">DES-INSTALACION 12-OCT-22 FORD FIESTA $650.00+IVA 
RE-INSTALACION 12-OCT-22 CHEVROLET AVEO $650.00+IVA
INSTALACIÓN 06-JULIO-2022 MOTO HONDA BLANCO 67RZP2
3 INSTALACIONES 20-JULIO-2022
Dodge Ram 700 Blanco PS-9110-A 
Renault Kangoo Blanca RB-6974-A 
Renault Kangoo Blanca RB-6975-A
</t>
        </r>
      </text>
    </comment>
    <comment ref="E114" authorId="1" shapeId="0" xr:uid="{00000000-0006-0000-0400-000078000000}">
      <text>
        <r>
          <rPr>
            <b/>
            <sz val="9"/>
            <color indexed="81"/>
            <rFont val="Tahoma"/>
            <family val="2"/>
          </rPr>
          <t>PC:</t>
        </r>
        <r>
          <rPr>
            <sz val="9"/>
            <color indexed="81"/>
            <rFont val="Tahoma"/>
            <family val="2"/>
          </rPr>
          <t xml:space="preserve">
ALTA 27-MARZO-2025
EQUIPO $1,700.00+IVA
MENSUALIDAD $300.00+IVA</t>
        </r>
      </text>
    </comment>
    <comment ref="E115" authorId="1" shapeId="0" xr:uid="{00000000-0006-0000-0400-000079000000}">
      <text>
        <r>
          <rPr>
            <b/>
            <sz val="9"/>
            <color indexed="81"/>
            <rFont val="Tahoma"/>
            <family val="2"/>
          </rPr>
          <t>PC:</t>
        </r>
        <r>
          <rPr>
            <sz val="9"/>
            <color indexed="81"/>
            <rFont val="Tahoma"/>
            <family val="2"/>
          </rPr>
          <t xml:space="preserve">
ALTA 13-MARZO-2025
EQUIPO $1,700.00+IVA
MENSUALIDAD CON BOTON DE PANICO $300.00+IVA</t>
        </r>
      </text>
    </comment>
    <comment ref="E116" authorId="0" shapeId="0" xr:uid="{00000000-0006-0000-0400-00007A000000}">
      <text>
        <r>
          <rPr>
            <b/>
            <sz val="9"/>
            <color indexed="81"/>
            <rFont val="Tahoma"/>
            <family val="2"/>
          </rPr>
          <t>Luffi:</t>
        </r>
        <r>
          <rPr>
            <sz val="9"/>
            <color indexed="81"/>
            <rFont val="Tahoma"/>
            <family val="2"/>
          </rPr>
          <t xml:space="preserve">
</t>
        </r>
        <r>
          <rPr>
            <sz val="10"/>
            <color indexed="81"/>
            <rFont val="Tahoma"/>
            <family val="2"/>
          </rPr>
          <t xml:space="preserve">RECONFIGURACION DE EQUIPO Y MENSUALIDAD $1,136.80
EQUIPO $1,800.00 + IVA $2,088.00
RECONFIGURACION $650.00 + IVA $754.00
MENSUALIDAD $330.00 + IVA $382.80
SERVICIO 27-ENE-2021
</t>
        </r>
        <r>
          <rPr>
            <b/>
            <sz val="10"/>
            <color indexed="81"/>
            <rFont val="Tahoma"/>
            <family val="2"/>
          </rPr>
          <t xml:space="preserve">GENERAR COBRANZA EN MARZO´2021           
</t>
        </r>
        <r>
          <rPr>
            <sz val="10"/>
            <color indexed="81"/>
            <rFont val="Tahoma"/>
            <family val="2"/>
          </rPr>
          <t xml:space="preserve">SERVICIO 10-JUNIO-2022 (Se Integra en Julio)
</t>
        </r>
        <r>
          <rPr>
            <b/>
            <sz val="10"/>
            <color indexed="81"/>
            <rFont val="Tahoma"/>
            <family val="2"/>
          </rPr>
          <t>GENERA COBRANZA EN JULIO´2022</t>
        </r>
      </text>
    </comment>
    <comment ref="T116" authorId="1" shapeId="0" xr:uid="{00000000-0006-0000-0400-00007B000000}">
      <text>
        <r>
          <rPr>
            <b/>
            <sz val="9"/>
            <color indexed="81"/>
            <rFont val="Tahoma"/>
            <family val="2"/>
          </rPr>
          <t>PC:</t>
        </r>
        <r>
          <rPr>
            <sz val="9"/>
            <color indexed="81"/>
            <rFont val="Tahoma"/>
            <family val="2"/>
          </rPr>
          <t xml:space="preserve">
INSTALACIÓN 10-JUNIO-2022 $1,800.00 + MENSUALIDAD $330.00 </t>
        </r>
      </text>
    </comment>
    <comment ref="E117" authorId="0" shapeId="0" xr:uid="{00000000-0006-0000-0400-00007C000000}">
      <text>
        <r>
          <rPr>
            <b/>
            <sz val="9"/>
            <color indexed="81"/>
            <rFont val="Tahoma"/>
            <family val="2"/>
          </rPr>
          <t>Luffi:</t>
        </r>
        <r>
          <rPr>
            <sz val="9"/>
            <color indexed="81"/>
            <rFont val="Tahoma"/>
            <family val="2"/>
          </rPr>
          <t xml:space="preserve">
EQUIPO $2,000.00
RENTA $270.00
SENSOR DE COMBUSTUBLE $5,600.00+IVA
MENSUALIDAD CON SENSOR DE COMBUSTIBLE $320.00+IVA
INSTALACION 25-NOV-2021
</t>
        </r>
        <r>
          <rPr>
            <b/>
            <sz val="9"/>
            <color indexed="81"/>
            <rFont val="Tahoma"/>
            <family val="2"/>
          </rPr>
          <t xml:space="preserve">*SE EMPIEZA A COBRA MENSUALIDAD EN ENERO´2022*
</t>
        </r>
        <r>
          <rPr>
            <sz val="9"/>
            <color indexed="81"/>
            <rFont val="Tahoma"/>
            <family val="2"/>
          </rPr>
          <t>RE-INGRESA EL 26-MARZO-2025
MIGRACIONES (NO COBRADAS) SOLO MENSUALIDAD MENSUALIDAD $300.00+IVA</t>
        </r>
      </text>
    </comment>
    <comment ref="E118" authorId="1" shapeId="0" xr:uid="{00000000-0006-0000-0400-00007D000000}">
      <text>
        <r>
          <rPr>
            <b/>
            <sz val="9"/>
            <color indexed="81"/>
            <rFont val="Tahoma"/>
            <family val="2"/>
          </rPr>
          <t>PC:</t>
        </r>
        <r>
          <rPr>
            <sz val="9"/>
            <color indexed="81"/>
            <rFont val="Tahoma"/>
            <family val="2"/>
          </rPr>
          <t xml:space="preserve">
ALTA 29-MARZO-2025
EQUIPO $1,950.00+IVA
MENSUALIDAD $300.00+IVA
MIGRACION $500.00+IVA</t>
        </r>
      </text>
    </comment>
    <comment ref="E119" authorId="2" shapeId="0" xr:uid="{00000000-0006-0000-0400-00007E000000}">
      <text>
        <r>
          <rPr>
            <b/>
            <sz val="9"/>
            <color indexed="81"/>
            <rFont val="Tahoma"/>
            <family val="2"/>
          </rPr>
          <t>Usuario de Windows:</t>
        </r>
        <r>
          <rPr>
            <sz val="9"/>
            <color indexed="81"/>
            <rFont val="Tahoma"/>
            <family val="2"/>
          </rPr>
          <t xml:space="preserve">
</t>
        </r>
        <r>
          <rPr>
            <b/>
            <sz val="10"/>
            <color indexed="81"/>
            <rFont val="Tahoma"/>
            <family val="2"/>
          </rPr>
          <t>INSTALACION 01-MARZO-2022</t>
        </r>
        <r>
          <rPr>
            <sz val="10"/>
            <color indexed="81"/>
            <rFont val="Tahoma"/>
            <family val="2"/>
          </rPr>
          <t xml:space="preserve">
EQUIPO $2,241.38 + IVA
SENSOR DE TEMPERATURA CAJA REF. $899 + IVA
SENSOR DE SOMBUSTIBLE $4,827.59 + IVA
MENSUALIDAD SENSOR COMBUSTIBLE  $350 + IVA 
MENSUALIDAD SENSOR COMBUSTIBLE Y TEMPERTAURA $400 + IVA 
RE-INSTALACIONES $650.00+IVA
SENSOR DE COMBUSTIBLE $5,900.00+IVA COTIZACION NOV 2022 Y MARZO 2023 
SENSOR DE COMBUSTIBLE ABRIL 2023 $5,600.00+IVA
INTEGRACION DE WEB SERVICE $8,500.00+IVA=$9,860.00
(31-OCT- PAGO 02-NOV)
</t>
        </r>
        <r>
          <rPr>
            <b/>
            <sz val="10"/>
            <color indexed="81"/>
            <rFont val="Tahoma"/>
            <family val="2"/>
          </rPr>
          <t xml:space="preserve">FACTURA 05-ABRIL-2022
CORTE 15 DE CADA MES </t>
        </r>
      </text>
    </comment>
    <comment ref="T119" authorId="1" shapeId="0" xr:uid="{00000000-0006-0000-0400-00007F000000}">
      <text>
        <r>
          <rPr>
            <b/>
            <sz val="9"/>
            <color indexed="81"/>
            <rFont val="Tahoma"/>
            <family val="2"/>
          </rPr>
          <t>PC:</t>
        </r>
        <r>
          <rPr>
            <sz val="9"/>
            <color indexed="81"/>
            <rFont val="Tahoma"/>
            <family val="2"/>
          </rPr>
          <t xml:space="preserve">
FACTURA 1653 POR COTIZACION 
2 EQUIPOS
2 MENS
2 SENSOR DE VARILLA
EQUIPO E INSTALACION $1,900.00+IVA
SENSOR DE COMBUSTIBLE DE VARILLA $5,900.00+IVA</t>
        </r>
      </text>
    </comment>
    <comment ref="AH119" authorId="1" shapeId="0" xr:uid="{00000000-0006-0000-0400-000080000000}">
      <text>
        <r>
          <rPr>
            <b/>
            <sz val="9"/>
            <color indexed="81"/>
            <rFont val="Tahoma"/>
            <family val="2"/>
          </rPr>
          <t>PC:</t>
        </r>
        <r>
          <rPr>
            <sz val="9"/>
            <color indexed="81"/>
            <rFont val="Tahoma"/>
            <family val="2"/>
          </rPr>
          <t xml:space="preserve">
SENSOR DE DIESEL 
INSTALADO 09-MAYO-2023
</t>
        </r>
      </text>
    </comment>
    <comment ref="E120" authorId="1" shapeId="0" xr:uid="{00000000-0006-0000-0400-000081000000}">
      <text>
        <r>
          <rPr>
            <b/>
            <sz val="9"/>
            <color indexed="81"/>
            <rFont val="Tahoma"/>
            <family val="2"/>
          </rPr>
          <t>PC:</t>
        </r>
        <r>
          <rPr>
            <sz val="9"/>
            <color indexed="81"/>
            <rFont val="Tahoma"/>
            <family val="2"/>
          </rPr>
          <t xml:space="preserve">
MIGRACION EL 22-ENERO-2025 
CLIENTE BACOCA(SR. HECTOR RODRIGUEZ) 
1 MIGRACION DEL SR. LUIS CARLOS CABELLO MARROQUIN - A BACOCA
Correo trafico.bacoca@hotmail.com
Contacto Hector Rodriguez Tel. 8115538897
MIGRACION DE UNIDAD 
EQUIPO $2,241
SENSOR DIESEL $5,600
SENSOR TEMPERATURA $899
MENSUALIDAD CON SENSOR DE COMBUSTIBLE $350 
MENSUALIDAD CON SENSOR DE COMBUSTIBLE Y DIESEL $400
UNIDADES A MIGRAR 
CAJA #110 PLACAS: 57UU5L - Identificada en Plataforma TH-03 57UU5L (Con Sensores TyD)
43 AD 6A - Identificada en Plataforma Tracto 03 43-AD-6A (Sin Sensores)</t>
        </r>
      </text>
    </comment>
    <comment ref="E121" authorId="1" shapeId="0" xr:uid="{00000000-0006-0000-0400-000082000000}">
      <text>
        <r>
          <rPr>
            <b/>
            <sz val="9"/>
            <color indexed="81"/>
            <rFont val="Tahoma"/>
            <family val="2"/>
          </rPr>
          <t>PC:</t>
        </r>
        <r>
          <rPr>
            <sz val="9"/>
            <color indexed="81"/>
            <rFont val="Tahoma"/>
            <family val="2"/>
          </rPr>
          <t xml:space="preserve">
INGRESA A COBRANZA EL 13-MARZO-2025
ALTA EL 14-MARZO-2025
EQUIPO $2,089.00+IVA
MENSUALIDAD C/BOTON DE PANICO $300.00+IVA</t>
        </r>
      </text>
    </comment>
    <comment ref="E122" authorId="1" shapeId="0" xr:uid="{00000000-0006-0000-0400-000083000000}">
      <text>
        <r>
          <rPr>
            <b/>
            <sz val="9"/>
            <color indexed="81"/>
            <rFont val="Tahoma"/>
            <family val="2"/>
          </rPr>
          <t>PC:</t>
        </r>
        <r>
          <rPr>
            <sz val="9"/>
            <color indexed="81"/>
            <rFont val="Tahoma"/>
            <family val="2"/>
          </rPr>
          <t xml:space="preserve">
ALTA 22-ABRIL-2025
COMODATO
INSTALACION $549.00+IVA
MENSUALIDAD $229.00+IVA</t>
        </r>
      </text>
    </comment>
    <comment ref="E123" authorId="0" shapeId="0" xr:uid="{00000000-0006-0000-0400-000084000000}">
      <text>
        <r>
          <rPr>
            <b/>
            <sz val="9"/>
            <color indexed="81"/>
            <rFont val="Tahoma"/>
            <family val="2"/>
          </rPr>
          <t>Luffi:</t>
        </r>
        <r>
          <rPr>
            <sz val="9"/>
            <color indexed="81"/>
            <rFont val="Tahoma"/>
            <family val="2"/>
          </rPr>
          <t xml:space="preserve">
EQUIPO $1900 + IVA
MENSUALIDAD $250 + IVA 
*</t>
        </r>
        <r>
          <rPr>
            <b/>
            <sz val="9"/>
            <color indexed="81"/>
            <rFont val="Tahoma"/>
            <family val="2"/>
          </rPr>
          <t>INSTALACION 29-JUNIO-2021*
COBRAR HASTA AGOSTO</t>
        </r>
      </text>
    </comment>
    <comment ref="E124" authorId="0" shapeId="0" xr:uid="{00000000-0006-0000-0400-000085000000}">
      <text>
        <r>
          <rPr>
            <b/>
            <sz val="9"/>
            <color indexed="81"/>
            <rFont val="Tahoma"/>
            <family val="2"/>
          </rPr>
          <t>Luffi:</t>
        </r>
        <r>
          <rPr>
            <sz val="9"/>
            <color indexed="81"/>
            <rFont val="Tahoma"/>
            <family val="2"/>
          </rPr>
          <t xml:space="preserve">
</t>
        </r>
        <r>
          <rPr>
            <sz val="10"/>
            <color indexed="81"/>
            <rFont val="Tahoma"/>
            <family val="2"/>
          </rPr>
          <t xml:space="preserve">1 UNIDAD 
EQUIPO $1,879 + IVA
MENSUALIDAD $350 + IVA
4 MENSUALIDADES $300.00C/U+IVA
2 MENS. DASH CAM $900.00C/U+IVA
CAMARA DASH CAM $8,790.00+IVA
REVISIONES CON COSTO  $400.00+IVA
RE-INSTALACIONES $500.00+IVA
DES-INSTALACIONES $500.00+IVA
VISITA EN FALSO $250.00+IVA
</t>
        </r>
        <r>
          <rPr>
            <b/>
            <sz val="10"/>
            <color indexed="81"/>
            <rFont val="Tahoma"/>
            <family val="2"/>
          </rPr>
          <t>INSTLACION 20-OCTUBRE-2020
*COBRA PROPORCIONAL EN NOV´2020</t>
        </r>
      </text>
    </comment>
    <comment ref="E125" authorId="1" shapeId="0" xr:uid="{00000000-0006-0000-0400-000086000000}">
      <text>
        <r>
          <rPr>
            <b/>
            <sz val="9"/>
            <color indexed="81"/>
            <rFont val="Tahoma"/>
            <family val="2"/>
          </rPr>
          <t>PC:</t>
        </r>
        <r>
          <rPr>
            <sz val="9"/>
            <color indexed="81"/>
            <rFont val="Tahoma"/>
            <family val="2"/>
          </rPr>
          <t xml:space="preserve">
ALTA 26-ABRIL-2025
COMODATO
INSTALACION $549.00+IVA
MENSUALIDAD $299.00+IVA 
SEMESTRE $1,794.00+IVA
-BONIFICACION $299.00+IVA</t>
        </r>
      </text>
    </comment>
    <comment ref="E126" authorId="1" shapeId="0" xr:uid="{00000000-0006-0000-0400-000087000000}">
      <text>
        <r>
          <rPr>
            <b/>
            <sz val="9"/>
            <color indexed="81"/>
            <rFont val="Tahoma"/>
            <family val="2"/>
          </rPr>
          <t>PC:</t>
        </r>
        <r>
          <rPr>
            <sz val="9"/>
            <color indexed="81"/>
            <rFont val="Tahoma"/>
            <family val="2"/>
          </rPr>
          <t xml:space="preserve">
ALTA 18-MARZO-2025
MIGRACIÓN $650.00+IVA
MENSUALIDAD $250.00
EQUIPO $1,700.00</t>
        </r>
      </text>
    </comment>
    <comment ref="E127" authorId="1" shapeId="0" xr:uid="{00000000-0006-0000-0400-000088000000}">
      <text>
        <r>
          <rPr>
            <b/>
            <sz val="9"/>
            <color indexed="81"/>
            <rFont val="Tahoma"/>
            <family val="2"/>
          </rPr>
          <t>PC:</t>
        </r>
        <r>
          <rPr>
            <sz val="9"/>
            <color indexed="81"/>
            <rFont val="Tahoma"/>
            <family val="2"/>
          </rPr>
          <t xml:space="preserve">
ALTA EL 22-ENERO-2025
SE EMPIEZA A CONSIDERAR A PARTIR DE FEBRERO 2025
EQUIPO TELTONIKA 4G/2G GMC 130 $2,400.00+IVA
SENSOR DE COMBUSTIBLE LIGO VARILLA INDUCTIVA $5,600.00+IVA
SENSOR DE TEMPERATURA TIPO PROBETA ANALOGICA SIN COSTO $0.00
SEMESTRE POR UNIDAD $1,800.00+IVA
BONIFICACION SOBRE SEMESTRE (1 MES) -$300.00</t>
        </r>
      </text>
    </comment>
    <comment ref="E128" authorId="1" shapeId="0" xr:uid="{00000000-0006-0000-0400-000089000000}">
      <text>
        <r>
          <rPr>
            <b/>
            <sz val="9"/>
            <color indexed="81"/>
            <rFont val="Tahoma"/>
            <family val="2"/>
          </rPr>
          <t>PC:</t>
        </r>
        <r>
          <rPr>
            <sz val="9"/>
            <color indexed="81"/>
            <rFont val="Tahoma"/>
            <family val="2"/>
          </rPr>
          <t xml:space="preserve">
INGRESA EL 17-OCTUBRE-2024
SERVICIOS EXTERNOS SIN MENSUALIDAD Y SIN PLATAFORMA 
INSTALACION $700.00+IVA
DES-INSTALACION $500.00+IVA
VISITA EN FALSO $250.00+IVA
RE-INSTALACION $700.00+IVA</t>
        </r>
      </text>
    </comment>
    <comment ref="E129" authorId="1" shapeId="0" xr:uid="{00000000-0006-0000-0400-00008A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E130" authorId="0" shapeId="0" xr:uid="{00000000-0006-0000-0400-00008B000000}">
      <text>
        <r>
          <rPr>
            <b/>
            <sz val="9"/>
            <color indexed="81"/>
            <rFont val="Tahoma"/>
            <family val="2"/>
          </rPr>
          <t>Luffi:</t>
        </r>
        <r>
          <rPr>
            <sz val="9"/>
            <color indexed="81"/>
            <rFont val="Tahoma"/>
            <family val="2"/>
          </rPr>
          <t xml:space="preserve">
25-OCTUBRE-2022 
1 REVISION Y RE-INSTALACIÓN $650.00+IVA
</t>
        </r>
        <r>
          <rPr>
            <sz val="10"/>
            <color indexed="81"/>
            <rFont val="Tahoma"/>
            <family val="2"/>
          </rPr>
          <t xml:space="preserve">INSTALACION 14-MAYO-2021
2 EQUIPO NUEVOS  $1,850 + IVA 
1 MIGRACION          $ 450 + IVA
3 MENSUALIDAD $300 + IVA C/U 
</t>
        </r>
        <r>
          <rPr>
            <b/>
            <sz val="10"/>
            <color indexed="81"/>
            <rFont val="Tahoma"/>
            <family val="2"/>
          </rPr>
          <t>*ESTA PENDIENTE LA MIGRACION EL EQUIPO ESTA BLOQUEADO SOLO SE COBRARAN 2 RENTAS</t>
        </r>
      </text>
    </comment>
    <comment ref="T130" authorId="1" shapeId="0" xr:uid="{00000000-0006-0000-0400-00008C000000}">
      <text>
        <r>
          <rPr>
            <b/>
            <sz val="9"/>
            <color indexed="81"/>
            <rFont val="Tahoma"/>
            <family val="2"/>
          </rPr>
          <t>PC:</t>
        </r>
        <r>
          <rPr>
            <sz val="9"/>
            <color indexed="81"/>
            <rFont val="Tahoma"/>
            <family val="2"/>
          </rPr>
          <t xml:space="preserve">
REVISIÓN Y RE-INSTALACION 25-OCT-22 $650.00+IVA</t>
        </r>
      </text>
    </comment>
    <comment ref="E131" authorId="1" shapeId="0" xr:uid="{00000000-0006-0000-0400-00008D000000}">
      <text>
        <r>
          <rPr>
            <b/>
            <sz val="9"/>
            <color indexed="81"/>
            <rFont val="Tahoma"/>
            <family val="2"/>
          </rPr>
          <t>PC:</t>
        </r>
        <r>
          <rPr>
            <sz val="9"/>
            <color indexed="81"/>
            <rFont val="Tahoma"/>
            <family val="2"/>
          </rPr>
          <t xml:space="preserve">
INGRESA EL 17-MAYO-2024
EQUIPO $1,500.00
MENSUALIDAD $250.00</t>
        </r>
      </text>
    </comment>
    <comment ref="E132" authorId="1" shapeId="0" xr:uid="{00000000-0006-0000-0400-00008E000000}">
      <text>
        <r>
          <rPr>
            <b/>
            <sz val="9"/>
            <color indexed="81"/>
            <rFont val="Tahoma"/>
            <family val="2"/>
          </rPr>
          <t>PC:</t>
        </r>
        <r>
          <rPr>
            <sz val="9"/>
            <color indexed="81"/>
            <rFont val="Tahoma"/>
            <family val="2"/>
          </rPr>
          <t xml:space="preserve">
INGRESA EL 30-JUNIO-2023
EQUIPO $1,950.00+IVA
MENSUALIDAD $300.00+IVA</t>
        </r>
      </text>
    </comment>
    <comment ref="E133" authorId="0" shapeId="0" xr:uid="{00000000-0006-0000-0400-00008F000000}">
      <text>
        <r>
          <rPr>
            <b/>
            <sz val="9"/>
            <color indexed="81"/>
            <rFont val="Tahoma"/>
            <family val="2"/>
          </rPr>
          <t>Luffi:</t>
        </r>
        <r>
          <rPr>
            <sz val="9"/>
            <color indexed="81"/>
            <rFont val="Tahoma"/>
            <family val="2"/>
          </rPr>
          <t xml:space="preserve">
RENTA $300.00
INSTALACION $350.00 COMODATO
EQUIPO $1,850.00
SERVICIOS $350.00
PEPE $200.00
OLID $100.00
</t>
        </r>
      </text>
    </comment>
    <comment ref="S133" authorId="0" shapeId="0" xr:uid="{00000000-0006-0000-0400-000090000000}">
      <text>
        <r>
          <rPr>
            <b/>
            <sz val="9"/>
            <color indexed="81"/>
            <rFont val="Tahoma"/>
            <family val="2"/>
          </rPr>
          <t>Luffi:</t>
        </r>
        <r>
          <rPr>
            <sz val="9"/>
            <color indexed="81"/>
            <rFont val="Tahoma"/>
            <family val="2"/>
          </rPr>
          <t xml:space="preserve">
</t>
        </r>
        <r>
          <rPr>
            <b/>
            <sz val="9"/>
            <color indexed="81"/>
            <rFont val="Tahoma"/>
            <family val="2"/>
          </rPr>
          <t xml:space="preserve">MAYO (COMODATO)
42 UNIDADES RASTREO $300
1 UNIDAD CON MICROFONO $350
</t>
        </r>
        <r>
          <rPr>
            <sz val="9"/>
            <color indexed="81"/>
            <rFont val="Tahoma"/>
            <family val="2"/>
          </rPr>
          <t xml:space="preserve">
</t>
        </r>
        <r>
          <rPr>
            <b/>
            <sz val="10"/>
            <color indexed="81"/>
            <rFont val="Tahoma"/>
            <family val="2"/>
          </rPr>
          <t xml:space="preserve">AJUSTE </t>
        </r>
        <r>
          <rPr>
            <b/>
            <sz val="10"/>
            <color indexed="10"/>
            <rFont val="Tahoma"/>
            <family val="2"/>
          </rPr>
          <t>-$900.00</t>
        </r>
        <r>
          <rPr>
            <sz val="10"/>
            <color indexed="81"/>
            <rFont val="Tahoma"/>
            <family val="2"/>
          </rPr>
          <t xml:space="preserve">
3 UNIDADES QUE NO REPORTAN </t>
        </r>
      </text>
    </comment>
    <comment ref="T133" authorId="0" shapeId="0" xr:uid="{00000000-0006-0000-0400-000091000000}">
      <text>
        <r>
          <rPr>
            <b/>
            <sz val="9"/>
            <color indexed="81"/>
            <rFont val="Tahoma"/>
            <family val="2"/>
          </rPr>
          <t xml:space="preserve">Luffi:
REMISION 50 DIC'22
</t>
        </r>
        <r>
          <rPr>
            <sz val="9"/>
            <color indexed="81"/>
            <rFont val="Tahoma"/>
            <family val="2"/>
          </rPr>
          <t>3 DES-INSTALACIONES $1,050.00
1 MIGRACIÓN JAIR MARTÍNEZ -$350.00</t>
        </r>
        <r>
          <rPr>
            <b/>
            <sz val="9"/>
            <color indexed="81"/>
            <rFont val="Tahoma"/>
            <family val="2"/>
          </rPr>
          <t xml:space="preserve">
REMISION 49 NOV'22</t>
        </r>
        <r>
          <rPr>
            <sz val="9"/>
            <color indexed="81"/>
            <rFont val="Tahoma"/>
            <family val="2"/>
          </rPr>
          <t xml:space="preserve">
2 INSTALACIONES
3DES-INSTALACIONES
1MIGRACIÓN -$350.00
04-AGO-22 $2,100.00 
SERVICIOS ADICIONALES REMISION 47 
</t>
        </r>
        <r>
          <rPr>
            <b/>
            <sz val="9"/>
            <color indexed="81"/>
            <rFont val="Tahoma"/>
            <family val="2"/>
          </rPr>
          <t xml:space="preserve">
02-FEB-2022 $1,800 PAGO DE EQUIPO 
</t>
        </r>
        <r>
          <rPr>
            <sz val="9"/>
            <color indexed="81"/>
            <rFont val="Tahoma"/>
            <family val="2"/>
          </rPr>
          <t>UNIDAD 032 ALBERTO VAZQUEZ SIERRA DENALI BLANCA´2018</t>
        </r>
        <r>
          <rPr>
            <b/>
            <sz val="9"/>
            <color indexed="81"/>
            <rFont val="Tahoma"/>
            <family val="2"/>
          </rPr>
          <t xml:space="preserve">
JUNIO´2021 $2,490
SERVICIOS ADICIONALES REMISION 35
MAYO´2021 $1,630.00
SERVICIOS ADICIONALES REMISION 34
</t>
        </r>
        <r>
          <rPr>
            <sz val="9"/>
            <color indexed="81"/>
            <rFont val="Tahoma"/>
            <family val="2"/>
          </rPr>
          <t xml:space="preserve">
</t>
        </r>
        <r>
          <rPr>
            <b/>
            <sz val="10"/>
            <color indexed="81"/>
            <rFont val="Tahoma"/>
            <family val="2"/>
          </rPr>
          <t>FEB-2021 $2,820.00</t>
        </r>
        <r>
          <rPr>
            <sz val="9"/>
            <color indexed="81"/>
            <rFont val="Tahoma"/>
            <family val="2"/>
          </rPr>
          <t xml:space="preserve">
</t>
        </r>
        <r>
          <rPr>
            <sz val="10"/>
            <color indexed="81"/>
            <rFont val="Tahoma"/>
            <family val="2"/>
          </rPr>
          <t xml:space="preserve">5 DES-INSTALACIONES $0.00
4 RE-INSTALACIONES $350 = $1,400.00
3 INSTALACIONES $1,420.00
</t>
        </r>
        <r>
          <rPr>
            <sz val="9"/>
            <color indexed="81"/>
            <rFont val="Tahoma"/>
            <family val="2"/>
          </rPr>
          <t xml:space="preserve">
2</t>
        </r>
        <r>
          <rPr>
            <sz val="10"/>
            <color indexed="81"/>
            <rFont val="Tahoma"/>
            <family val="2"/>
          </rPr>
          <t xml:space="preserve"> INSTALACIONES NUEVAS $890.00
14-SEP-2020  $350 + $160.00 = $510.00
28-SEP-2020  $350 + $ 30.00  = $380.00
</t>
        </r>
        <r>
          <rPr>
            <sz val="9"/>
            <color indexed="81"/>
            <rFont val="Tahoma"/>
            <family val="2"/>
          </rPr>
          <t xml:space="preserve">
5</t>
        </r>
        <r>
          <rPr>
            <sz val="10"/>
            <color indexed="81"/>
            <rFont val="Tahoma"/>
            <family val="2"/>
          </rPr>
          <t xml:space="preserve"> INSTALACIONES NUEVAS 
03-AGO-2020  $350.00 + $300.00
08-AGO-2020  $350.00 + $220.00
08-AGO-2020  $350.00 + $220.00
26-AGO-2020  $350.00 + $ 40.00
27-AGO-2020  $350.00 + $ 30.00
04-JUNIO-2020 $350.00 + $260.00
22-JUNIO-2020 $350.00 + $ 80.00
25-JUNIO-2020 $350.00 + $ 50.00
</t>
        </r>
        <r>
          <rPr>
            <b/>
            <sz val="10"/>
            <color indexed="81"/>
            <rFont val="Tahoma"/>
            <family val="2"/>
          </rPr>
          <t>TOTAL $1,440.00
OLID $3,750.00 + $129.87 =$3,879.87
PEPE $5,400.00 + $260.13 =$5,660.13</t>
        </r>
      </text>
    </comment>
    <comment ref="U133" authorId="0" shapeId="0" xr:uid="{00000000-0006-0000-0400-000092000000}">
      <text>
        <r>
          <rPr>
            <b/>
            <sz val="9"/>
            <color indexed="81"/>
            <rFont val="Tahoma"/>
            <family val="2"/>
          </rPr>
          <t>Luffi:</t>
        </r>
        <r>
          <rPr>
            <sz val="9"/>
            <color indexed="81"/>
            <rFont val="Tahoma"/>
            <family val="2"/>
          </rPr>
          <t xml:space="preserve">
</t>
        </r>
        <r>
          <rPr>
            <sz val="9"/>
            <color indexed="81"/>
            <rFont val="Tahoma"/>
            <family val="2"/>
          </rPr>
          <t>COBRO DE EXTRAVIO DE EQUIPO 
CTE. ALBERTO VAZQUEZ 
AGOSTO´2021</t>
        </r>
      </text>
    </comment>
    <comment ref="E134" authorId="0" shapeId="0" xr:uid="{00000000-0006-0000-0400-000093000000}">
      <text>
        <r>
          <rPr>
            <b/>
            <sz val="9"/>
            <color indexed="81"/>
            <rFont val="Tahoma"/>
            <family val="2"/>
          </rPr>
          <t>Luffi:</t>
        </r>
        <r>
          <rPr>
            <sz val="9"/>
            <color indexed="81"/>
            <rFont val="Tahoma"/>
            <family val="2"/>
          </rPr>
          <t xml:space="preserve">
</t>
        </r>
        <r>
          <rPr>
            <sz val="10"/>
            <color indexed="81"/>
            <rFont val="Tahoma"/>
            <family val="2"/>
          </rPr>
          <t xml:space="preserve">4 RENTA $250.00 + IVA
2 BAJAS PROVICIONALES
SE REACTIVARAN EN MARZO
06-JULIO-2022 INSTALACION NVO EQP. </t>
        </r>
      </text>
    </comment>
    <comment ref="E135" authorId="1" shapeId="0" xr:uid="{00000000-0006-0000-0400-000094000000}">
      <text>
        <r>
          <rPr>
            <b/>
            <sz val="9"/>
            <color indexed="81"/>
            <rFont val="Tahoma"/>
            <family val="2"/>
          </rPr>
          <t>PC:</t>
        </r>
        <r>
          <rPr>
            <sz val="9"/>
            <color indexed="81"/>
            <rFont val="Tahoma"/>
            <family val="2"/>
          </rPr>
          <t xml:space="preserve">
EQUIPO $1,800.00+IVA 
MENSUALIDAD $300.00+IVA 
11-MARZO-2023
2 GPS REMOLQUE $3,400.00+IVA c/u =$3,944.00
1 GPS TRACTO $1,800.00+IVA= $2,088.00
3 MENSUALIDADES $300.00+IVA= $348.00
REVISION $500.00+IVA
DES-INSTALACIONES $500.00+IVA
RE-INSTALACIONES $500.00+IVA
VISITA EN FALSO $250.00+IVA
</t>
        </r>
      </text>
    </comment>
    <comment ref="T135" authorId="1" shapeId="0" xr:uid="{00000000-0006-0000-0400-000095000000}">
      <text>
        <r>
          <rPr>
            <b/>
            <sz val="9"/>
            <color indexed="81"/>
            <rFont val="Tahoma"/>
            <family val="2"/>
          </rPr>
          <t>PC:</t>
        </r>
        <r>
          <rPr>
            <sz val="9"/>
            <color indexed="81"/>
            <rFont val="Tahoma"/>
            <family val="2"/>
          </rPr>
          <t xml:space="preserve">
30-SEPTIEMBRE-2023 2 GPS REMOLQUE $3,400.00+IVA C/U 
11-MARZO-2023 
2 GPS REMOLQUES $3,400.00 C/U
</t>
        </r>
      </text>
    </comment>
    <comment ref="AG135" authorId="1" shapeId="0" xr:uid="{00000000-0006-0000-0400-000096000000}">
      <text>
        <r>
          <rPr>
            <b/>
            <sz val="9"/>
            <color indexed="81"/>
            <rFont val="Tahoma"/>
            <family val="2"/>
          </rPr>
          <t>PC:</t>
        </r>
        <r>
          <rPr>
            <sz val="9"/>
            <color indexed="81"/>
            <rFont val="Tahoma"/>
            <family val="2"/>
          </rPr>
          <t xml:space="preserve">
VENTA DE EQUIPO PAGADO EN EFECTIVO EL MISMO DIA </t>
        </r>
      </text>
    </comment>
    <comment ref="AL135" authorId="1" shapeId="0" xr:uid="{00000000-0006-0000-0400-000097000000}">
      <text>
        <r>
          <rPr>
            <b/>
            <sz val="9"/>
            <color indexed="81"/>
            <rFont val="Tahoma"/>
            <family val="2"/>
          </rPr>
          <t>PC:</t>
        </r>
        <r>
          <rPr>
            <sz val="9"/>
            <color indexed="81"/>
            <rFont val="Tahoma"/>
            <family val="2"/>
          </rPr>
          <t xml:space="preserve">
REVISION DE UNIDADES PAGO EN EFECTIVO A JESUS GALVAN </t>
        </r>
      </text>
    </comment>
    <comment ref="E136" authorId="1" shapeId="0" xr:uid="{00000000-0006-0000-0400-000098000000}">
      <text>
        <r>
          <rPr>
            <b/>
            <sz val="9"/>
            <color indexed="81"/>
            <rFont val="Tahoma"/>
            <family val="2"/>
          </rPr>
          <t>PC:</t>
        </r>
        <r>
          <rPr>
            <sz val="9"/>
            <color indexed="81"/>
            <rFont val="Tahoma"/>
            <family val="2"/>
          </rPr>
          <t xml:space="preserve">
INGRESA EL 23-JULIO-2024
EQUIPO $1,000.00
MENSUALIDAD $300.00
</t>
        </r>
      </text>
    </comment>
    <comment ref="E137" authorId="1" shapeId="0" xr:uid="{00000000-0006-0000-0400-000099000000}">
      <text>
        <r>
          <rPr>
            <b/>
            <sz val="9"/>
            <color indexed="81"/>
            <rFont val="Tahoma"/>
            <family val="2"/>
          </rPr>
          <t>PC:</t>
        </r>
        <r>
          <rPr>
            <sz val="9"/>
            <color indexed="81"/>
            <rFont val="Tahoma"/>
            <family val="2"/>
          </rPr>
          <t xml:space="preserve">
INGRESA EL 05-JULIO-2024
BAJA 05-SEPTIEMBRE-2024
RE-INGRESO 24-SEPTIEMBRE-2024
BAJA 07-FEBRERO-2025
RE-INGRESO 10-ABRIL-2025
EQUIPO $1,800.00
RENTA $250.00</t>
        </r>
      </text>
    </comment>
    <comment ref="E138" authorId="1" shapeId="0" xr:uid="{00000000-0006-0000-0400-00009A000000}">
      <text>
        <r>
          <rPr>
            <b/>
            <sz val="9"/>
            <color indexed="81"/>
            <rFont val="Tahoma"/>
            <family val="2"/>
          </rPr>
          <t>PC:</t>
        </r>
        <r>
          <rPr>
            <sz val="9"/>
            <color indexed="81"/>
            <rFont val="Tahoma"/>
            <family val="2"/>
          </rPr>
          <t xml:space="preserve">
CLIENTE MIGRADO DE  ALEJANDRO MARMOLEJO 17-ENERO-2025
EQUIPO $1,800.00
MENSUALIDAD $350.00</t>
        </r>
      </text>
    </comment>
    <comment ref="E139" authorId="1" shapeId="0" xr:uid="{00000000-0006-0000-0400-00009B000000}">
      <text>
        <r>
          <rPr>
            <b/>
            <sz val="9"/>
            <color indexed="81"/>
            <rFont val="Tahoma"/>
            <family val="2"/>
          </rPr>
          <t>PC:</t>
        </r>
        <r>
          <rPr>
            <sz val="9"/>
            <color indexed="81"/>
            <rFont val="Tahoma"/>
            <family val="2"/>
          </rPr>
          <t xml:space="preserve">
CLIENTE NUEVO 06-DICIEMBRE-2024
EQUIPO $1,850.00
MENSUALIDAD CON CANAL DE VOZ $250.00</t>
        </r>
      </text>
    </comment>
    <comment ref="E140" authorId="1" shapeId="0" xr:uid="{00000000-0006-0000-0400-00009C000000}">
      <text>
        <r>
          <rPr>
            <b/>
            <sz val="9"/>
            <color indexed="81"/>
            <rFont val="Tahoma"/>
            <family val="2"/>
          </rPr>
          <t>PC:</t>
        </r>
        <r>
          <rPr>
            <sz val="9"/>
            <color indexed="81"/>
            <rFont val="Tahoma"/>
            <family val="2"/>
          </rPr>
          <t xml:space="preserve">
INGRESA EL 29-OCTUBRE-2024
EQUIPO $2,100.00
MENSUALIDAD $150.00</t>
        </r>
      </text>
    </comment>
    <comment ref="E141" authorId="1" shapeId="0" xr:uid="{00000000-0006-0000-0400-00009D000000}">
      <text>
        <r>
          <rPr>
            <b/>
            <sz val="9"/>
            <color indexed="81"/>
            <rFont val="Tahoma"/>
            <family val="2"/>
          </rPr>
          <t>PC:</t>
        </r>
        <r>
          <rPr>
            <sz val="9"/>
            <color indexed="81"/>
            <rFont val="Tahoma"/>
            <family val="2"/>
          </rPr>
          <t xml:space="preserve">
INGRESA EL 09-JULIO-2024
COMODATO
INSTALACION $500.00
MENS. $250.00</t>
        </r>
      </text>
    </comment>
    <comment ref="E142" authorId="1" shapeId="0" xr:uid="{00000000-0006-0000-0400-00009E000000}">
      <text>
        <r>
          <rPr>
            <b/>
            <sz val="9"/>
            <color indexed="81"/>
            <rFont val="Tahoma"/>
            <family val="2"/>
          </rPr>
          <t>PC:</t>
        </r>
        <r>
          <rPr>
            <sz val="9"/>
            <color indexed="81"/>
            <rFont val="Tahoma"/>
            <family val="2"/>
          </rPr>
          <t xml:space="preserve">
SE LE INSTALA EL 07-JUNIO-2024 EQUIPO USO RUDO
EL 11-JUNIO-2024 INSTALA EQP. DASH CAM
SE AGREGA A LA COBRANZA EL 10-JUNIO-2024
EQUIPO 3ER GENERACION USO RUDO PARA REMOLQUE $3,600.00
MENSUALIDAD $250.00
EQUIPO DASH CAM $8,790.00
MENSUALIDAD DASH CAM $900.00
</t>
        </r>
      </text>
    </comment>
    <comment ref="E143" authorId="1" shapeId="0" xr:uid="{00000000-0006-0000-0400-00009F000000}">
      <text>
        <r>
          <rPr>
            <b/>
            <sz val="9"/>
            <color indexed="81"/>
            <rFont val="Tahoma"/>
            <family val="2"/>
          </rPr>
          <t>PC:</t>
        </r>
        <r>
          <rPr>
            <sz val="9"/>
            <color indexed="81"/>
            <rFont val="Tahoma"/>
            <family val="2"/>
          </rPr>
          <t xml:space="preserve">
INGRESA EL 30-ENERO-2025
EQUIPO $1,800.00
MENSUALIDAD $350.00</t>
        </r>
      </text>
    </comment>
    <comment ref="E144" authorId="1" shapeId="0" xr:uid="{00000000-0006-0000-0400-0000A0000000}">
      <text>
        <r>
          <rPr>
            <b/>
            <sz val="9"/>
            <color indexed="81"/>
            <rFont val="Tahoma"/>
            <family val="2"/>
          </rPr>
          <t xml:space="preserve">PC:
</t>
        </r>
        <r>
          <rPr>
            <sz val="9"/>
            <color indexed="81"/>
            <rFont val="Tahoma"/>
            <family val="2"/>
          </rPr>
          <t xml:space="preserve">20-Junio-2022  Instalación 
Equipo $2,000.00
Mensualidad $300.00 </t>
        </r>
      </text>
    </comment>
    <comment ref="E145" authorId="1" shapeId="0" xr:uid="{00000000-0006-0000-0400-0000A1000000}">
      <text>
        <r>
          <rPr>
            <b/>
            <sz val="9"/>
            <color indexed="81"/>
            <rFont val="Tahoma"/>
            <family val="2"/>
          </rPr>
          <t>PC:</t>
        </r>
        <r>
          <rPr>
            <sz val="9"/>
            <color indexed="81"/>
            <rFont val="Tahoma"/>
            <family val="2"/>
          </rPr>
          <t xml:space="preserve">
ALTA 07-ABRIL-2025
COMODATO PROMOCION
INSTALACION $549.00
MENSUALIDAD $300.00</t>
        </r>
      </text>
    </comment>
    <comment ref="E146" authorId="1" shapeId="0" xr:uid="{00000000-0006-0000-0400-0000A2000000}">
      <text>
        <r>
          <rPr>
            <b/>
            <sz val="9"/>
            <color indexed="81"/>
            <rFont val="Tahoma"/>
            <family val="2"/>
          </rPr>
          <t>PC:</t>
        </r>
        <r>
          <rPr>
            <sz val="9"/>
            <color indexed="81"/>
            <rFont val="Tahoma"/>
            <family val="2"/>
          </rPr>
          <t xml:space="preserve">
INGRESA EL 29-OCTUBRE-2024
EQUIPO $1,850.00
MENSUALIDAD $299.00</t>
        </r>
      </text>
    </comment>
    <comment ref="E147" authorId="0" shapeId="0" xr:uid="{00000000-0006-0000-0400-0000A3000000}">
      <text>
        <r>
          <rPr>
            <b/>
            <sz val="9"/>
            <color indexed="81"/>
            <rFont val="Tahoma"/>
            <family val="2"/>
          </rPr>
          <t>Luffi:</t>
        </r>
        <r>
          <rPr>
            <sz val="9"/>
            <color indexed="81"/>
            <rFont val="Tahoma"/>
            <family val="2"/>
          </rPr>
          <t xml:space="preserve">
EQUIPO TRASPASADO POR CHUY SOCIO JOSE LUIS 
MENSUALIDAD $300.00
RE-INSTALACION $650.00
</t>
        </r>
        <r>
          <rPr>
            <b/>
            <sz val="9"/>
            <color indexed="81"/>
            <rFont val="Tahoma"/>
            <family val="2"/>
          </rPr>
          <t>*INSTALACION 20-DIC-2021 
*SE LE COBRA HASTA FEB´2022</t>
        </r>
      </text>
    </comment>
    <comment ref="E148" authorId="1" shapeId="0" xr:uid="{00000000-0006-0000-0400-0000A4000000}">
      <text>
        <r>
          <rPr>
            <b/>
            <sz val="9"/>
            <color indexed="81"/>
            <rFont val="Tahoma"/>
            <family val="2"/>
          </rPr>
          <t>PC:</t>
        </r>
        <r>
          <rPr>
            <sz val="9"/>
            <color indexed="81"/>
            <rFont val="Tahoma"/>
            <family val="2"/>
          </rPr>
          <t xml:space="preserve">
INGRESA EL 14-SEPTIEMBRE-2024 
COMODATO 
INSTALACIÓN $549.00
MENSUALIDAD $300.00</t>
        </r>
      </text>
    </comment>
    <comment ref="E149" authorId="0" shapeId="0" xr:uid="{00000000-0006-0000-0400-0000A5000000}">
      <text>
        <r>
          <rPr>
            <b/>
            <sz val="9"/>
            <color indexed="81"/>
            <rFont val="Tahoma"/>
            <family val="2"/>
          </rPr>
          <t>Luffi:</t>
        </r>
        <r>
          <rPr>
            <sz val="9"/>
            <color indexed="81"/>
            <rFont val="Tahoma"/>
            <family val="2"/>
          </rPr>
          <t xml:space="preserve">
TRASPASO DE CLIENTE DE PLAY MOTORS 
EQUIPO $1,850
MENSUALIDAD $300</t>
        </r>
      </text>
    </comment>
    <comment ref="E150" authorId="1" shapeId="0" xr:uid="{00000000-0006-0000-0400-0000A6000000}">
      <text>
        <r>
          <rPr>
            <b/>
            <sz val="9"/>
            <color indexed="81"/>
            <rFont val="Tahoma"/>
            <family val="2"/>
          </rPr>
          <t>PC:</t>
        </r>
        <r>
          <rPr>
            <sz val="9"/>
            <color indexed="81"/>
            <rFont val="Tahoma"/>
            <family val="2"/>
          </rPr>
          <t xml:space="preserve">
INGRESA EL 09-OCTUBRE-2024
EQUIPOS DASH CAM $7,000.00
MENSUALIDAD $900.00</t>
        </r>
      </text>
    </comment>
    <comment ref="E151" authorId="1" shapeId="0" xr:uid="{00000000-0006-0000-0400-0000A7000000}">
      <text>
        <r>
          <rPr>
            <b/>
            <sz val="9"/>
            <color indexed="81"/>
            <rFont val="Tahoma"/>
            <family val="2"/>
          </rPr>
          <t>PC:</t>
        </r>
        <r>
          <rPr>
            <sz val="9"/>
            <color indexed="81"/>
            <rFont val="Tahoma"/>
            <family val="2"/>
          </rPr>
          <t xml:space="preserve">
INICIA EL 29-AGOSTO-2023
EQUIPO $1,850.00
MENSUALIDAD $250.00</t>
        </r>
      </text>
    </comment>
    <comment ref="E152" authorId="1" shapeId="0" xr:uid="{00000000-0006-0000-0400-0000A8000000}">
      <text>
        <r>
          <rPr>
            <b/>
            <sz val="9"/>
            <color indexed="81"/>
            <rFont val="Tahoma"/>
            <family val="2"/>
          </rPr>
          <t>PC:</t>
        </r>
        <r>
          <rPr>
            <sz val="9"/>
            <color indexed="81"/>
            <rFont val="Tahoma"/>
            <family val="2"/>
          </rPr>
          <t xml:space="preserve">
COMODATO 
INGRESA EL 27-SEPTIEMBRE-2024
INSTALACION $549.00
MENSUALIDAD $300.00</t>
        </r>
      </text>
    </comment>
    <comment ref="E153" authorId="0" shapeId="0" xr:uid="{00000000-0006-0000-0400-0000A9000000}">
      <text>
        <r>
          <rPr>
            <b/>
            <sz val="9"/>
            <color indexed="81"/>
            <rFont val="Tahoma"/>
            <family val="2"/>
          </rPr>
          <t>Luffi:</t>
        </r>
        <r>
          <rPr>
            <sz val="9"/>
            <color indexed="81"/>
            <rFont val="Tahoma"/>
            <family val="2"/>
          </rPr>
          <t xml:space="preserve">
</t>
        </r>
        <r>
          <rPr>
            <sz val="10"/>
            <color indexed="81"/>
            <rFont val="Tahoma"/>
            <family val="2"/>
          </rPr>
          <t>8 RENTAS $297.00 
DES-INSTALACIÓN $500.00
REVISIONES $500.00</t>
        </r>
      </text>
    </comment>
    <comment ref="T153" authorId="1" shapeId="0" xr:uid="{00000000-0006-0000-0400-0000AA000000}">
      <text>
        <r>
          <rPr>
            <b/>
            <sz val="9"/>
            <color indexed="81"/>
            <rFont val="Tahoma"/>
            <family val="2"/>
          </rPr>
          <t>PC:</t>
        </r>
        <r>
          <rPr>
            <sz val="9"/>
            <color indexed="81"/>
            <rFont val="Tahoma"/>
            <family val="2"/>
          </rPr>
          <t xml:space="preserve">
REVISION DE UNIDAD 15-NOV-22 FROD BCO. PLACAS 25AG2W $500.00</t>
        </r>
      </text>
    </comment>
    <comment ref="E154" authorId="0" shapeId="0" xr:uid="{00000000-0006-0000-0400-0000AB000000}">
      <text>
        <r>
          <rPr>
            <b/>
            <sz val="9"/>
            <color indexed="81"/>
            <rFont val="Tahoma"/>
            <family val="2"/>
          </rPr>
          <t>Luffi:</t>
        </r>
        <r>
          <rPr>
            <sz val="9"/>
            <color indexed="81"/>
            <rFont val="Tahoma"/>
            <family val="2"/>
          </rPr>
          <t xml:space="preserve">
</t>
        </r>
        <r>
          <rPr>
            <b/>
            <sz val="9"/>
            <color indexed="81"/>
            <rFont val="Tahoma"/>
            <family val="2"/>
          </rPr>
          <t xml:space="preserve">CLIENTE DE PRESTACOCHE MIGRADO
</t>
        </r>
        <r>
          <rPr>
            <sz val="9"/>
            <color indexed="81"/>
            <rFont val="Tahoma"/>
            <family val="2"/>
          </rPr>
          <t xml:space="preserve">MIGRADO $650.00
MENSUALIDAD $300.00
EQUIPO $2,100.00
</t>
        </r>
        <r>
          <rPr>
            <b/>
            <sz val="9"/>
            <color indexed="81"/>
            <rFont val="Tahoma"/>
            <family val="2"/>
          </rPr>
          <t>RECONFIGURACION 05-ENERO-2022</t>
        </r>
      </text>
    </comment>
    <comment ref="E155" authorId="1" shapeId="0" xr:uid="{00000000-0006-0000-0400-0000AC000000}">
      <text>
        <r>
          <rPr>
            <b/>
            <sz val="9"/>
            <color indexed="81"/>
            <rFont val="Tahoma"/>
            <family val="2"/>
          </rPr>
          <t>PC:</t>
        </r>
        <r>
          <rPr>
            <sz val="9"/>
            <color indexed="81"/>
            <rFont val="Tahoma"/>
            <family val="2"/>
          </rPr>
          <t xml:space="preserve">
INICIA EL 09-MARZO-2023 
EQUIPO $2,200.00
MENSUALIDAD $249.00</t>
        </r>
      </text>
    </comment>
    <comment ref="E156" authorId="1" shapeId="0" xr:uid="{00000000-0006-0000-0400-0000AD000000}">
      <text>
        <r>
          <rPr>
            <b/>
            <sz val="9"/>
            <color indexed="81"/>
            <rFont val="Tahoma"/>
            <family val="2"/>
          </rPr>
          <t>PC:</t>
        </r>
        <r>
          <rPr>
            <sz val="9"/>
            <color indexed="81"/>
            <rFont val="Tahoma"/>
            <family val="2"/>
          </rPr>
          <t xml:space="preserve">
INICIA EL 12-NOV-22 
1er.Pago $1,769.00 11-Nov-22
2do. Pago $1,769.00 14-Nov-22
EQUIPO $1,800.00+IVA 
MESUALIDAD $250.00+IVA 
VIÁTICOS $1,000.00</t>
        </r>
      </text>
    </comment>
    <comment ref="S156" authorId="1" shapeId="0" xr:uid="{00000000-0006-0000-0400-0000AE000000}">
      <text>
        <r>
          <rPr>
            <b/>
            <sz val="9"/>
            <color indexed="81"/>
            <rFont val="Tahoma"/>
            <family val="2"/>
          </rPr>
          <t>PC:</t>
        </r>
        <r>
          <rPr>
            <sz val="9"/>
            <color indexed="81"/>
            <rFont val="Tahoma"/>
            <family val="2"/>
          </rPr>
          <t xml:space="preserve">
INICIA 12-NOV-22
MENSUALIDAD $250.00+IVA=$290.00</t>
        </r>
      </text>
    </comment>
    <comment ref="T156" authorId="1" shapeId="0" xr:uid="{00000000-0006-0000-0400-0000AF000000}">
      <text>
        <r>
          <rPr>
            <b/>
            <sz val="9"/>
            <color indexed="81"/>
            <rFont val="Tahoma"/>
            <family val="2"/>
          </rPr>
          <t>PC:</t>
        </r>
        <r>
          <rPr>
            <sz val="9"/>
            <color indexed="81"/>
            <rFont val="Tahoma"/>
            <family val="2"/>
          </rPr>
          <t xml:space="preserve">
INSTALACION Y EQUIPO $1,800.00
MENSUALIDAD $250.00
</t>
        </r>
      </text>
    </comment>
    <comment ref="E157" authorId="1" shapeId="0" xr:uid="{00000000-0006-0000-0400-0000B0000000}">
      <text>
        <r>
          <rPr>
            <b/>
            <sz val="9"/>
            <color indexed="81"/>
            <rFont val="Tahoma"/>
            <family val="2"/>
          </rPr>
          <t>PC:</t>
        </r>
        <r>
          <rPr>
            <sz val="9"/>
            <color indexed="81"/>
            <rFont val="Tahoma"/>
            <family val="2"/>
          </rPr>
          <t xml:space="preserve">
INGRESA EL 22-NOVIEMBRE-2024
EQUIPO $1.850.00
MENSUALIDAD $300.00</t>
        </r>
      </text>
    </comment>
    <comment ref="E158" authorId="1" shapeId="0" xr:uid="{00000000-0006-0000-0400-0000B1000000}">
      <text>
        <r>
          <rPr>
            <b/>
            <sz val="9"/>
            <color indexed="81"/>
            <rFont val="Tahoma"/>
            <family val="2"/>
          </rPr>
          <t>PC:</t>
        </r>
        <r>
          <rPr>
            <sz val="9"/>
            <color indexed="81"/>
            <rFont val="Tahoma"/>
            <family val="2"/>
          </rPr>
          <t xml:space="preserve">
INICA EL 21-SEP-2022 
EQUIPO $1,800.00
RENTA $280.00
REVISION Y CAMBIO DE MICRÓFONO $250.00</t>
        </r>
      </text>
    </comment>
    <comment ref="T158" authorId="1" shapeId="0" xr:uid="{00000000-0006-0000-0400-0000B2000000}">
      <text>
        <r>
          <rPr>
            <b/>
            <sz val="9"/>
            <color indexed="81"/>
            <rFont val="Tahoma"/>
            <family val="2"/>
          </rPr>
          <t>PC:</t>
        </r>
        <r>
          <rPr>
            <sz val="9"/>
            <color indexed="81"/>
            <rFont val="Tahoma"/>
            <family val="2"/>
          </rPr>
          <t xml:space="preserve">
REVISION Y CAMBIO DE MICROFONO 
13-ENERO-2023
$250.00</t>
        </r>
      </text>
    </comment>
    <comment ref="E159" authorId="1" shapeId="0" xr:uid="{00000000-0006-0000-0400-0000B3000000}">
      <text>
        <r>
          <rPr>
            <b/>
            <sz val="9"/>
            <color indexed="81"/>
            <rFont val="Tahoma"/>
            <family val="2"/>
          </rPr>
          <t>PC:</t>
        </r>
        <r>
          <rPr>
            <sz val="9"/>
            <color indexed="81"/>
            <rFont val="Tahoma"/>
            <family val="2"/>
          </rPr>
          <t xml:space="preserve">
INICIA EL 26-DICIEMBRE-2024
EQUIPO $1,850.00
MENSUALIDAD $300.00</t>
        </r>
      </text>
    </comment>
    <comment ref="E160" authorId="1" shapeId="0" xr:uid="{00000000-0006-0000-0400-0000B4000000}">
      <text>
        <r>
          <rPr>
            <b/>
            <sz val="9"/>
            <color indexed="81"/>
            <rFont val="Tahoma"/>
            <family val="2"/>
          </rPr>
          <t>PC:</t>
        </r>
        <r>
          <rPr>
            <sz val="9"/>
            <color indexed="81"/>
            <rFont val="Tahoma"/>
            <family val="2"/>
          </rPr>
          <t xml:space="preserve">
INGRESA EL 18-SEPTIEMBRE-2024
COMODATO
INSTALACION $549.00
MENSUALIDAD $300.00</t>
        </r>
      </text>
    </comment>
    <comment ref="E161" authorId="1" shapeId="0" xr:uid="{00000000-0006-0000-0400-0000B5000000}">
      <text>
        <r>
          <rPr>
            <b/>
            <sz val="9"/>
            <color indexed="81"/>
            <rFont val="Tahoma"/>
            <family val="2"/>
          </rPr>
          <t>PC:</t>
        </r>
        <r>
          <rPr>
            <sz val="9"/>
            <color indexed="81"/>
            <rFont val="Tahoma"/>
            <family val="2"/>
          </rPr>
          <t xml:space="preserve">
Tecnico de Saltillo
Instala el 27-enero-2024
Se le empieza a cobrar en Marzo 2024
Mensualidad $200.00</t>
        </r>
      </text>
    </comment>
    <comment ref="E162" authorId="0" shapeId="0" xr:uid="{00000000-0006-0000-0400-0000B6000000}">
      <text>
        <r>
          <rPr>
            <b/>
            <sz val="9"/>
            <color indexed="81"/>
            <rFont val="Tahoma"/>
            <family val="2"/>
          </rPr>
          <t>Luffi:</t>
        </r>
        <r>
          <rPr>
            <sz val="9"/>
            <color indexed="81"/>
            <rFont val="Tahoma"/>
            <family val="2"/>
          </rPr>
          <t xml:space="preserve">
4</t>
        </r>
        <r>
          <rPr>
            <sz val="10"/>
            <color indexed="81"/>
            <rFont val="Tahoma"/>
            <family val="2"/>
          </rPr>
          <t xml:space="preserve"> RENTA $350.00</t>
        </r>
        <r>
          <rPr>
            <sz val="9"/>
            <color indexed="81"/>
            <rFont val="Tahoma"/>
            <family val="2"/>
          </rPr>
          <t xml:space="preserve"> 
SE DAN DE BAJA 2 UNIDADES 
</t>
        </r>
        <r>
          <rPr>
            <b/>
            <sz val="9"/>
            <color indexed="81"/>
            <rFont val="Tahoma"/>
            <family val="2"/>
          </rPr>
          <t>2-OCT-2020 (SENTRA Y MARCH)</t>
        </r>
        <r>
          <rPr>
            <sz val="9"/>
            <color indexed="81"/>
            <rFont val="Tahoma"/>
            <family val="2"/>
          </rPr>
          <t xml:space="preserve">
</t>
        </r>
        <r>
          <rPr>
            <b/>
            <sz val="9"/>
            <color indexed="81"/>
            <rFont val="Tahoma"/>
            <family val="2"/>
          </rPr>
          <t xml:space="preserve">1 INSTALACION 22-MAR-2022
AVEO ROJO 
EQUIPO $1,500.00 </t>
        </r>
      </text>
    </comment>
    <comment ref="T162" authorId="2" shapeId="0" xr:uid="{00000000-0006-0000-0400-0000B7000000}">
      <text>
        <r>
          <rPr>
            <b/>
            <sz val="9"/>
            <color indexed="81"/>
            <rFont val="Tahoma"/>
            <family val="2"/>
          </rPr>
          <t>Usuario de Windows:</t>
        </r>
        <r>
          <rPr>
            <sz val="9"/>
            <color indexed="81"/>
            <rFont val="Tahoma"/>
            <family val="2"/>
          </rPr>
          <t xml:space="preserve">
EQUIPO GPS</t>
        </r>
      </text>
    </comment>
    <comment ref="E163" authorId="1" shapeId="0" xr:uid="{00000000-0006-0000-0400-0000B8000000}">
      <text>
        <r>
          <rPr>
            <b/>
            <sz val="9"/>
            <color indexed="81"/>
            <rFont val="Tahoma"/>
            <family val="2"/>
          </rPr>
          <t>PC:</t>
        </r>
        <r>
          <rPr>
            <sz val="9"/>
            <color indexed="81"/>
            <rFont val="Tahoma"/>
            <family val="2"/>
          </rPr>
          <t xml:space="preserve">
INICIA EL 08-SEP-2023
EQUIPO $2,199.00
MENSUALIDAD $250.00</t>
        </r>
      </text>
    </comment>
    <comment ref="E164" authorId="1" shapeId="0" xr:uid="{00000000-0006-0000-0400-0000B9000000}">
      <text>
        <r>
          <rPr>
            <b/>
            <sz val="9"/>
            <color indexed="81"/>
            <rFont val="Tahoma"/>
            <family val="2"/>
          </rPr>
          <t>PC:</t>
        </r>
        <r>
          <rPr>
            <sz val="9"/>
            <color indexed="81"/>
            <rFont val="Tahoma"/>
            <family val="2"/>
          </rPr>
          <t xml:space="preserve">
COMODATO
INGRESA EL 11-SEPTIEMBRE-2024
INSTALACIÓN $549.00
MENSUALIDAD $300.00</t>
        </r>
      </text>
    </comment>
    <comment ref="E165" authorId="1" shapeId="0" xr:uid="{00000000-0006-0000-0400-0000BA000000}">
      <text>
        <r>
          <rPr>
            <b/>
            <sz val="9"/>
            <color indexed="81"/>
            <rFont val="Tahoma"/>
            <family val="2"/>
          </rPr>
          <t>PC:</t>
        </r>
        <r>
          <rPr>
            <sz val="9"/>
            <color indexed="81"/>
            <rFont val="Tahoma"/>
            <family val="2"/>
          </rPr>
          <t xml:space="preserve">
INGRESA EL 14-FEBRERO-2024
EQUIPO $1,600.00
MENSUALIDAD $250.00</t>
        </r>
      </text>
    </comment>
    <comment ref="E166" authorId="1" shapeId="0" xr:uid="{00000000-0006-0000-0400-0000BB000000}">
      <text>
        <r>
          <rPr>
            <b/>
            <sz val="9"/>
            <color indexed="81"/>
            <rFont val="Tahoma"/>
            <family val="2"/>
          </rPr>
          <t>PC:</t>
        </r>
        <r>
          <rPr>
            <sz val="9"/>
            <color indexed="81"/>
            <rFont val="Tahoma"/>
            <family val="2"/>
          </rPr>
          <t xml:space="preserve">
CLIENTE NUEVO 26-NOVIEMBRE-2024
EQUIPO $2,200.00 
MENSUALIDAD $300.00</t>
        </r>
      </text>
    </comment>
    <comment ref="E167" authorId="1" shapeId="0" xr:uid="{00000000-0006-0000-0400-0000BC000000}">
      <text>
        <r>
          <rPr>
            <b/>
            <sz val="9"/>
            <color indexed="81"/>
            <rFont val="Tahoma"/>
            <family val="2"/>
          </rPr>
          <t>PC:</t>
        </r>
        <r>
          <rPr>
            <sz val="9"/>
            <color indexed="81"/>
            <rFont val="Tahoma"/>
            <family val="2"/>
          </rPr>
          <t xml:space="preserve">
INGRESA EL 18-OCTUBRE-2024
EQUIPO $1,850.00+IVA
MENSUALIDAD $249.00+IVA</t>
        </r>
      </text>
    </comment>
    <comment ref="E168" authorId="1" shapeId="0" xr:uid="{00000000-0006-0000-0400-0000BD000000}">
      <text>
        <r>
          <rPr>
            <b/>
            <sz val="9"/>
            <color indexed="81"/>
            <rFont val="Tahoma"/>
            <family val="2"/>
          </rPr>
          <t>PC:</t>
        </r>
        <r>
          <rPr>
            <sz val="9"/>
            <color indexed="81"/>
            <rFont val="Tahoma"/>
            <family val="2"/>
          </rPr>
          <t xml:space="preserve">
INGRESA EL 10-ENERO-2025
EQUIPO $2,000.00
MENSUALIDAD $250.00
RECOMENDADO DE EDUARDO ALMAGUER</t>
        </r>
      </text>
    </comment>
    <comment ref="D169" authorId="0" shapeId="0" xr:uid="{00000000-0006-0000-0400-0000BE000000}">
      <text>
        <r>
          <rPr>
            <b/>
            <sz val="9"/>
            <color indexed="81"/>
            <rFont val="Tahoma"/>
            <family val="2"/>
          </rPr>
          <t>Luffi:</t>
        </r>
        <r>
          <rPr>
            <sz val="9"/>
            <color indexed="81"/>
            <rFont val="Tahoma"/>
            <family val="2"/>
          </rPr>
          <t xml:space="preserve">
</t>
        </r>
        <r>
          <rPr>
            <b/>
            <sz val="9"/>
            <color indexed="10"/>
            <rFont val="Tahoma"/>
            <family val="2"/>
          </rPr>
          <t xml:space="preserve">rafacova@live.com.mx 
NO MANDAR CORREOS AQUÍ </t>
        </r>
      </text>
    </comment>
    <comment ref="E169" authorId="0" shapeId="0" xr:uid="{00000000-0006-0000-0400-0000BF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E170" authorId="1" shapeId="0" xr:uid="{00000000-0006-0000-0400-0000C0000000}">
      <text>
        <r>
          <rPr>
            <b/>
            <sz val="9"/>
            <color indexed="81"/>
            <rFont val="Tahoma"/>
            <family val="2"/>
          </rPr>
          <t>PC:</t>
        </r>
        <r>
          <rPr>
            <sz val="9"/>
            <color indexed="81"/>
            <rFont val="Tahoma"/>
            <family val="2"/>
          </rPr>
          <t xml:space="preserve">
INGRESA EL 01-NOVIEMBRE-2024
EQUIPO $1,850.00
MENSUALIDAD $300.00</t>
        </r>
      </text>
    </comment>
    <comment ref="E171" authorId="1" shapeId="0" xr:uid="{00000000-0006-0000-0400-0000C1000000}">
      <text>
        <r>
          <rPr>
            <b/>
            <sz val="9"/>
            <color indexed="81"/>
            <rFont val="Tahoma"/>
            <family val="2"/>
          </rPr>
          <t>PC:</t>
        </r>
        <r>
          <rPr>
            <sz val="9"/>
            <color indexed="81"/>
            <rFont val="Tahoma"/>
            <family val="2"/>
          </rPr>
          <t xml:space="preserve">
INICIA EL 16-MAYO-2023
EQUIPO $1,800.00+IVA
MENSUALIDAD $350.00+IVA
SE LE COBRO 6 MESES ADELANTADOS COBRAR HASTA NOVIEMBRE 2023</t>
        </r>
      </text>
    </comment>
    <comment ref="E172" authorId="1" shapeId="0" xr:uid="{00000000-0006-0000-0400-0000C2000000}">
      <text>
        <r>
          <rPr>
            <b/>
            <sz val="9"/>
            <color indexed="81"/>
            <rFont val="Tahoma"/>
            <family val="2"/>
          </rPr>
          <t>PC:</t>
        </r>
        <r>
          <rPr>
            <sz val="9"/>
            <color indexed="81"/>
            <rFont val="Tahoma"/>
            <family val="2"/>
          </rPr>
          <t xml:space="preserve">
CLIENTE MIGRADO DE PREPAGO 
14 Y 22 DE DICIEMBRE'22 
EQUIPO $1,920.00
MENSUALIDAD $300.00
SIM $100.00</t>
        </r>
      </text>
    </comment>
    <comment ref="T172" authorId="1" shapeId="0" xr:uid="{00000000-0006-0000-0400-0000C3000000}">
      <text>
        <r>
          <rPr>
            <b/>
            <sz val="9"/>
            <color indexed="81"/>
            <rFont val="Tahoma"/>
            <family val="2"/>
          </rPr>
          <t>PC:</t>
        </r>
        <r>
          <rPr>
            <sz val="9"/>
            <color indexed="81"/>
            <rFont val="Tahoma"/>
            <family val="2"/>
          </rPr>
          <t xml:space="preserve">
RE-INSTALACION 28-DICIEMBRE-2022
$500.00</t>
        </r>
      </text>
    </comment>
    <comment ref="E173" authorId="1" shapeId="0" xr:uid="{00000000-0006-0000-0400-0000C4000000}">
      <text>
        <r>
          <rPr>
            <b/>
            <sz val="9"/>
            <color indexed="81"/>
            <rFont val="Tahoma"/>
            <family val="2"/>
          </rPr>
          <t>PC:</t>
        </r>
        <r>
          <rPr>
            <sz val="9"/>
            <color indexed="81"/>
            <rFont val="Tahoma"/>
            <family val="2"/>
          </rPr>
          <t xml:space="preserve">
PRIMA DE JOSE LUIS 
INGRESA EL 09-SEPTIEMBRE-2024
EQUIPO $1,000.00
MENSUALIDAD $250.00</t>
        </r>
      </text>
    </comment>
    <comment ref="E174" authorId="1" shapeId="0" xr:uid="{00000000-0006-0000-0400-0000C5000000}">
      <text>
        <r>
          <rPr>
            <b/>
            <sz val="9"/>
            <color indexed="81"/>
            <rFont val="Tahoma"/>
            <family val="2"/>
          </rPr>
          <t>PC:</t>
        </r>
        <r>
          <rPr>
            <sz val="9"/>
            <color indexed="81"/>
            <rFont val="Tahoma"/>
            <family val="2"/>
          </rPr>
          <t xml:space="preserve">
INGRESA EL 21-SEPTIEMBRE-2024
EQUIPO $2,200.00
MENSUALIDAD $300.00</t>
        </r>
      </text>
    </comment>
    <comment ref="E175" authorId="0" shapeId="0" xr:uid="{00000000-0006-0000-0400-0000C6000000}">
      <text>
        <r>
          <rPr>
            <b/>
            <sz val="9"/>
            <color indexed="81"/>
            <rFont val="Tahoma"/>
            <family val="2"/>
          </rPr>
          <t>Luffi:</t>
        </r>
        <r>
          <rPr>
            <sz val="9"/>
            <color indexed="81"/>
            <rFont val="Tahoma"/>
            <family val="2"/>
          </rPr>
          <t xml:space="preserve">
</t>
        </r>
        <r>
          <rPr>
            <sz val="10"/>
            <color indexed="81"/>
            <rFont val="Tahoma"/>
            <family val="2"/>
          </rPr>
          <t xml:space="preserve">INSTALACIÓN 21-FEB-2021
2da UNIDAD 
AJUSTE SOBRE RENTA A $250.00 
</t>
        </r>
        <r>
          <rPr>
            <b/>
            <sz val="10"/>
            <color indexed="81"/>
            <rFont val="Tahoma"/>
            <family val="2"/>
          </rPr>
          <t>SE COBRA EN ABRIL 
EQUIPO $1,900.00
MENSUALIDAD $250.00</t>
        </r>
      </text>
    </comment>
    <comment ref="E176" authorId="1" shapeId="0" xr:uid="{00000000-0006-0000-0400-0000C7000000}">
      <text>
        <r>
          <rPr>
            <b/>
            <sz val="9"/>
            <color indexed="81"/>
            <rFont val="Tahoma"/>
            <family val="2"/>
          </rPr>
          <t>PC:</t>
        </r>
        <r>
          <rPr>
            <sz val="9"/>
            <color indexed="81"/>
            <rFont val="Tahoma"/>
            <family val="2"/>
          </rPr>
          <t xml:space="preserve">
INGRESA EL 11-JULIO-2024
EQUIPO $1,800.00
MENS. $250.00</t>
        </r>
      </text>
    </comment>
    <comment ref="E177" authorId="1" shapeId="0" xr:uid="{00000000-0006-0000-0400-0000C8000000}">
      <text>
        <r>
          <rPr>
            <b/>
            <sz val="9"/>
            <color indexed="81"/>
            <rFont val="Tahoma"/>
            <family val="2"/>
          </rPr>
          <t>PC:</t>
        </r>
        <r>
          <rPr>
            <sz val="9"/>
            <color indexed="81"/>
            <rFont val="Tahoma"/>
            <family val="2"/>
          </rPr>
          <t xml:space="preserve">
SE INSTALO EL 01-MARZO-2024
EQUIPOS PAR A COBRAR A MARCO ESQUIVEL 
EQUIPO $1,724.00+IVA(EN CASO DE REQUERIR FACTURA)
ANUALIDAD $1,800.00($150.00XMES)+IVA/EN CASO DE REQUERIR FACTURA
</t>
        </r>
      </text>
    </comment>
    <comment ref="E178" authorId="1" shapeId="0" xr:uid="{00000000-0006-0000-0400-0000C9000000}">
      <text>
        <r>
          <rPr>
            <b/>
            <sz val="9"/>
            <color indexed="81"/>
            <rFont val="Tahoma"/>
            <family val="2"/>
          </rPr>
          <t>PC:</t>
        </r>
        <r>
          <rPr>
            <sz val="9"/>
            <color indexed="81"/>
            <rFont val="Tahoma"/>
            <family val="2"/>
          </rPr>
          <t xml:space="preserve">
INICIO 01-NOVIEMBRE-2023
SEPARACION DE CUENTA MONICA BECERRA SOLICITADO EL 10-OCTUBRE-2023 
MENSUALIDAD $250.00</t>
        </r>
      </text>
    </comment>
    <comment ref="E179" authorId="1" shapeId="0" xr:uid="{00000000-0006-0000-0400-0000CA000000}">
      <text>
        <r>
          <rPr>
            <b/>
            <sz val="9"/>
            <color indexed="81"/>
            <rFont val="Tahoma"/>
            <family val="2"/>
          </rPr>
          <t>PC:</t>
        </r>
        <r>
          <rPr>
            <sz val="9"/>
            <color indexed="81"/>
            <rFont val="Tahoma"/>
            <family val="2"/>
          </rPr>
          <t xml:space="preserve">
ALTA DE CLIENTE 11-ABRIL-2025
COMODATO
INSTALACION $549.00
MENSUALIDAD $300.00</t>
        </r>
      </text>
    </comment>
    <comment ref="E180" authorId="1" shapeId="0" xr:uid="{00000000-0006-0000-0400-0000CB000000}">
      <text>
        <r>
          <rPr>
            <b/>
            <sz val="9"/>
            <color indexed="81"/>
            <rFont val="Tahoma"/>
            <family val="2"/>
          </rPr>
          <t>PC:</t>
        </r>
        <r>
          <rPr>
            <sz val="9"/>
            <color indexed="81"/>
            <rFont val="Tahoma"/>
            <family val="2"/>
          </rPr>
          <t xml:space="preserve">
INGRESA EL 13-SEPTIEMBRE-2024
COMODATO
INSTALACIÓN $549.00+IVA
MENSUALIDAD $300.00+IVA</t>
        </r>
      </text>
    </comment>
    <comment ref="E181" authorId="1" shapeId="0" xr:uid="{00000000-0006-0000-0400-0000CC000000}">
      <text>
        <r>
          <rPr>
            <b/>
            <sz val="9"/>
            <color indexed="81"/>
            <rFont val="Tahoma"/>
            <family val="2"/>
          </rPr>
          <t>PC:</t>
        </r>
        <r>
          <rPr>
            <sz val="9"/>
            <color indexed="81"/>
            <rFont val="Tahoma"/>
            <family val="2"/>
          </rPr>
          <t xml:space="preserve">
INGRESA EL 29-OCTUBRE-2024
EQUIPO $1,850.00
MENSUALIDAD $300.00</t>
        </r>
      </text>
    </comment>
    <comment ref="E182" authorId="1" shapeId="0" xr:uid="{00000000-0006-0000-0400-0000CD000000}">
      <text>
        <r>
          <rPr>
            <b/>
            <sz val="9"/>
            <color indexed="81"/>
            <rFont val="Tahoma"/>
            <family val="2"/>
          </rPr>
          <t>PC:</t>
        </r>
        <r>
          <rPr>
            <sz val="9"/>
            <color indexed="81"/>
            <rFont val="Tahoma"/>
            <family val="2"/>
          </rPr>
          <t xml:space="preserve">
CLIENTE PREPAGO CAMBIA A ESQUEMA MENSUAL EL 03-ENERO-2024
MENSUALIDAD $250.00
EQUIPO $1,800.00
DES-INSTALACION $650.00
RE-INSTALACION $650.00</t>
        </r>
      </text>
    </comment>
    <comment ref="D183" authorId="0" shapeId="0" xr:uid="{00000000-0006-0000-0400-0000CE000000}">
      <text>
        <r>
          <rPr>
            <b/>
            <sz val="9"/>
            <color indexed="81"/>
            <rFont val="Tahoma"/>
            <family val="2"/>
          </rPr>
          <t>Luffi:</t>
        </r>
        <r>
          <rPr>
            <sz val="9"/>
            <color indexed="81"/>
            <rFont val="Tahoma"/>
            <family val="2"/>
          </rPr>
          <t xml:space="preserve">
RODRIGO MORENO  
811 600 1270
</t>
        </r>
        <r>
          <rPr>
            <b/>
            <u/>
            <sz val="9"/>
            <color indexed="81"/>
            <rFont val="Tahoma"/>
            <family val="2"/>
          </rPr>
          <t>rodrigo.moreno.v88@gmail.com</t>
        </r>
      </text>
    </comment>
    <comment ref="E183" authorId="0" shapeId="0" xr:uid="{00000000-0006-0000-0400-0000CF000000}">
      <text>
        <r>
          <rPr>
            <b/>
            <sz val="9"/>
            <color indexed="81"/>
            <rFont val="Tahoma"/>
            <family val="2"/>
          </rPr>
          <t>Luffi:</t>
        </r>
        <r>
          <rPr>
            <sz val="9"/>
            <color indexed="81"/>
            <rFont val="Tahoma"/>
            <family val="2"/>
          </rPr>
          <t xml:space="preserve">
</t>
        </r>
        <r>
          <rPr>
            <sz val="10"/>
            <color indexed="81"/>
            <rFont val="Tahoma"/>
            <family val="2"/>
          </rPr>
          <t>5 RENTA $250.
2 FINANCIAMIENTOS $100.00 
financiamiento 11/12 SEPTIEMBRE´2020|</t>
        </r>
      </text>
    </comment>
    <comment ref="S183" authorId="0" shapeId="0" xr:uid="{00000000-0006-0000-0400-0000D0000000}">
      <text>
        <r>
          <rPr>
            <b/>
            <sz val="9"/>
            <color indexed="81"/>
            <rFont val="Tahoma"/>
            <family val="2"/>
          </rPr>
          <t>Luffi:</t>
        </r>
        <r>
          <rPr>
            <sz val="9"/>
            <color indexed="81"/>
            <rFont val="Tahoma"/>
            <family val="2"/>
          </rPr>
          <t xml:space="preserve">
</t>
        </r>
        <r>
          <rPr>
            <sz val="10"/>
            <color indexed="81"/>
            <rFont val="Tahoma"/>
            <family val="2"/>
          </rPr>
          <t xml:space="preserve">MENSUALIDAD $1,450 
05-SEP-20
FINANCIAMIENTO EQ $200 
9-SEP-20 ULTIMO PAGO </t>
        </r>
      </text>
    </comment>
    <comment ref="T183" authorId="0" shapeId="0" xr:uid="{00000000-0006-0000-0400-0000D1000000}">
      <text>
        <r>
          <rPr>
            <b/>
            <sz val="9"/>
            <color indexed="81"/>
            <rFont val="Tahoma"/>
            <family val="2"/>
          </rPr>
          <t xml:space="preserve">Luffi:
RE-INSTALACIÓN 02-DIC-22
DES-INSTALACIÓN KIA SORENTO 14-OCTUBRE-22 PAGO EFECTIVO 
</t>
        </r>
        <r>
          <rPr>
            <sz val="9"/>
            <color indexed="81"/>
            <rFont val="Tahoma"/>
            <family val="2"/>
          </rPr>
          <t xml:space="preserve">
</t>
        </r>
        <r>
          <rPr>
            <sz val="10"/>
            <color indexed="81"/>
            <rFont val="Tahoma"/>
            <family val="2"/>
          </rPr>
          <t xml:space="preserve">2 PAGOS DE FINANCIAMIENTOS EQUIPOS QUEDAN LIBERADOS EL 09-SEP-2020 </t>
        </r>
      </text>
    </comment>
    <comment ref="U183" authorId="0" shapeId="0" xr:uid="{00000000-0006-0000-0400-0000D2000000}">
      <text>
        <r>
          <rPr>
            <b/>
            <sz val="9"/>
            <color indexed="81"/>
            <rFont val="Tahoma"/>
            <family val="2"/>
          </rPr>
          <t>Luffi:</t>
        </r>
        <r>
          <rPr>
            <sz val="9"/>
            <color indexed="81"/>
            <rFont val="Tahoma"/>
            <family val="2"/>
          </rPr>
          <t xml:space="preserve">
</t>
        </r>
        <r>
          <rPr>
            <sz val="10"/>
            <color indexed="81"/>
            <rFont val="Tahoma"/>
            <family val="2"/>
          </rPr>
          <t>ABONO 04-AGO-20 $1,450.00 MONICA BERCERRA</t>
        </r>
        <r>
          <rPr>
            <sz val="9"/>
            <color indexed="81"/>
            <rFont val="Tahoma"/>
            <family val="2"/>
          </rPr>
          <t xml:space="preserve">
</t>
        </r>
        <r>
          <rPr>
            <sz val="10"/>
            <color indexed="81"/>
            <rFont val="Tahoma"/>
            <family val="2"/>
          </rPr>
          <t>ABONO 14-AGO-20 $1,450.00 RODRIGO MORENO</t>
        </r>
      </text>
    </comment>
    <comment ref="E184" authorId="1" shapeId="0" xr:uid="{00000000-0006-0000-0400-0000D3000000}">
      <text>
        <r>
          <rPr>
            <b/>
            <sz val="9"/>
            <color indexed="81"/>
            <rFont val="Tahoma"/>
            <family val="2"/>
          </rPr>
          <t>PC:</t>
        </r>
        <r>
          <rPr>
            <sz val="9"/>
            <color indexed="81"/>
            <rFont val="Tahoma"/>
            <family val="2"/>
          </rPr>
          <t xml:space="preserve">
INGRESA EL 04-MAYO-2024
EQUIPO $2,200.00
MENSUALDIAD $300.00</t>
        </r>
      </text>
    </comment>
    <comment ref="E185" authorId="1" shapeId="0" xr:uid="{00000000-0006-0000-0400-0000D4000000}">
      <text>
        <r>
          <rPr>
            <b/>
            <sz val="9"/>
            <color indexed="81"/>
            <rFont val="Tahoma"/>
            <family val="2"/>
          </rPr>
          <t>PC:</t>
        </r>
        <r>
          <rPr>
            <sz val="9"/>
            <color indexed="81"/>
            <rFont val="Tahoma"/>
            <family val="2"/>
          </rPr>
          <t xml:space="preserve">
INGRESA EL 12-NOVIEMBRE-2024
COMODATO
INSTALACION $549.00+IVA
MENSUALIDAD $300.00+IVA</t>
        </r>
      </text>
    </comment>
    <comment ref="E186" authorId="1" shapeId="0" xr:uid="{00000000-0006-0000-0400-0000D5000000}">
      <text>
        <r>
          <rPr>
            <b/>
            <sz val="9"/>
            <color indexed="81"/>
            <rFont val="Tahoma"/>
            <family val="2"/>
          </rPr>
          <t>PC:</t>
        </r>
        <r>
          <rPr>
            <sz val="9"/>
            <color indexed="81"/>
            <rFont val="Tahoma"/>
            <family val="2"/>
          </rPr>
          <t xml:space="preserve">
INICA EL 29-FEBRERO-2024 
EQUIPO $2,250.00
MESNUALIDAD $299.00
</t>
        </r>
      </text>
    </comment>
    <comment ref="E187" authorId="1" shapeId="0" xr:uid="{00000000-0006-0000-0400-0000D6000000}">
      <text>
        <r>
          <rPr>
            <b/>
            <sz val="9"/>
            <color indexed="81"/>
            <rFont val="Tahoma"/>
            <family val="2"/>
          </rPr>
          <t>PC:</t>
        </r>
        <r>
          <rPr>
            <sz val="9"/>
            <color indexed="81"/>
            <rFont val="Tahoma"/>
            <family val="2"/>
          </rPr>
          <t xml:space="preserve">
CLIENTE MIGRADO DE PLAY MOTORS 05-NOVIEMBRE-2024
EQUIPO $1,950.00
MENSUALIDAD $300.00</t>
        </r>
      </text>
    </comment>
    <comment ref="E188" authorId="0" shapeId="0" xr:uid="{00000000-0006-0000-0400-0000D7000000}">
      <text>
        <r>
          <rPr>
            <b/>
            <sz val="9"/>
            <color indexed="81"/>
            <rFont val="Tahoma"/>
            <family val="2"/>
          </rPr>
          <t>Luffi:</t>
        </r>
        <r>
          <rPr>
            <sz val="9"/>
            <color indexed="81"/>
            <rFont val="Tahoma"/>
            <family val="2"/>
          </rPr>
          <t xml:space="preserve">
</t>
        </r>
        <r>
          <rPr>
            <sz val="10"/>
            <color indexed="81"/>
            <rFont val="Tahoma"/>
            <family val="2"/>
          </rPr>
          <t xml:space="preserve">MEN. $350.00 CANAL DE VOZ
PEPE: $250.00
OLID: $100.00
</t>
        </r>
      </text>
    </comment>
    <comment ref="E189" authorId="1" shapeId="0" xr:uid="{00000000-0006-0000-0400-0000D8000000}">
      <text>
        <r>
          <rPr>
            <b/>
            <sz val="9"/>
            <color indexed="81"/>
            <rFont val="Tahoma"/>
            <family val="2"/>
          </rPr>
          <t>PC:</t>
        </r>
        <r>
          <rPr>
            <sz val="9"/>
            <color indexed="81"/>
            <rFont val="Tahoma"/>
            <family val="2"/>
          </rPr>
          <t xml:space="preserve">
INGRESA EL 05-JULIO-2023
EQUIPO $2,200.00
MENSUALIDAD $249.00</t>
        </r>
      </text>
    </comment>
    <comment ref="E190" authorId="1" shapeId="0" xr:uid="{00000000-0006-0000-0400-0000D9000000}">
      <text>
        <r>
          <rPr>
            <b/>
            <sz val="9"/>
            <color indexed="81"/>
            <rFont val="Tahoma"/>
            <family val="2"/>
          </rPr>
          <t>PC:</t>
        </r>
        <r>
          <rPr>
            <sz val="9"/>
            <color indexed="81"/>
            <rFont val="Tahoma"/>
            <family val="2"/>
          </rPr>
          <t xml:space="preserve">
INGRESA EL 24-OCTUBRE-2024
EQUIPO $1,850.00
MENSUALIDAD CON MICROFONO $300.00</t>
        </r>
      </text>
    </comment>
    <comment ref="E191" authorId="1" shapeId="0" xr:uid="{00000000-0006-0000-0400-0000DA000000}">
      <text>
        <r>
          <rPr>
            <b/>
            <sz val="9"/>
            <color indexed="81"/>
            <rFont val="Tahoma"/>
            <family val="2"/>
          </rPr>
          <t>PC:</t>
        </r>
        <r>
          <rPr>
            <sz val="9"/>
            <color indexed="81"/>
            <rFont val="Tahoma"/>
            <family val="2"/>
          </rPr>
          <t xml:space="preserve">
ALTA MIERCOLES 05-MARZO-2025
EQUIPO $2,000.00
MENSUALIDAD $300.00</t>
        </r>
      </text>
    </comment>
    <comment ref="E192" authorId="1" shapeId="0" xr:uid="{00000000-0006-0000-0400-0000DB000000}">
      <text>
        <r>
          <rPr>
            <b/>
            <sz val="9"/>
            <color indexed="81"/>
            <rFont val="Tahoma"/>
            <family val="2"/>
          </rPr>
          <t>PC:</t>
        </r>
        <r>
          <rPr>
            <sz val="9"/>
            <color indexed="81"/>
            <rFont val="Tahoma"/>
            <family val="2"/>
          </rPr>
          <t xml:space="preserve">
ALTA 04-ABRIL-2025
COMODATO - PROMOCION
INSTALACION $550.00
MENSUALIDAD $300.00</t>
        </r>
      </text>
    </comment>
    <comment ref="E193" authorId="1" shapeId="0" xr:uid="{00000000-0006-0000-0400-0000DC000000}">
      <text>
        <r>
          <rPr>
            <b/>
            <sz val="9"/>
            <color indexed="81"/>
            <rFont val="Tahoma"/>
            <family val="2"/>
          </rPr>
          <t>PC:</t>
        </r>
        <r>
          <rPr>
            <sz val="9"/>
            <color indexed="81"/>
            <rFont val="Tahoma"/>
            <family val="2"/>
          </rPr>
          <t xml:space="preserve">
INGRESA EL 25-JUNIO-2024
SE LE INSTALA EL 26-JUNIO-2024
COMODATO
INSTALACION $499.00+IVA
MENSUALIDAD $300.00+IVA
SEPTIEMBRE 2024 SOLICITA SIN FACTURA COBRANZA </t>
        </r>
      </text>
    </comment>
    <comment ref="E194" authorId="1" shapeId="0" xr:uid="{00000000-0006-0000-0400-0000DD000000}">
      <text>
        <r>
          <rPr>
            <b/>
            <sz val="9"/>
            <color indexed="81"/>
            <rFont val="Tahoma"/>
            <family val="2"/>
          </rPr>
          <t xml:space="preserve">PI
</t>
        </r>
        <r>
          <rPr>
            <sz val="9"/>
            <color indexed="81"/>
            <rFont val="Tahoma"/>
            <family val="2"/>
          </rPr>
          <t>INGRESA EL 21-MARZO-2024 
EQUIPO $2,250.00
MENSUALIDAD $250.00</t>
        </r>
      </text>
    </comment>
    <comment ref="E195" authorId="1" shapeId="0" xr:uid="{00000000-0006-0000-0400-0000DE000000}">
      <text>
        <r>
          <rPr>
            <b/>
            <sz val="9"/>
            <color indexed="81"/>
            <rFont val="Tahoma"/>
            <family val="2"/>
          </rPr>
          <t>PC:</t>
        </r>
        <r>
          <rPr>
            <sz val="9"/>
            <color indexed="81"/>
            <rFont val="Tahoma"/>
            <family val="2"/>
          </rPr>
          <t xml:space="preserve">
INGRESA EL 24-ABRIL-2024
EQUIPO $1,800.00
MENSUALIDAD $250.00</t>
        </r>
      </text>
    </comment>
    <comment ref="E196" authorId="1" shapeId="0" xr:uid="{00000000-0006-0000-0400-0000DF000000}">
      <text>
        <r>
          <rPr>
            <b/>
            <sz val="9"/>
            <color indexed="81"/>
            <rFont val="Tahoma"/>
            <family val="2"/>
          </rPr>
          <t>PC:</t>
        </r>
        <r>
          <rPr>
            <sz val="9"/>
            <color indexed="81"/>
            <rFont val="Tahoma"/>
            <family val="2"/>
          </rPr>
          <t xml:space="preserve">
INGRESA EL 09-SEPTIEMBRE-2024 
EQUIPO $2,200.00
MENSUALIDAD $280.00</t>
        </r>
      </text>
    </comment>
    <comment ref="E197" authorId="1" shapeId="0" xr:uid="{00000000-0006-0000-0400-0000E0000000}">
      <text>
        <r>
          <rPr>
            <b/>
            <sz val="9"/>
            <color indexed="81"/>
            <rFont val="Tahoma"/>
            <family val="2"/>
          </rPr>
          <t>PC:</t>
        </r>
        <r>
          <rPr>
            <sz val="9"/>
            <color indexed="81"/>
            <rFont val="Tahoma"/>
            <family val="2"/>
          </rPr>
          <t xml:space="preserve">
INICIA EL 01-AGOSTO-2023
EQUIPO $2,200.00
MENSUALIDAD $300.00</t>
        </r>
      </text>
    </comment>
    <comment ref="E198" authorId="1" shapeId="0" xr:uid="{00000000-0006-0000-0400-0000E1000000}">
      <text>
        <r>
          <rPr>
            <b/>
            <sz val="9"/>
            <color indexed="81"/>
            <rFont val="Tahoma"/>
            <family val="2"/>
          </rPr>
          <t>PC:</t>
        </r>
        <r>
          <rPr>
            <sz val="9"/>
            <color indexed="81"/>
            <rFont val="Tahoma"/>
            <family val="2"/>
          </rPr>
          <t xml:space="preserve">
ALTA 23-ABRIL-2025
EQUIPO $2,050.00+IVA
MENSUALIDAD $300.00+IVA</t>
        </r>
      </text>
    </comment>
    <comment ref="E199" authorId="0" shapeId="0" xr:uid="{00000000-0006-0000-0400-0000E2000000}">
      <text>
        <r>
          <rPr>
            <b/>
            <sz val="9"/>
            <color indexed="81"/>
            <rFont val="Tahoma"/>
            <family val="2"/>
          </rPr>
          <t>Luffi:</t>
        </r>
        <r>
          <rPr>
            <sz val="9"/>
            <color indexed="81"/>
            <rFont val="Tahoma"/>
            <family val="2"/>
          </rPr>
          <t xml:space="preserve">
NUEVO COBRO DE MENSUALIDAD A PARTIR DE MARZO 2023 $120.00
MENSUALIDAD $80.00
PLATAFORMA TRACKERHOME 
RE-CONFIGURACIONES$350.00
ENERO´2020 
1 DES Y RE - INSTALACIÓN $700.00
SEBRING-FOCUS
</t>
        </r>
        <r>
          <rPr>
            <sz val="10"/>
            <color indexed="81"/>
            <rFont val="Tahoma"/>
            <family val="2"/>
          </rPr>
          <t>BAJA 9 UNIDADES 28-JULIO-2020 (47)</t>
        </r>
      </text>
    </comment>
    <comment ref="S199" authorId="0" shapeId="0" xr:uid="{00000000-0006-0000-0400-0000E3000000}">
      <text>
        <r>
          <rPr>
            <b/>
            <sz val="9"/>
            <color indexed="81"/>
            <rFont val="Tahoma"/>
            <family val="2"/>
          </rPr>
          <t xml:space="preserve">Luffi:
</t>
        </r>
        <r>
          <rPr>
            <sz val="10"/>
            <color indexed="81"/>
            <rFont val="Tahoma"/>
            <family val="2"/>
          </rPr>
          <t>ABONO 18-ENE-2021 $1,900
ABONO 14-ENE-2021 $6,500
ABONO 04-ENE-2021 $7,000</t>
        </r>
        <r>
          <rPr>
            <sz val="9"/>
            <color indexed="81"/>
            <rFont val="Tahoma"/>
            <family val="2"/>
          </rPr>
          <t xml:space="preserve">
</t>
        </r>
        <r>
          <rPr>
            <sz val="10"/>
            <color indexed="81"/>
            <rFont val="Tahoma"/>
            <family val="2"/>
          </rPr>
          <t>ABONO 18-DIC-2020 $5,000
ABONO 05-DIC-2020 $10,000
ABONO 21-NOV-2020 $5,000
ABONO 05-NOV-2020 $5,000
ABONO 02-NOV-2020 $1,500
ABONO 15-OCT-2020 $1,200
(MANDA 1,900 SOLO SE TOMAN 1,200 DE ABONO SE COBRAN 2 SERVICIOS 350 POR DES-INSTALACION Y RE-INSTALACION) 
ABONO 08-OCT-2020 $4,000</t>
        </r>
        <r>
          <rPr>
            <sz val="9"/>
            <color indexed="81"/>
            <rFont val="Tahoma"/>
            <family val="2"/>
          </rPr>
          <t xml:space="preserve">
</t>
        </r>
        <r>
          <rPr>
            <sz val="10"/>
            <color indexed="81"/>
            <rFont val="Tahoma"/>
            <family val="2"/>
          </rPr>
          <t>ABONO 21-SEP-2020 $5,700
ABONO 14-SEP-2020 $1,500
ABONO 10-SEP-2020 $3,200
ABONO 03-SEP-2020 $7,000
ABONO 20-JUL-2020 $7,000</t>
        </r>
      </text>
    </comment>
    <comment ref="T199" authorId="0" shapeId="0" xr:uid="{00000000-0006-0000-0400-0000E4000000}">
      <text>
        <r>
          <rPr>
            <b/>
            <sz val="9"/>
            <color indexed="81"/>
            <rFont val="Tahoma"/>
            <family val="2"/>
          </rPr>
          <t xml:space="preserve">Luffi:
TOTAL $2,100.00 MAYO´2021
</t>
        </r>
        <r>
          <rPr>
            <sz val="9"/>
            <color indexed="81"/>
            <rFont val="Tahoma"/>
            <family val="2"/>
          </rPr>
          <t xml:space="preserve">23-ABR-2021 DES-INSTALACION VW PASSAT BCO $350
28-ABR-2021 RE-INSTALACION CHEVROLET EQUINOX NEGRO $350
07-MAY-2021 DES-INSTALACION CHEVROLET MAILBU BCO $350
07-MAY-2021 RE-INSTALACION NISSAN SENTRA BCO $350
17-MAY-2021 DES-INSTALACION HYUNDAI ATTIUD BLANCO $350
17-MAY-2021 RE-INSTALACION CHEVROLET AVEO BCO $350
</t>
        </r>
        <r>
          <rPr>
            <b/>
            <sz val="9"/>
            <color indexed="81"/>
            <rFont val="Tahoma"/>
            <family val="2"/>
          </rPr>
          <t xml:space="preserve">
COBRANZA AGOSTO2022 1ER QUINCENA
10 INSTALACIONES 
6 RE-INSTALACIONES 
6-DES-INSTALACIONES </t>
        </r>
      </text>
    </comment>
    <comment ref="U199" authorId="0" shapeId="0" xr:uid="{00000000-0006-0000-0400-0000E5000000}">
      <text>
        <r>
          <rPr>
            <b/>
            <sz val="9"/>
            <color indexed="81"/>
            <rFont val="Tahoma"/>
            <family val="2"/>
          </rPr>
          <t>Luffi:</t>
        </r>
        <r>
          <rPr>
            <sz val="9"/>
            <color indexed="81"/>
            <rFont val="Tahoma"/>
            <family val="2"/>
          </rPr>
          <t xml:space="preserve">
MIGRACION DE 67 UNIDADES 
23-JULIO-2021
</t>
        </r>
      </text>
    </comment>
    <comment ref="E200" authorId="0" shapeId="0" xr:uid="{00000000-0006-0000-0400-0000E6000000}">
      <text>
        <r>
          <rPr>
            <b/>
            <sz val="9"/>
            <color indexed="81"/>
            <rFont val="Tahoma"/>
            <family val="2"/>
          </rPr>
          <t>Luffi:</t>
        </r>
        <r>
          <rPr>
            <sz val="9"/>
            <color indexed="81"/>
            <rFont val="Tahoma"/>
            <family val="2"/>
          </rPr>
          <t xml:space="preserve">
NUEVO COBRO DE MENSUALIDAD A PARTIR DE MARZO 2023 $120.00 INSTALACIONES $1,900.00
RE-INSTALACIONES $500.00
DES-INSTALACIONES $500.00
RENTA X UNIDAD $80.00
TRACKERHOME
18 UNIDADES INSTALADAS EN AGOSTO 
</t>
        </r>
        <r>
          <rPr>
            <b/>
            <sz val="9"/>
            <color indexed="81"/>
            <rFont val="Tahoma"/>
            <family val="2"/>
          </rPr>
          <t xml:space="preserve">TOTAL 88 UNDADES </t>
        </r>
      </text>
    </comment>
    <comment ref="S200" authorId="0" shapeId="0" xr:uid="{00000000-0006-0000-0400-0000E7000000}">
      <text>
        <r>
          <rPr>
            <b/>
            <sz val="9"/>
            <color indexed="81"/>
            <rFont val="Tahoma"/>
            <family val="2"/>
          </rPr>
          <t xml:space="preserve">Luffi:
</t>
        </r>
        <r>
          <rPr>
            <sz val="10"/>
            <color indexed="81"/>
            <rFont val="Tahoma"/>
            <family val="2"/>
          </rPr>
          <t>ABONO 22-OCT-2020 $10,000.00
ABONO 22-SEP-2020  $10,800.00</t>
        </r>
        <r>
          <rPr>
            <b/>
            <sz val="9"/>
            <color indexed="81"/>
            <rFont val="Tahoma"/>
            <family val="2"/>
          </rPr>
          <t xml:space="preserve">
</t>
        </r>
        <r>
          <rPr>
            <sz val="10"/>
            <color indexed="81"/>
            <rFont val="Tahoma"/>
            <family val="2"/>
          </rPr>
          <t>ABONO 12-SEP-2020    $5,700.00</t>
        </r>
        <r>
          <rPr>
            <sz val="9"/>
            <color indexed="81"/>
            <rFont val="Tahoma"/>
            <family val="2"/>
          </rPr>
          <t xml:space="preserve">
</t>
        </r>
        <r>
          <rPr>
            <sz val="10"/>
            <color indexed="81"/>
            <rFont val="Tahoma"/>
            <family val="2"/>
          </rPr>
          <t>ABONO 20-JULIO-2020 $13,000.00
ABONO 23-JULIO-2020 $7,000.00
ABONO 21-NOV-2020 $14,600.00</t>
        </r>
      </text>
    </comment>
    <comment ref="T200" authorId="0" shapeId="0" xr:uid="{00000000-0006-0000-0400-0000E8000000}">
      <text>
        <r>
          <rPr>
            <b/>
            <sz val="9"/>
            <color indexed="81"/>
            <rFont val="Tahoma"/>
            <family val="2"/>
          </rPr>
          <t>Luffi:
COBRANZA
NOVIEMBRE</t>
        </r>
        <r>
          <rPr>
            <sz val="9"/>
            <color indexed="81"/>
            <rFont val="Tahoma"/>
            <family val="2"/>
          </rPr>
          <t xml:space="preserve">
130 UNIDADES 
4 INSTALACIONES 
2 DES-INSTALACIONES
1 RE-INSTALACION 
</t>
        </r>
        <r>
          <rPr>
            <b/>
            <sz val="9"/>
            <color indexed="81"/>
            <rFont val="Tahoma"/>
            <family val="2"/>
          </rPr>
          <t xml:space="preserve">
</t>
        </r>
        <r>
          <rPr>
            <sz val="9"/>
            <color indexed="81"/>
            <rFont val="Tahoma"/>
            <family val="2"/>
          </rPr>
          <t xml:space="preserve">15-AGOSTO-22
1- INSTALACION CHEVROLET SONICA AZUL 
2-DES-INSTALACIONES
3-RE-INSTALACIONES 
</t>
        </r>
      </text>
    </comment>
    <comment ref="E201" authorId="1" shapeId="0" xr:uid="{00000000-0006-0000-0400-0000E9000000}">
      <text>
        <r>
          <rPr>
            <b/>
            <sz val="9"/>
            <color indexed="81"/>
            <rFont val="Tahoma"/>
            <family val="2"/>
          </rPr>
          <t>PC:</t>
        </r>
        <r>
          <rPr>
            <sz val="9"/>
            <color indexed="81"/>
            <rFont val="Tahoma"/>
            <family val="2"/>
          </rPr>
          <t xml:space="preserve">
INICIA EL 16-ABRIL-2025
COMODATO 
INSTALACION $550.00
MENSUALIDAD $300.00</t>
        </r>
      </text>
    </comment>
    <comment ref="E202" authorId="1" shapeId="0" xr:uid="{00000000-0006-0000-0400-0000EA000000}">
      <text>
        <r>
          <rPr>
            <b/>
            <sz val="9"/>
            <color indexed="81"/>
            <rFont val="Tahoma"/>
            <family val="2"/>
          </rPr>
          <t>PC:</t>
        </r>
        <r>
          <rPr>
            <sz val="9"/>
            <color indexed="81"/>
            <rFont val="Tahoma"/>
            <family val="2"/>
          </rPr>
          <t xml:space="preserve">
INGRESA EL 17-FEBRERO-2025 
EQUIPO $2,200.00
MENSUALIDAD $300.00</t>
        </r>
      </text>
    </comment>
    <comment ref="E203" authorId="1" shapeId="0" xr:uid="{00000000-0006-0000-0400-0000EB000000}">
      <text>
        <r>
          <rPr>
            <b/>
            <sz val="9"/>
            <color indexed="81"/>
            <rFont val="Tahoma"/>
            <family val="2"/>
          </rPr>
          <t>PC:</t>
        </r>
        <r>
          <rPr>
            <sz val="9"/>
            <color indexed="81"/>
            <rFont val="Tahoma"/>
            <family val="2"/>
          </rPr>
          <t xml:space="preserve">
ALTA 25-ABRIL-2025
COMODATO
INSTALACION $550.00
MENSUALIDAD $300.00</t>
        </r>
      </text>
    </comment>
    <comment ref="E204" authorId="0" shapeId="0" xr:uid="{00000000-0006-0000-0400-0000EC000000}">
      <text>
        <r>
          <rPr>
            <b/>
            <sz val="9"/>
            <color indexed="81"/>
            <rFont val="Tahoma"/>
            <family val="2"/>
          </rPr>
          <t>Luffi:</t>
        </r>
        <r>
          <rPr>
            <sz val="9"/>
            <color indexed="81"/>
            <rFont val="Tahoma"/>
            <family val="2"/>
          </rPr>
          <t xml:space="preserve">
EQUIPO+MESUALIDAD $2,000.00 YA VA INCLUIDA LA MENSUALIDAD 
</t>
        </r>
        <r>
          <rPr>
            <sz val="10"/>
            <color indexed="81"/>
            <rFont val="Tahoma"/>
            <family val="2"/>
          </rPr>
          <t xml:space="preserve">MENSUALIDAD $100.00
PLATAFORMA WOX RASTREO
INICIA 3 INSTALACIONES SEP´2020 </t>
        </r>
      </text>
    </comment>
    <comment ref="T204" authorId="0" shapeId="0" xr:uid="{00000000-0006-0000-0400-0000ED000000}">
      <text>
        <r>
          <rPr>
            <b/>
            <sz val="9"/>
            <color indexed="81"/>
            <rFont val="Tahoma"/>
            <family val="2"/>
          </rPr>
          <t xml:space="preserve">Luffi:
ENERO'23 
</t>
        </r>
        <r>
          <rPr>
            <sz val="9"/>
            <color indexed="81"/>
            <rFont val="Tahoma"/>
            <family val="2"/>
          </rPr>
          <t xml:space="preserve">CAMBIO DE SIM 27-DICIEMBRE-22 JEEP PATRIOT ROJO 
</t>
        </r>
        <r>
          <rPr>
            <b/>
            <sz val="9"/>
            <color indexed="81"/>
            <rFont val="Tahoma"/>
            <family val="2"/>
          </rPr>
          <t xml:space="preserve">
AGOSTO 2022
I</t>
        </r>
        <r>
          <rPr>
            <sz val="9"/>
            <color indexed="81"/>
            <rFont val="Tahoma"/>
            <family val="2"/>
          </rPr>
          <t xml:space="preserve">NSTALACIÓN 02-AGOSTO-2022 PONTIAC GT GRIS </t>
        </r>
      </text>
    </comment>
    <comment ref="E205" authorId="0" shapeId="0" xr:uid="{00000000-0006-0000-0400-0000EE000000}">
      <text>
        <r>
          <rPr>
            <b/>
            <sz val="9"/>
            <color indexed="81"/>
            <rFont val="Tahoma"/>
            <family val="2"/>
          </rPr>
          <t>Luffi:</t>
        </r>
        <r>
          <rPr>
            <sz val="9"/>
            <color indexed="81"/>
            <rFont val="Tahoma"/>
            <family val="2"/>
          </rPr>
          <t xml:space="preserve">
EQUIPOS $1,600
MENSUALIDAD $250
INSTALACION 5-AGOSTO-2021
</t>
        </r>
        <r>
          <rPr>
            <b/>
            <sz val="9"/>
            <color indexed="81"/>
            <rFont val="Tahoma"/>
            <family val="2"/>
          </rPr>
          <t>*COBRANZA SEP-2021</t>
        </r>
      </text>
    </comment>
    <comment ref="E206" authorId="2" shapeId="0" xr:uid="{00000000-0006-0000-0400-0000EF000000}">
      <text>
        <r>
          <rPr>
            <b/>
            <sz val="9"/>
            <color indexed="81"/>
            <rFont val="Tahoma"/>
            <family val="2"/>
          </rPr>
          <t>Usuario de Windows:</t>
        </r>
        <r>
          <rPr>
            <sz val="9"/>
            <color indexed="81"/>
            <rFont val="Tahoma"/>
            <family val="2"/>
          </rPr>
          <t xml:space="preserve">
MENSUALIDAD $250.00
MIGRACIONES $250.00
EQUIPOS $1,800.00
SENSOR DE COFRE $1,250.00
</t>
        </r>
        <r>
          <rPr>
            <b/>
            <sz val="9"/>
            <color indexed="81"/>
            <rFont val="Tahoma"/>
            <family val="2"/>
          </rPr>
          <t>INICIO DE MIGRACIONES 28-FEB-2022
1 COMPRA E INSTALACION DE EQUIPO 25-JUN-2022 
*(</t>
        </r>
        <r>
          <rPr>
            <sz val="9"/>
            <color indexed="81"/>
            <rFont val="Tahoma"/>
            <family val="2"/>
          </rPr>
          <t>INCREMENTO DE UNIDAD EN MENSUALIDAD  DE JULIO´22</t>
        </r>
        <r>
          <rPr>
            <b/>
            <sz val="9"/>
            <color indexed="81"/>
            <rFont val="Tahoma"/>
            <family val="2"/>
          </rPr>
          <t>)
CAMBIA A REMISIONES EN ABRIL'23 YA NO SE LE FACTURA</t>
        </r>
      </text>
    </comment>
    <comment ref="E207" authorId="0" shapeId="0" xr:uid="{00000000-0006-0000-0400-0000F0000000}">
      <text>
        <r>
          <rPr>
            <b/>
            <sz val="9"/>
            <color indexed="81"/>
            <rFont val="Tahoma"/>
            <family val="2"/>
          </rPr>
          <t>Luffi:</t>
        </r>
        <r>
          <rPr>
            <sz val="9"/>
            <color indexed="81"/>
            <rFont val="Tahoma"/>
            <family val="2"/>
          </rPr>
          <t xml:space="preserve">
INSTALACION -  30-ABRIL-2021
MENSUALIDAD $250</t>
        </r>
      </text>
    </comment>
    <comment ref="E208" authorId="1" shapeId="0" xr:uid="{00000000-0006-0000-0400-0000F1000000}">
      <text>
        <r>
          <rPr>
            <b/>
            <sz val="9"/>
            <color indexed="81"/>
            <rFont val="Tahoma"/>
            <family val="2"/>
          </rPr>
          <t>PC:</t>
        </r>
        <r>
          <rPr>
            <sz val="9"/>
            <color indexed="81"/>
            <rFont val="Tahoma"/>
            <family val="2"/>
          </rPr>
          <t xml:space="preserve">
ALTA DE CLIENTE 23-ENERO-2025
INGRESO A COBRANZA 17-FEBRERO-2025
EQUIPO $2,800.00
MENSUALIDAD CON ROAMING $350.00 (3)
LICENCIA DE LIBRO ELECTRONICO $650.00 (1)</t>
        </r>
      </text>
    </comment>
    <comment ref="E209" authorId="1" shapeId="0" xr:uid="{00000000-0006-0000-0400-0000F2000000}">
      <text>
        <r>
          <rPr>
            <b/>
            <sz val="9"/>
            <color indexed="81"/>
            <rFont val="Tahoma"/>
            <family val="2"/>
          </rPr>
          <t>PC:</t>
        </r>
        <r>
          <rPr>
            <sz val="9"/>
            <color indexed="81"/>
            <rFont val="Tahoma"/>
            <family val="2"/>
          </rPr>
          <t xml:space="preserve">
INGRESA EL 18-FEBRERO-2025
EQUIPO $2,200.00
MENSUALIDAD $299.00</t>
        </r>
      </text>
    </comment>
    <comment ref="E210" authorId="1" shapeId="0" xr:uid="{00000000-0006-0000-0400-0000F3000000}">
      <text>
        <r>
          <rPr>
            <b/>
            <sz val="9"/>
            <color indexed="81"/>
            <rFont val="Tahoma"/>
            <family val="2"/>
          </rPr>
          <t>PC:</t>
        </r>
        <r>
          <rPr>
            <sz val="9"/>
            <color indexed="81"/>
            <rFont val="Tahoma"/>
            <family val="2"/>
          </rPr>
          <t xml:space="preserve">
ALTA 26-ABRIL-2025
ESQUEMA NO DEFINIDO
EQUIPO $1,850
MENSUALIDAD $250</t>
        </r>
      </text>
    </comment>
    <comment ref="E211" authorId="1" shapeId="0" xr:uid="{00000000-0006-0000-0400-0000F4000000}">
      <text>
        <r>
          <rPr>
            <b/>
            <sz val="9"/>
            <color indexed="81"/>
            <rFont val="Tahoma"/>
            <family val="2"/>
          </rPr>
          <t>PC:</t>
        </r>
        <r>
          <rPr>
            <sz val="9"/>
            <color indexed="81"/>
            <rFont val="Tahoma"/>
            <family val="2"/>
          </rPr>
          <t xml:space="preserve">
ALTA DE CLIENTE 14-ABRIL-2025
COMODATO
INSTALACION $550.00
MENSUALIDAD $300.00</t>
        </r>
      </text>
    </comment>
    <comment ref="E212" authorId="1" shapeId="0" xr:uid="{00000000-0006-0000-0400-0000F5000000}">
      <text>
        <r>
          <rPr>
            <b/>
            <sz val="9"/>
            <color indexed="81"/>
            <rFont val="Tahoma"/>
            <family val="2"/>
          </rPr>
          <t>PC:</t>
        </r>
        <r>
          <rPr>
            <sz val="9"/>
            <color indexed="81"/>
            <rFont val="Tahoma"/>
            <family val="2"/>
          </rPr>
          <t xml:space="preserve">
INGRESA EL 26-FEBRERO-2025
EQUIPO $1,800.00
MENSUALIDAD $300.00</t>
        </r>
      </text>
    </comment>
    <comment ref="E213" authorId="1" shapeId="0" xr:uid="{00000000-0006-0000-0400-0000F6000000}">
      <text>
        <r>
          <rPr>
            <b/>
            <sz val="9"/>
            <color indexed="81"/>
            <rFont val="Tahoma"/>
            <family val="2"/>
          </rPr>
          <t>PC:</t>
        </r>
        <r>
          <rPr>
            <sz val="9"/>
            <color indexed="81"/>
            <rFont val="Tahoma"/>
            <family val="2"/>
          </rPr>
          <t xml:space="preserve">
ALTA 23-ABRIL-2025
COMODATO 
INSTALACION $549.00
MENSUALIDAD $300.00</t>
        </r>
      </text>
    </comment>
    <comment ref="E214" authorId="1" shapeId="0" xr:uid="{00000000-0006-0000-0400-0000F7000000}">
      <text>
        <r>
          <rPr>
            <b/>
            <sz val="9"/>
            <color indexed="81"/>
            <rFont val="Tahoma"/>
            <family val="2"/>
          </rPr>
          <t>PC:</t>
        </r>
        <r>
          <rPr>
            <sz val="9"/>
            <color indexed="81"/>
            <rFont val="Tahoma"/>
            <family val="2"/>
          </rPr>
          <t xml:space="preserve">
INGRESA EL 20-MARZO-2025
EQUIPO $1,800.00
MENSUALIDAD $300.00</t>
        </r>
      </text>
    </comment>
    <comment ref="E215" authorId="1" shapeId="0" xr:uid="{00000000-0006-0000-0400-0000F8000000}">
      <text>
        <r>
          <rPr>
            <b/>
            <sz val="9"/>
            <color indexed="81"/>
            <rFont val="Tahoma"/>
            <family val="2"/>
          </rPr>
          <t>PC:</t>
        </r>
        <r>
          <rPr>
            <sz val="9"/>
            <color indexed="81"/>
            <rFont val="Tahoma"/>
            <family val="2"/>
          </rPr>
          <t xml:space="preserve">
ALTA 26-ABRIL-2025
COMODATO
INSTALACION $550.00
MENSUALIDAD $300.00</t>
        </r>
      </text>
    </comment>
    <comment ref="D216" authorId="2" shapeId="0" xr:uid="{00000000-0006-0000-0400-0000F9000000}">
      <text>
        <r>
          <rPr>
            <b/>
            <sz val="9"/>
            <color indexed="81"/>
            <rFont val="Tahoma"/>
            <family val="2"/>
          </rPr>
          <t>Usuario de Windows:</t>
        </r>
        <r>
          <rPr>
            <sz val="9"/>
            <color indexed="81"/>
            <rFont val="Tahoma"/>
            <family val="2"/>
          </rPr>
          <t xml:space="preserve">
1er Contacto 
</t>
        </r>
        <r>
          <rPr>
            <b/>
            <sz val="9"/>
            <color indexed="81"/>
            <rFont val="Tahoma"/>
            <family val="2"/>
          </rPr>
          <t xml:space="preserve">Arturo Asael - 8119386704 
Ya no labora ahí </t>
        </r>
      </text>
    </comment>
    <comment ref="E216" authorId="0" shapeId="0" xr:uid="{00000000-0006-0000-0400-0000FA000000}">
      <text>
        <r>
          <rPr>
            <b/>
            <sz val="9"/>
            <color indexed="81"/>
            <rFont val="Tahoma"/>
            <family val="2"/>
          </rPr>
          <t>Luffi:</t>
        </r>
        <r>
          <rPr>
            <sz val="9"/>
            <color indexed="81"/>
            <rFont val="Tahoma"/>
            <family val="2"/>
          </rPr>
          <t xml:space="preserve">
MIGRACION DE EQUIPOS, INSTALACION DE SIM
CAMBIA A ESQUEMA DE COMODATO EL 09-ABRIL-2024
INSTALACION $650.00
RENTA $280.00
MIGRACION $450.00
EQUIPO $1,700.00
MENSUALIDAD $250.00
DES-INSTALACION $400.00
</t>
        </r>
        <r>
          <rPr>
            <b/>
            <sz val="9"/>
            <color indexed="81"/>
            <rFont val="Tahoma"/>
            <family val="2"/>
          </rPr>
          <t xml:space="preserve">
INSTALACIONES COMODATO MOVEO</t>
        </r>
        <r>
          <rPr>
            <sz val="9"/>
            <color indexed="81"/>
            <rFont val="Tahoma"/>
            <family val="2"/>
          </rPr>
          <t xml:space="preserve">
09-ABRIL-2024
CHEVROLET EXPRESS BLANCO RZM-407-B INSTALADOR: ELIUD
17-ABRIL-2024
TOYOTA HIACE BLANCO RYU-899-A 
INSTALADOR: OSCAR
</t>
        </r>
        <r>
          <rPr>
            <b/>
            <sz val="9"/>
            <color indexed="81"/>
            <rFont val="Tahoma"/>
            <family val="2"/>
          </rPr>
          <t>*INSTALACION 29-DIC-2021*
SE LE COBRA A FINALES DE ENERO´2022</t>
        </r>
      </text>
    </comment>
    <comment ref="T216" authorId="1" shapeId="0" xr:uid="{00000000-0006-0000-0400-0000FB000000}">
      <text>
        <r>
          <rPr>
            <b/>
            <sz val="9"/>
            <color indexed="81"/>
            <rFont val="Tahoma"/>
            <family val="2"/>
          </rPr>
          <t>PC:</t>
        </r>
        <r>
          <rPr>
            <sz val="9"/>
            <color indexed="81"/>
            <rFont val="Tahoma"/>
            <family val="2"/>
          </rPr>
          <t xml:space="preserve">
INSTALACION DE EQUIPO 05-ENERO-23 $1,800.00 +MENS $250.00= $2,050.00
INSTALACION 31-OCT-22</t>
        </r>
      </text>
    </comment>
    <comment ref="E217" authorId="1" shapeId="0" xr:uid="{00000000-0006-0000-0400-0000FC000000}">
      <text>
        <r>
          <rPr>
            <b/>
            <sz val="9"/>
            <color indexed="81"/>
            <rFont val="Tahoma"/>
            <family val="2"/>
          </rPr>
          <t>PC:</t>
        </r>
        <r>
          <rPr>
            <sz val="9"/>
            <color indexed="81"/>
            <rFont val="Tahoma"/>
            <family val="2"/>
          </rPr>
          <t xml:space="preserve">
ALTA 26-ABRIL-2025
COMODATO
INSTALACION $550.00
MENSUALIDAD $300.00</t>
        </r>
      </text>
    </comment>
    <comment ref="E218" authorId="1" shapeId="0" xr:uid="{00000000-0006-0000-0400-0000FD000000}">
      <text>
        <r>
          <rPr>
            <b/>
            <sz val="9"/>
            <color indexed="81"/>
            <rFont val="Tahoma"/>
            <family val="2"/>
          </rPr>
          <t>PC:</t>
        </r>
        <r>
          <rPr>
            <sz val="9"/>
            <color indexed="81"/>
            <rFont val="Tahoma"/>
            <family val="2"/>
          </rPr>
          <t xml:space="preserve">
ALTA 29-MARZO-2025
COMODATO
INSTALACION $549.00+IVA
MENSUALIDAD $300.00+IVA</t>
        </r>
      </text>
    </comment>
    <comment ref="E219" authorId="2" shapeId="0" xr:uid="{00000000-0006-0000-0400-0000FE000000}">
      <text>
        <r>
          <rPr>
            <b/>
            <sz val="9"/>
            <color indexed="81"/>
            <rFont val="Tahoma"/>
            <family val="2"/>
          </rPr>
          <t>Usuario de Windows:</t>
        </r>
        <r>
          <rPr>
            <sz val="9"/>
            <color indexed="81"/>
            <rFont val="Tahoma"/>
            <family val="2"/>
          </rPr>
          <t xml:space="preserve">
EQUIPO $1,850
MENSUALIDAD $250
</t>
        </r>
        <r>
          <rPr>
            <b/>
            <sz val="9"/>
            <color indexed="81"/>
            <rFont val="Tahoma"/>
            <family val="2"/>
          </rPr>
          <t>*INSTALACION 28-FEB-2022
PAGO REALIZADO EN EFECTIVO CUBRE FEB Y MAR´2022
*COBRAR MENSUALIDAD ABRIL</t>
        </r>
      </text>
    </comment>
    <comment ref="E220" authorId="0" shapeId="0" xr:uid="{00000000-0006-0000-0400-0000FF000000}">
      <text>
        <r>
          <rPr>
            <b/>
            <sz val="9"/>
            <color indexed="81"/>
            <rFont val="Tahoma"/>
            <family val="2"/>
          </rPr>
          <t>Luffi:
EQUIPOS COMODATO</t>
        </r>
        <r>
          <rPr>
            <sz val="9"/>
            <color indexed="81"/>
            <rFont val="Tahoma"/>
            <family val="2"/>
          </rPr>
          <t xml:space="preserve">
INSTALACION $650
MENSUALIDAD $300
*INICIA SERVICIO 11-SEP-2021*
</t>
        </r>
        <r>
          <rPr>
            <b/>
            <sz val="9"/>
            <color indexed="81"/>
            <rFont val="Tahoma"/>
            <family val="2"/>
          </rPr>
          <t>*PAGO X INSTALACIONES $7,150 SEP´2021
MENSUALIDAD 11 UNIDADES $3,300.00</t>
        </r>
      </text>
    </comment>
    <comment ref="T220" authorId="1" shapeId="0" xr:uid="{00000000-0006-0000-0400-000000010000}">
      <text>
        <r>
          <rPr>
            <b/>
            <sz val="9"/>
            <color indexed="81"/>
            <rFont val="Tahoma"/>
            <family val="2"/>
          </rPr>
          <t>PC:</t>
        </r>
        <r>
          <rPr>
            <sz val="9"/>
            <color indexed="81"/>
            <rFont val="Tahoma"/>
            <family val="2"/>
          </rPr>
          <t xml:space="preserve">
INSTALACION 02-AGOSTO-22NISSAN NP300 </t>
        </r>
      </text>
    </comment>
    <comment ref="E222" authorId="1" shapeId="0" xr:uid="{00000000-0006-0000-0400-000001010000}">
      <text>
        <r>
          <rPr>
            <b/>
            <sz val="9"/>
            <color indexed="81"/>
            <rFont val="Tahoma"/>
            <family val="2"/>
          </rPr>
          <t>PC:</t>
        </r>
        <r>
          <rPr>
            <sz val="9"/>
            <color indexed="81"/>
            <rFont val="Tahoma"/>
            <family val="2"/>
          </rPr>
          <t xml:space="preserve">
6 ANUALIDADES 
$1,000.00 c/u
</t>
        </r>
      </text>
    </comment>
    <comment ref="E223" authorId="0" shapeId="0" xr:uid="{00000000-0006-0000-0400-000002010000}">
      <text>
        <r>
          <rPr>
            <b/>
            <sz val="9"/>
            <color indexed="81"/>
            <rFont val="Tahoma"/>
            <family val="2"/>
          </rPr>
          <t>Luffi:</t>
        </r>
        <r>
          <rPr>
            <sz val="9"/>
            <color indexed="81"/>
            <rFont val="Tahoma"/>
            <family val="2"/>
          </rPr>
          <t xml:space="preserve">
</t>
        </r>
        <r>
          <rPr>
            <sz val="10"/>
            <color indexed="81"/>
            <rFont val="Tahoma"/>
            <family val="2"/>
          </rPr>
          <t xml:space="preserve">MENSUALIDAD $100.00
PLATAFORMA WOX RASTREO
SERVICIOS RODRIGO $500.00
</t>
        </r>
        <r>
          <rPr>
            <b/>
            <sz val="10"/>
            <color indexed="81"/>
            <rFont val="Tahoma"/>
            <family val="2"/>
          </rPr>
          <t xml:space="preserve">INICIA 1 INSTALACION SEP´2020 
</t>
        </r>
      </text>
    </comment>
    <comment ref="T223" authorId="0" shapeId="0" xr:uid="{00000000-0006-0000-0400-000003010000}">
      <text>
        <r>
          <rPr>
            <b/>
            <sz val="9"/>
            <color indexed="81"/>
            <rFont val="Tahoma"/>
            <family val="2"/>
          </rPr>
          <t>Luffi:</t>
        </r>
        <r>
          <rPr>
            <sz val="9"/>
            <color indexed="81"/>
            <rFont val="Tahoma"/>
            <family val="2"/>
          </rPr>
          <t xml:space="preserve">
SALDO A FAVOR POR $3,800
TRASPASO DE UNIDAD A CUENTA DE </t>
        </r>
        <r>
          <rPr>
            <b/>
            <sz val="9"/>
            <color indexed="81"/>
            <rFont val="Tahoma"/>
            <family val="2"/>
          </rPr>
          <t xml:space="preserve">APFEL </t>
        </r>
        <r>
          <rPr>
            <sz val="9"/>
            <color indexed="81"/>
            <rFont val="Tahoma"/>
            <family val="2"/>
          </rPr>
          <t xml:space="preserve">
</t>
        </r>
        <r>
          <rPr>
            <sz val="10"/>
            <color indexed="81"/>
            <rFont val="Tahoma"/>
            <family val="2"/>
          </rPr>
          <t xml:space="preserve">PROPORCIONALES DE MENSUALIDAD SEP´2020 </t>
        </r>
      </text>
    </comment>
    <comment ref="E224" authorId="1" shapeId="0" xr:uid="{00000000-0006-0000-0400-000004010000}">
      <text>
        <r>
          <rPr>
            <b/>
            <sz val="9"/>
            <color indexed="81"/>
            <rFont val="Tahoma"/>
            <family val="2"/>
          </rPr>
          <t>PC:</t>
        </r>
        <r>
          <rPr>
            <sz val="9"/>
            <color indexed="81"/>
            <rFont val="Tahoma"/>
            <family val="2"/>
          </rPr>
          <t xml:space="preserve">
ALTA 23-ABRIL-2025
COMODATO
INSTALACION $550.00
MENSUALIDAD $300.00</t>
        </r>
      </text>
    </comment>
    <comment ref="E228" authorId="1" shapeId="0" xr:uid="{00000000-0006-0000-0400-000005010000}">
      <text>
        <r>
          <rPr>
            <b/>
            <sz val="9"/>
            <color indexed="81"/>
            <rFont val="Tahoma"/>
            <family val="2"/>
          </rPr>
          <t>PC:</t>
        </r>
        <r>
          <rPr>
            <sz val="9"/>
            <color indexed="81"/>
            <rFont val="Tahoma"/>
            <family val="2"/>
          </rPr>
          <t xml:space="preserve">
INGRESA EL 01-FEBRERO-2024
EQUIPO $1,200.00+IVA
MENSUALIDAD $250.00+IVA</t>
        </r>
      </text>
    </comment>
    <comment ref="E229" authorId="1" shapeId="0" xr:uid="{00000000-0006-0000-0400-000006010000}">
      <text>
        <r>
          <rPr>
            <b/>
            <sz val="9"/>
            <color indexed="81"/>
            <rFont val="Tahoma"/>
            <family val="2"/>
          </rPr>
          <t xml:space="preserve">PC:
</t>
        </r>
        <r>
          <rPr>
            <sz val="10"/>
            <color indexed="81"/>
            <rFont val="Tahoma"/>
            <family val="2"/>
          </rPr>
          <t>INICIA EL 02-MAYO-2023 SR. VICTOR DAMIAN ZAPATA NORIEGA
EQUIPO $1,850.00
MENSUALIDAD $250.00
RE-INGRESO SR. ISMAEL ESCAREÑO  19-OCTUBRE-2024</t>
        </r>
      </text>
    </comment>
    <comment ref="E230" authorId="1" shapeId="0" xr:uid="{00000000-0006-0000-0400-000007010000}">
      <text>
        <r>
          <rPr>
            <b/>
            <sz val="9"/>
            <color indexed="81"/>
            <rFont val="Tahoma"/>
            <family val="2"/>
          </rPr>
          <t>PC:</t>
        </r>
        <r>
          <rPr>
            <sz val="9"/>
            <color indexed="81"/>
            <rFont val="Tahoma"/>
            <family val="2"/>
          </rPr>
          <t xml:space="preserve">
CLIENTE DE SEPARACIÓN DE CUENTA DEL SR. LUIS BOLAÑOS, SE PONE EN CONTACTO EL 05-MARZO-2024 
MENSUALIDAD $280.00+IVA</t>
        </r>
      </text>
    </comment>
    <comment ref="E231" authorId="1" shapeId="0" xr:uid="{00000000-0006-0000-0400-000008010000}">
      <text>
        <r>
          <rPr>
            <b/>
            <sz val="9"/>
            <color indexed="81"/>
            <rFont val="Tahoma"/>
            <family val="2"/>
          </rPr>
          <t>PC:</t>
        </r>
        <r>
          <rPr>
            <sz val="9"/>
            <color indexed="81"/>
            <rFont val="Tahoma"/>
            <family val="2"/>
          </rPr>
          <t xml:space="preserve">
CLIENTE MIGRADO DEL SR. EDGAR MURO 
01-NOVIEMBRE-2024
MENSUALIDAD $300.00+IVA
MIGRACION $350.00+IVA</t>
        </r>
      </text>
    </comment>
    <comment ref="E232" authorId="1" shapeId="0" xr:uid="{00000000-0006-0000-0400-000009010000}">
      <text>
        <r>
          <rPr>
            <b/>
            <sz val="9"/>
            <color indexed="81"/>
            <rFont val="Tahoma"/>
            <family val="2"/>
          </rPr>
          <t>PC:</t>
        </r>
        <r>
          <rPr>
            <sz val="9"/>
            <color indexed="81"/>
            <rFont val="Tahoma"/>
            <family val="2"/>
          </rPr>
          <t xml:space="preserve">
INICIA EL 05-JUNIO-2023
MENSUALIDAD $300.00
EQUIPO $1,850.00</t>
        </r>
      </text>
    </comment>
    <comment ref="E233" authorId="1" shapeId="0" xr:uid="{00000000-0006-0000-0400-00000A010000}">
      <text>
        <r>
          <rPr>
            <b/>
            <sz val="9"/>
            <color indexed="81"/>
            <rFont val="Tahoma"/>
            <family val="2"/>
          </rPr>
          <t>PC:</t>
        </r>
        <r>
          <rPr>
            <sz val="9"/>
            <color indexed="81"/>
            <rFont val="Tahoma"/>
            <family val="2"/>
          </rPr>
          <t xml:space="preserve">
INGRESA EL 04-JUNIO-2024
EQUIPO $2,150.00+IVA
MENSUALIDAD$300.00+IVA
REVISION $650.00+IVA</t>
        </r>
      </text>
    </comment>
    <comment ref="E234" authorId="1" shapeId="0" xr:uid="{00000000-0006-0000-0400-00000B010000}">
      <text>
        <r>
          <rPr>
            <b/>
            <sz val="9"/>
            <color indexed="81"/>
            <rFont val="Tahoma"/>
            <family val="2"/>
          </rPr>
          <t>PC:</t>
        </r>
        <r>
          <rPr>
            <sz val="9"/>
            <color indexed="81"/>
            <rFont val="Tahoma"/>
            <family val="2"/>
          </rPr>
          <t xml:space="preserve">
REACTIVACIÓN DE EQUIPO 
14-JUNIO-2024
THERMO
REACTIVACIÓN $650.00
MENSUALIDAD $300.00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2" authorId="0" shapeId="0" xr:uid="{00000000-0006-0000-0500-00000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 authorId="0" shapeId="0" xr:uid="{00000000-0006-0000-0500-00000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 authorId="0" shapeId="0" xr:uid="{00000000-0006-0000-0500-00000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 authorId="0" shapeId="0" xr:uid="{00000000-0006-0000-0500-00000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 authorId="0" shapeId="0" xr:uid="{00000000-0006-0000-0500-00000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 authorId="0" shapeId="0" xr:uid="{00000000-0006-0000-0500-00000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 authorId="0" shapeId="0" xr:uid="{00000000-0006-0000-0500-00000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 authorId="0" shapeId="0" xr:uid="{00000000-0006-0000-0500-00000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 authorId="0" shapeId="0" xr:uid="{00000000-0006-0000-0500-00000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 authorId="0" shapeId="0" xr:uid="{00000000-0006-0000-0500-00000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 authorId="0" shapeId="0" xr:uid="{00000000-0006-0000-0500-00000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 authorId="0" shapeId="0" xr:uid="{00000000-0006-0000-0500-00000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 authorId="0" shapeId="0" xr:uid="{00000000-0006-0000-0500-00000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 authorId="0" shapeId="0" xr:uid="{00000000-0006-0000-0500-00000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 authorId="0" shapeId="0" xr:uid="{00000000-0006-0000-0500-00000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 authorId="0" shapeId="0" xr:uid="{00000000-0006-0000-0500-00001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 authorId="0" shapeId="0" xr:uid="{00000000-0006-0000-0500-00001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 authorId="0" shapeId="0" xr:uid="{00000000-0006-0000-0500-00001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 authorId="0" shapeId="0" xr:uid="{00000000-0006-0000-0500-00001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 authorId="0" shapeId="0" xr:uid="{00000000-0006-0000-0500-00001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 authorId="0" shapeId="0" xr:uid="{00000000-0006-0000-0500-00001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 authorId="0" shapeId="0" xr:uid="{00000000-0006-0000-0500-00001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 authorId="0" shapeId="0" xr:uid="{00000000-0006-0000-0500-00001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 authorId="0" shapeId="0" xr:uid="{00000000-0006-0000-0500-00001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 authorId="0" shapeId="0" xr:uid="{00000000-0006-0000-0500-000019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7" authorId="0" shapeId="0" xr:uid="{00000000-0006-0000-0500-00001A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8" authorId="0" shapeId="0" xr:uid="{00000000-0006-0000-0500-00001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 authorId="0" shapeId="0" xr:uid="{00000000-0006-0000-0500-00001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 authorId="0" shapeId="0" xr:uid="{00000000-0006-0000-0500-00001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 authorId="0" shapeId="0" xr:uid="{00000000-0006-0000-0500-00001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 authorId="0" shapeId="0" xr:uid="{00000000-0006-0000-0500-00001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 authorId="0" shapeId="0" xr:uid="{00000000-0006-0000-0500-00002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 authorId="0" shapeId="0" xr:uid="{00000000-0006-0000-0500-00002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 authorId="0" shapeId="0" xr:uid="{00000000-0006-0000-0500-00002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 authorId="0" shapeId="0" xr:uid="{00000000-0006-0000-0500-000023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37" authorId="0" shapeId="0" xr:uid="{00000000-0006-0000-0500-00002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 authorId="0" shapeId="0" xr:uid="{00000000-0006-0000-0500-00002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 authorId="0" shapeId="0" xr:uid="{00000000-0006-0000-0500-000026000000}">
      <text>
        <r>
          <rPr>
            <b/>
            <sz val="9"/>
            <color indexed="81"/>
            <rFont val="Tahoma"/>
            <family val="2"/>
          </rPr>
          <t>PC:</t>
        </r>
        <r>
          <rPr>
            <sz val="9"/>
            <color indexed="81"/>
            <rFont val="Tahoma"/>
            <family val="2"/>
          </rPr>
          <t xml:space="preserve">
CLAVE: CP01</t>
        </r>
      </text>
    </comment>
    <comment ref="E40" authorId="0" shapeId="0" xr:uid="{00000000-0006-0000-0500-00002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 authorId="0" shapeId="0" xr:uid="{00000000-0006-0000-0500-00002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 authorId="0" shapeId="0" xr:uid="{00000000-0006-0000-0500-00002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 authorId="0" shapeId="0" xr:uid="{00000000-0006-0000-0500-00002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 authorId="0" shapeId="0" xr:uid="{00000000-0006-0000-0500-00002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 authorId="0" shapeId="0" xr:uid="{00000000-0006-0000-0500-00002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 authorId="0" shapeId="0" xr:uid="{00000000-0006-0000-0500-00002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A47" authorId="0" shapeId="0" xr:uid="{00000000-0006-0000-0500-00002E000000}">
      <text>
        <r>
          <rPr>
            <b/>
            <sz val="9"/>
            <color indexed="81"/>
            <rFont val="Tahoma"/>
            <family val="2"/>
          </rPr>
          <t>PC:</t>
        </r>
        <r>
          <rPr>
            <sz val="9"/>
            <color indexed="81"/>
            <rFont val="Tahoma"/>
            <family val="2"/>
          </rPr>
          <t xml:space="preserve">
REVISAR METODOS Y FORMAS DE PAGO 
FORMA DE PAGO: POR DEFINIR 
METODO DE PAGO: PAGO EN PARCIALIDADES O DIFERIDO</t>
        </r>
      </text>
    </comment>
    <comment ref="E47" authorId="0" shapeId="0" xr:uid="{00000000-0006-0000-0500-00002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 authorId="0" shapeId="0" xr:uid="{00000000-0006-0000-0500-00003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 authorId="0" shapeId="0" xr:uid="{00000000-0006-0000-0500-00003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 authorId="0" shapeId="0" xr:uid="{00000000-0006-0000-0500-00003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 authorId="0" shapeId="0" xr:uid="{00000000-0006-0000-0500-00003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 authorId="0" shapeId="0" xr:uid="{00000000-0006-0000-0500-00003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 authorId="0" shapeId="0" xr:uid="{00000000-0006-0000-0500-00003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 authorId="0" shapeId="0" xr:uid="{00000000-0006-0000-0500-00003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 authorId="0" shapeId="0" xr:uid="{00000000-0006-0000-0500-00003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 authorId="0" shapeId="0" xr:uid="{00000000-0006-0000-0500-00003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 authorId="0" shapeId="0" xr:uid="{00000000-0006-0000-0500-00003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8" authorId="0" shapeId="0" xr:uid="{00000000-0006-0000-0500-00003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9" authorId="0" shapeId="0" xr:uid="{00000000-0006-0000-0500-00003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0" authorId="0" shapeId="0" xr:uid="{00000000-0006-0000-0500-00003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1" authorId="0" shapeId="0" xr:uid="{00000000-0006-0000-0500-00003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2" authorId="0" shapeId="0" xr:uid="{00000000-0006-0000-0500-00003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3" authorId="0" shapeId="0" xr:uid="{00000000-0006-0000-0500-00003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4" authorId="0" shapeId="0" xr:uid="{00000000-0006-0000-0500-00004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5" authorId="0" shapeId="0" xr:uid="{00000000-0006-0000-0500-00004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6" authorId="0" shapeId="0" xr:uid="{00000000-0006-0000-0500-00004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7" authorId="0" shapeId="0" xr:uid="{00000000-0006-0000-0500-00004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8" authorId="0" shapeId="0" xr:uid="{00000000-0006-0000-0500-00004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69" authorId="0" shapeId="0" xr:uid="{00000000-0006-0000-0500-00004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0" authorId="0" shapeId="0" xr:uid="{00000000-0006-0000-0500-00004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1" authorId="0" shapeId="0" xr:uid="{00000000-0006-0000-0500-000047000000}">
      <text>
        <r>
          <rPr>
            <b/>
            <sz val="9"/>
            <color indexed="81"/>
            <rFont val="Tahoma"/>
            <family val="2"/>
          </rPr>
          <t>PC:</t>
        </r>
        <r>
          <rPr>
            <sz val="9"/>
            <color indexed="81"/>
            <rFont val="Tahoma"/>
            <family val="2"/>
          </rPr>
          <t xml:space="preserve">
CLAVE: CP01</t>
        </r>
      </text>
    </comment>
    <comment ref="E72" authorId="0" shapeId="0" xr:uid="{00000000-0006-0000-0500-00004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3" authorId="0" shapeId="0" xr:uid="{00000000-0006-0000-0500-00004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4" authorId="0" shapeId="0" xr:uid="{00000000-0006-0000-0500-00004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5" authorId="0" shapeId="0" xr:uid="{00000000-0006-0000-0500-00004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6" authorId="0" shapeId="0" xr:uid="{00000000-0006-0000-0500-00004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7" authorId="0" shapeId="0" xr:uid="{00000000-0006-0000-0500-00004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8" authorId="0" shapeId="0" xr:uid="{00000000-0006-0000-0500-00004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79" authorId="0" shapeId="0" xr:uid="{00000000-0006-0000-0500-00004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0" authorId="0" shapeId="0" xr:uid="{00000000-0006-0000-0500-000050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81" authorId="0" shapeId="0" xr:uid="{00000000-0006-0000-0500-00005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2" authorId="0" shapeId="0" xr:uid="{00000000-0006-0000-0500-00005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3" authorId="0" shapeId="0" xr:uid="{00000000-0006-0000-0500-00005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4" authorId="0" shapeId="0" xr:uid="{00000000-0006-0000-0500-00005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5" authorId="0" shapeId="0" xr:uid="{00000000-0006-0000-0500-00005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6" authorId="0" shapeId="0" xr:uid="{00000000-0006-0000-0500-00005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7" authorId="0" shapeId="0" xr:uid="{00000000-0006-0000-0500-00005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8" authorId="0" shapeId="0" xr:uid="{00000000-0006-0000-0500-00005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89" authorId="0" shapeId="0" xr:uid="{00000000-0006-0000-0500-00005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0" authorId="0" shapeId="0" xr:uid="{00000000-0006-0000-0500-00005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1" authorId="0" shapeId="0" xr:uid="{00000000-0006-0000-0500-00005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2" authorId="0" shapeId="0" xr:uid="{00000000-0006-0000-0500-00005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3" authorId="0" shapeId="0" xr:uid="{00000000-0006-0000-0500-00005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4" authorId="0" shapeId="0" xr:uid="{00000000-0006-0000-0500-00005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5" authorId="0" shapeId="0" xr:uid="{00000000-0006-0000-0500-00005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6" authorId="0" shapeId="0" xr:uid="{00000000-0006-0000-0500-00006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7" authorId="0" shapeId="0" xr:uid="{00000000-0006-0000-0500-00006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8" authorId="0" shapeId="0" xr:uid="{00000000-0006-0000-0500-00006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99" authorId="0" shapeId="0" xr:uid="{00000000-0006-0000-0500-00006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0" authorId="0" shapeId="0" xr:uid="{00000000-0006-0000-0500-00006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1" authorId="0" shapeId="0" xr:uid="{00000000-0006-0000-0500-00006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2" authorId="0" shapeId="0" xr:uid="{00000000-0006-0000-0500-00006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3" authorId="0" shapeId="0" xr:uid="{00000000-0006-0000-0500-00006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4" authorId="0" shapeId="0" xr:uid="{00000000-0006-0000-0500-00006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5" authorId="0" shapeId="0" xr:uid="{00000000-0006-0000-0500-00006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6" authorId="0" shapeId="0" xr:uid="{00000000-0006-0000-0500-00006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8" authorId="0" shapeId="0" xr:uid="{00000000-0006-0000-0500-00006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09" authorId="0" shapeId="0" xr:uid="{00000000-0006-0000-0500-00006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0" authorId="0" shapeId="0" xr:uid="{00000000-0006-0000-0500-00006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1" authorId="0" shapeId="0" xr:uid="{00000000-0006-0000-0500-00006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2" authorId="0" shapeId="0" xr:uid="{00000000-0006-0000-0500-00006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3" authorId="0" shapeId="0" xr:uid="{00000000-0006-0000-0500-00007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4" authorId="0" shapeId="0" xr:uid="{00000000-0006-0000-0500-00007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5" authorId="0" shapeId="0" xr:uid="{00000000-0006-0000-0500-00007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6" authorId="0" shapeId="0" xr:uid="{00000000-0006-0000-0500-00007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7" authorId="0" shapeId="0" xr:uid="{00000000-0006-0000-0500-00007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8" authorId="0" shapeId="0" xr:uid="{00000000-0006-0000-0500-00007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19" authorId="0" shapeId="0" xr:uid="{00000000-0006-0000-0500-00007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0" authorId="0" shapeId="0" xr:uid="{00000000-0006-0000-0500-00007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1" authorId="0" shapeId="0" xr:uid="{00000000-0006-0000-0500-00007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2" authorId="0" shapeId="0" xr:uid="{00000000-0006-0000-0500-00007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3" authorId="0" shapeId="0" xr:uid="{00000000-0006-0000-0500-00007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4" authorId="0" shapeId="0" xr:uid="{00000000-0006-0000-0500-00007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5" authorId="0" shapeId="0" xr:uid="{00000000-0006-0000-0500-00007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6" authorId="0" shapeId="0" xr:uid="{00000000-0006-0000-0500-00007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7" authorId="0" shapeId="0" xr:uid="{00000000-0006-0000-0500-00007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8" authorId="0" shapeId="0" xr:uid="{00000000-0006-0000-0500-00007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29" authorId="0" shapeId="0" xr:uid="{00000000-0006-0000-0500-00008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0" authorId="0" shapeId="0" xr:uid="{00000000-0006-0000-0500-00008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1" authorId="0" shapeId="0" xr:uid="{00000000-0006-0000-0500-00008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2" authorId="0" shapeId="0" xr:uid="{00000000-0006-0000-0500-00008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3" authorId="0" shapeId="0" xr:uid="{00000000-0006-0000-0500-000084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134" authorId="0" shapeId="0" xr:uid="{00000000-0006-0000-0500-000085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135" authorId="0" shapeId="0" xr:uid="{00000000-0006-0000-0500-00008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6" authorId="0" shapeId="0" xr:uid="{00000000-0006-0000-0500-00008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7" authorId="0" shapeId="0" xr:uid="{00000000-0006-0000-0500-00008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8" authorId="0" shapeId="0" xr:uid="{00000000-0006-0000-0500-00008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39" authorId="0" shapeId="0" xr:uid="{00000000-0006-0000-0500-00008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0" authorId="0" shapeId="0" xr:uid="{00000000-0006-0000-0500-00008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1" authorId="0" shapeId="0" xr:uid="{00000000-0006-0000-0500-00008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2" authorId="0" shapeId="0" xr:uid="{00000000-0006-0000-0500-00008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3" authorId="0" shapeId="0" xr:uid="{00000000-0006-0000-0500-00008E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144" authorId="0" shapeId="0" xr:uid="{00000000-0006-0000-0500-00008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5" authorId="0" shapeId="0" xr:uid="{00000000-0006-0000-0500-00009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6" authorId="0" shapeId="0" xr:uid="{00000000-0006-0000-0500-000091000000}">
      <text>
        <r>
          <rPr>
            <b/>
            <sz val="9"/>
            <color indexed="81"/>
            <rFont val="Tahoma"/>
            <family val="2"/>
          </rPr>
          <t>PC:</t>
        </r>
        <r>
          <rPr>
            <sz val="9"/>
            <color indexed="81"/>
            <rFont val="Tahoma"/>
            <family val="2"/>
          </rPr>
          <t xml:space="preserve">
CLAVE: CP01</t>
        </r>
      </text>
    </comment>
    <comment ref="E147" authorId="0" shapeId="0" xr:uid="{00000000-0006-0000-0500-00009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8" authorId="0" shapeId="0" xr:uid="{00000000-0006-0000-0500-00009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49" authorId="0" shapeId="0" xr:uid="{00000000-0006-0000-0500-00009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0" authorId="0" shapeId="0" xr:uid="{00000000-0006-0000-0500-00009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1" authorId="0" shapeId="0" xr:uid="{00000000-0006-0000-0500-00009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2" authorId="0" shapeId="0" xr:uid="{00000000-0006-0000-0500-00009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3" authorId="0" shapeId="0" xr:uid="{00000000-0006-0000-0500-00009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A154" authorId="0" shapeId="0" xr:uid="{00000000-0006-0000-0500-000099000000}">
      <text>
        <r>
          <rPr>
            <b/>
            <sz val="9"/>
            <color indexed="81"/>
            <rFont val="Tahoma"/>
            <family val="2"/>
          </rPr>
          <t>PC:</t>
        </r>
        <r>
          <rPr>
            <sz val="9"/>
            <color indexed="81"/>
            <rFont val="Tahoma"/>
            <family val="2"/>
          </rPr>
          <t xml:space="preserve">
REVISAR METODOS Y FORMAS DE PAGO 
FORMA DE PAGO: POR DEFINIR 
METODO DE PAGO: PAGO EN PARCIALIDADES O DIFERIDO</t>
        </r>
      </text>
    </comment>
    <comment ref="E154" authorId="0" shapeId="0" xr:uid="{00000000-0006-0000-0500-00009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5" authorId="0" shapeId="0" xr:uid="{00000000-0006-0000-0500-00009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6" authorId="0" shapeId="0" xr:uid="{00000000-0006-0000-0500-00009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7" authorId="0" shapeId="0" xr:uid="{00000000-0006-0000-0500-00009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8" authorId="0" shapeId="0" xr:uid="{00000000-0006-0000-0500-00009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59" authorId="0" shapeId="0" xr:uid="{00000000-0006-0000-0500-00009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0" authorId="0" shapeId="0" xr:uid="{00000000-0006-0000-0500-0000A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1" authorId="0" shapeId="0" xr:uid="{00000000-0006-0000-0500-0000A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2" authorId="0" shapeId="0" xr:uid="{00000000-0006-0000-0500-0000A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3" authorId="0" shapeId="0" xr:uid="{00000000-0006-0000-0500-0000A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4" authorId="0" shapeId="0" xr:uid="{00000000-0006-0000-0500-0000A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5" authorId="0" shapeId="0" xr:uid="{00000000-0006-0000-0500-0000A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6" authorId="0" shapeId="0" xr:uid="{00000000-0006-0000-0500-0000A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7" authorId="0" shapeId="0" xr:uid="{00000000-0006-0000-0500-0000A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8" authorId="0" shapeId="0" xr:uid="{00000000-0006-0000-0500-0000A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69" authorId="0" shapeId="0" xr:uid="{00000000-0006-0000-0500-0000A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0" authorId="0" shapeId="0" xr:uid="{00000000-0006-0000-0500-0000A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1" authorId="0" shapeId="0" xr:uid="{00000000-0006-0000-0500-0000A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2" authorId="0" shapeId="0" xr:uid="{00000000-0006-0000-0500-0000A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3" authorId="0" shapeId="0" xr:uid="{00000000-0006-0000-0500-0000A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4" authorId="0" shapeId="0" xr:uid="{00000000-0006-0000-0500-0000A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5" authorId="0" shapeId="0" xr:uid="{00000000-0006-0000-0500-0000A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6" authorId="0" shapeId="0" xr:uid="{00000000-0006-0000-0500-0000B0000000}">
      <text>
        <r>
          <rPr>
            <b/>
            <sz val="9"/>
            <color indexed="81"/>
            <rFont val="Tahoma"/>
            <family val="2"/>
          </rPr>
          <t>PC:</t>
        </r>
        <r>
          <rPr>
            <sz val="9"/>
            <color indexed="81"/>
            <rFont val="Tahoma"/>
            <family val="2"/>
          </rPr>
          <t xml:space="preserve">
CLAVE: CP01</t>
        </r>
      </text>
    </comment>
    <comment ref="E177" authorId="0" shapeId="0" xr:uid="{00000000-0006-0000-0500-0000B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8" authorId="0" shapeId="0" xr:uid="{00000000-0006-0000-0500-0000B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79" authorId="0" shapeId="0" xr:uid="{00000000-0006-0000-0500-0000B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0" authorId="0" shapeId="0" xr:uid="{00000000-0006-0000-0500-0000B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1" authorId="0" shapeId="0" xr:uid="{00000000-0006-0000-0500-0000B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2" authorId="0" shapeId="0" xr:uid="{00000000-0006-0000-0500-0000B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3" authorId="0" shapeId="0" xr:uid="{00000000-0006-0000-0500-0000B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4" authorId="0" shapeId="0" xr:uid="{00000000-0006-0000-0500-0000B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5" authorId="0" shapeId="0" xr:uid="{00000000-0006-0000-0500-0000B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6" authorId="0" shapeId="0" xr:uid="{00000000-0006-0000-0500-0000B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7" authorId="0" shapeId="0" xr:uid="{00000000-0006-0000-0500-0000BB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188" authorId="0" shapeId="0" xr:uid="{00000000-0006-0000-0500-0000B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89" authorId="0" shapeId="0" xr:uid="{00000000-0006-0000-0500-0000B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0" authorId="0" shapeId="0" xr:uid="{00000000-0006-0000-0500-0000B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1" authorId="0" shapeId="0" xr:uid="{00000000-0006-0000-0500-0000B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2" authorId="0" shapeId="0" xr:uid="{00000000-0006-0000-0500-0000C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3" authorId="0" shapeId="0" xr:uid="{00000000-0006-0000-0500-0000C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4" authorId="0" shapeId="0" xr:uid="{00000000-0006-0000-0500-0000C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5" authorId="0" shapeId="0" xr:uid="{00000000-0006-0000-0500-0000C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6" authorId="0" shapeId="0" xr:uid="{00000000-0006-0000-0500-0000C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7" authorId="0" shapeId="0" xr:uid="{00000000-0006-0000-0500-0000C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8" authorId="0" shapeId="0" xr:uid="{00000000-0006-0000-0500-0000C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199" authorId="0" shapeId="0" xr:uid="{00000000-0006-0000-0500-0000C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0" authorId="0" shapeId="0" xr:uid="{00000000-0006-0000-0500-0000C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1" authorId="0" shapeId="0" xr:uid="{00000000-0006-0000-0500-0000C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2" authorId="0" shapeId="0" xr:uid="{00000000-0006-0000-0500-0000C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3" authorId="0" shapeId="0" xr:uid="{00000000-0006-0000-0500-0000C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4" authorId="0" shapeId="0" xr:uid="{00000000-0006-0000-0500-0000C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5" authorId="0" shapeId="0" xr:uid="{00000000-0006-0000-0500-0000C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6" authorId="0" shapeId="0" xr:uid="{00000000-0006-0000-0500-0000CE000000}">
      <text>
        <r>
          <rPr>
            <b/>
            <sz val="9"/>
            <color indexed="81"/>
            <rFont val="Tahoma"/>
            <family val="2"/>
          </rPr>
          <t>PC:</t>
        </r>
        <r>
          <rPr>
            <sz val="9"/>
            <color indexed="81"/>
            <rFont val="Tahoma"/>
            <family val="2"/>
          </rPr>
          <t xml:space="preserve">
ADQUISICION DE MERCANCIAS</t>
        </r>
      </text>
    </comment>
    <comment ref="E207" authorId="0" shapeId="0" xr:uid="{00000000-0006-0000-0500-0000C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8" authorId="0" shapeId="0" xr:uid="{00000000-0006-0000-0500-0000D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09" authorId="0" shapeId="0" xr:uid="{00000000-0006-0000-0500-0000D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0" authorId="0" shapeId="0" xr:uid="{00000000-0006-0000-0500-0000D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1" authorId="0" shapeId="0" xr:uid="{00000000-0006-0000-0500-0000D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2" authorId="0" shapeId="0" xr:uid="{00000000-0006-0000-0500-0000D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3" authorId="0" shapeId="0" xr:uid="{00000000-0006-0000-0500-0000D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5" authorId="0" shapeId="0" xr:uid="{00000000-0006-0000-0500-0000D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6" authorId="0" shapeId="0" xr:uid="{00000000-0006-0000-0500-0000D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7" authorId="0" shapeId="0" xr:uid="{00000000-0006-0000-0500-0000D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8" authorId="0" shapeId="0" xr:uid="{00000000-0006-0000-0500-0000D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19" authorId="0" shapeId="0" xr:uid="{00000000-0006-0000-0500-0000D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0" authorId="0" shapeId="0" xr:uid="{00000000-0006-0000-0500-0000D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1" authorId="0" shapeId="0" xr:uid="{00000000-0006-0000-0500-0000D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2" authorId="0" shapeId="0" xr:uid="{00000000-0006-0000-0500-0000D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3" authorId="0" shapeId="0" xr:uid="{00000000-0006-0000-0500-0000D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4" authorId="0" shapeId="0" xr:uid="{00000000-0006-0000-0500-0000D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5" authorId="0" shapeId="0" xr:uid="{00000000-0006-0000-0500-0000E0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6" authorId="0" shapeId="0" xr:uid="{00000000-0006-0000-0500-0000E1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7" authorId="0" shapeId="0" xr:uid="{00000000-0006-0000-0500-0000E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8" authorId="0" shapeId="0" xr:uid="{00000000-0006-0000-0500-0000E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29" authorId="0" shapeId="0" xr:uid="{00000000-0006-0000-0500-0000E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0" authorId="0" shapeId="0" xr:uid="{00000000-0006-0000-0500-0000E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1" authorId="0" shapeId="0" xr:uid="{00000000-0006-0000-0500-0000E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2" authorId="0" shapeId="0" xr:uid="{00000000-0006-0000-0500-0000E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3" authorId="0" shapeId="0" xr:uid="{00000000-0006-0000-0500-0000E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4" authorId="0" shapeId="0" xr:uid="{00000000-0006-0000-0500-0000E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5" authorId="0" shapeId="0" xr:uid="{00000000-0006-0000-0500-0000EA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6" authorId="0" shapeId="0" xr:uid="{00000000-0006-0000-0500-0000E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7" authorId="0" shapeId="0" xr:uid="{00000000-0006-0000-0500-0000E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8" authorId="0" shapeId="0" xr:uid="{00000000-0006-0000-0500-0000ED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39" authorId="0" shapeId="0" xr:uid="{00000000-0006-0000-0500-0000E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0" authorId="0" shapeId="0" xr:uid="{00000000-0006-0000-0500-0000E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1" authorId="0" shapeId="0" xr:uid="{00000000-0006-0000-0500-0000F0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42" authorId="0" shapeId="0" xr:uid="{00000000-0006-0000-0500-0000F1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43" authorId="0" shapeId="0" xr:uid="{00000000-0006-0000-0500-0000F2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4" authorId="0" shapeId="0" xr:uid="{00000000-0006-0000-0500-0000F3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5" authorId="0" shapeId="0" xr:uid="{00000000-0006-0000-0500-0000F4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6" authorId="0" shapeId="0" xr:uid="{00000000-0006-0000-0500-0000F5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7" authorId="0" shapeId="0" xr:uid="{00000000-0006-0000-0500-0000F6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8" authorId="0" shapeId="0" xr:uid="{00000000-0006-0000-0500-0000F7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49" authorId="0" shapeId="0" xr:uid="{00000000-0006-0000-0500-0000F8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0" authorId="0" shapeId="0" xr:uid="{00000000-0006-0000-0500-0000F9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1" authorId="0" shapeId="0" xr:uid="{00000000-0006-0000-0500-0000FA00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52" authorId="0" shapeId="0" xr:uid="{00000000-0006-0000-0500-0000FB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3" authorId="0" shapeId="0" xr:uid="{00000000-0006-0000-0500-0000FC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4" authorId="0" shapeId="0" xr:uid="{00000000-0006-0000-0500-0000FD000000}">
      <text>
        <r>
          <rPr>
            <b/>
            <sz val="9"/>
            <color indexed="81"/>
            <rFont val="Tahoma"/>
            <family val="2"/>
          </rPr>
          <t>PC:</t>
        </r>
        <r>
          <rPr>
            <sz val="9"/>
            <color indexed="81"/>
            <rFont val="Tahoma"/>
            <family val="2"/>
          </rPr>
          <t xml:space="preserve">
CLAVE: CP01</t>
        </r>
      </text>
    </comment>
    <comment ref="E255" authorId="0" shapeId="0" xr:uid="{00000000-0006-0000-0500-0000FE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6" authorId="0" shapeId="0" xr:uid="{00000000-0006-0000-0500-0000FF00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7" authorId="0" shapeId="0" xr:uid="{00000000-0006-0000-0500-00000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8" authorId="0" shapeId="0" xr:uid="{00000000-0006-0000-0500-00000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59" authorId="0" shapeId="0" xr:uid="{00000000-0006-0000-0500-00000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0" authorId="0" shapeId="0" xr:uid="{00000000-0006-0000-0500-00000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1" authorId="0" shapeId="0" xr:uid="{00000000-0006-0000-0500-00000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A262" authorId="0" shapeId="0" xr:uid="{00000000-0006-0000-0500-000005010000}">
      <text>
        <r>
          <rPr>
            <b/>
            <sz val="9"/>
            <color indexed="81"/>
            <rFont val="Tahoma"/>
            <family val="2"/>
          </rPr>
          <t>PC:</t>
        </r>
        <r>
          <rPr>
            <sz val="9"/>
            <color indexed="81"/>
            <rFont val="Tahoma"/>
            <family val="2"/>
          </rPr>
          <t xml:space="preserve">
REVISAR METODOS Y FORMAS DE PAGO 
FORMA DE PAGO: POR DEFINIR 
METODO DE PAGO: PAGO EN PARCIALIDADES O DIFERIDO</t>
        </r>
      </text>
    </comment>
    <comment ref="E262" authorId="0" shapeId="0" xr:uid="{00000000-0006-0000-0500-00000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3" authorId="0" shapeId="0" xr:uid="{00000000-0006-0000-0500-00000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4" authorId="0" shapeId="0" xr:uid="{00000000-0006-0000-0500-00000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5" authorId="0" shapeId="0" xr:uid="{00000000-0006-0000-0500-00000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F265" authorId="0" shapeId="0" xr:uid="{00000000-0006-0000-0500-00000A010000}">
      <text>
        <r>
          <rPr>
            <b/>
            <sz val="9"/>
            <color indexed="81"/>
            <rFont val="Tahoma"/>
            <family val="2"/>
          </rPr>
          <t>PC:</t>
        </r>
        <r>
          <rPr>
            <sz val="9"/>
            <color indexed="81"/>
            <rFont val="Tahoma"/>
            <family val="2"/>
          </rPr>
          <t xml:space="preserve">
1080324c-bf39-4d4b-9612-79b5a6091066</t>
        </r>
      </text>
    </comment>
    <comment ref="E266" authorId="0" shapeId="0" xr:uid="{00000000-0006-0000-0500-00000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7" authorId="0" shapeId="0" xr:uid="{00000000-0006-0000-0500-00000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8" authorId="0" shapeId="0" xr:uid="{00000000-0006-0000-0500-00000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69" authorId="0" shapeId="0" xr:uid="{00000000-0006-0000-0500-00000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0" authorId="0" shapeId="0" xr:uid="{00000000-0006-0000-0500-00000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1" authorId="0" shapeId="0" xr:uid="{00000000-0006-0000-0500-00001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2" authorId="0" shapeId="0" xr:uid="{00000000-0006-0000-0500-00001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3" authorId="0" shapeId="0" xr:uid="{00000000-0006-0000-0500-00001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4" authorId="0" shapeId="0" xr:uid="{00000000-0006-0000-0500-00001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5" authorId="0" shapeId="0" xr:uid="{00000000-0006-0000-0500-00001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6" authorId="0" shapeId="0" xr:uid="{00000000-0006-0000-0500-00001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7" authorId="0" shapeId="0" xr:uid="{00000000-0006-0000-0500-00001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8" authorId="0" shapeId="0" xr:uid="{00000000-0006-0000-0500-00001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79" authorId="0" shapeId="0" xr:uid="{00000000-0006-0000-0500-00001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0" authorId="0" shapeId="0" xr:uid="{00000000-0006-0000-0500-00001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1" authorId="0" shapeId="0" xr:uid="{00000000-0006-0000-0500-00001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2" authorId="0" shapeId="0" xr:uid="{00000000-0006-0000-0500-00001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3" authorId="0" shapeId="0" xr:uid="{00000000-0006-0000-0500-00001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4" authorId="0" shapeId="0" xr:uid="{00000000-0006-0000-0500-00001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5" authorId="0" shapeId="0" xr:uid="{00000000-0006-0000-0500-00001E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86" authorId="0" shapeId="0" xr:uid="{00000000-0006-0000-0500-00001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7" authorId="0" shapeId="0" xr:uid="{00000000-0006-0000-0500-000020010000}">
      <text>
        <r>
          <rPr>
            <b/>
            <sz val="9"/>
            <color indexed="81"/>
            <rFont val="Tahoma"/>
            <family val="2"/>
          </rPr>
          <t>PC:</t>
        </r>
        <r>
          <rPr>
            <sz val="9"/>
            <color indexed="81"/>
            <rFont val="Tahoma"/>
            <family val="2"/>
          </rPr>
          <t xml:space="preserve">
CLAVE: CP01</t>
        </r>
      </text>
    </comment>
    <comment ref="E288" authorId="0" shapeId="0" xr:uid="{00000000-0006-0000-0500-00002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89" authorId="0" shapeId="0" xr:uid="{00000000-0006-0000-0500-00002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0" authorId="0" shapeId="0" xr:uid="{00000000-0006-0000-0500-00002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1" authorId="0" shapeId="0" xr:uid="{00000000-0006-0000-0500-00002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2" authorId="0" shapeId="0" xr:uid="{00000000-0006-0000-0500-00002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3" authorId="0" shapeId="0" xr:uid="{00000000-0006-0000-0500-00002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4" authorId="0" shapeId="0" xr:uid="{00000000-0006-0000-0500-00002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5" authorId="0" shapeId="0" xr:uid="{00000000-0006-0000-0500-00002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6" authorId="0" shapeId="0" xr:uid="{00000000-0006-0000-0500-00002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7" authorId="0" shapeId="0" xr:uid="{00000000-0006-0000-0500-00002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298" authorId="0" shapeId="0" xr:uid="{00000000-0006-0000-0500-00002B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299" authorId="0" shapeId="0" xr:uid="{00000000-0006-0000-0500-00002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0" authorId="0" shapeId="0" xr:uid="{00000000-0006-0000-0500-00002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1" authorId="0" shapeId="0" xr:uid="{00000000-0006-0000-0500-00002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2" authorId="0" shapeId="0" xr:uid="{00000000-0006-0000-0500-00002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3" authorId="0" shapeId="0" xr:uid="{00000000-0006-0000-0500-00003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4" authorId="0" shapeId="0" xr:uid="{00000000-0006-0000-0500-00003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5" authorId="0" shapeId="0" xr:uid="{00000000-0006-0000-0500-00003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6" authorId="0" shapeId="0" xr:uid="{00000000-0006-0000-0500-00003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7" authorId="0" shapeId="0" xr:uid="{00000000-0006-0000-0500-00003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08" authorId="0" shapeId="0" xr:uid="{00000000-0006-0000-0500-000035010000}">
      <text>
        <r>
          <rPr>
            <b/>
            <sz val="9"/>
            <color indexed="81"/>
            <rFont val="Tahoma"/>
            <family val="2"/>
          </rPr>
          <t>PC:</t>
        </r>
        <r>
          <rPr>
            <sz val="9"/>
            <color indexed="81"/>
            <rFont val="Tahoma"/>
            <family val="2"/>
          </rPr>
          <t xml:space="preserve">
ADQUISICION DE MERCANCIAS</t>
        </r>
      </text>
    </comment>
    <comment ref="E309" authorId="0" shapeId="0" xr:uid="{00000000-0006-0000-0500-00003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0" authorId="0" shapeId="0" xr:uid="{00000000-0006-0000-0500-00003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1" authorId="0" shapeId="0" xr:uid="{00000000-0006-0000-0500-00003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2" authorId="0" shapeId="0" xr:uid="{00000000-0006-0000-0500-00003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3" authorId="0" shapeId="0" xr:uid="{00000000-0006-0000-0500-00003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4" authorId="0" shapeId="0" xr:uid="{00000000-0006-0000-0500-00003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5" authorId="0" shapeId="0" xr:uid="{00000000-0006-0000-0500-00003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6" authorId="0" shapeId="0" xr:uid="{00000000-0006-0000-0500-00003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7" authorId="0" shapeId="0" xr:uid="{00000000-0006-0000-0500-00003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8" authorId="0" shapeId="0" xr:uid="{00000000-0006-0000-0500-00003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19" authorId="0" shapeId="0" xr:uid="{00000000-0006-0000-0500-00004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0" authorId="0" shapeId="0" xr:uid="{00000000-0006-0000-0500-00004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1" authorId="0" shapeId="0" xr:uid="{00000000-0006-0000-0500-00004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2" authorId="0" shapeId="0" xr:uid="{00000000-0006-0000-0500-00004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3" authorId="0" shapeId="0" xr:uid="{00000000-0006-0000-0500-00004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4" authorId="0" shapeId="0" xr:uid="{00000000-0006-0000-0500-00004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5" authorId="0" shapeId="0" xr:uid="{00000000-0006-0000-0500-00004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6" authorId="0" shapeId="0" xr:uid="{00000000-0006-0000-0500-00004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7" authorId="0" shapeId="0" xr:uid="{00000000-0006-0000-0500-00004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28" authorId="0" shapeId="0" xr:uid="{00000000-0006-0000-0500-00004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0" authorId="0" shapeId="0" xr:uid="{00000000-0006-0000-0500-00004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1" authorId="0" shapeId="0" xr:uid="{00000000-0006-0000-0500-00004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2" authorId="0" shapeId="0" xr:uid="{00000000-0006-0000-0500-00004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3" authorId="0" shapeId="0" xr:uid="{00000000-0006-0000-0500-00004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4" authorId="0" shapeId="0" xr:uid="{00000000-0006-0000-0500-00004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5" authorId="0" shapeId="0" xr:uid="{00000000-0006-0000-0500-00004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6" authorId="0" shapeId="0" xr:uid="{00000000-0006-0000-0500-00005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7" authorId="0" shapeId="0" xr:uid="{00000000-0006-0000-0500-00005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8" authorId="0" shapeId="0" xr:uid="{00000000-0006-0000-0500-00005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39" authorId="0" shapeId="0" xr:uid="{00000000-0006-0000-0500-00005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0" authorId="0" shapeId="0" xr:uid="{00000000-0006-0000-0500-00005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1" authorId="0" shapeId="0" xr:uid="{00000000-0006-0000-0500-00005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2" authorId="0" shapeId="0" xr:uid="{00000000-0006-0000-0500-00005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3" authorId="0" shapeId="0" xr:uid="{00000000-0006-0000-0500-00005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4" authorId="0" shapeId="0" xr:uid="{00000000-0006-0000-0500-00005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5" authorId="0" shapeId="0" xr:uid="{00000000-0006-0000-0500-00005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6" authorId="0" shapeId="0" xr:uid="{00000000-0006-0000-0500-00005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7" authorId="0" shapeId="0" xr:uid="{00000000-0006-0000-0500-00005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8" authorId="0" shapeId="0" xr:uid="{00000000-0006-0000-0500-00005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49" authorId="0" shapeId="0" xr:uid="{00000000-0006-0000-0500-00005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0" authorId="0" shapeId="0" xr:uid="{00000000-0006-0000-0500-00005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1" authorId="0" shapeId="0" xr:uid="{00000000-0006-0000-0500-00005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2" authorId="0" shapeId="0" xr:uid="{00000000-0006-0000-0500-00006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3" authorId="0" shapeId="0" xr:uid="{00000000-0006-0000-0500-000061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354" authorId="0" shapeId="0" xr:uid="{00000000-0006-0000-0500-000062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355" authorId="0" shapeId="0" xr:uid="{00000000-0006-0000-0500-00006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6" authorId="0" shapeId="0" xr:uid="{00000000-0006-0000-0500-00006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7" authorId="0" shapeId="0" xr:uid="{00000000-0006-0000-0500-00006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8" authorId="0" shapeId="0" xr:uid="{00000000-0006-0000-0500-00006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59" authorId="0" shapeId="0" xr:uid="{00000000-0006-0000-0500-00006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0" authorId="0" shapeId="0" xr:uid="{00000000-0006-0000-0500-00006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1" authorId="0" shapeId="0" xr:uid="{00000000-0006-0000-0500-00006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2" authorId="0" shapeId="0" xr:uid="{00000000-0006-0000-0500-00006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3" authorId="0" shapeId="0" xr:uid="{00000000-0006-0000-0500-00006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4" authorId="0" shapeId="0" xr:uid="{00000000-0006-0000-0500-00006C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365" authorId="0" shapeId="0" xr:uid="{00000000-0006-0000-0500-00006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6" authorId="0" shapeId="0" xr:uid="{00000000-0006-0000-0500-00006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7" authorId="0" shapeId="0" xr:uid="{00000000-0006-0000-0500-00006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68" authorId="0" shapeId="0" xr:uid="{00000000-0006-0000-0500-000070010000}">
      <text>
        <r>
          <rPr>
            <b/>
            <sz val="9"/>
            <color indexed="81"/>
            <rFont val="Tahoma"/>
            <family val="2"/>
          </rPr>
          <t>PC:</t>
        </r>
        <r>
          <rPr>
            <sz val="9"/>
            <color indexed="81"/>
            <rFont val="Tahoma"/>
            <family val="2"/>
          </rPr>
          <t xml:space="preserve">
CLAVE: CP01</t>
        </r>
      </text>
    </comment>
    <comment ref="E369" authorId="0" shapeId="0" xr:uid="{00000000-0006-0000-0500-00007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0" authorId="0" shapeId="0" xr:uid="{00000000-0006-0000-0500-00007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1" authorId="0" shapeId="0" xr:uid="{00000000-0006-0000-0500-00007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2" authorId="0" shapeId="0" xr:uid="{00000000-0006-0000-0500-00007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3" authorId="0" shapeId="0" xr:uid="{00000000-0006-0000-0500-00007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4" authorId="0" shapeId="0" xr:uid="{00000000-0006-0000-0500-00007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5" authorId="0" shapeId="0" xr:uid="{00000000-0006-0000-0500-00007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A376" authorId="0" shapeId="0" xr:uid="{00000000-0006-0000-0500-000078010000}">
      <text>
        <r>
          <rPr>
            <b/>
            <sz val="9"/>
            <color indexed="81"/>
            <rFont val="Tahoma"/>
            <family val="2"/>
          </rPr>
          <t>PC:</t>
        </r>
        <r>
          <rPr>
            <sz val="9"/>
            <color indexed="81"/>
            <rFont val="Tahoma"/>
            <family val="2"/>
          </rPr>
          <t xml:space="preserve">
REVISAR METODOS Y FORMAS DE PAGO 
FORMA DE PAGO: POR DEFINIR 
METODO DE PAGO: PAGO EN PARCIALIDADES O DIFERIDO</t>
        </r>
      </text>
    </comment>
    <comment ref="E376" authorId="0" shapeId="0" xr:uid="{00000000-0006-0000-0500-00007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7" authorId="0" shapeId="0" xr:uid="{00000000-0006-0000-0500-00007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8" authorId="0" shapeId="0" xr:uid="{00000000-0006-0000-0500-00007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79" authorId="0" shapeId="0" xr:uid="{00000000-0006-0000-0500-00007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0" authorId="0" shapeId="0" xr:uid="{00000000-0006-0000-0500-00007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F380" authorId="0" shapeId="0" xr:uid="{00000000-0006-0000-0500-00007E010000}">
      <text>
        <r>
          <rPr>
            <b/>
            <sz val="9"/>
            <color indexed="81"/>
            <rFont val="Tahoma"/>
            <family val="2"/>
          </rPr>
          <t>PC:</t>
        </r>
        <r>
          <rPr>
            <sz val="9"/>
            <color indexed="81"/>
            <rFont val="Tahoma"/>
            <family val="2"/>
          </rPr>
          <t xml:space="preserve">
1080324c-bf39-4d4b-9612-79b5a6091066</t>
        </r>
      </text>
    </comment>
    <comment ref="E381" authorId="0" shapeId="0" xr:uid="{00000000-0006-0000-0500-00007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2" authorId="0" shapeId="0" xr:uid="{00000000-0006-0000-0500-00008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3" authorId="0" shapeId="0" xr:uid="{00000000-0006-0000-0500-00008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4" authorId="0" shapeId="0" xr:uid="{00000000-0006-0000-0500-00008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5" authorId="0" shapeId="0" xr:uid="{00000000-0006-0000-0500-00008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6" authorId="0" shapeId="0" xr:uid="{00000000-0006-0000-0500-00008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7" authorId="0" shapeId="0" xr:uid="{00000000-0006-0000-0500-00008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8" authorId="0" shapeId="0" xr:uid="{00000000-0006-0000-0500-00008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89" authorId="0" shapeId="0" xr:uid="{00000000-0006-0000-0500-00008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0" authorId="0" shapeId="0" xr:uid="{00000000-0006-0000-0500-00008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1" authorId="0" shapeId="0" xr:uid="{00000000-0006-0000-0500-00008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2" authorId="0" shapeId="0" xr:uid="{00000000-0006-0000-0500-00008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3" authorId="0" shapeId="0" xr:uid="{00000000-0006-0000-0500-00008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4" authorId="0" shapeId="0" xr:uid="{00000000-0006-0000-0500-00008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5" authorId="0" shapeId="0" xr:uid="{00000000-0006-0000-0500-00008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6" authorId="0" shapeId="0" xr:uid="{00000000-0006-0000-0500-00008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7" authorId="0" shapeId="0" xr:uid="{00000000-0006-0000-0500-00008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8" authorId="0" shapeId="0" xr:uid="{00000000-0006-0000-0500-00009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399" authorId="0" shapeId="0" xr:uid="{00000000-0006-0000-0500-000091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400" authorId="0" shapeId="0" xr:uid="{00000000-0006-0000-0500-00009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1" authorId="0" shapeId="0" xr:uid="{00000000-0006-0000-0500-000093010000}">
      <text>
        <r>
          <rPr>
            <b/>
            <sz val="9"/>
            <color indexed="81"/>
            <rFont val="Tahoma"/>
            <family val="2"/>
          </rPr>
          <t>PC:</t>
        </r>
        <r>
          <rPr>
            <sz val="9"/>
            <color indexed="81"/>
            <rFont val="Tahoma"/>
            <family val="2"/>
          </rPr>
          <t xml:space="preserve">
CLAVE: CP01</t>
        </r>
      </text>
    </comment>
    <comment ref="E402" authorId="0" shapeId="0" xr:uid="{00000000-0006-0000-0500-00009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3" authorId="0" shapeId="0" xr:uid="{00000000-0006-0000-0500-00009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4" authorId="0" shapeId="0" xr:uid="{00000000-0006-0000-0500-00009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5" authorId="0" shapeId="0" xr:uid="{00000000-0006-0000-0500-00009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6" authorId="0" shapeId="0" xr:uid="{00000000-0006-0000-0500-00009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7" authorId="0" shapeId="0" xr:uid="{00000000-0006-0000-0500-00009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8" authorId="0" shapeId="0" xr:uid="{00000000-0006-0000-0500-00009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09" authorId="0" shapeId="0" xr:uid="{00000000-0006-0000-0500-00009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0" authorId="0" shapeId="0" xr:uid="{00000000-0006-0000-0500-00009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1" authorId="0" shapeId="0" xr:uid="{00000000-0006-0000-0500-00009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2" authorId="0" shapeId="0" xr:uid="{00000000-0006-0000-0500-00009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3" authorId="0" shapeId="0" xr:uid="{00000000-0006-0000-0500-00009F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414" authorId="0" shapeId="0" xr:uid="{00000000-0006-0000-0500-0000A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5" authorId="0" shapeId="0" xr:uid="{00000000-0006-0000-0500-0000A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6" authorId="0" shapeId="0" xr:uid="{00000000-0006-0000-0500-0000A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7" authorId="0" shapeId="0" xr:uid="{00000000-0006-0000-0500-0000A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8" authorId="0" shapeId="0" xr:uid="{00000000-0006-0000-0500-0000A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19" authorId="0" shapeId="0" xr:uid="{00000000-0006-0000-0500-0000A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0" authorId="0" shapeId="0" xr:uid="{00000000-0006-0000-0500-0000A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1" authorId="0" shapeId="0" xr:uid="{00000000-0006-0000-0500-0000A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2" authorId="0" shapeId="0" xr:uid="{00000000-0006-0000-0500-0000A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3" authorId="0" shapeId="0" xr:uid="{00000000-0006-0000-0500-0000A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4" authorId="0" shapeId="0" xr:uid="{00000000-0006-0000-0500-0000A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5" authorId="0" shapeId="0" xr:uid="{00000000-0006-0000-0500-0000A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6" authorId="0" shapeId="0" xr:uid="{00000000-0006-0000-0500-0000A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7" authorId="0" shapeId="0" xr:uid="{00000000-0006-0000-0500-0000A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28" authorId="0" shapeId="0" xr:uid="{00000000-0006-0000-0500-0000AE010000}">
      <text>
        <r>
          <rPr>
            <b/>
            <sz val="9"/>
            <color indexed="81"/>
            <rFont val="Tahoma"/>
            <family val="2"/>
          </rPr>
          <t>PC:</t>
        </r>
        <r>
          <rPr>
            <sz val="9"/>
            <color indexed="81"/>
            <rFont val="Tahoma"/>
            <family val="2"/>
          </rPr>
          <t xml:space="preserve">
ADQUISICION DE MERCANCIAS</t>
        </r>
      </text>
    </comment>
    <comment ref="E429" authorId="0" shapeId="0" xr:uid="{00000000-0006-0000-0500-0000A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0" authorId="0" shapeId="0" xr:uid="{00000000-0006-0000-0500-0000B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1" authorId="0" shapeId="0" xr:uid="{00000000-0006-0000-0500-0000B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2" authorId="0" shapeId="0" xr:uid="{00000000-0006-0000-0500-0000B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3" authorId="0" shapeId="0" xr:uid="{00000000-0006-0000-0500-0000B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4" authorId="0" shapeId="0" xr:uid="{00000000-0006-0000-0500-0000B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5" authorId="0" shapeId="0" xr:uid="{00000000-0006-0000-0500-0000B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6" authorId="0" shapeId="0" xr:uid="{00000000-0006-0000-0500-0000B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7" authorId="0" shapeId="0" xr:uid="{00000000-0006-0000-0500-0000B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8" authorId="0" shapeId="0" xr:uid="{00000000-0006-0000-0500-0000B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39" authorId="0" shapeId="0" xr:uid="{00000000-0006-0000-0500-0000B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0" authorId="0" shapeId="0" xr:uid="{00000000-0006-0000-0500-0000B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1" authorId="0" shapeId="0" xr:uid="{00000000-0006-0000-0500-0000B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2" authorId="0" shapeId="0" xr:uid="{00000000-0006-0000-0500-0000B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3" authorId="0" shapeId="0" xr:uid="{00000000-0006-0000-0500-0000B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4" authorId="0" shapeId="0" xr:uid="{00000000-0006-0000-0500-0000B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5" authorId="0" shapeId="0" xr:uid="{00000000-0006-0000-0500-0000B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6" authorId="0" shapeId="0" xr:uid="{00000000-0006-0000-0500-0000C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7" authorId="0" shapeId="0" xr:uid="{00000000-0006-0000-0500-0000C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8" authorId="0" shapeId="0" xr:uid="{00000000-0006-0000-0500-0000C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49" authorId="0" shapeId="0" xr:uid="{00000000-0006-0000-0500-0000C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0" authorId="0" shapeId="0" xr:uid="{00000000-0006-0000-0500-0000C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1" authorId="0" shapeId="0" xr:uid="{00000000-0006-0000-0500-0000C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2" authorId="0" shapeId="0" xr:uid="{00000000-0006-0000-0500-0000C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4" authorId="0" shapeId="0" xr:uid="{00000000-0006-0000-0500-0000C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5" authorId="0" shapeId="0" xr:uid="{00000000-0006-0000-0500-0000C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6" authorId="0" shapeId="0" xr:uid="{00000000-0006-0000-0500-0000C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7" authorId="0" shapeId="0" xr:uid="{00000000-0006-0000-0500-0000C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8" authorId="0" shapeId="0" xr:uid="{00000000-0006-0000-0500-0000C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59" authorId="0" shapeId="0" xr:uid="{00000000-0006-0000-0500-0000C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0" authorId="0" shapeId="0" xr:uid="{00000000-0006-0000-0500-0000C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1" authorId="0" shapeId="0" xr:uid="{00000000-0006-0000-0500-0000C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2" authorId="0" shapeId="0" xr:uid="{00000000-0006-0000-0500-0000C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3" authorId="0" shapeId="0" xr:uid="{00000000-0006-0000-0500-0000D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4" authorId="0" shapeId="0" xr:uid="{00000000-0006-0000-0500-0000D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5" authorId="0" shapeId="0" xr:uid="{00000000-0006-0000-0500-0000D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6" authorId="0" shapeId="0" xr:uid="{00000000-0006-0000-0500-0000D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7" authorId="0" shapeId="0" xr:uid="{00000000-0006-0000-0500-0000D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8" authorId="0" shapeId="0" xr:uid="{00000000-0006-0000-0500-0000D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69" authorId="0" shapeId="0" xr:uid="{00000000-0006-0000-0500-0000D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0" authorId="0" shapeId="0" xr:uid="{00000000-0006-0000-0500-0000D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1" authorId="0" shapeId="0" xr:uid="{00000000-0006-0000-0500-0000D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2" authorId="0" shapeId="0" xr:uid="{00000000-0006-0000-0500-0000D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3" authorId="0" shapeId="0" xr:uid="{00000000-0006-0000-0500-0000D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4" authorId="0" shapeId="0" xr:uid="{00000000-0006-0000-0500-0000D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5" authorId="0" shapeId="0" xr:uid="{00000000-0006-0000-0500-0000D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6" authorId="0" shapeId="0" xr:uid="{00000000-0006-0000-0500-0000D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77" authorId="0" shapeId="0" xr:uid="{00000000-0006-0000-0500-0000DE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478" authorId="0" shapeId="0" xr:uid="{00000000-0006-0000-0500-0000DF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479" authorId="0" shapeId="0" xr:uid="{00000000-0006-0000-0500-0000E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0" authorId="0" shapeId="0" xr:uid="{00000000-0006-0000-0500-0000E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1" authorId="0" shapeId="0" xr:uid="{00000000-0006-0000-0500-0000E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2" authorId="0" shapeId="0" xr:uid="{00000000-0006-0000-0500-0000E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3" authorId="0" shapeId="0" xr:uid="{00000000-0006-0000-0500-0000E4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4" authorId="0" shapeId="0" xr:uid="{00000000-0006-0000-0500-0000E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5" authorId="0" shapeId="0" xr:uid="{00000000-0006-0000-0500-0000E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6" authorId="0" shapeId="0" xr:uid="{00000000-0006-0000-0500-0000E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7" authorId="0" shapeId="0" xr:uid="{00000000-0006-0000-0500-0000E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88" authorId="0" shapeId="0" xr:uid="{00000000-0006-0000-0500-0000E901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489" authorId="0" shapeId="0" xr:uid="{00000000-0006-0000-0500-0000E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0" authorId="0" shapeId="0" xr:uid="{00000000-0006-0000-0500-0000E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1" authorId="0" shapeId="0" xr:uid="{00000000-0006-0000-0500-0000E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2" authorId="0" shapeId="0" xr:uid="{00000000-0006-0000-0500-0000ED010000}">
      <text>
        <r>
          <rPr>
            <b/>
            <sz val="9"/>
            <color indexed="81"/>
            <rFont val="Tahoma"/>
            <family val="2"/>
          </rPr>
          <t>PC:</t>
        </r>
        <r>
          <rPr>
            <sz val="9"/>
            <color indexed="81"/>
            <rFont val="Tahoma"/>
            <family val="2"/>
          </rPr>
          <t xml:space="preserve">
CLAVE: CP01</t>
        </r>
      </text>
    </comment>
    <comment ref="E493" authorId="0" shapeId="0" xr:uid="{00000000-0006-0000-0500-0000E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4" authorId="0" shapeId="0" xr:uid="{00000000-0006-0000-0500-0000E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5" authorId="0" shapeId="0" xr:uid="{00000000-0006-0000-0500-0000F0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6" authorId="0" shapeId="0" xr:uid="{00000000-0006-0000-0500-0000F1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7" authorId="0" shapeId="0" xr:uid="{00000000-0006-0000-0500-0000F2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498" authorId="0" shapeId="0" xr:uid="{00000000-0006-0000-0500-0000F3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A499" authorId="0" shapeId="0" xr:uid="{00000000-0006-0000-0500-0000F4010000}">
      <text>
        <r>
          <rPr>
            <b/>
            <sz val="9"/>
            <color indexed="81"/>
            <rFont val="Tahoma"/>
            <family val="2"/>
          </rPr>
          <t>PC:</t>
        </r>
        <r>
          <rPr>
            <sz val="9"/>
            <color indexed="81"/>
            <rFont val="Tahoma"/>
            <family val="2"/>
          </rPr>
          <t xml:space="preserve">
REVISAR METODOS Y FORMAS DE PAGO 
FORMA DE PAGO: POR DEFINIR 
METODO DE PAGO: PAGO EN PARCIALIDADES O DIFERIDO</t>
        </r>
      </text>
    </comment>
    <comment ref="E499" authorId="0" shapeId="0" xr:uid="{00000000-0006-0000-0500-0000F5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0" authorId="0" shapeId="0" xr:uid="{00000000-0006-0000-0500-0000F6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1" authorId="0" shapeId="0" xr:uid="{00000000-0006-0000-0500-0000F7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2" authorId="0" shapeId="0" xr:uid="{00000000-0006-0000-0500-0000F8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3" authorId="0" shapeId="0" xr:uid="{00000000-0006-0000-0500-0000F9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4" authorId="0" shapeId="0" xr:uid="{00000000-0006-0000-0500-0000FA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5" authorId="0" shapeId="0" xr:uid="{00000000-0006-0000-0500-0000FB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6" authorId="0" shapeId="0" xr:uid="{00000000-0006-0000-0500-0000FC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7" authorId="0" shapeId="0" xr:uid="{00000000-0006-0000-0500-0000FD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8" authorId="0" shapeId="0" xr:uid="{00000000-0006-0000-0500-0000FE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09" authorId="0" shapeId="0" xr:uid="{00000000-0006-0000-0500-0000FF01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0" authorId="0" shapeId="0" xr:uid="{00000000-0006-0000-0500-000000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1" authorId="0" shapeId="0" xr:uid="{00000000-0006-0000-0500-000001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2" authorId="0" shapeId="0" xr:uid="{00000000-0006-0000-0500-000002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3" authorId="0" shapeId="0" xr:uid="{00000000-0006-0000-0500-000003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4" authorId="0" shapeId="0" xr:uid="{00000000-0006-0000-0500-000004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5" authorId="0" shapeId="0" xr:uid="{00000000-0006-0000-0500-000005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6" authorId="0" shapeId="0" xr:uid="{00000000-0006-0000-0500-000006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7" authorId="0" shapeId="0" xr:uid="{00000000-0006-0000-0500-000007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8" authorId="0" shapeId="0" xr:uid="{00000000-0006-0000-0500-000008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19" authorId="0" shapeId="0" xr:uid="{00000000-0006-0000-0500-000009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0" authorId="0" shapeId="0" xr:uid="{00000000-0006-0000-0500-00000A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1" authorId="0" shapeId="0" xr:uid="{00000000-0006-0000-0500-00000B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2" authorId="0" shapeId="0" xr:uid="{00000000-0006-0000-0500-00000C02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523" authorId="0" shapeId="0" xr:uid="{00000000-0006-0000-0500-00000D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4" authorId="0" shapeId="0" xr:uid="{00000000-0006-0000-0500-00000E020000}">
      <text>
        <r>
          <rPr>
            <b/>
            <sz val="9"/>
            <color indexed="81"/>
            <rFont val="Tahoma"/>
            <family val="2"/>
          </rPr>
          <t>PC:</t>
        </r>
        <r>
          <rPr>
            <sz val="9"/>
            <color indexed="81"/>
            <rFont val="Tahoma"/>
            <family val="2"/>
          </rPr>
          <t xml:space="preserve">
CLAVE: CP01</t>
        </r>
      </text>
    </comment>
    <comment ref="E525" authorId="0" shapeId="0" xr:uid="{00000000-0006-0000-0500-00000F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6" authorId="0" shapeId="0" xr:uid="{00000000-0006-0000-0500-000010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7" authorId="0" shapeId="0" xr:uid="{00000000-0006-0000-0500-000011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8" authorId="0" shapeId="0" xr:uid="{00000000-0006-0000-0500-000012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29" authorId="0" shapeId="0" xr:uid="{00000000-0006-0000-0500-000013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0" authorId="0" shapeId="0" xr:uid="{00000000-0006-0000-0500-000014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1" authorId="0" shapeId="0" xr:uid="{00000000-0006-0000-0500-000015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2" authorId="0" shapeId="0" xr:uid="{00000000-0006-0000-0500-000016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3" authorId="0" shapeId="0" xr:uid="{00000000-0006-0000-0500-000017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4" authorId="0" shapeId="0" xr:uid="{00000000-0006-0000-0500-000018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5" authorId="0" shapeId="0" xr:uid="{00000000-0006-0000-0500-000019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6" authorId="0" shapeId="0" xr:uid="{00000000-0006-0000-0500-00001A020000}">
      <text>
        <r>
          <rPr>
            <b/>
            <sz val="9"/>
            <color indexed="81"/>
            <rFont val="Tahoma"/>
            <family val="2"/>
          </rPr>
          <t>PC:</t>
        </r>
        <r>
          <rPr>
            <sz val="9"/>
            <color indexed="81"/>
            <rFont val="Tahoma"/>
            <family val="2"/>
          </rPr>
          <t xml:space="preserve">
</t>
        </r>
        <r>
          <rPr>
            <sz val="10"/>
            <color indexed="81"/>
            <rFont val="Tahoma"/>
            <family val="2"/>
          </rPr>
          <t>Comunicaciones Satelitales
CLAVE: I07</t>
        </r>
      </text>
    </comment>
    <comment ref="E537" authorId="0" shapeId="0" xr:uid="{00000000-0006-0000-0500-00001B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8" authorId="0" shapeId="0" xr:uid="{00000000-0006-0000-0500-00001C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39" authorId="0" shapeId="0" xr:uid="{00000000-0006-0000-0500-00001D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0" authorId="0" shapeId="0" xr:uid="{00000000-0006-0000-0500-00001E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1" authorId="0" shapeId="0" xr:uid="{00000000-0006-0000-0500-00001F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2" authorId="0" shapeId="0" xr:uid="{00000000-0006-0000-0500-000020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3" authorId="0" shapeId="0" xr:uid="{00000000-0006-0000-0500-000021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4" authorId="0" shapeId="0" xr:uid="{00000000-0006-0000-0500-000022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5" authorId="0" shapeId="0" xr:uid="{00000000-0006-0000-0500-000023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6" authorId="0" shapeId="0" xr:uid="{00000000-0006-0000-0500-000024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7" authorId="0" shapeId="0" xr:uid="{00000000-0006-0000-0500-000025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8" authorId="0" shapeId="0" xr:uid="{00000000-0006-0000-0500-000026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49" authorId="0" shapeId="0" xr:uid="{00000000-0006-0000-0500-000027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0" authorId="0" shapeId="0" xr:uid="{00000000-0006-0000-0500-000028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1" authorId="0" shapeId="0" xr:uid="{00000000-0006-0000-0500-000029020000}">
      <text>
        <r>
          <rPr>
            <b/>
            <sz val="9"/>
            <color indexed="81"/>
            <rFont val="Tahoma"/>
            <family val="2"/>
          </rPr>
          <t>PC:</t>
        </r>
        <r>
          <rPr>
            <sz val="9"/>
            <color indexed="81"/>
            <rFont val="Tahoma"/>
            <family val="2"/>
          </rPr>
          <t xml:space="preserve">
ADQUISICION DE MERCANCIAS</t>
        </r>
      </text>
    </comment>
    <comment ref="E552" authorId="0" shapeId="0" xr:uid="{00000000-0006-0000-0500-00002A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3" authorId="0" shapeId="0" xr:uid="{00000000-0006-0000-0500-00002B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4" authorId="0" shapeId="0" xr:uid="{00000000-0006-0000-0500-00002C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5" authorId="0" shapeId="0" xr:uid="{00000000-0006-0000-0500-00002D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6" authorId="0" shapeId="0" xr:uid="{00000000-0006-0000-0500-00002E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7" authorId="0" shapeId="0" xr:uid="{00000000-0006-0000-0500-00002F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8" authorId="0" shapeId="0" xr:uid="{00000000-0006-0000-0500-000030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59" authorId="0" shapeId="0" xr:uid="{00000000-0006-0000-0500-000031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0" authorId="0" shapeId="0" xr:uid="{00000000-0006-0000-0500-000032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1" authorId="0" shapeId="0" xr:uid="{00000000-0006-0000-0500-000033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2" authorId="0" shapeId="0" xr:uid="{00000000-0006-0000-0500-000034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3" authorId="0" shapeId="0" xr:uid="{00000000-0006-0000-0500-000035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4" authorId="0" shapeId="0" xr:uid="{00000000-0006-0000-0500-000036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5" authorId="0" shapeId="0" xr:uid="{00000000-0006-0000-0500-000037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6" authorId="0" shapeId="0" xr:uid="{00000000-0006-0000-0500-000038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7" authorId="0" shapeId="0" xr:uid="{00000000-0006-0000-0500-000039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8" authorId="0" shapeId="0" xr:uid="{00000000-0006-0000-0500-00003A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69" authorId="0" shapeId="0" xr:uid="{00000000-0006-0000-0500-00003B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0" authorId="0" shapeId="0" xr:uid="{00000000-0006-0000-0500-00003C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1" authorId="0" shapeId="0" xr:uid="{00000000-0006-0000-0500-00003D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2" authorId="0" shapeId="0" xr:uid="{00000000-0006-0000-0500-00003E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3" authorId="0" shapeId="0" xr:uid="{00000000-0006-0000-0500-00003F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 ref="E574" authorId="0" shapeId="0" xr:uid="{00000000-0006-0000-0500-000040020000}">
      <text>
        <r>
          <rPr>
            <b/>
            <sz val="9"/>
            <color indexed="81"/>
            <rFont val="Tahoma"/>
            <family val="2"/>
          </rPr>
          <t>PC:</t>
        </r>
        <r>
          <rPr>
            <sz val="9"/>
            <color indexed="81"/>
            <rFont val="Tahoma"/>
            <family val="2"/>
          </rPr>
          <t xml:space="preserve">
</t>
        </r>
        <r>
          <rPr>
            <sz val="10"/>
            <color indexed="81"/>
            <rFont val="Tahoma"/>
            <family val="2"/>
          </rPr>
          <t>Gastos en General
CLAVE: G03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2" authorId="0" shapeId="0" xr:uid="{00000000-0006-0000-0600-000001000000}">
      <text>
        <r>
          <rPr>
            <b/>
            <sz val="9"/>
            <color indexed="81"/>
            <rFont val="Tahoma"/>
            <family val="2"/>
          </rPr>
          <t>PC:</t>
        </r>
        <r>
          <rPr>
            <sz val="9"/>
            <color indexed="81"/>
            <rFont val="Tahoma"/>
            <family val="2"/>
          </rPr>
          <t xml:space="preserve">
SEGUNDO PAGO 20-SEPTIEMBRE-2024
$2,436.00</t>
        </r>
      </text>
    </comment>
    <comment ref="E7" authorId="0" shapeId="0" xr:uid="{00000000-0006-0000-0600-000002000000}">
      <text>
        <r>
          <rPr>
            <b/>
            <sz val="9"/>
            <color indexed="81"/>
            <rFont val="Tahoma"/>
            <family val="2"/>
          </rPr>
          <t>PC:</t>
        </r>
        <r>
          <rPr>
            <sz val="9"/>
            <color indexed="81"/>
            <rFont val="Tahoma"/>
            <family val="2"/>
          </rPr>
          <t xml:space="preserve">
SEGUNDO PAGO 29-DIC-2023 $416.21
PRIMER PAGO 7-OCTUBRE-2023</t>
        </r>
      </text>
    </comment>
    <comment ref="E8" authorId="0" shapeId="0" xr:uid="{00000000-0006-0000-0600-000003000000}">
      <text>
        <r>
          <rPr>
            <b/>
            <sz val="9"/>
            <color indexed="81"/>
            <rFont val="Tahoma"/>
            <family val="2"/>
          </rPr>
          <t>PC:</t>
        </r>
        <r>
          <rPr>
            <sz val="9"/>
            <color indexed="81"/>
            <rFont val="Tahoma"/>
            <family val="2"/>
          </rPr>
          <t xml:space="preserve">
SEGUNDO PAGO 15-JULIO-2024 $4,326.80</t>
        </r>
      </text>
    </comment>
    <comment ref="E12" authorId="0" shapeId="0" xr:uid="{00000000-0006-0000-0600-000004000000}">
      <text>
        <r>
          <rPr>
            <b/>
            <sz val="9"/>
            <color indexed="81"/>
            <rFont val="Tahoma"/>
            <family val="2"/>
          </rPr>
          <t>PC:</t>
        </r>
        <r>
          <rPr>
            <sz val="9"/>
            <color indexed="81"/>
            <rFont val="Tahoma"/>
            <family val="2"/>
          </rPr>
          <t xml:space="preserve">
SEGUNDO PAGO 12-SEPTIEMBRE-2024 $959.70</t>
        </r>
      </text>
    </comment>
    <comment ref="E14" authorId="0" shapeId="0" xr:uid="{00000000-0006-0000-0600-000005000000}">
      <text>
        <r>
          <rPr>
            <b/>
            <sz val="9"/>
            <color indexed="81"/>
            <rFont val="Tahoma"/>
            <family val="2"/>
          </rPr>
          <t>PC:</t>
        </r>
        <r>
          <rPr>
            <sz val="9"/>
            <color indexed="81"/>
            <rFont val="Tahoma"/>
            <family val="2"/>
          </rPr>
          <t xml:space="preserve">
SEGUNDO PAGO 18-DIC-2023</t>
        </r>
      </text>
    </comment>
    <comment ref="E24" authorId="0" shapeId="0" xr:uid="{00000000-0006-0000-0600-000006000000}">
      <text>
        <r>
          <rPr>
            <b/>
            <sz val="9"/>
            <color indexed="81"/>
            <rFont val="Tahoma"/>
            <family val="2"/>
          </rPr>
          <t>PC:</t>
        </r>
        <r>
          <rPr>
            <sz val="9"/>
            <color indexed="81"/>
            <rFont val="Tahoma"/>
            <family val="2"/>
          </rPr>
          <t xml:space="preserve">
SEGUNDO PAGO 20-SEPTIEMBRE-2024 $1,160.00</t>
        </r>
      </text>
    </comment>
    <comment ref="E35" authorId="0" shapeId="0" xr:uid="{00000000-0006-0000-0600-000007000000}">
      <text>
        <r>
          <rPr>
            <b/>
            <sz val="9"/>
            <color indexed="81"/>
            <rFont val="Tahoma"/>
            <family val="2"/>
          </rPr>
          <t>PC:</t>
        </r>
        <r>
          <rPr>
            <sz val="9"/>
            <color indexed="81"/>
            <rFont val="Tahoma"/>
            <family val="2"/>
          </rPr>
          <t xml:space="preserve">
SEGUNDO PAGO 14-JUNIO-2024</t>
        </r>
      </text>
    </comment>
    <comment ref="E47" authorId="0" shapeId="0" xr:uid="{00000000-0006-0000-0600-000008000000}">
      <text>
        <r>
          <rPr>
            <b/>
            <sz val="9"/>
            <color indexed="81"/>
            <rFont val="Tahoma"/>
            <family val="2"/>
          </rPr>
          <t>PC:</t>
        </r>
        <r>
          <rPr>
            <sz val="9"/>
            <color indexed="81"/>
            <rFont val="Tahoma"/>
            <family val="2"/>
          </rPr>
          <t xml:space="preserve">
SEGUNDO PAGO 05-NOV-23 $144</t>
        </r>
      </text>
    </comment>
    <comment ref="E60" authorId="0" shapeId="0" xr:uid="{00000000-0006-0000-0600-000009000000}">
      <text>
        <r>
          <rPr>
            <b/>
            <sz val="9"/>
            <color indexed="81"/>
            <rFont val="Tahoma"/>
            <family val="2"/>
          </rPr>
          <t>PC:</t>
        </r>
        <r>
          <rPr>
            <sz val="9"/>
            <color indexed="81"/>
            <rFont val="Tahoma"/>
            <family val="2"/>
          </rPr>
          <t xml:space="preserve">
PAGÓ 06-SEP-2023</t>
        </r>
      </text>
    </comment>
    <comment ref="E63" authorId="0" shapeId="0" xr:uid="{00000000-0006-0000-0600-00000A000000}">
      <text>
        <r>
          <rPr>
            <b/>
            <sz val="9"/>
            <color indexed="81"/>
            <rFont val="Tahoma"/>
            <family val="2"/>
          </rPr>
          <t>PC:</t>
        </r>
        <r>
          <rPr>
            <sz val="9"/>
            <color indexed="81"/>
            <rFont val="Tahoma"/>
            <family val="2"/>
          </rPr>
          <t xml:space="preserve">
SEGUNDO PAGO 15-MARZO-2024 $5,254.17
</t>
        </r>
      </text>
    </comment>
    <comment ref="E74" authorId="0" shapeId="0" xr:uid="{00000000-0006-0000-0600-00000B000000}">
      <text>
        <r>
          <rPr>
            <b/>
            <sz val="9"/>
            <color indexed="81"/>
            <rFont val="Tahoma"/>
            <family val="2"/>
          </rPr>
          <t>PC:</t>
        </r>
        <r>
          <rPr>
            <sz val="9"/>
            <color indexed="81"/>
            <rFont val="Tahoma"/>
            <family val="2"/>
          </rPr>
          <t xml:space="preserve">
LIQUIDO EL 24-FEB-24</t>
        </r>
      </text>
    </comment>
    <comment ref="E76" authorId="0" shapeId="0" xr:uid="{00000000-0006-0000-0600-00000C000000}">
      <text>
        <r>
          <rPr>
            <b/>
            <sz val="9"/>
            <color indexed="81"/>
            <rFont val="Tahoma"/>
            <family val="2"/>
          </rPr>
          <t>PC:</t>
        </r>
        <r>
          <rPr>
            <sz val="9"/>
            <color indexed="81"/>
            <rFont val="Tahoma"/>
            <family val="2"/>
          </rPr>
          <t xml:space="preserve">
SEGUNDO PAGO 20-MARZO-2024 
433,466.00</t>
        </r>
      </text>
    </comment>
    <comment ref="E82" authorId="0" shapeId="0" xr:uid="{00000000-0006-0000-0600-00000D000000}">
      <text>
        <r>
          <rPr>
            <b/>
            <sz val="9"/>
            <color indexed="81"/>
            <rFont val="Tahoma"/>
            <family val="2"/>
          </rPr>
          <t>PC:</t>
        </r>
        <r>
          <rPr>
            <sz val="9"/>
            <color indexed="81"/>
            <rFont val="Tahoma"/>
            <family val="2"/>
          </rPr>
          <t xml:space="preserve">
13-MARZO-2024 $192.00
15-OCTUBRE-2024 $522.00</t>
        </r>
      </text>
    </comment>
    <comment ref="E86" authorId="0" shapeId="0" xr:uid="{00000000-0006-0000-0600-00000E000000}">
      <text>
        <r>
          <rPr>
            <b/>
            <sz val="9"/>
            <color indexed="81"/>
            <rFont val="Tahoma"/>
            <family val="2"/>
          </rPr>
          <t>PC:</t>
        </r>
        <r>
          <rPr>
            <sz val="9"/>
            <color indexed="81"/>
            <rFont val="Tahoma"/>
            <family val="2"/>
          </rPr>
          <t xml:space="preserve">
SEGUNDO ABONO
24-JUNIO-2024 PDTE $46.40</t>
        </r>
      </text>
    </comment>
    <comment ref="E87" authorId="0" shapeId="0" xr:uid="{00000000-0006-0000-0600-00000F000000}">
      <text>
        <r>
          <rPr>
            <b/>
            <sz val="9"/>
            <color indexed="81"/>
            <rFont val="Tahoma"/>
            <family val="2"/>
          </rPr>
          <t>PC:</t>
        </r>
        <r>
          <rPr>
            <sz val="9"/>
            <color indexed="81"/>
            <rFont val="Tahoma"/>
            <family val="2"/>
          </rPr>
          <t xml:space="preserve">
SEGUNDO PAGO 11-SEP-23 $2,030.00
SEGUNDO PAGO 11-DICIEMBRE-2023 $2,030.00
SEGUNDO PAGO 08-MAYO-2024 $2,030.00</t>
        </r>
      </text>
    </comment>
    <comment ref="E88" authorId="0" shapeId="0" xr:uid="{00000000-0006-0000-0600-000010000000}">
      <text>
        <r>
          <rPr>
            <b/>
            <sz val="9"/>
            <color indexed="81"/>
            <rFont val="Tahoma"/>
            <family val="2"/>
          </rPr>
          <t>PC:</t>
        </r>
        <r>
          <rPr>
            <sz val="9"/>
            <color indexed="81"/>
            <rFont val="Tahoma"/>
            <family val="2"/>
          </rPr>
          <t xml:space="preserve">
SEGUNDO PAGO 
29-NOVIEMBRE-2024
$17,390.72
</t>
        </r>
      </text>
    </comment>
    <comment ref="E93" authorId="0" shapeId="0" xr:uid="{00000000-0006-0000-0600-000011000000}">
      <text>
        <r>
          <rPr>
            <b/>
            <sz val="9"/>
            <color indexed="81"/>
            <rFont val="Tahoma"/>
            <family val="2"/>
          </rPr>
          <t>PC:</t>
        </r>
        <r>
          <rPr>
            <sz val="9"/>
            <color indexed="81"/>
            <rFont val="Tahoma"/>
            <family val="2"/>
          </rPr>
          <t xml:space="preserve">
SEGUNDO PAGO 29-DIC-2023</t>
        </r>
      </text>
    </comment>
    <comment ref="E97" authorId="0" shapeId="0" xr:uid="{00000000-0006-0000-0600-000012000000}">
      <text>
        <r>
          <rPr>
            <b/>
            <sz val="9"/>
            <color indexed="81"/>
            <rFont val="Tahoma"/>
            <family val="2"/>
          </rPr>
          <t>PC:</t>
        </r>
        <r>
          <rPr>
            <sz val="9"/>
            <color indexed="81"/>
            <rFont val="Tahoma"/>
            <family val="2"/>
          </rPr>
          <t xml:space="preserve">
SEGUNDO PAGO 23-SEP-23
PAGOS
02-NOVIEMBRE-2024
05-NOVIEMBRE-2024
20-NOVIEMBRE-2024
</t>
        </r>
      </text>
    </comment>
    <comment ref="E107" authorId="0" shapeId="0" xr:uid="{00000000-0006-0000-0600-000013000000}">
      <text>
        <r>
          <rPr>
            <b/>
            <sz val="9"/>
            <color indexed="81"/>
            <rFont val="Tahoma"/>
            <family val="2"/>
          </rPr>
          <t>PC:</t>
        </r>
        <r>
          <rPr>
            <sz val="9"/>
            <color indexed="81"/>
            <rFont val="Tahoma"/>
            <family val="2"/>
          </rPr>
          <t xml:space="preserve">
SEGUNDO PAGO 20-SEPTIEMBRE-2024
$2,436.00</t>
        </r>
      </text>
    </comment>
    <comment ref="E112" authorId="0" shapeId="0" xr:uid="{00000000-0006-0000-0600-000014000000}">
      <text>
        <r>
          <rPr>
            <b/>
            <sz val="9"/>
            <color indexed="81"/>
            <rFont val="Tahoma"/>
            <family val="2"/>
          </rPr>
          <t>PC:</t>
        </r>
        <r>
          <rPr>
            <sz val="9"/>
            <color indexed="81"/>
            <rFont val="Tahoma"/>
            <family val="2"/>
          </rPr>
          <t xml:space="preserve">
SEGUNDO PAGO 29-DIC-2023 $416.21
PRIMER PAGO 7-OCTUBRE-2023</t>
        </r>
      </text>
    </comment>
    <comment ref="E113" authorId="0" shapeId="0" xr:uid="{00000000-0006-0000-0600-000015000000}">
      <text>
        <r>
          <rPr>
            <b/>
            <sz val="9"/>
            <color indexed="81"/>
            <rFont val="Tahoma"/>
            <family val="2"/>
          </rPr>
          <t>PC:</t>
        </r>
        <r>
          <rPr>
            <sz val="9"/>
            <color indexed="81"/>
            <rFont val="Tahoma"/>
            <family val="2"/>
          </rPr>
          <t xml:space="preserve">
SEGUNDO PAGO 15-JULIO-2024 $4,326.80</t>
        </r>
      </text>
    </comment>
    <comment ref="E118" authorId="0" shapeId="0" xr:uid="{00000000-0006-0000-0600-000016000000}">
      <text>
        <r>
          <rPr>
            <b/>
            <sz val="9"/>
            <color indexed="81"/>
            <rFont val="Tahoma"/>
            <family val="2"/>
          </rPr>
          <t>PC:</t>
        </r>
        <r>
          <rPr>
            <sz val="9"/>
            <color indexed="81"/>
            <rFont val="Tahoma"/>
            <family val="2"/>
          </rPr>
          <t xml:space="preserve">
SEGUNDO PAGO 12-SEPTIEMBRE-2024 $959.70</t>
        </r>
      </text>
    </comment>
    <comment ref="E120" authorId="0" shapeId="0" xr:uid="{00000000-0006-0000-0600-000017000000}">
      <text>
        <r>
          <rPr>
            <b/>
            <sz val="9"/>
            <color indexed="81"/>
            <rFont val="Tahoma"/>
            <family val="2"/>
          </rPr>
          <t>PC:</t>
        </r>
        <r>
          <rPr>
            <sz val="9"/>
            <color indexed="81"/>
            <rFont val="Tahoma"/>
            <family val="2"/>
          </rPr>
          <t xml:space="preserve">
SEGUNDO PAGO 18-DIC-2023</t>
        </r>
      </text>
    </comment>
    <comment ref="E130" authorId="0" shapeId="0" xr:uid="{00000000-0006-0000-0600-000018000000}">
      <text>
        <r>
          <rPr>
            <b/>
            <sz val="9"/>
            <color indexed="81"/>
            <rFont val="Tahoma"/>
            <family val="2"/>
          </rPr>
          <t>PC:</t>
        </r>
        <r>
          <rPr>
            <sz val="9"/>
            <color indexed="81"/>
            <rFont val="Tahoma"/>
            <family val="2"/>
          </rPr>
          <t xml:space="preserve">
SEGUNDO PAGO 20-SEPTIEMBRE-2024 $1,160.00</t>
        </r>
      </text>
    </comment>
    <comment ref="E141" authorId="0" shapeId="0" xr:uid="{00000000-0006-0000-0600-000019000000}">
      <text>
        <r>
          <rPr>
            <b/>
            <sz val="9"/>
            <color indexed="81"/>
            <rFont val="Tahoma"/>
            <family val="2"/>
          </rPr>
          <t>PC:</t>
        </r>
        <r>
          <rPr>
            <sz val="9"/>
            <color indexed="81"/>
            <rFont val="Tahoma"/>
            <family val="2"/>
          </rPr>
          <t xml:space="preserve">
SEGUNDO PAGO 14-JUNIO-2024</t>
        </r>
      </text>
    </comment>
    <comment ref="E152" authorId="0" shapeId="0" xr:uid="{00000000-0006-0000-0600-00001A000000}">
      <text>
        <r>
          <rPr>
            <b/>
            <sz val="9"/>
            <color indexed="81"/>
            <rFont val="Tahoma"/>
            <family val="2"/>
          </rPr>
          <t>PC:</t>
        </r>
        <r>
          <rPr>
            <sz val="9"/>
            <color indexed="81"/>
            <rFont val="Tahoma"/>
            <family val="2"/>
          </rPr>
          <t xml:space="preserve">
SEGUNDO PAGO 05-NOV-23 $144</t>
        </r>
      </text>
    </comment>
    <comment ref="E165" authorId="0" shapeId="0" xr:uid="{00000000-0006-0000-0600-00001B000000}">
      <text>
        <r>
          <rPr>
            <b/>
            <sz val="9"/>
            <color indexed="81"/>
            <rFont val="Tahoma"/>
            <family val="2"/>
          </rPr>
          <t>PC:</t>
        </r>
        <r>
          <rPr>
            <sz val="9"/>
            <color indexed="81"/>
            <rFont val="Tahoma"/>
            <family val="2"/>
          </rPr>
          <t xml:space="preserve">
PAGÓ 06-SEP-2023</t>
        </r>
      </text>
    </comment>
    <comment ref="E168" authorId="0" shapeId="0" xr:uid="{00000000-0006-0000-0600-00001C000000}">
      <text>
        <r>
          <rPr>
            <b/>
            <sz val="9"/>
            <color indexed="81"/>
            <rFont val="Tahoma"/>
            <family val="2"/>
          </rPr>
          <t>PC:</t>
        </r>
        <r>
          <rPr>
            <sz val="9"/>
            <color indexed="81"/>
            <rFont val="Tahoma"/>
            <family val="2"/>
          </rPr>
          <t xml:space="preserve">
SEGUNDO PAGO 15-MARZO-2024 $5,254.17
</t>
        </r>
      </text>
    </comment>
    <comment ref="E180" authorId="0" shapeId="0" xr:uid="{00000000-0006-0000-0600-00001D000000}">
      <text>
        <r>
          <rPr>
            <b/>
            <sz val="9"/>
            <color indexed="81"/>
            <rFont val="Tahoma"/>
            <family val="2"/>
          </rPr>
          <t>PC:</t>
        </r>
        <r>
          <rPr>
            <sz val="9"/>
            <color indexed="81"/>
            <rFont val="Tahoma"/>
            <family val="2"/>
          </rPr>
          <t xml:space="preserve">
LIQUIDO EL 24-FEB-24</t>
        </r>
      </text>
    </comment>
    <comment ref="E182" authorId="0" shapeId="0" xr:uid="{00000000-0006-0000-0600-00001E000000}">
      <text>
        <r>
          <rPr>
            <b/>
            <sz val="9"/>
            <color indexed="81"/>
            <rFont val="Tahoma"/>
            <family val="2"/>
          </rPr>
          <t>PC:</t>
        </r>
        <r>
          <rPr>
            <sz val="9"/>
            <color indexed="81"/>
            <rFont val="Tahoma"/>
            <family val="2"/>
          </rPr>
          <t xml:space="preserve">
SEGUNDO PAGO 20-MARZO-2024 
433,466.00</t>
        </r>
      </text>
    </comment>
    <comment ref="E188" authorId="0" shapeId="0" xr:uid="{00000000-0006-0000-0600-00001F000000}">
      <text>
        <r>
          <rPr>
            <b/>
            <sz val="9"/>
            <color indexed="81"/>
            <rFont val="Tahoma"/>
            <family val="2"/>
          </rPr>
          <t>PC:</t>
        </r>
        <r>
          <rPr>
            <sz val="9"/>
            <color indexed="81"/>
            <rFont val="Tahoma"/>
            <family val="2"/>
          </rPr>
          <t xml:space="preserve">
13-MARZO-2024 $192.00
15-OCTUBRE-2024 $522.00
24-FEBRERO-2025 $727.66</t>
        </r>
      </text>
    </comment>
    <comment ref="E192" authorId="0" shapeId="0" xr:uid="{00000000-0006-0000-0600-000020000000}">
      <text>
        <r>
          <rPr>
            <b/>
            <sz val="9"/>
            <color indexed="81"/>
            <rFont val="Tahoma"/>
            <family val="2"/>
          </rPr>
          <t>PC:</t>
        </r>
        <r>
          <rPr>
            <sz val="9"/>
            <color indexed="81"/>
            <rFont val="Tahoma"/>
            <family val="2"/>
          </rPr>
          <t xml:space="preserve">
SEGUNDO ABONO
24-JUNIO-2024 PDTE $46.40</t>
        </r>
      </text>
    </comment>
    <comment ref="E193" authorId="0" shapeId="0" xr:uid="{00000000-0006-0000-0600-000021000000}">
      <text>
        <r>
          <rPr>
            <b/>
            <sz val="9"/>
            <color indexed="81"/>
            <rFont val="Tahoma"/>
            <family val="2"/>
          </rPr>
          <t>PC:</t>
        </r>
        <r>
          <rPr>
            <sz val="9"/>
            <color indexed="81"/>
            <rFont val="Tahoma"/>
            <family val="2"/>
          </rPr>
          <t xml:space="preserve">
SEGUNDO PAGO 11-SEP-23 $2,030.00
SEGUNDO PAGO 11-DICIEMBRE-2023 $2,030.00
SEGUNDO PAGO 08-MAYO-2024 $2,030.00</t>
        </r>
      </text>
    </comment>
    <comment ref="E194" authorId="0" shapeId="0" xr:uid="{00000000-0006-0000-0600-000022000000}">
      <text>
        <r>
          <rPr>
            <b/>
            <sz val="9"/>
            <color indexed="81"/>
            <rFont val="Tahoma"/>
            <family val="2"/>
          </rPr>
          <t>PC:</t>
        </r>
        <r>
          <rPr>
            <sz val="9"/>
            <color indexed="81"/>
            <rFont val="Tahoma"/>
            <family val="2"/>
          </rPr>
          <t xml:space="preserve">
SEGUNDO PAGO 
29-NOVIEMBRE-2024
$17,390.72
</t>
        </r>
      </text>
    </comment>
    <comment ref="E199" authorId="0" shapeId="0" xr:uid="{00000000-0006-0000-0600-000023000000}">
      <text>
        <r>
          <rPr>
            <b/>
            <sz val="9"/>
            <color indexed="81"/>
            <rFont val="Tahoma"/>
            <family val="2"/>
          </rPr>
          <t>PC:</t>
        </r>
        <r>
          <rPr>
            <sz val="9"/>
            <color indexed="81"/>
            <rFont val="Tahoma"/>
            <family val="2"/>
          </rPr>
          <t xml:space="preserve">
SEGUNDO PAGO 29-DIC-2023</t>
        </r>
      </text>
    </comment>
    <comment ref="E202" authorId="0" shapeId="0" xr:uid="{00000000-0006-0000-0600-000024000000}">
      <text>
        <r>
          <rPr>
            <b/>
            <sz val="9"/>
            <color indexed="81"/>
            <rFont val="Tahoma"/>
            <family val="2"/>
          </rPr>
          <t>PC:</t>
        </r>
        <r>
          <rPr>
            <sz val="9"/>
            <color indexed="81"/>
            <rFont val="Tahoma"/>
            <family val="2"/>
          </rPr>
          <t xml:space="preserve">
SEGUNDO PAGO 23-SEP-23
PAGOS
02-NOVIEMBRE-2024
05-NOVIEMBRE-2024
20-NOVIEMBRE-2024
</t>
        </r>
      </text>
    </comment>
    <comment ref="E214" authorId="0" shapeId="0" xr:uid="{00000000-0006-0000-0600-000025000000}">
      <text>
        <r>
          <rPr>
            <b/>
            <sz val="9"/>
            <color indexed="81"/>
            <rFont val="Tahoma"/>
            <family val="2"/>
          </rPr>
          <t>PC:</t>
        </r>
        <r>
          <rPr>
            <sz val="9"/>
            <color indexed="81"/>
            <rFont val="Tahoma"/>
            <family val="2"/>
          </rPr>
          <t xml:space="preserve">
SEGUNDO PAGO 20-SEPTIEMBRE-2024
$2,436.00</t>
        </r>
      </text>
    </comment>
    <comment ref="E219" authorId="0" shapeId="0" xr:uid="{00000000-0006-0000-0600-000026000000}">
      <text>
        <r>
          <rPr>
            <b/>
            <sz val="9"/>
            <color indexed="81"/>
            <rFont val="Tahoma"/>
            <family val="2"/>
          </rPr>
          <t>PC:</t>
        </r>
        <r>
          <rPr>
            <sz val="9"/>
            <color indexed="81"/>
            <rFont val="Tahoma"/>
            <family val="2"/>
          </rPr>
          <t xml:space="preserve">
SEGUNDO PAGO 29-DIC-2023 $416.21
PRIMER PAGO 7-OCTUBRE-2023</t>
        </r>
      </text>
    </comment>
    <comment ref="E220" authorId="0" shapeId="0" xr:uid="{00000000-0006-0000-0600-000027000000}">
      <text>
        <r>
          <rPr>
            <b/>
            <sz val="9"/>
            <color indexed="81"/>
            <rFont val="Tahoma"/>
            <family val="2"/>
          </rPr>
          <t>PC:</t>
        </r>
        <r>
          <rPr>
            <sz val="9"/>
            <color indexed="81"/>
            <rFont val="Tahoma"/>
            <family val="2"/>
          </rPr>
          <t xml:space="preserve">
SEGUNDO PAGO 15-JULIO-2024 $4,326.80</t>
        </r>
      </text>
    </comment>
    <comment ref="E225" authorId="0" shapeId="0" xr:uid="{00000000-0006-0000-0600-000028000000}">
      <text>
        <r>
          <rPr>
            <b/>
            <sz val="9"/>
            <color indexed="81"/>
            <rFont val="Tahoma"/>
            <family val="2"/>
          </rPr>
          <t>PC:</t>
        </r>
        <r>
          <rPr>
            <sz val="9"/>
            <color indexed="81"/>
            <rFont val="Tahoma"/>
            <family val="2"/>
          </rPr>
          <t xml:space="preserve">
SEGUNDO PAGO 12-SEPTIEMBRE-2024 $959.70</t>
        </r>
      </text>
    </comment>
    <comment ref="E227" authorId="0" shapeId="0" xr:uid="{00000000-0006-0000-0600-000029000000}">
      <text>
        <r>
          <rPr>
            <b/>
            <sz val="9"/>
            <color indexed="81"/>
            <rFont val="Tahoma"/>
            <family val="2"/>
          </rPr>
          <t>PC:</t>
        </r>
        <r>
          <rPr>
            <sz val="9"/>
            <color indexed="81"/>
            <rFont val="Tahoma"/>
            <family val="2"/>
          </rPr>
          <t xml:space="preserve">
SEGUNDO PAGO 18-DIC-2023</t>
        </r>
      </text>
    </comment>
    <comment ref="E236" authorId="0" shapeId="0" xr:uid="{00000000-0006-0000-0600-00002A000000}">
      <text>
        <r>
          <rPr>
            <b/>
            <sz val="9"/>
            <color indexed="81"/>
            <rFont val="Tahoma"/>
            <family val="2"/>
          </rPr>
          <t>PC:</t>
        </r>
        <r>
          <rPr>
            <sz val="9"/>
            <color indexed="81"/>
            <rFont val="Tahoma"/>
            <family val="2"/>
          </rPr>
          <t xml:space="preserve">
SEGUNDO PAGO 20-SEPTIEMBRE-2024 $1,160.00</t>
        </r>
      </text>
    </comment>
    <comment ref="E248" authorId="0" shapeId="0" xr:uid="{00000000-0006-0000-0600-00002B000000}">
      <text>
        <r>
          <rPr>
            <b/>
            <sz val="9"/>
            <color indexed="81"/>
            <rFont val="Tahoma"/>
            <family val="2"/>
          </rPr>
          <t>PC:</t>
        </r>
        <r>
          <rPr>
            <sz val="9"/>
            <color indexed="81"/>
            <rFont val="Tahoma"/>
            <family val="2"/>
          </rPr>
          <t xml:space="preserve">
SEGUNDO PAGO 14-JUNIO-2024</t>
        </r>
      </text>
    </comment>
    <comment ref="E260" authorId="0" shapeId="0" xr:uid="{00000000-0006-0000-0600-00002C000000}">
      <text>
        <r>
          <rPr>
            <b/>
            <sz val="9"/>
            <color indexed="81"/>
            <rFont val="Tahoma"/>
            <family val="2"/>
          </rPr>
          <t>PC:</t>
        </r>
        <r>
          <rPr>
            <sz val="9"/>
            <color indexed="81"/>
            <rFont val="Tahoma"/>
            <family val="2"/>
          </rPr>
          <t xml:space="preserve">
SEGUNDO PAGO 05-NOV-23 $144</t>
        </r>
      </text>
    </comment>
    <comment ref="E273" authorId="0" shapeId="0" xr:uid="{00000000-0006-0000-0600-00002D000000}">
      <text>
        <r>
          <rPr>
            <b/>
            <sz val="9"/>
            <color indexed="81"/>
            <rFont val="Tahoma"/>
            <family val="2"/>
          </rPr>
          <t>PC:</t>
        </r>
        <r>
          <rPr>
            <sz val="9"/>
            <color indexed="81"/>
            <rFont val="Tahoma"/>
            <family val="2"/>
          </rPr>
          <t xml:space="preserve">
PAGÓ 06-SEP-2023</t>
        </r>
      </text>
    </comment>
    <comment ref="E276" authorId="0" shapeId="0" xr:uid="{00000000-0006-0000-0600-00002E000000}">
      <text>
        <r>
          <rPr>
            <b/>
            <sz val="9"/>
            <color indexed="81"/>
            <rFont val="Tahoma"/>
            <family val="2"/>
          </rPr>
          <t>PC:</t>
        </r>
        <r>
          <rPr>
            <sz val="9"/>
            <color indexed="81"/>
            <rFont val="Tahoma"/>
            <family val="2"/>
          </rPr>
          <t xml:space="preserve">
SEGUNDO PAGO 15-MARZO-2024 $5,254.17
</t>
        </r>
      </text>
    </comment>
    <comment ref="E289" authorId="0" shapeId="0" xr:uid="{00000000-0006-0000-0600-00002F000000}">
      <text>
        <r>
          <rPr>
            <b/>
            <sz val="9"/>
            <color indexed="81"/>
            <rFont val="Tahoma"/>
            <family val="2"/>
          </rPr>
          <t>PC:</t>
        </r>
        <r>
          <rPr>
            <sz val="9"/>
            <color indexed="81"/>
            <rFont val="Tahoma"/>
            <family val="2"/>
          </rPr>
          <t xml:space="preserve">
LIQUIDO EL 24-FEB-24</t>
        </r>
      </text>
    </comment>
    <comment ref="E291" authorId="0" shapeId="0" xr:uid="{00000000-0006-0000-0600-000030000000}">
      <text>
        <r>
          <rPr>
            <b/>
            <sz val="9"/>
            <color indexed="81"/>
            <rFont val="Tahoma"/>
            <family val="2"/>
          </rPr>
          <t>PC:</t>
        </r>
        <r>
          <rPr>
            <sz val="9"/>
            <color indexed="81"/>
            <rFont val="Tahoma"/>
            <family val="2"/>
          </rPr>
          <t xml:space="preserve">
SEGUNDO PAGO 20-MARZO-2024 
433,466.00</t>
        </r>
      </text>
    </comment>
    <comment ref="E297" authorId="0" shapeId="0" xr:uid="{00000000-0006-0000-0600-000031000000}">
      <text>
        <r>
          <rPr>
            <b/>
            <sz val="9"/>
            <color indexed="81"/>
            <rFont val="Tahoma"/>
            <family val="2"/>
          </rPr>
          <t>PC:</t>
        </r>
        <r>
          <rPr>
            <sz val="9"/>
            <color indexed="81"/>
            <rFont val="Tahoma"/>
            <family val="2"/>
          </rPr>
          <t xml:space="preserve">
13-MARZO-2024 $192.00
15-OCTUBRE-2024 $522.00
24-FEBRERO-2025 $727.66</t>
        </r>
      </text>
    </comment>
    <comment ref="E301" authorId="0" shapeId="0" xr:uid="{00000000-0006-0000-0600-000032000000}">
      <text>
        <r>
          <rPr>
            <b/>
            <sz val="9"/>
            <color indexed="81"/>
            <rFont val="Tahoma"/>
            <family val="2"/>
          </rPr>
          <t>PC:</t>
        </r>
        <r>
          <rPr>
            <sz val="9"/>
            <color indexed="81"/>
            <rFont val="Tahoma"/>
            <family val="2"/>
          </rPr>
          <t xml:space="preserve">
SEGUNDO ABONO
24-JUNIO-2024 PDTE $46.40</t>
        </r>
      </text>
    </comment>
    <comment ref="E302" authorId="0" shapeId="0" xr:uid="{00000000-0006-0000-0600-000033000000}">
      <text>
        <r>
          <rPr>
            <b/>
            <sz val="9"/>
            <color indexed="81"/>
            <rFont val="Tahoma"/>
            <family val="2"/>
          </rPr>
          <t>PC:</t>
        </r>
        <r>
          <rPr>
            <sz val="9"/>
            <color indexed="81"/>
            <rFont val="Tahoma"/>
            <family val="2"/>
          </rPr>
          <t xml:space="preserve">
SEGUNDO PAGO 11-SEP-23 $2,030.00
SEGUNDO PAGO 11-DICIEMBRE-2023 $2,030.00
SEGUNDO PAGO 08-MAYO-2024 $2,030.00</t>
        </r>
      </text>
    </comment>
    <comment ref="E304" authorId="0" shapeId="0" xr:uid="{00000000-0006-0000-0600-000034000000}">
      <text>
        <r>
          <rPr>
            <b/>
            <sz val="9"/>
            <color indexed="81"/>
            <rFont val="Tahoma"/>
            <family val="2"/>
          </rPr>
          <t>PC:</t>
        </r>
        <r>
          <rPr>
            <sz val="9"/>
            <color indexed="81"/>
            <rFont val="Tahoma"/>
            <family val="2"/>
          </rPr>
          <t xml:space="preserve">
SEGUNDO PAGO 
29-NOVIEMBRE-2024
$17,390.72
</t>
        </r>
      </text>
    </comment>
    <comment ref="E310" authorId="0" shapeId="0" xr:uid="{00000000-0006-0000-0600-000035000000}">
      <text>
        <r>
          <rPr>
            <b/>
            <sz val="9"/>
            <color indexed="81"/>
            <rFont val="Tahoma"/>
            <family val="2"/>
          </rPr>
          <t>PC:</t>
        </r>
        <r>
          <rPr>
            <sz val="9"/>
            <color indexed="81"/>
            <rFont val="Tahoma"/>
            <family val="2"/>
          </rPr>
          <t xml:space="preserve">
SEGUNDO PAGO 29-DIC-2023</t>
        </r>
      </text>
    </comment>
    <comment ref="E316" authorId="0" shapeId="0" xr:uid="{00000000-0006-0000-0600-000036000000}">
      <text>
        <r>
          <rPr>
            <b/>
            <sz val="9"/>
            <color indexed="81"/>
            <rFont val="Tahoma"/>
            <family val="2"/>
          </rPr>
          <t>PC:</t>
        </r>
        <r>
          <rPr>
            <sz val="9"/>
            <color indexed="81"/>
            <rFont val="Tahoma"/>
            <family val="2"/>
          </rPr>
          <t xml:space="preserve">
SEGUNDO PAGO 23-SEP-23
PAGOS
02-NOVIEMBRE-2024
05-NOVIEMBRE-2024
20-NOVIEMBRE-2024
</t>
        </r>
      </text>
    </comment>
    <comment ref="E333" authorId="0" shapeId="0" xr:uid="{00000000-0006-0000-0600-000037000000}">
      <text>
        <r>
          <rPr>
            <b/>
            <sz val="9"/>
            <color indexed="81"/>
            <rFont val="Tahoma"/>
            <family val="2"/>
          </rPr>
          <t>PC:</t>
        </r>
        <r>
          <rPr>
            <sz val="9"/>
            <color indexed="81"/>
            <rFont val="Tahoma"/>
            <family val="2"/>
          </rPr>
          <t xml:space="preserve">
SEGUNDO PAGO 29-DIC-2023 $416.21
PRIMER PAGO 7-OCTUBRE-2023</t>
        </r>
      </text>
    </comment>
    <comment ref="E334" authorId="0" shapeId="0" xr:uid="{00000000-0006-0000-0600-000038000000}">
      <text>
        <r>
          <rPr>
            <b/>
            <sz val="9"/>
            <color indexed="81"/>
            <rFont val="Tahoma"/>
            <family val="2"/>
          </rPr>
          <t>PC:</t>
        </r>
        <r>
          <rPr>
            <sz val="9"/>
            <color indexed="81"/>
            <rFont val="Tahoma"/>
            <family val="2"/>
          </rPr>
          <t xml:space="preserve">
SEGUNDO PAGO 15-JULIO-2024 $4,326.80</t>
        </r>
      </text>
    </comment>
    <comment ref="E339" authorId="0" shapeId="0" xr:uid="{00000000-0006-0000-0600-000039000000}">
      <text>
        <r>
          <rPr>
            <b/>
            <sz val="9"/>
            <color indexed="81"/>
            <rFont val="Tahoma"/>
            <family val="2"/>
          </rPr>
          <t>PC:</t>
        </r>
        <r>
          <rPr>
            <sz val="9"/>
            <color indexed="81"/>
            <rFont val="Tahoma"/>
            <family val="2"/>
          </rPr>
          <t xml:space="preserve">
SEGUNDO PAGO 12-SEPTIEMBRE-2024 $959.70</t>
        </r>
      </text>
    </comment>
    <comment ref="E341" authorId="0" shapeId="0" xr:uid="{00000000-0006-0000-0600-00003A000000}">
      <text>
        <r>
          <rPr>
            <b/>
            <sz val="9"/>
            <color indexed="81"/>
            <rFont val="Tahoma"/>
            <family val="2"/>
          </rPr>
          <t>PC:</t>
        </r>
        <r>
          <rPr>
            <sz val="9"/>
            <color indexed="81"/>
            <rFont val="Tahoma"/>
            <family val="2"/>
          </rPr>
          <t xml:space="preserve">
SEGUNDO PAGO 18-DIC-2023</t>
        </r>
      </text>
    </comment>
    <comment ref="E350" authorId="0" shapeId="0" xr:uid="{00000000-0006-0000-0600-00003B000000}">
      <text>
        <r>
          <rPr>
            <b/>
            <sz val="9"/>
            <color indexed="81"/>
            <rFont val="Tahoma"/>
            <family val="2"/>
          </rPr>
          <t>PC:</t>
        </r>
        <r>
          <rPr>
            <sz val="9"/>
            <color indexed="81"/>
            <rFont val="Tahoma"/>
            <family val="2"/>
          </rPr>
          <t xml:space="preserve">
SEGUNDO PAGO 20-SEPTIEMBRE-2024 $1,160.00</t>
        </r>
      </text>
    </comment>
    <comment ref="E362" authorId="0" shapeId="0" xr:uid="{00000000-0006-0000-0600-00003C000000}">
      <text>
        <r>
          <rPr>
            <b/>
            <sz val="9"/>
            <color indexed="81"/>
            <rFont val="Tahoma"/>
            <family val="2"/>
          </rPr>
          <t>PC:</t>
        </r>
        <r>
          <rPr>
            <sz val="9"/>
            <color indexed="81"/>
            <rFont val="Tahoma"/>
            <family val="2"/>
          </rPr>
          <t xml:space="preserve">
SEGUNDO PAGO 14-JUNIO-2024</t>
        </r>
      </text>
    </comment>
    <comment ref="E374" authorId="0" shapeId="0" xr:uid="{00000000-0006-0000-0600-00003D000000}">
      <text>
        <r>
          <rPr>
            <b/>
            <sz val="9"/>
            <color indexed="81"/>
            <rFont val="Tahoma"/>
            <family val="2"/>
          </rPr>
          <t>PC:</t>
        </r>
        <r>
          <rPr>
            <sz val="9"/>
            <color indexed="81"/>
            <rFont val="Tahoma"/>
            <family val="2"/>
          </rPr>
          <t xml:space="preserve">
SEGUNDO PAGO 05-NOV-23 $144</t>
        </r>
      </text>
    </comment>
    <comment ref="E379" authorId="0" shapeId="0" xr:uid="{00000000-0006-0000-0600-00003E000000}">
      <text>
        <r>
          <rPr>
            <b/>
            <sz val="9"/>
            <color indexed="81"/>
            <rFont val="Tahoma"/>
            <family val="2"/>
          </rPr>
          <t>PC:</t>
        </r>
        <r>
          <rPr>
            <sz val="9"/>
            <color indexed="81"/>
            <rFont val="Tahoma"/>
            <family val="2"/>
          </rPr>
          <t xml:space="preserve">
SEGUNDO PAGO 22-ABRIL-2025
</t>
        </r>
      </text>
    </comment>
    <comment ref="E387" authorId="0" shapeId="0" xr:uid="{00000000-0006-0000-0600-00003F000000}">
      <text>
        <r>
          <rPr>
            <b/>
            <sz val="9"/>
            <color indexed="81"/>
            <rFont val="Tahoma"/>
            <family val="2"/>
          </rPr>
          <t>PC:</t>
        </r>
        <r>
          <rPr>
            <sz val="9"/>
            <color indexed="81"/>
            <rFont val="Tahoma"/>
            <family val="2"/>
          </rPr>
          <t xml:space="preserve">
PAGÓ 06-SEP-2023</t>
        </r>
      </text>
    </comment>
    <comment ref="E390" authorId="0" shapeId="0" xr:uid="{00000000-0006-0000-0600-000040000000}">
      <text>
        <r>
          <rPr>
            <b/>
            <sz val="9"/>
            <color indexed="81"/>
            <rFont val="Tahoma"/>
            <family val="2"/>
          </rPr>
          <t>PC:</t>
        </r>
        <r>
          <rPr>
            <sz val="9"/>
            <color indexed="81"/>
            <rFont val="Tahoma"/>
            <family val="2"/>
          </rPr>
          <t xml:space="preserve">
SEGUNDO PAGO 15-MARZO-2024 $5,254.17
</t>
        </r>
      </text>
    </comment>
    <comment ref="E402" authorId="0" shapeId="0" xr:uid="{00000000-0006-0000-0600-000041000000}">
      <text>
        <r>
          <rPr>
            <b/>
            <sz val="9"/>
            <color indexed="81"/>
            <rFont val="Tahoma"/>
            <family val="2"/>
          </rPr>
          <t>PC:</t>
        </r>
        <r>
          <rPr>
            <sz val="9"/>
            <color indexed="81"/>
            <rFont val="Tahoma"/>
            <family val="2"/>
          </rPr>
          <t xml:space="preserve">
LIQUIDO EL 24-FEB-24</t>
        </r>
      </text>
    </comment>
    <comment ref="E404" authorId="0" shapeId="0" xr:uid="{00000000-0006-0000-0600-000042000000}">
      <text>
        <r>
          <rPr>
            <b/>
            <sz val="9"/>
            <color indexed="81"/>
            <rFont val="Tahoma"/>
            <family val="2"/>
          </rPr>
          <t>PC:</t>
        </r>
        <r>
          <rPr>
            <sz val="9"/>
            <color indexed="81"/>
            <rFont val="Tahoma"/>
            <family val="2"/>
          </rPr>
          <t xml:space="preserve">
SEGUNDO PAGO 20-MARZO-2024 
433,466.00</t>
        </r>
      </text>
    </comment>
    <comment ref="E413" authorId="0" shapeId="0" xr:uid="{00000000-0006-0000-0600-000043000000}">
      <text>
        <r>
          <rPr>
            <b/>
            <sz val="9"/>
            <color indexed="81"/>
            <rFont val="Tahoma"/>
            <family val="2"/>
          </rPr>
          <t>PC:</t>
        </r>
        <r>
          <rPr>
            <sz val="9"/>
            <color indexed="81"/>
            <rFont val="Tahoma"/>
            <family val="2"/>
          </rPr>
          <t xml:space="preserve">
SEGUNDO ABONO
24-JUNIO-2024 PDTE $46.40</t>
        </r>
      </text>
    </comment>
    <comment ref="E414" authorId="0" shapeId="0" xr:uid="{00000000-0006-0000-0600-000044000000}">
      <text>
        <r>
          <rPr>
            <b/>
            <sz val="9"/>
            <color indexed="81"/>
            <rFont val="Tahoma"/>
            <family val="2"/>
          </rPr>
          <t>PC:</t>
        </r>
        <r>
          <rPr>
            <sz val="9"/>
            <color indexed="81"/>
            <rFont val="Tahoma"/>
            <family val="2"/>
          </rPr>
          <t xml:space="preserve">
SEGUNDO PAGO 11-SEP-23 $2,030.00
SEGUNDO PAGO 11-DICIEMBRE-2023 $2,030.00
SEGUNDO PAGO 08-MAYO-2024 $2,030.00</t>
        </r>
      </text>
    </comment>
    <comment ref="E418" authorId="0" shapeId="0" xr:uid="{00000000-0006-0000-0600-000045000000}">
      <text>
        <r>
          <rPr>
            <b/>
            <sz val="9"/>
            <color indexed="81"/>
            <rFont val="Tahoma"/>
            <family val="2"/>
          </rPr>
          <t>PC:</t>
        </r>
        <r>
          <rPr>
            <sz val="9"/>
            <color indexed="81"/>
            <rFont val="Tahoma"/>
            <family val="2"/>
          </rPr>
          <t xml:space="preserve">
SEGUNDO PAGO 
29-NOVIEMBRE-2024
$17,390.72
</t>
        </r>
      </text>
    </comment>
    <comment ref="E425" authorId="0" shapeId="0" xr:uid="{00000000-0006-0000-0600-000046000000}">
      <text>
        <r>
          <rPr>
            <b/>
            <sz val="9"/>
            <color indexed="81"/>
            <rFont val="Tahoma"/>
            <family val="2"/>
          </rPr>
          <t>PC:</t>
        </r>
        <r>
          <rPr>
            <sz val="9"/>
            <color indexed="81"/>
            <rFont val="Tahoma"/>
            <family val="2"/>
          </rPr>
          <t xml:space="preserve">
SEGUNDO PAGO 29-DIC-2023</t>
        </r>
      </text>
    </comment>
    <comment ref="E432" authorId="0" shapeId="0" xr:uid="{00000000-0006-0000-0600-000047000000}">
      <text>
        <r>
          <rPr>
            <b/>
            <sz val="9"/>
            <color indexed="81"/>
            <rFont val="Tahoma"/>
            <family val="2"/>
          </rPr>
          <t>PC:</t>
        </r>
        <r>
          <rPr>
            <sz val="9"/>
            <color indexed="81"/>
            <rFont val="Tahoma"/>
            <family val="2"/>
          </rPr>
          <t xml:space="preserve">
SEGUNDO PAGO 23-SEP-23
PAGOS
02-NOVIEMBRE-2024
05-NOVIEMBRE-2024
20-NOVIEMBRE-2024
</t>
        </r>
      </text>
    </comment>
    <comment ref="E453" authorId="0" shapeId="0" xr:uid="{00000000-0006-0000-0600-000048000000}">
      <text>
        <r>
          <rPr>
            <b/>
            <sz val="9"/>
            <color indexed="81"/>
            <rFont val="Tahoma"/>
            <family val="2"/>
          </rPr>
          <t>PC:</t>
        </r>
        <r>
          <rPr>
            <sz val="9"/>
            <color indexed="81"/>
            <rFont val="Tahoma"/>
            <family val="2"/>
          </rPr>
          <t xml:space="preserve">
SEGUNDO PAGO 29-DIC-2023 $416.21
PRIMER PAGO 7-OCTUBRE-2023</t>
        </r>
      </text>
    </comment>
    <comment ref="E454" authorId="0" shapeId="0" xr:uid="{00000000-0006-0000-0600-000049000000}">
      <text>
        <r>
          <rPr>
            <b/>
            <sz val="9"/>
            <color indexed="81"/>
            <rFont val="Tahoma"/>
            <family val="2"/>
          </rPr>
          <t>PC:</t>
        </r>
        <r>
          <rPr>
            <sz val="9"/>
            <color indexed="81"/>
            <rFont val="Tahoma"/>
            <family val="2"/>
          </rPr>
          <t xml:space="preserve">
SEGUNDO PAGO 15-JULIO-2024 $4,326.80</t>
        </r>
      </text>
    </comment>
    <comment ref="E459" authorId="0" shapeId="0" xr:uid="{00000000-0006-0000-0600-00004A000000}">
      <text>
        <r>
          <rPr>
            <b/>
            <sz val="9"/>
            <color indexed="81"/>
            <rFont val="Tahoma"/>
            <family val="2"/>
          </rPr>
          <t>PC:</t>
        </r>
        <r>
          <rPr>
            <sz val="9"/>
            <color indexed="81"/>
            <rFont val="Tahoma"/>
            <family val="2"/>
          </rPr>
          <t xml:space="preserve">
SEGUNDO PAGO 12-SEPTIEMBRE-2024 $959.70</t>
        </r>
      </text>
    </comment>
    <comment ref="E461" authorId="0" shapeId="0" xr:uid="{00000000-0006-0000-0600-00004B000000}">
      <text>
        <r>
          <rPr>
            <b/>
            <sz val="9"/>
            <color indexed="81"/>
            <rFont val="Tahoma"/>
            <family val="2"/>
          </rPr>
          <t>PC:</t>
        </r>
        <r>
          <rPr>
            <sz val="9"/>
            <color indexed="81"/>
            <rFont val="Tahoma"/>
            <family val="2"/>
          </rPr>
          <t xml:space="preserve">
SEGUNDO PAGO 18-DIC-2023</t>
        </r>
      </text>
    </comment>
    <comment ref="E470" authorId="0" shapeId="0" xr:uid="{00000000-0006-0000-0600-00004C000000}">
      <text>
        <r>
          <rPr>
            <b/>
            <sz val="9"/>
            <color indexed="81"/>
            <rFont val="Tahoma"/>
            <family val="2"/>
          </rPr>
          <t>PC:</t>
        </r>
        <r>
          <rPr>
            <sz val="9"/>
            <color indexed="81"/>
            <rFont val="Tahoma"/>
            <family val="2"/>
          </rPr>
          <t xml:space="preserve">
SEGUNDO PAGO 20-SEPTIEMBRE-2024 $1,160.00</t>
        </r>
      </text>
    </comment>
    <comment ref="E482" authorId="0" shapeId="0" xr:uid="{00000000-0006-0000-0600-00004D000000}">
      <text>
        <r>
          <rPr>
            <b/>
            <sz val="9"/>
            <color indexed="81"/>
            <rFont val="Tahoma"/>
            <family val="2"/>
          </rPr>
          <t>PC:</t>
        </r>
        <r>
          <rPr>
            <sz val="9"/>
            <color indexed="81"/>
            <rFont val="Tahoma"/>
            <family val="2"/>
          </rPr>
          <t xml:space="preserve">
SEGUNDO PAGO 14-JUNIO-2024</t>
        </r>
      </text>
    </comment>
    <comment ref="E494" authorId="0" shapeId="0" xr:uid="{00000000-0006-0000-0600-00004E000000}">
      <text>
        <r>
          <rPr>
            <b/>
            <sz val="9"/>
            <color indexed="81"/>
            <rFont val="Tahoma"/>
            <family val="2"/>
          </rPr>
          <t>PC:</t>
        </r>
        <r>
          <rPr>
            <sz val="9"/>
            <color indexed="81"/>
            <rFont val="Tahoma"/>
            <family val="2"/>
          </rPr>
          <t xml:space="preserve">
SEGUNDO PAGO 05-NOV-23 $144</t>
        </r>
      </text>
    </comment>
    <comment ref="E506" authorId="0" shapeId="0" xr:uid="{00000000-0006-0000-0600-00004F000000}">
      <text>
        <r>
          <rPr>
            <b/>
            <sz val="9"/>
            <color indexed="81"/>
            <rFont val="Tahoma"/>
            <family val="2"/>
          </rPr>
          <t>PC:</t>
        </r>
        <r>
          <rPr>
            <sz val="9"/>
            <color indexed="81"/>
            <rFont val="Tahoma"/>
            <family val="2"/>
          </rPr>
          <t xml:space="preserve">
PAGÓ 06-SEP-2023</t>
        </r>
      </text>
    </comment>
    <comment ref="E509" authorId="0" shapeId="0" xr:uid="{00000000-0006-0000-0600-000050000000}">
      <text>
        <r>
          <rPr>
            <b/>
            <sz val="9"/>
            <color indexed="81"/>
            <rFont val="Tahoma"/>
            <family val="2"/>
          </rPr>
          <t>PC:</t>
        </r>
        <r>
          <rPr>
            <sz val="9"/>
            <color indexed="81"/>
            <rFont val="Tahoma"/>
            <family val="2"/>
          </rPr>
          <t xml:space="preserve">
SEGUNDO PAGO 15-MARZO-2024 $5,254.17
</t>
        </r>
      </text>
    </comment>
    <comment ref="E521" authorId="0" shapeId="0" xr:uid="{00000000-0006-0000-0600-000051000000}">
      <text>
        <r>
          <rPr>
            <b/>
            <sz val="9"/>
            <color indexed="81"/>
            <rFont val="Tahoma"/>
            <family val="2"/>
          </rPr>
          <t>PC:</t>
        </r>
        <r>
          <rPr>
            <sz val="9"/>
            <color indexed="81"/>
            <rFont val="Tahoma"/>
            <family val="2"/>
          </rPr>
          <t xml:space="preserve">
LIQUIDO EL 24-FEB-24</t>
        </r>
      </text>
    </comment>
    <comment ref="E523" authorId="0" shapeId="0" xr:uid="{00000000-0006-0000-0600-000052000000}">
      <text>
        <r>
          <rPr>
            <b/>
            <sz val="9"/>
            <color indexed="81"/>
            <rFont val="Tahoma"/>
            <family val="2"/>
          </rPr>
          <t>PC:</t>
        </r>
        <r>
          <rPr>
            <sz val="9"/>
            <color indexed="81"/>
            <rFont val="Tahoma"/>
            <family val="2"/>
          </rPr>
          <t xml:space="preserve">
SEGUNDO PAGO 20-MARZO-2024 
433,466.00</t>
        </r>
      </text>
    </comment>
    <comment ref="E532" authorId="0" shapeId="0" xr:uid="{00000000-0006-0000-0600-000053000000}">
      <text>
        <r>
          <rPr>
            <b/>
            <sz val="9"/>
            <color indexed="81"/>
            <rFont val="Tahoma"/>
            <family val="2"/>
          </rPr>
          <t>PC:</t>
        </r>
        <r>
          <rPr>
            <sz val="9"/>
            <color indexed="81"/>
            <rFont val="Tahoma"/>
            <family val="2"/>
          </rPr>
          <t xml:space="preserve">
SEGUNDO ABONO
24-JUNIO-2024 PDTE $46.40</t>
        </r>
      </text>
    </comment>
    <comment ref="E533" authorId="0" shapeId="0" xr:uid="{00000000-0006-0000-0600-000054000000}">
      <text>
        <r>
          <rPr>
            <b/>
            <sz val="9"/>
            <color indexed="81"/>
            <rFont val="Tahoma"/>
            <family val="2"/>
          </rPr>
          <t>PC:</t>
        </r>
        <r>
          <rPr>
            <sz val="9"/>
            <color indexed="81"/>
            <rFont val="Tahoma"/>
            <family val="2"/>
          </rPr>
          <t xml:space="preserve">
SEGUNDO PAGO 11-SEP-23 $2,030.00
SEGUNDO PAGO 11-DICIEMBRE-2023 $2,030.00
SEGUNDO PAGO 08-MAYO-2024 $2,030.00</t>
        </r>
      </text>
    </comment>
    <comment ref="E537" authorId="0" shapeId="0" xr:uid="{00000000-0006-0000-0600-000055000000}">
      <text>
        <r>
          <rPr>
            <b/>
            <sz val="9"/>
            <color indexed="81"/>
            <rFont val="Tahoma"/>
            <family val="2"/>
          </rPr>
          <t>PC:</t>
        </r>
        <r>
          <rPr>
            <sz val="9"/>
            <color indexed="81"/>
            <rFont val="Tahoma"/>
            <family val="2"/>
          </rPr>
          <t xml:space="preserve">
SEGUNDO PAGO 
29-NOVIEMBRE-2024
$17,390.72
</t>
        </r>
      </text>
    </comment>
    <comment ref="E544" authorId="0" shapeId="0" xr:uid="{00000000-0006-0000-0600-000056000000}">
      <text>
        <r>
          <rPr>
            <b/>
            <sz val="9"/>
            <color indexed="81"/>
            <rFont val="Tahoma"/>
            <family val="2"/>
          </rPr>
          <t>PC:</t>
        </r>
        <r>
          <rPr>
            <sz val="9"/>
            <color indexed="81"/>
            <rFont val="Tahoma"/>
            <family val="2"/>
          </rPr>
          <t xml:space="preserve">
SEGUNDO PAGO 29-DIC-2023</t>
        </r>
      </text>
    </comment>
    <comment ref="E550" authorId="0" shapeId="0" xr:uid="{00000000-0006-0000-0600-000057000000}">
      <text>
        <r>
          <rPr>
            <b/>
            <sz val="9"/>
            <color indexed="81"/>
            <rFont val="Tahoma"/>
            <family val="2"/>
          </rPr>
          <t>PC:</t>
        </r>
        <r>
          <rPr>
            <sz val="9"/>
            <color indexed="81"/>
            <rFont val="Tahoma"/>
            <family val="2"/>
          </rPr>
          <t xml:space="preserve">
SEGUNDO PAGO 23-SEP-23
PAGOS
02-NOVIEMBRE-2024
05-NOVIEMBRE-2024
20-NOVIEMBRE-2024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E5" authorId="0" shapeId="0" xr:uid="{00000000-0006-0000-0700-000001000000}">
      <text>
        <r>
          <rPr>
            <b/>
            <sz val="9"/>
            <color indexed="81"/>
            <rFont val="Tahoma"/>
            <family val="2"/>
          </rPr>
          <t>PC:</t>
        </r>
        <r>
          <rPr>
            <sz val="9"/>
            <color indexed="81"/>
            <rFont val="Tahoma"/>
            <family val="2"/>
          </rPr>
          <t xml:space="preserve">
SEGUNDO PAGO 18-OCT-23</t>
        </r>
      </text>
    </comment>
    <comment ref="E7" authorId="0" shapeId="0" xr:uid="{00000000-0006-0000-0700-000002000000}">
      <text>
        <r>
          <rPr>
            <b/>
            <sz val="9"/>
            <color indexed="81"/>
            <rFont val="Tahoma"/>
            <family val="2"/>
          </rPr>
          <t>PC:</t>
        </r>
        <r>
          <rPr>
            <sz val="9"/>
            <color indexed="81"/>
            <rFont val="Tahoma"/>
            <family val="2"/>
          </rPr>
          <t xml:space="preserve">
SEGUNDO ABONO 22-AGOSTO-2023 
$2,000.00
SEGUNDO PAGO 24-ABRIL-2024 $6,452.00</t>
        </r>
      </text>
    </comment>
    <comment ref="E9" authorId="0" shapeId="0" xr:uid="{00000000-0006-0000-0700-000003000000}">
      <text>
        <r>
          <rPr>
            <b/>
            <sz val="9"/>
            <color indexed="81"/>
            <rFont val="Tahoma"/>
            <family val="2"/>
          </rPr>
          <t>PC:</t>
        </r>
        <r>
          <rPr>
            <sz val="9"/>
            <color indexed="81"/>
            <rFont val="Tahoma"/>
            <family val="2"/>
          </rPr>
          <t xml:space="preserve">
SEGUNDO PAGO POR REINGRESO 24-SEPTIEMBRE-2024</t>
        </r>
      </text>
    </comment>
    <comment ref="E15" authorId="0" shapeId="0" xr:uid="{00000000-0006-0000-0700-000004000000}">
      <text>
        <r>
          <rPr>
            <b/>
            <sz val="9"/>
            <color indexed="81"/>
            <rFont val="Tahoma"/>
            <family val="2"/>
          </rPr>
          <t>PC:</t>
        </r>
        <r>
          <rPr>
            <sz val="9"/>
            <color indexed="81"/>
            <rFont val="Tahoma"/>
            <family val="2"/>
          </rPr>
          <t xml:space="preserve">
SEGUNDO PAGO 14-JUNIO-2024 $6,540.00</t>
        </r>
      </text>
    </comment>
    <comment ref="E18" authorId="0" shapeId="0" xr:uid="{00000000-0006-0000-0700-000005000000}">
      <text>
        <r>
          <rPr>
            <b/>
            <sz val="9"/>
            <color indexed="81"/>
            <rFont val="Tahoma"/>
            <family val="2"/>
          </rPr>
          <t>SEGUNDO PAGO 20-DICIEMBRE-2023</t>
        </r>
      </text>
    </comment>
    <comment ref="E22" authorId="0" shapeId="0" xr:uid="{00000000-0006-0000-0700-000006000000}">
      <text>
        <r>
          <rPr>
            <b/>
            <sz val="9"/>
            <color indexed="81"/>
            <rFont val="Tahoma"/>
            <family val="2"/>
          </rPr>
          <t>PC:</t>
        </r>
        <r>
          <rPr>
            <sz val="9"/>
            <color indexed="81"/>
            <rFont val="Tahoma"/>
            <family val="2"/>
          </rPr>
          <t xml:space="preserve">
SEGUNDO PAGO 19-SEP-2023</t>
        </r>
      </text>
    </comment>
    <comment ref="E23" authorId="0" shapeId="0" xr:uid="{00000000-0006-0000-0700-000007000000}">
      <text>
        <r>
          <rPr>
            <b/>
            <sz val="9"/>
            <color indexed="81"/>
            <rFont val="Tahoma"/>
            <family val="2"/>
          </rPr>
          <t>PC:</t>
        </r>
        <r>
          <rPr>
            <sz val="9"/>
            <color indexed="81"/>
            <rFont val="Tahoma"/>
            <family val="2"/>
          </rPr>
          <t xml:space="preserve">
SEGUNDO PAGO 12-NOVIEMBRE-2024 $280.00</t>
        </r>
      </text>
    </comment>
    <comment ref="E26" authorId="0" shapeId="0" xr:uid="{00000000-0006-0000-0700-000008000000}">
      <text>
        <r>
          <rPr>
            <b/>
            <sz val="9"/>
            <color indexed="81"/>
            <rFont val="Tahoma"/>
            <family val="2"/>
          </rPr>
          <t>PC:</t>
        </r>
        <r>
          <rPr>
            <sz val="9"/>
            <color indexed="81"/>
            <rFont val="Tahoma"/>
            <family val="2"/>
          </rPr>
          <t xml:space="preserve">
LIQUIDA EL DIA 20-MARZO-2024
</t>
        </r>
      </text>
    </comment>
    <comment ref="E30" authorId="0" shapeId="0" xr:uid="{00000000-0006-0000-0700-000009000000}">
      <text>
        <r>
          <rPr>
            <b/>
            <sz val="9"/>
            <color indexed="81"/>
            <rFont val="Tahoma"/>
            <family val="2"/>
          </rPr>
          <t>PC:</t>
        </r>
        <r>
          <rPr>
            <sz val="9"/>
            <color indexed="81"/>
            <rFont val="Tahoma"/>
            <family val="2"/>
          </rPr>
          <t xml:space="preserve">
SEGUNDO PAGO 23-DICIEMBRE-2024</t>
        </r>
      </text>
    </comment>
    <comment ref="E31" authorId="0" shapeId="0" xr:uid="{00000000-0006-0000-0700-00000A000000}">
      <text>
        <r>
          <rPr>
            <b/>
            <sz val="9"/>
            <color indexed="81"/>
            <rFont val="Tahoma"/>
            <family val="2"/>
          </rPr>
          <t>PC:</t>
        </r>
        <r>
          <rPr>
            <sz val="9"/>
            <color indexed="81"/>
            <rFont val="Tahoma"/>
            <family val="2"/>
          </rPr>
          <t xml:space="preserve">
SEGUNDO PAGO 29-DIC-2023</t>
        </r>
      </text>
    </comment>
    <comment ref="E42" authorId="0" shapeId="0" xr:uid="{00000000-0006-0000-0700-00000B000000}">
      <text>
        <r>
          <rPr>
            <b/>
            <sz val="9"/>
            <color indexed="81"/>
            <rFont val="Tahoma"/>
            <family val="2"/>
          </rPr>
          <t>PC:</t>
        </r>
        <r>
          <rPr>
            <sz val="9"/>
            <color indexed="81"/>
            <rFont val="Tahoma"/>
            <family val="2"/>
          </rPr>
          <t xml:space="preserve">
SEGUNDO ABONO 22-NOVIEMBRE-2024 $1,150.00</t>
        </r>
      </text>
    </comment>
    <comment ref="E50" authorId="0" shapeId="0" xr:uid="{00000000-0006-0000-0700-00000C000000}">
      <text>
        <r>
          <rPr>
            <b/>
            <sz val="9"/>
            <color indexed="81"/>
            <rFont val="Tahoma"/>
            <family val="2"/>
          </rPr>
          <t>PC:</t>
        </r>
        <r>
          <rPr>
            <sz val="9"/>
            <color indexed="81"/>
            <rFont val="Tahoma"/>
            <family val="2"/>
          </rPr>
          <t xml:space="preserve">
SEGUNDO PAGO 26-DIC-2023</t>
        </r>
      </text>
    </comment>
    <comment ref="E52" authorId="0" shapeId="0" xr:uid="{00000000-0006-0000-0700-00000D000000}">
      <text>
        <r>
          <rPr>
            <b/>
            <sz val="9"/>
            <color indexed="81"/>
            <rFont val="Tahoma"/>
            <family val="2"/>
          </rPr>
          <t>PC:</t>
        </r>
        <r>
          <rPr>
            <sz val="9"/>
            <color indexed="81"/>
            <rFont val="Tahoma"/>
            <family val="2"/>
          </rPr>
          <t xml:space="preserve">
PAGÓ 20-SEP-2023</t>
        </r>
      </text>
    </comment>
    <comment ref="E53" authorId="0" shapeId="0" xr:uid="{00000000-0006-0000-0700-00000E000000}">
      <text>
        <r>
          <rPr>
            <b/>
            <sz val="9"/>
            <color indexed="81"/>
            <rFont val="Tahoma"/>
            <family val="2"/>
          </rPr>
          <t>PC:</t>
        </r>
        <r>
          <rPr>
            <sz val="9"/>
            <color indexed="81"/>
            <rFont val="Tahoma"/>
            <family val="2"/>
          </rPr>
          <t xml:space="preserve">
SEGUNDO PAGO 07-NOVIEMBRE-2024</t>
        </r>
      </text>
    </comment>
    <comment ref="E58" authorId="0" shapeId="0" xr:uid="{00000000-0006-0000-0700-00000F000000}">
      <text>
        <r>
          <rPr>
            <b/>
            <sz val="9"/>
            <color indexed="81"/>
            <rFont val="Tahoma"/>
            <family val="2"/>
          </rPr>
          <t>PC:</t>
        </r>
        <r>
          <rPr>
            <sz val="9"/>
            <color indexed="81"/>
            <rFont val="Tahoma"/>
            <family val="2"/>
          </rPr>
          <t xml:space="preserve">
SEGUNDO PAGO EN EFECTIVO A OSCAR 
17-JUIO-2023
$2,449.00</t>
        </r>
      </text>
    </comment>
    <comment ref="E70" authorId="0" shapeId="0" xr:uid="{00000000-0006-0000-0700-000010000000}">
      <text>
        <r>
          <rPr>
            <b/>
            <sz val="9"/>
            <color indexed="81"/>
            <rFont val="Tahoma"/>
            <family val="2"/>
          </rPr>
          <t>PC:</t>
        </r>
        <r>
          <rPr>
            <sz val="9"/>
            <color indexed="81"/>
            <rFont val="Tahoma"/>
            <family val="2"/>
          </rPr>
          <t xml:space="preserve">
SEGUNDO PAGO 10-MAYO-2024</t>
        </r>
      </text>
    </comment>
    <comment ref="E71" authorId="0" shapeId="0" xr:uid="{00000000-0006-0000-0700-000011000000}">
      <text>
        <r>
          <rPr>
            <b/>
            <sz val="9"/>
            <color indexed="81"/>
            <rFont val="Tahoma"/>
            <family val="2"/>
          </rPr>
          <t>PC:</t>
        </r>
        <r>
          <rPr>
            <sz val="9"/>
            <color indexed="81"/>
            <rFont val="Tahoma"/>
            <family val="2"/>
          </rPr>
          <t xml:space="preserve">
SEGUNDO PAGO 21-NOVIEMBRE-2024
$1,950.00</t>
        </r>
      </text>
    </comment>
    <comment ref="E81" authorId="0" shapeId="0" xr:uid="{00000000-0006-0000-0700-000012000000}">
      <text>
        <r>
          <rPr>
            <b/>
            <sz val="9"/>
            <color indexed="81"/>
            <rFont val="Tahoma"/>
            <family val="2"/>
          </rPr>
          <t>PC:</t>
        </r>
        <r>
          <rPr>
            <sz val="9"/>
            <color indexed="81"/>
            <rFont val="Tahoma"/>
            <family val="2"/>
          </rPr>
          <t xml:space="preserve">
SEGUNDO ABONO $19,250.00
22-JULIO-23
SEGUNDO ABONO AGOSTO 25-AGO-23 $14,870.00
SEGUNDO PAGO 23-DIC-2023
$13,150.00</t>
        </r>
      </text>
    </comment>
    <comment ref="E82" authorId="0" shapeId="0" xr:uid="{00000000-0006-0000-0700-000013000000}">
      <text>
        <r>
          <rPr>
            <b/>
            <sz val="9"/>
            <color indexed="81"/>
            <rFont val="Tahoma"/>
            <family val="2"/>
          </rPr>
          <t>PC:</t>
        </r>
        <r>
          <rPr>
            <sz val="9"/>
            <color indexed="81"/>
            <rFont val="Tahoma"/>
            <family val="2"/>
          </rPr>
          <t xml:space="preserve">
SEGUNDO PAGO 28-DICIEMBRE-2023 $2,950
SEGUNDO ABONO 25-ENERO-2024 $11,320.00
SEGUNDO PAGO 24-FEB-2024 $9,100.00
SEGUNDO PAGO 22-ABRIL-2024 $17,940.00
SEGUNDO PAGO 22-JUNIO-2024 ELIUD RECOGIO $16,000.00 EN EFECTIVO
SEGUNDO PAGO 21-AGOSTO-2024 $13,000.00
ABONO SEPTIEMBRE 
23-SEPTIEMBRE-2024 
RECOGIO JOSE LUIS $20,000.00
SEGUNDO PAGO A JOSE LUIS 24-OCTUBRE-2024 $14,290.00
SEGUNDO PAGO EN EFECTIVO A JOSE LUIS $17,000.00
ABONO EN EFECTIVO A OSCAR $14,000.00 17-ENERO-2025</t>
        </r>
      </text>
    </comment>
    <comment ref="E83" authorId="0" shapeId="0" xr:uid="{00000000-0006-0000-0700-000014000000}">
      <text>
        <r>
          <rPr>
            <b/>
            <sz val="9"/>
            <color indexed="81"/>
            <rFont val="Tahoma"/>
            <family val="2"/>
          </rPr>
          <t>PC:</t>
        </r>
        <r>
          <rPr>
            <sz val="9"/>
            <color indexed="81"/>
            <rFont val="Tahoma"/>
            <family val="2"/>
          </rPr>
          <t xml:space="preserve">
SEGUNDO ABONO
10-AGOSTO-2023
$2,000.00
SEGUNDO PAGO 19-AGOSTO-2024
$7,440.00
SEGUNDO PAGO 19-OCTUBRE-2024 $5,420.00
SEGUNDO PAGO 19-NOVIEMBRE-2024 $9,600.00</t>
        </r>
      </text>
    </comment>
    <comment ref="E93" authorId="0" shapeId="0" xr:uid="{00000000-0006-0000-0700-000015000000}">
      <text>
        <r>
          <rPr>
            <b/>
            <sz val="9"/>
            <color indexed="81"/>
            <rFont val="Tahoma"/>
            <family val="2"/>
          </rPr>
          <t>PC:</t>
        </r>
        <r>
          <rPr>
            <sz val="9"/>
            <color indexed="81"/>
            <rFont val="Tahoma"/>
            <family val="2"/>
          </rPr>
          <t xml:space="preserve">
SEGUNDO PAGO 22-ENERO-2024</t>
        </r>
      </text>
    </comment>
    <comment ref="E97" authorId="0" shapeId="0" xr:uid="{00000000-0006-0000-0700-000016000000}">
      <text>
        <r>
          <rPr>
            <b/>
            <sz val="9"/>
            <color indexed="81"/>
            <rFont val="Tahoma"/>
            <family val="2"/>
          </rPr>
          <t>PC:</t>
        </r>
        <r>
          <rPr>
            <sz val="9"/>
            <color indexed="81"/>
            <rFont val="Tahoma"/>
            <family val="2"/>
          </rPr>
          <t xml:space="preserve">
SEGUNDO PAGO 18-OCT-23</t>
        </r>
      </text>
    </comment>
    <comment ref="E99" authorId="0" shapeId="0" xr:uid="{00000000-0006-0000-0700-000017000000}">
      <text>
        <r>
          <rPr>
            <b/>
            <sz val="9"/>
            <color indexed="81"/>
            <rFont val="Tahoma"/>
            <family val="2"/>
          </rPr>
          <t>PC:</t>
        </r>
        <r>
          <rPr>
            <sz val="9"/>
            <color indexed="81"/>
            <rFont val="Tahoma"/>
            <family val="2"/>
          </rPr>
          <t xml:space="preserve">
SEGUNDO ABONO 22-AGOSTO-2023 
$2,000.00
SEGUNDO PAGO 24-ABRIL-2024 $6,452.00</t>
        </r>
      </text>
    </comment>
    <comment ref="E101" authorId="0" shapeId="0" xr:uid="{00000000-0006-0000-0700-000018000000}">
      <text>
        <r>
          <rPr>
            <b/>
            <sz val="9"/>
            <color indexed="81"/>
            <rFont val="Tahoma"/>
            <family val="2"/>
          </rPr>
          <t>PC:</t>
        </r>
        <r>
          <rPr>
            <sz val="9"/>
            <color indexed="81"/>
            <rFont val="Tahoma"/>
            <family val="2"/>
          </rPr>
          <t xml:space="preserve">
SEGUNDO PAGO POR REINGRESO 24-SEPTIEMBRE-2024</t>
        </r>
      </text>
    </comment>
    <comment ref="E107" authorId="0" shapeId="0" xr:uid="{00000000-0006-0000-0700-000019000000}">
      <text>
        <r>
          <rPr>
            <b/>
            <sz val="9"/>
            <color indexed="81"/>
            <rFont val="Tahoma"/>
            <family val="2"/>
          </rPr>
          <t>PC:</t>
        </r>
        <r>
          <rPr>
            <sz val="9"/>
            <color indexed="81"/>
            <rFont val="Tahoma"/>
            <family val="2"/>
          </rPr>
          <t xml:space="preserve">
SEGUNDO PAGO 14-JUNIO-2024 $6,540.00</t>
        </r>
      </text>
    </comment>
    <comment ref="E109" authorId="0" shapeId="0" xr:uid="{00000000-0006-0000-0700-00001A000000}">
      <text>
        <r>
          <rPr>
            <b/>
            <sz val="9"/>
            <color indexed="81"/>
            <rFont val="Tahoma"/>
            <family val="2"/>
          </rPr>
          <t>SEGUNDO PAGO 20-DICIEMBRE-2023</t>
        </r>
      </text>
    </comment>
    <comment ref="E112" authorId="0" shapeId="0" xr:uid="{00000000-0006-0000-0700-00001B000000}">
      <text>
        <r>
          <rPr>
            <b/>
            <sz val="9"/>
            <color indexed="81"/>
            <rFont val="Tahoma"/>
            <family val="2"/>
          </rPr>
          <t>PC:</t>
        </r>
        <r>
          <rPr>
            <sz val="9"/>
            <color indexed="81"/>
            <rFont val="Tahoma"/>
            <family val="2"/>
          </rPr>
          <t xml:space="preserve">
SEGUNDO PAGO 19-SEP-2023</t>
        </r>
      </text>
    </comment>
    <comment ref="E113" authorId="0" shapeId="0" xr:uid="{00000000-0006-0000-0700-00001C000000}">
      <text>
        <r>
          <rPr>
            <b/>
            <sz val="9"/>
            <color indexed="81"/>
            <rFont val="Tahoma"/>
            <family val="2"/>
          </rPr>
          <t>PC:</t>
        </r>
        <r>
          <rPr>
            <sz val="9"/>
            <color indexed="81"/>
            <rFont val="Tahoma"/>
            <family val="2"/>
          </rPr>
          <t xml:space="preserve">
SEGUNDO PAGO 12-NOVIEMBRE-2024 $280.00</t>
        </r>
      </text>
    </comment>
    <comment ref="E116" authorId="0" shapeId="0" xr:uid="{00000000-0006-0000-0700-00001D000000}">
      <text>
        <r>
          <rPr>
            <b/>
            <sz val="9"/>
            <color indexed="81"/>
            <rFont val="Tahoma"/>
            <family val="2"/>
          </rPr>
          <t>PC:</t>
        </r>
        <r>
          <rPr>
            <sz val="9"/>
            <color indexed="81"/>
            <rFont val="Tahoma"/>
            <family val="2"/>
          </rPr>
          <t xml:space="preserve">
LIQUIDA EL DIA 20-MARZO-2024
</t>
        </r>
      </text>
    </comment>
    <comment ref="E120" authorId="0" shapeId="0" xr:uid="{00000000-0006-0000-0700-00001E000000}">
      <text>
        <r>
          <rPr>
            <b/>
            <sz val="9"/>
            <color indexed="81"/>
            <rFont val="Tahoma"/>
            <family val="2"/>
          </rPr>
          <t>PC:</t>
        </r>
        <r>
          <rPr>
            <sz val="9"/>
            <color indexed="81"/>
            <rFont val="Tahoma"/>
            <family val="2"/>
          </rPr>
          <t xml:space="preserve">
SEGUNDO PAGO 23-DICIEMBRE-2024</t>
        </r>
      </text>
    </comment>
    <comment ref="E121" authorId="0" shapeId="0" xr:uid="{00000000-0006-0000-0700-00001F000000}">
      <text>
        <r>
          <rPr>
            <b/>
            <sz val="9"/>
            <color indexed="81"/>
            <rFont val="Tahoma"/>
            <family val="2"/>
          </rPr>
          <t>PC:</t>
        </r>
        <r>
          <rPr>
            <sz val="9"/>
            <color indexed="81"/>
            <rFont val="Tahoma"/>
            <family val="2"/>
          </rPr>
          <t xml:space="preserve">
SEGUNDO PAGO 29-DIC-2023</t>
        </r>
      </text>
    </comment>
    <comment ref="E131" authorId="0" shapeId="0" xr:uid="{00000000-0006-0000-0700-000020000000}">
      <text>
        <r>
          <rPr>
            <b/>
            <sz val="9"/>
            <color indexed="81"/>
            <rFont val="Tahoma"/>
            <family val="2"/>
          </rPr>
          <t>PC:</t>
        </r>
        <r>
          <rPr>
            <sz val="9"/>
            <color indexed="81"/>
            <rFont val="Tahoma"/>
            <family val="2"/>
          </rPr>
          <t xml:space="preserve">
SEGUNDO ABONO 22-NOVIEMBRE-2024 $1,150.00</t>
        </r>
      </text>
    </comment>
    <comment ref="E139" authorId="0" shapeId="0" xr:uid="{00000000-0006-0000-0700-000021000000}">
      <text>
        <r>
          <rPr>
            <b/>
            <sz val="9"/>
            <color indexed="81"/>
            <rFont val="Tahoma"/>
            <family val="2"/>
          </rPr>
          <t>PC:</t>
        </r>
        <r>
          <rPr>
            <sz val="9"/>
            <color indexed="81"/>
            <rFont val="Tahoma"/>
            <family val="2"/>
          </rPr>
          <t xml:space="preserve">
SEGUNDO PAGO 26-DIC-2023</t>
        </r>
      </text>
    </comment>
    <comment ref="E141" authorId="0" shapeId="0" xr:uid="{00000000-0006-0000-0700-000022000000}">
      <text>
        <r>
          <rPr>
            <b/>
            <sz val="9"/>
            <color indexed="81"/>
            <rFont val="Tahoma"/>
            <family val="2"/>
          </rPr>
          <t>PC:</t>
        </r>
        <r>
          <rPr>
            <sz val="9"/>
            <color indexed="81"/>
            <rFont val="Tahoma"/>
            <family val="2"/>
          </rPr>
          <t xml:space="preserve">
PAGÓ 20-SEP-2023</t>
        </r>
      </text>
    </comment>
    <comment ref="E142" authorId="0" shapeId="0" xr:uid="{00000000-0006-0000-0700-000023000000}">
      <text>
        <r>
          <rPr>
            <b/>
            <sz val="9"/>
            <color indexed="81"/>
            <rFont val="Tahoma"/>
            <family val="2"/>
          </rPr>
          <t>PC:</t>
        </r>
        <r>
          <rPr>
            <sz val="9"/>
            <color indexed="81"/>
            <rFont val="Tahoma"/>
            <family val="2"/>
          </rPr>
          <t xml:space="preserve">
SEGUNDO PAGO 07-NOVIEMBRE-2024</t>
        </r>
      </text>
    </comment>
    <comment ref="E147" authorId="0" shapeId="0" xr:uid="{00000000-0006-0000-0700-000024000000}">
      <text>
        <r>
          <rPr>
            <b/>
            <sz val="9"/>
            <color indexed="81"/>
            <rFont val="Tahoma"/>
            <family val="2"/>
          </rPr>
          <t>PC:</t>
        </r>
        <r>
          <rPr>
            <sz val="9"/>
            <color indexed="81"/>
            <rFont val="Tahoma"/>
            <family val="2"/>
          </rPr>
          <t xml:space="preserve">
SEGUNDO PAGO EN EFECTIVO A OSCAR 
17-JUIO-2023
$2,449.00</t>
        </r>
      </text>
    </comment>
    <comment ref="E159" authorId="0" shapeId="0" xr:uid="{00000000-0006-0000-0700-000025000000}">
      <text>
        <r>
          <rPr>
            <b/>
            <sz val="9"/>
            <color indexed="81"/>
            <rFont val="Tahoma"/>
            <family val="2"/>
          </rPr>
          <t>PC:</t>
        </r>
        <r>
          <rPr>
            <sz val="9"/>
            <color indexed="81"/>
            <rFont val="Tahoma"/>
            <family val="2"/>
          </rPr>
          <t xml:space="preserve">
SEGUNDO PAGO 10-MAYO-2024</t>
        </r>
      </text>
    </comment>
    <comment ref="E160" authorId="0" shapeId="0" xr:uid="{00000000-0006-0000-0700-000026000000}">
      <text>
        <r>
          <rPr>
            <b/>
            <sz val="9"/>
            <color indexed="81"/>
            <rFont val="Tahoma"/>
            <family val="2"/>
          </rPr>
          <t>PC:</t>
        </r>
        <r>
          <rPr>
            <sz val="9"/>
            <color indexed="81"/>
            <rFont val="Tahoma"/>
            <family val="2"/>
          </rPr>
          <t xml:space="preserve">
SEGUNDO PAGO 21-NOVIEMBRE-2024
$1,950.00</t>
        </r>
      </text>
    </comment>
    <comment ref="E168" authorId="0" shapeId="0" xr:uid="{00000000-0006-0000-0700-000027000000}">
      <text>
        <r>
          <rPr>
            <b/>
            <sz val="9"/>
            <color indexed="81"/>
            <rFont val="Tahoma"/>
            <family val="2"/>
          </rPr>
          <t>PC:</t>
        </r>
        <r>
          <rPr>
            <sz val="9"/>
            <color indexed="81"/>
            <rFont val="Tahoma"/>
            <family val="2"/>
          </rPr>
          <t xml:space="preserve">
SEGUNDO ABONO $19,250.00
22-JULIO-23
SEGUNDO ABONO AGOSTO 25-AGO-23 $14,870.00
SEGUNDO PAGO 23-DIC-2023
$13,150.00</t>
        </r>
      </text>
    </comment>
    <comment ref="E169" authorId="0" shapeId="0" xr:uid="{00000000-0006-0000-0700-000028000000}">
      <text>
        <r>
          <rPr>
            <b/>
            <sz val="9"/>
            <color indexed="81"/>
            <rFont val="Tahoma"/>
            <family val="2"/>
          </rPr>
          <t>PC:</t>
        </r>
        <r>
          <rPr>
            <sz val="9"/>
            <color indexed="81"/>
            <rFont val="Tahoma"/>
            <family val="2"/>
          </rPr>
          <t xml:space="preserve">
SEGUNDO PAGO 28-DICIEMBRE-2023 $2,950
SEGUNDO ABONO 25-ENERO-2024 $11,320.00
SEGUNDO PAGO 24-FEB-2024 $9,100.00
SEGUNDO PAGO 22-ABRIL-2024 $17,940.00
SEGUNDO PAGO 22-JUNIO-2024 ELIUD RECOGIO $16,000.00 EN EFECTIVO
SEGUNDO PAGO 21-AGOSTO-2024 $13,000.00
ABONO SEPTIEMBRE 
23-SEPTIEMBRE-2024 
RECOGIO JOSE LUIS $20,000.00
SEGUNDO PAGO A JOSE LUIS 24-OCTUBRE-2024 $14,290.00
SEGUNDO PAGO EN EFECTIVO A JOSE LUIS $17,000.00
ABONO EN EFECTIVO A OSCAR $14,000.00 17-ENERO-2025</t>
        </r>
      </text>
    </comment>
    <comment ref="E170" authorId="0" shapeId="0" xr:uid="{00000000-0006-0000-0700-000029000000}">
      <text>
        <r>
          <rPr>
            <b/>
            <sz val="9"/>
            <color indexed="81"/>
            <rFont val="Tahoma"/>
            <family val="2"/>
          </rPr>
          <t>PC:</t>
        </r>
        <r>
          <rPr>
            <sz val="9"/>
            <color indexed="81"/>
            <rFont val="Tahoma"/>
            <family val="2"/>
          </rPr>
          <t xml:space="preserve">
SEGUNDO ABONO
10-AGOSTO-2023
$2,000.00
SEGUNDO PAGO 19-AGOSTO-2024
$7,440.00
SEGUNDO PAGO 19-OCTUBRE-2024 $5,420.00
SEGUNDO PAGO 19-NOVIEMBRE-2024 $9,600.00</t>
        </r>
      </text>
    </comment>
    <comment ref="E183" authorId="0" shapeId="0" xr:uid="{00000000-0006-0000-0700-00002A000000}">
      <text>
        <r>
          <rPr>
            <b/>
            <sz val="9"/>
            <color indexed="81"/>
            <rFont val="Tahoma"/>
            <family val="2"/>
          </rPr>
          <t>PC:</t>
        </r>
        <r>
          <rPr>
            <sz val="9"/>
            <color indexed="81"/>
            <rFont val="Tahoma"/>
            <family val="2"/>
          </rPr>
          <t xml:space="preserve">
SEGUNDO PAGO 22-ENERO-2024</t>
        </r>
      </text>
    </comment>
    <comment ref="E187" authorId="0" shapeId="0" xr:uid="{00000000-0006-0000-0700-00002B000000}">
      <text>
        <r>
          <rPr>
            <b/>
            <sz val="9"/>
            <color indexed="81"/>
            <rFont val="Tahoma"/>
            <family val="2"/>
          </rPr>
          <t>PC:</t>
        </r>
        <r>
          <rPr>
            <sz val="9"/>
            <color indexed="81"/>
            <rFont val="Tahoma"/>
            <family val="2"/>
          </rPr>
          <t xml:space="preserve">
SEGUNDO PAGO 18-OCT-23</t>
        </r>
      </text>
    </comment>
    <comment ref="E189" authorId="0" shapeId="0" xr:uid="{00000000-0006-0000-0700-00002C000000}">
      <text>
        <r>
          <rPr>
            <b/>
            <sz val="9"/>
            <color indexed="81"/>
            <rFont val="Tahoma"/>
            <family val="2"/>
          </rPr>
          <t>PC:</t>
        </r>
        <r>
          <rPr>
            <sz val="9"/>
            <color indexed="81"/>
            <rFont val="Tahoma"/>
            <family val="2"/>
          </rPr>
          <t xml:space="preserve">
SEGUNDO ABONO 22-AGOSTO-2023 
$2,000.00
SEGUNDO PAGO 24-ABRIL-2024 $6,452.00</t>
        </r>
      </text>
    </comment>
    <comment ref="E195" authorId="0" shapeId="0" xr:uid="{00000000-0006-0000-0700-00002D000000}">
      <text>
        <r>
          <rPr>
            <b/>
            <sz val="9"/>
            <color indexed="81"/>
            <rFont val="Tahoma"/>
            <family val="2"/>
          </rPr>
          <t>PC:</t>
        </r>
        <r>
          <rPr>
            <sz val="9"/>
            <color indexed="81"/>
            <rFont val="Tahoma"/>
            <family val="2"/>
          </rPr>
          <t xml:space="preserve">
SEGUNDO PAGO 14-JUNIO-2024 $6,540.00
SEGUNDO PAGO 11-MARZO-2025 $2,050.00</t>
        </r>
      </text>
    </comment>
    <comment ref="E199" authorId="0" shapeId="0" xr:uid="{00000000-0006-0000-0700-00002E000000}">
      <text>
        <r>
          <rPr>
            <b/>
            <sz val="9"/>
            <color indexed="81"/>
            <rFont val="Tahoma"/>
            <family val="2"/>
          </rPr>
          <t>PC:</t>
        </r>
        <r>
          <rPr>
            <sz val="9"/>
            <color indexed="81"/>
            <rFont val="Tahoma"/>
            <family val="2"/>
          </rPr>
          <t xml:space="preserve">
SEGUNDO PAGO 19-SEP-2023</t>
        </r>
      </text>
    </comment>
    <comment ref="E200" authorId="0" shapeId="0" xr:uid="{00000000-0006-0000-0700-00002F000000}">
      <text>
        <r>
          <rPr>
            <b/>
            <sz val="9"/>
            <color indexed="81"/>
            <rFont val="Tahoma"/>
            <family val="2"/>
          </rPr>
          <t>PC:</t>
        </r>
        <r>
          <rPr>
            <sz val="9"/>
            <color indexed="81"/>
            <rFont val="Tahoma"/>
            <family val="2"/>
          </rPr>
          <t xml:space="preserve">
SEGUNDO PAGO 12-NOVIEMBRE-2024 $280.00</t>
        </r>
      </text>
    </comment>
    <comment ref="E203" authorId="0" shapeId="0" xr:uid="{00000000-0006-0000-0700-000030000000}">
      <text>
        <r>
          <rPr>
            <b/>
            <sz val="9"/>
            <color indexed="81"/>
            <rFont val="Tahoma"/>
            <family val="2"/>
          </rPr>
          <t>PC:</t>
        </r>
        <r>
          <rPr>
            <sz val="9"/>
            <color indexed="81"/>
            <rFont val="Tahoma"/>
            <family val="2"/>
          </rPr>
          <t xml:space="preserve">
LIQUIDA EL DIA 20-MARZO-2024
</t>
        </r>
      </text>
    </comment>
    <comment ref="E207" authorId="0" shapeId="0" xr:uid="{00000000-0006-0000-0700-000031000000}">
      <text>
        <r>
          <rPr>
            <b/>
            <sz val="9"/>
            <color indexed="81"/>
            <rFont val="Tahoma"/>
            <family val="2"/>
          </rPr>
          <t>PC:</t>
        </r>
        <r>
          <rPr>
            <sz val="9"/>
            <color indexed="81"/>
            <rFont val="Tahoma"/>
            <family val="2"/>
          </rPr>
          <t xml:space="preserve">
SEGUNDO PAGO 23-DICIEMBRE-2024</t>
        </r>
      </text>
    </comment>
    <comment ref="E208" authorId="0" shapeId="0" xr:uid="{00000000-0006-0000-0700-000032000000}">
      <text>
        <r>
          <rPr>
            <b/>
            <sz val="9"/>
            <color indexed="81"/>
            <rFont val="Tahoma"/>
            <family val="2"/>
          </rPr>
          <t>PC:</t>
        </r>
        <r>
          <rPr>
            <sz val="9"/>
            <color indexed="81"/>
            <rFont val="Tahoma"/>
            <family val="2"/>
          </rPr>
          <t xml:space="preserve">
SEGUNDO PAGO 29-DIC-2023</t>
        </r>
      </text>
    </comment>
    <comment ref="E215" authorId="0" shapeId="0" xr:uid="{00000000-0006-0000-0700-000033000000}">
      <text>
        <r>
          <rPr>
            <b/>
            <sz val="9"/>
            <color indexed="81"/>
            <rFont val="Tahoma"/>
            <family val="2"/>
          </rPr>
          <t>PC:</t>
        </r>
        <r>
          <rPr>
            <sz val="9"/>
            <color indexed="81"/>
            <rFont val="Tahoma"/>
            <family val="2"/>
          </rPr>
          <t xml:space="preserve">
SEGUNDO ABONO 22-NOVIEMBRE-2024 $1,150.00</t>
        </r>
      </text>
    </comment>
    <comment ref="E222" authorId="0" shapeId="0" xr:uid="{00000000-0006-0000-0700-000034000000}">
      <text>
        <r>
          <rPr>
            <b/>
            <sz val="9"/>
            <color indexed="81"/>
            <rFont val="Tahoma"/>
            <family val="2"/>
          </rPr>
          <t>PC:</t>
        </r>
        <r>
          <rPr>
            <sz val="9"/>
            <color indexed="81"/>
            <rFont val="Tahoma"/>
            <family val="2"/>
          </rPr>
          <t xml:space="preserve">
SEGUNDO PAGO 26-DIC-2023</t>
        </r>
      </text>
    </comment>
    <comment ref="E224" authorId="0" shapeId="0" xr:uid="{00000000-0006-0000-0700-000035000000}">
      <text>
        <r>
          <rPr>
            <b/>
            <sz val="9"/>
            <color indexed="81"/>
            <rFont val="Tahoma"/>
            <family val="2"/>
          </rPr>
          <t>PC:</t>
        </r>
        <r>
          <rPr>
            <sz val="9"/>
            <color indexed="81"/>
            <rFont val="Tahoma"/>
            <family val="2"/>
          </rPr>
          <t xml:space="preserve">
PAGÓ 20-SEP-2023</t>
        </r>
      </text>
    </comment>
    <comment ref="E228" authorId="0" shapeId="0" xr:uid="{00000000-0006-0000-0700-000036000000}">
      <text>
        <r>
          <rPr>
            <b/>
            <sz val="9"/>
            <color indexed="81"/>
            <rFont val="Tahoma"/>
            <family val="2"/>
          </rPr>
          <t>PC:</t>
        </r>
        <r>
          <rPr>
            <sz val="9"/>
            <color indexed="81"/>
            <rFont val="Tahoma"/>
            <family val="2"/>
          </rPr>
          <t xml:space="preserve">
SEGUNDO PAGO EN EFECTIVO A OSCAR 
17-JUIO-2023
$2,449.00</t>
        </r>
      </text>
    </comment>
    <comment ref="E239" authorId="0" shapeId="0" xr:uid="{00000000-0006-0000-0700-000037000000}">
      <text>
        <r>
          <rPr>
            <b/>
            <sz val="9"/>
            <color indexed="81"/>
            <rFont val="Tahoma"/>
            <family val="2"/>
          </rPr>
          <t>PC:</t>
        </r>
        <r>
          <rPr>
            <sz val="9"/>
            <color indexed="81"/>
            <rFont val="Tahoma"/>
            <family val="2"/>
          </rPr>
          <t xml:space="preserve">
SEGUNDO PAGO 10-MAYO-2024</t>
        </r>
      </text>
    </comment>
    <comment ref="E240" authorId="0" shapeId="0" xr:uid="{00000000-0006-0000-0700-000038000000}">
      <text>
        <r>
          <rPr>
            <b/>
            <sz val="9"/>
            <color indexed="81"/>
            <rFont val="Tahoma"/>
            <family val="2"/>
          </rPr>
          <t>PC:</t>
        </r>
        <r>
          <rPr>
            <sz val="9"/>
            <color indexed="81"/>
            <rFont val="Tahoma"/>
            <family val="2"/>
          </rPr>
          <t xml:space="preserve">
SEGUNDO PAGO 21-NOVIEMBRE-2024
$1,950.00</t>
        </r>
      </text>
    </comment>
    <comment ref="E249" authorId="0" shapeId="0" xr:uid="{00000000-0006-0000-0700-000039000000}">
      <text>
        <r>
          <rPr>
            <b/>
            <sz val="9"/>
            <color indexed="81"/>
            <rFont val="Tahoma"/>
            <family val="2"/>
          </rPr>
          <t>PC:</t>
        </r>
        <r>
          <rPr>
            <sz val="9"/>
            <color indexed="81"/>
            <rFont val="Tahoma"/>
            <family val="2"/>
          </rPr>
          <t xml:space="preserve">
SEGUNDO ABONO $19,250.00
22-JULIO-23
SEGUNDO ABONO AGOSTO 25-AGO-23 $14,870.00
SEGUNDO PAGO 23-DIC-2023
$13,150.00</t>
        </r>
      </text>
    </comment>
    <comment ref="E250" authorId="0" shapeId="0" xr:uid="{00000000-0006-0000-0700-00003A000000}">
      <text>
        <r>
          <rPr>
            <b/>
            <sz val="9"/>
            <color indexed="81"/>
            <rFont val="Tahoma"/>
            <family val="2"/>
          </rPr>
          <t>PC:</t>
        </r>
        <r>
          <rPr>
            <sz val="9"/>
            <color indexed="81"/>
            <rFont val="Tahoma"/>
            <family val="2"/>
          </rPr>
          <t xml:space="preserve">
SEGUNDO PAGO 28-DICIEMBRE-2023 $2,950
SEGUNDO ABONO 25-ENERO-2024 $11,320.00
SEGUNDO PAGO 24-FEB-2024 $9,100.00
SEGUNDO PAGO 22-ABRIL-2024 $17,940.00
SEGUNDO PAGO 22-JUNIO-2024 ELIUD RECOGIO $16,000.00 EN EFECTIVO
SEGUNDO PAGO 21-AGOSTO-2024 $13,000.00
ABONO SEPTIEMBRE 
23-SEPTIEMBRE-2024 
RECOGIO JOSE LUIS $20,000.00
SEGUNDO PAGO A JOSE LUIS 24-OCTUBRE-2024 $14,290.00
SEGUNDO PAGO EN EFECTIVO A JOSE LUIS $17,000.00
ABONO EN EFECTIVO A OSCAR $14,000.00 17-ENERO-2025</t>
        </r>
      </text>
    </comment>
    <comment ref="E251" authorId="0" shapeId="0" xr:uid="{00000000-0006-0000-0700-00003B000000}">
      <text>
        <r>
          <rPr>
            <b/>
            <sz val="9"/>
            <color indexed="81"/>
            <rFont val="Tahoma"/>
            <family val="2"/>
          </rPr>
          <t>PC:</t>
        </r>
        <r>
          <rPr>
            <sz val="9"/>
            <color indexed="81"/>
            <rFont val="Tahoma"/>
            <family val="2"/>
          </rPr>
          <t xml:space="preserve">
SEGUNDO ABONO
10-AGOSTO-2023
$2,000.00
SEGUNDO PAGO 19-AGOSTO-2024
$7,440.00
SEGUNDO PAGO 19-OCTUBRE-2024 $5,420.00
SEGUNDO PAGO 19-NOVIEMBRE-2024 $9,600.00</t>
        </r>
      </text>
    </comment>
    <comment ref="E268" authorId="0" shapeId="0" xr:uid="{00000000-0006-0000-0700-00003C000000}">
      <text>
        <r>
          <rPr>
            <b/>
            <sz val="9"/>
            <color indexed="81"/>
            <rFont val="Tahoma"/>
            <family val="2"/>
          </rPr>
          <t>PC:</t>
        </r>
        <r>
          <rPr>
            <sz val="9"/>
            <color indexed="81"/>
            <rFont val="Tahoma"/>
            <family val="2"/>
          </rPr>
          <t xml:space="preserve">
SEGUNDO PAGO 22-ENERO-2024</t>
        </r>
      </text>
    </comment>
    <comment ref="E272" authorId="0" shapeId="0" xr:uid="{00000000-0006-0000-0700-00003D000000}">
      <text>
        <r>
          <rPr>
            <b/>
            <sz val="9"/>
            <color indexed="81"/>
            <rFont val="Tahoma"/>
            <family val="2"/>
          </rPr>
          <t>PC:</t>
        </r>
        <r>
          <rPr>
            <sz val="9"/>
            <color indexed="81"/>
            <rFont val="Tahoma"/>
            <family val="2"/>
          </rPr>
          <t xml:space="preserve">
SEGUNDO PAGO 18-OCT-23</t>
        </r>
      </text>
    </comment>
    <comment ref="E274" authorId="0" shapeId="0" xr:uid="{00000000-0006-0000-0700-00003E000000}">
      <text>
        <r>
          <rPr>
            <b/>
            <sz val="9"/>
            <color indexed="81"/>
            <rFont val="Tahoma"/>
            <family val="2"/>
          </rPr>
          <t>PC:</t>
        </r>
        <r>
          <rPr>
            <sz val="9"/>
            <color indexed="81"/>
            <rFont val="Tahoma"/>
            <family val="2"/>
          </rPr>
          <t xml:space="preserve">
SEGUNDO ABONO 22-AGOSTO-2023 
$2,000.00
SEGUNDO PAGO 24-ABRIL-2024 $6,452.00</t>
        </r>
      </text>
    </comment>
    <comment ref="E281" authorId="0" shapeId="0" xr:uid="{00000000-0006-0000-0700-00003F000000}">
      <text>
        <r>
          <rPr>
            <b/>
            <sz val="9"/>
            <color indexed="81"/>
            <rFont val="Tahoma"/>
            <family val="2"/>
          </rPr>
          <t>PC:</t>
        </r>
        <r>
          <rPr>
            <sz val="9"/>
            <color indexed="81"/>
            <rFont val="Tahoma"/>
            <family val="2"/>
          </rPr>
          <t xml:space="preserve">
SEGUNDO PAGO 14-JUNIO-2024 $6,540.00
SEGUNDO PAGO 11-MARZO-2025 $2,050.00</t>
        </r>
      </text>
    </comment>
    <comment ref="E286" authorId="0" shapeId="0" xr:uid="{00000000-0006-0000-0700-000040000000}">
      <text>
        <r>
          <rPr>
            <b/>
            <sz val="9"/>
            <color indexed="81"/>
            <rFont val="Tahoma"/>
            <family val="2"/>
          </rPr>
          <t>PC:</t>
        </r>
        <r>
          <rPr>
            <sz val="9"/>
            <color indexed="81"/>
            <rFont val="Tahoma"/>
            <family val="2"/>
          </rPr>
          <t xml:space="preserve">
SEGUNDO PAGO 19-SEP-2023</t>
        </r>
      </text>
    </comment>
    <comment ref="E287" authorId="0" shapeId="0" xr:uid="{00000000-0006-0000-0700-000041000000}">
      <text>
        <r>
          <rPr>
            <b/>
            <sz val="9"/>
            <color indexed="81"/>
            <rFont val="Tahoma"/>
            <family val="2"/>
          </rPr>
          <t>PC:</t>
        </r>
        <r>
          <rPr>
            <sz val="9"/>
            <color indexed="81"/>
            <rFont val="Tahoma"/>
            <family val="2"/>
          </rPr>
          <t xml:space="preserve">
SEGUNDO PAGO 12-NOVIEMBRE-2024 $280.00</t>
        </r>
      </text>
    </comment>
    <comment ref="E290" authorId="0" shapeId="0" xr:uid="{00000000-0006-0000-0700-000042000000}">
      <text>
        <r>
          <rPr>
            <b/>
            <sz val="9"/>
            <color indexed="81"/>
            <rFont val="Tahoma"/>
            <family val="2"/>
          </rPr>
          <t>PC:</t>
        </r>
        <r>
          <rPr>
            <sz val="9"/>
            <color indexed="81"/>
            <rFont val="Tahoma"/>
            <family val="2"/>
          </rPr>
          <t xml:space="preserve">
LIQUIDA EL DIA 20-MARZO-2024
</t>
        </r>
      </text>
    </comment>
    <comment ref="E294" authorId="0" shapeId="0" xr:uid="{00000000-0006-0000-0700-000043000000}">
      <text>
        <r>
          <rPr>
            <b/>
            <sz val="9"/>
            <color indexed="81"/>
            <rFont val="Tahoma"/>
            <family val="2"/>
          </rPr>
          <t>PC:</t>
        </r>
        <r>
          <rPr>
            <sz val="9"/>
            <color indexed="81"/>
            <rFont val="Tahoma"/>
            <family val="2"/>
          </rPr>
          <t xml:space="preserve">
SEGUNDO PAGO 23-DICIEMBRE-2024</t>
        </r>
      </text>
    </comment>
    <comment ref="E295" authorId="0" shapeId="0" xr:uid="{00000000-0006-0000-0700-000044000000}">
      <text>
        <r>
          <rPr>
            <b/>
            <sz val="9"/>
            <color indexed="81"/>
            <rFont val="Tahoma"/>
            <family val="2"/>
          </rPr>
          <t>PC:</t>
        </r>
        <r>
          <rPr>
            <sz val="9"/>
            <color indexed="81"/>
            <rFont val="Tahoma"/>
            <family val="2"/>
          </rPr>
          <t xml:space="preserve">
SEGUNDO PAGO 29-DIC-2023</t>
        </r>
      </text>
    </comment>
    <comment ref="E302" authorId="0" shapeId="0" xr:uid="{00000000-0006-0000-0700-000045000000}">
      <text>
        <r>
          <rPr>
            <b/>
            <sz val="9"/>
            <color indexed="81"/>
            <rFont val="Tahoma"/>
            <family val="2"/>
          </rPr>
          <t>PC:</t>
        </r>
        <r>
          <rPr>
            <sz val="9"/>
            <color indexed="81"/>
            <rFont val="Tahoma"/>
            <family val="2"/>
          </rPr>
          <t xml:space="preserve">
SEGUNDO ABONO 22-NOVIEMBRE-2024 $1,150.00</t>
        </r>
      </text>
    </comment>
    <comment ref="E309" authorId="0" shapeId="0" xr:uid="{00000000-0006-0000-0700-000046000000}">
      <text>
        <r>
          <rPr>
            <b/>
            <sz val="9"/>
            <color indexed="81"/>
            <rFont val="Tahoma"/>
            <family val="2"/>
          </rPr>
          <t>PC:</t>
        </r>
        <r>
          <rPr>
            <sz val="9"/>
            <color indexed="81"/>
            <rFont val="Tahoma"/>
            <family val="2"/>
          </rPr>
          <t xml:space="preserve">
SEGUNDO PAGO 26-DIC-2023</t>
        </r>
      </text>
    </comment>
    <comment ref="E311" authorId="0" shapeId="0" xr:uid="{00000000-0006-0000-0700-000047000000}">
      <text>
        <r>
          <rPr>
            <b/>
            <sz val="9"/>
            <color indexed="81"/>
            <rFont val="Tahoma"/>
            <family val="2"/>
          </rPr>
          <t>PC:</t>
        </r>
        <r>
          <rPr>
            <sz val="9"/>
            <color indexed="81"/>
            <rFont val="Tahoma"/>
            <family val="2"/>
          </rPr>
          <t xml:space="preserve">
PAGÓ 20-SEP-2023</t>
        </r>
      </text>
    </comment>
    <comment ref="E315" authorId="0" shapeId="0" xr:uid="{00000000-0006-0000-0700-000048000000}">
      <text>
        <r>
          <rPr>
            <b/>
            <sz val="9"/>
            <color indexed="81"/>
            <rFont val="Tahoma"/>
            <family val="2"/>
          </rPr>
          <t>PC:</t>
        </r>
        <r>
          <rPr>
            <sz val="9"/>
            <color indexed="81"/>
            <rFont val="Tahoma"/>
            <family val="2"/>
          </rPr>
          <t xml:space="preserve">
SEGUNDO PAGO EN EFECTIVO A OSCAR 
17-JUIO-2023
$2,449.00</t>
        </r>
      </text>
    </comment>
    <comment ref="E327" authorId="0" shapeId="0" xr:uid="{00000000-0006-0000-0700-000049000000}">
      <text>
        <r>
          <rPr>
            <b/>
            <sz val="9"/>
            <color indexed="81"/>
            <rFont val="Tahoma"/>
            <family val="2"/>
          </rPr>
          <t>PC:</t>
        </r>
        <r>
          <rPr>
            <sz val="9"/>
            <color indexed="81"/>
            <rFont val="Tahoma"/>
            <family val="2"/>
          </rPr>
          <t xml:space="preserve">
SEGUNDO PAGO 10-MAYO-2024</t>
        </r>
      </text>
    </comment>
    <comment ref="E328" authorId="0" shapeId="0" xr:uid="{00000000-0006-0000-0700-00004A000000}">
      <text>
        <r>
          <rPr>
            <b/>
            <sz val="9"/>
            <color indexed="81"/>
            <rFont val="Tahoma"/>
            <family val="2"/>
          </rPr>
          <t>PC:</t>
        </r>
        <r>
          <rPr>
            <sz val="9"/>
            <color indexed="81"/>
            <rFont val="Tahoma"/>
            <family val="2"/>
          </rPr>
          <t xml:space="preserve">
SEGUNDO PAGO 21-NOVIEMBRE-2024
$1,950.00</t>
        </r>
      </text>
    </comment>
    <comment ref="E338" authorId="0" shapeId="0" xr:uid="{00000000-0006-0000-0700-00004B000000}">
      <text>
        <r>
          <rPr>
            <b/>
            <sz val="9"/>
            <color indexed="81"/>
            <rFont val="Tahoma"/>
            <family val="2"/>
          </rPr>
          <t>PC:</t>
        </r>
        <r>
          <rPr>
            <sz val="9"/>
            <color indexed="81"/>
            <rFont val="Tahoma"/>
            <family val="2"/>
          </rPr>
          <t xml:space="preserve">
SEGUNDO ABONO $19,250.00
22-JULIO-23
SEGUNDO ABONO AGOSTO 25-AGO-23 $14,870.00
SEGUNDO PAGO 23-DIC-2023
$13,150.00</t>
        </r>
      </text>
    </comment>
    <comment ref="E339" authorId="0" shapeId="0" xr:uid="{00000000-0006-0000-0700-00004C000000}">
      <text>
        <r>
          <rPr>
            <b/>
            <sz val="9"/>
            <color indexed="81"/>
            <rFont val="Tahoma"/>
            <family val="2"/>
          </rPr>
          <t>PC:</t>
        </r>
        <r>
          <rPr>
            <sz val="9"/>
            <color indexed="81"/>
            <rFont val="Tahoma"/>
            <family val="2"/>
          </rPr>
          <t xml:space="preserve">
SEGUNDO PAGO 28-DICIEMBRE-2023 $2,950
SEGUNDO ABONO 25-ENERO-2024 $11,320.00
SEGUNDO PAGO 24-FEB-2024 $9,100.00
SEGUNDO PAGO 22-ABRIL-2024 $17,940.00
SEGUNDO PAGO 22-JUNIO-2024 ELIUD RECOGIO $16,000.00 EN EFECTIVO
SEGUNDO PAGO 21-AGOSTO-2024 $13,000.00
ABONO SEPTIEMBRE 
23-SEPTIEMBRE-2024 
RECOGIO JOSE LUIS $20,000.00
SEGUNDO PAGO A JOSE LUIS 24-OCTUBRE-2024 $14,290.00
SEGUNDO PAGO EN EFECTIVO A JOSE LUIS $17,000.00
ABONO EN EFECTIVO A OSCAR $14,000.00 17-ENERO-2025</t>
        </r>
      </text>
    </comment>
    <comment ref="E340" authorId="0" shapeId="0" xr:uid="{00000000-0006-0000-0700-00004D000000}">
      <text>
        <r>
          <rPr>
            <b/>
            <sz val="9"/>
            <color indexed="81"/>
            <rFont val="Tahoma"/>
            <family val="2"/>
          </rPr>
          <t>PC:</t>
        </r>
        <r>
          <rPr>
            <sz val="9"/>
            <color indexed="81"/>
            <rFont val="Tahoma"/>
            <family val="2"/>
          </rPr>
          <t xml:space="preserve">
SEGUNDO ABONO
10-AGOSTO-2023
$2,000.00
SEGUNDO PAGO 19-AGOSTO-2024
$7,440.00
SEGUNDO PAGO 19-OCTUBRE-2024 $5,420.00
SEGUNDO PAGO 19-NOVIEMBRE-2024 $9,600.00</t>
        </r>
      </text>
    </comment>
    <comment ref="E363" authorId="0" shapeId="0" xr:uid="{00000000-0006-0000-0700-00004E000000}">
      <text>
        <r>
          <rPr>
            <b/>
            <sz val="9"/>
            <color indexed="81"/>
            <rFont val="Tahoma"/>
            <family val="2"/>
          </rPr>
          <t>PC:</t>
        </r>
        <r>
          <rPr>
            <sz val="9"/>
            <color indexed="81"/>
            <rFont val="Tahoma"/>
            <family val="2"/>
          </rPr>
          <t xml:space="preserve">
SEGUNDO PAGO 22-ENERO-2024</t>
        </r>
      </text>
    </comment>
    <comment ref="E369" authorId="0" shapeId="0" xr:uid="{00000000-0006-0000-0700-00004F000000}">
      <text>
        <r>
          <rPr>
            <b/>
            <sz val="9"/>
            <color indexed="81"/>
            <rFont val="Tahoma"/>
            <family val="2"/>
          </rPr>
          <t>PC:</t>
        </r>
        <r>
          <rPr>
            <sz val="9"/>
            <color indexed="81"/>
            <rFont val="Tahoma"/>
            <family val="2"/>
          </rPr>
          <t xml:space="preserve">
SEGUNDO PAGO 18-OCT-23</t>
        </r>
      </text>
    </comment>
    <comment ref="E371" authorId="0" shapeId="0" xr:uid="{00000000-0006-0000-0700-000050000000}">
      <text>
        <r>
          <rPr>
            <b/>
            <sz val="9"/>
            <color indexed="81"/>
            <rFont val="Tahoma"/>
            <family val="2"/>
          </rPr>
          <t>PC:</t>
        </r>
        <r>
          <rPr>
            <sz val="9"/>
            <color indexed="81"/>
            <rFont val="Tahoma"/>
            <family val="2"/>
          </rPr>
          <t xml:space="preserve">
SEGUNDO ABONO 22-AGOSTO-2023 
$2,000.00
SEGUNDO PAGO 24-ABRIL-2024 $6,452.00</t>
        </r>
      </text>
    </comment>
    <comment ref="E378" authorId="0" shapeId="0" xr:uid="{00000000-0006-0000-0700-000051000000}">
      <text>
        <r>
          <rPr>
            <b/>
            <sz val="9"/>
            <color indexed="81"/>
            <rFont val="Tahoma"/>
            <family val="2"/>
          </rPr>
          <t>PC:</t>
        </r>
        <r>
          <rPr>
            <sz val="9"/>
            <color indexed="81"/>
            <rFont val="Tahoma"/>
            <family val="2"/>
          </rPr>
          <t xml:space="preserve">
SEGUNDO PAGO 14-JUNIO-2024 $6,540.00
SEGUNDO PAGO 11-MARZO-2025 $2,050.00</t>
        </r>
      </text>
    </comment>
    <comment ref="E383" authorId="0" shapeId="0" xr:uid="{00000000-0006-0000-0700-000052000000}">
      <text>
        <r>
          <rPr>
            <b/>
            <sz val="9"/>
            <color indexed="81"/>
            <rFont val="Tahoma"/>
            <family val="2"/>
          </rPr>
          <t>PC:</t>
        </r>
        <r>
          <rPr>
            <sz val="9"/>
            <color indexed="81"/>
            <rFont val="Tahoma"/>
            <family val="2"/>
          </rPr>
          <t xml:space="preserve">
SEGUNDO PAGO 19-SEP-2023</t>
        </r>
      </text>
    </comment>
    <comment ref="E384" authorId="0" shapeId="0" xr:uid="{00000000-0006-0000-0700-000053000000}">
      <text>
        <r>
          <rPr>
            <b/>
            <sz val="9"/>
            <color indexed="81"/>
            <rFont val="Tahoma"/>
            <family val="2"/>
          </rPr>
          <t>PC:</t>
        </r>
        <r>
          <rPr>
            <sz val="9"/>
            <color indexed="81"/>
            <rFont val="Tahoma"/>
            <family val="2"/>
          </rPr>
          <t xml:space="preserve">
SEGUNDO PAGO 12-NOVIEMBRE-2024 $280.00</t>
        </r>
      </text>
    </comment>
    <comment ref="E387" authorId="0" shapeId="0" xr:uid="{00000000-0006-0000-0700-000054000000}">
      <text>
        <r>
          <rPr>
            <b/>
            <sz val="9"/>
            <color indexed="81"/>
            <rFont val="Tahoma"/>
            <family val="2"/>
          </rPr>
          <t>PC:</t>
        </r>
        <r>
          <rPr>
            <sz val="9"/>
            <color indexed="81"/>
            <rFont val="Tahoma"/>
            <family val="2"/>
          </rPr>
          <t xml:space="preserve">
LIQUIDA EL DIA 20-MARZO-2024
</t>
        </r>
      </text>
    </comment>
    <comment ref="E391" authorId="0" shapeId="0" xr:uid="{00000000-0006-0000-0700-000055000000}">
      <text>
        <r>
          <rPr>
            <b/>
            <sz val="9"/>
            <color indexed="81"/>
            <rFont val="Tahoma"/>
            <family val="2"/>
          </rPr>
          <t>PC:</t>
        </r>
        <r>
          <rPr>
            <sz val="9"/>
            <color indexed="81"/>
            <rFont val="Tahoma"/>
            <family val="2"/>
          </rPr>
          <t xml:space="preserve">
SEGUNDO PAGO 23-DICIEMBRE-2024</t>
        </r>
      </text>
    </comment>
    <comment ref="E392" authorId="0" shapeId="0" xr:uid="{00000000-0006-0000-0700-000056000000}">
      <text>
        <r>
          <rPr>
            <b/>
            <sz val="9"/>
            <color indexed="81"/>
            <rFont val="Tahoma"/>
            <family val="2"/>
          </rPr>
          <t>PC:</t>
        </r>
        <r>
          <rPr>
            <sz val="9"/>
            <color indexed="81"/>
            <rFont val="Tahoma"/>
            <family val="2"/>
          </rPr>
          <t xml:space="preserve">
SEGUNDO PAGO 29-DIC-2023</t>
        </r>
      </text>
    </comment>
    <comment ref="E398" authorId="0" shapeId="0" xr:uid="{00000000-0006-0000-0700-000057000000}">
      <text>
        <r>
          <rPr>
            <b/>
            <sz val="9"/>
            <color indexed="81"/>
            <rFont val="Tahoma"/>
            <family val="2"/>
          </rPr>
          <t>PC:</t>
        </r>
        <r>
          <rPr>
            <sz val="9"/>
            <color indexed="81"/>
            <rFont val="Tahoma"/>
            <family val="2"/>
          </rPr>
          <t xml:space="preserve">
SEGUNDO ABONO 22-NOVIEMBRE-2024 $1,150.00</t>
        </r>
      </text>
    </comment>
    <comment ref="E405" authorId="0" shapeId="0" xr:uid="{00000000-0006-0000-0700-000058000000}">
      <text>
        <r>
          <rPr>
            <b/>
            <sz val="9"/>
            <color indexed="81"/>
            <rFont val="Tahoma"/>
            <family val="2"/>
          </rPr>
          <t>PC:</t>
        </r>
        <r>
          <rPr>
            <sz val="9"/>
            <color indexed="81"/>
            <rFont val="Tahoma"/>
            <family val="2"/>
          </rPr>
          <t xml:space="preserve">
SEGUNDO PAGO 26-DIC-2023</t>
        </r>
      </text>
    </comment>
    <comment ref="E407" authorId="0" shapeId="0" xr:uid="{00000000-0006-0000-0700-000059000000}">
      <text>
        <r>
          <rPr>
            <b/>
            <sz val="9"/>
            <color indexed="81"/>
            <rFont val="Tahoma"/>
            <family val="2"/>
          </rPr>
          <t>PC:</t>
        </r>
        <r>
          <rPr>
            <sz val="9"/>
            <color indexed="81"/>
            <rFont val="Tahoma"/>
            <family val="2"/>
          </rPr>
          <t xml:space="preserve">
PAGÓ 20-SEP-2023</t>
        </r>
      </text>
    </comment>
    <comment ref="E411" authorId="0" shapeId="0" xr:uid="{00000000-0006-0000-0700-00005A000000}">
      <text>
        <r>
          <rPr>
            <b/>
            <sz val="9"/>
            <color indexed="81"/>
            <rFont val="Tahoma"/>
            <family val="2"/>
          </rPr>
          <t>PC:</t>
        </r>
        <r>
          <rPr>
            <sz val="9"/>
            <color indexed="81"/>
            <rFont val="Tahoma"/>
            <family val="2"/>
          </rPr>
          <t xml:space="preserve">
SEGUNDO PAGO EN EFECTIVO A OSCAR 
17-JUIO-2023
$2,449.00</t>
        </r>
      </text>
    </comment>
    <comment ref="E422" authorId="0" shapeId="0" xr:uid="{00000000-0006-0000-0700-00005B000000}">
      <text>
        <r>
          <rPr>
            <b/>
            <sz val="9"/>
            <color indexed="81"/>
            <rFont val="Tahoma"/>
            <family val="2"/>
          </rPr>
          <t>PC:</t>
        </r>
        <r>
          <rPr>
            <sz val="9"/>
            <color indexed="81"/>
            <rFont val="Tahoma"/>
            <family val="2"/>
          </rPr>
          <t xml:space="preserve">
SEGUNDO PAGO 10-MAYO-2024</t>
        </r>
      </text>
    </comment>
    <comment ref="E423" authorId="0" shapeId="0" xr:uid="{00000000-0006-0000-0700-00005C000000}">
      <text>
        <r>
          <rPr>
            <b/>
            <sz val="9"/>
            <color indexed="81"/>
            <rFont val="Tahoma"/>
            <family val="2"/>
          </rPr>
          <t>PC:</t>
        </r>
        <r>
          <rPr>
            <sz val="9"/>
            <color indexed="81"/>
            <rFont val="Tahoma"/>
            <family val="2"/>
          </rPr>
          <t xml:space="preserve">
SEGUNDO PAGO 21-NOVIEMBRE-2024
$1,950.00</t>
        </r>
      </text>
    </comment>
    <comment ref="E433" authorId="0" shapeId="0" xr:uid="{00000000-0006-0000-0700-00005D000000}">
      <text>
        <r>
          <rPr>
            <b/>
            <sz val="9"/>
            <color indexed="81"/>
            <rFont val="Tahoma"/>
            <family val="2"/>
          </rPr>
          <t>PC:</t>
        </r>
        <r>
          <rPr>
            <sz val="9"/>
            <color indexed="81"/>
            <rFont val="Tahoma"/>
            <family val="2"/>
          </rPr>
          <t xml:space="preserve">
SEGUNDO ABONO $19,250.00
22-JULIO-23
SEGUNDO ABONO AGOSTO 25-AGO-23 $14,870.00
SEGUNDO PAGO 23-DIC-2023
$13,150.00</t>
        </r>
      </text>
    </comment>
    <comment ref="E434" authorId="0" shapeId="0" xr:uid="{00000000-0006-0000-0700-00005E000000}">
      <text>
        <r>
          <rPr>
            <b/>
            <sz val="9"/>
            <color indexed="81"/>
            <rFont val="Tahoma"/>
            <family val="2"/>
          </rPr>
          <t>PC:</t>
        </r>
        <r>
          <rPr>
            <sz val="9"/>
            <color indexed="81"/>
            <rFont val="Tahoma"/>
            <family val="2"/>
          </rPr>
          <t xml:space="preserve">
SEGUNDO PAGO 28-DICIEMBRE-2023 $2,950
SEGUNDO ABONO 25-ENERO-2024 $11,320.00
SEGUNDO PAGO 24-FEB-2024 $9,100.00
SEGUNDO PAGO 22-ABRIL-2024 $17,940.00
SEGUNDO PAGO 22-JUNIO-2024 ELIUD RECOGIO $16,000.00 EN EFECTIVO
SEGUNDO PAGO 21-AGOSTO-2024 $13,000.00
ABONO SEPTIEMBRE 
23-SEPTIEMBRE-2024 
RECOGIO JOSE LUIS $20,000.00
SEGUNDO PAGO A JOSE LUIS 24-OCTUBRE-2024 $14,290.00
SEGUNDO PAGO EN EFECTIVO A JOSE LUIS $17,000.00
ABONO EN EFECTIVO A OSCAR $14,000.00 17-ENERO-2025</t>
        </r>
      </text>
    </comment>
    <comment ref="E435" authorId="0" shapeId="0" xr:uid="{00000000-0006-0000-0700-00005F000000}">
      <text>
        <r>
          <rPr>
            <b/>
            <sz val="9"/>
            <color indexed="81"/>
            <rFont val="Tahoma"/>
            <family val="2"/>
          </rPr>
          <t>PC:</t>
        </r>
        <r>
          <rPr>
            <sz val="9"/>
            <color indexed="81"/>
            <rFont val="Tahoma"/>
            <family val="2"/>
          </rPr>
          <t xml:space="preserve">
SEGUNDO ABONO
10-AGOSTO-2023
$2,000.00
SEGUNDO PAGO 19-AGOSTO-2024
$7,440.00
SEGUNDO PAGO 19-OCTUBRE-2024 $5,420.00
SEGUNDO PAGO 19-NOVIEMBRE-2024 $9,600.00</t>
        </r>
      </text>
    </comment>
    <comment ref="E457" authorId="0" shapeId="0" xr:uid="{00000000-0006-0000-0700-000060000000}">
      <text>
        <r>
          <rPr>
            <b/>
            <sz val="9"/>
            <color indexed="81"/>
            <rFont val="Tahoma"/>
            <family val="2"/>
          </rPr>
          <t>PC:</t>
        </r>
        <r>
          <rPr>
            <sz val="9"/>
            <color indexed="81"/>
            <rFont val="Tahoma"/>
            <family val="2"/>
          </rPr>
          <t xml:space="preserve">
SEGUNDO PAGO 22-ENERO-2024</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J7" authorId="0" shapeId="0" xr:uid="{00000000-0006-0000-0800-000001000000}">
      <text>
        <r>
          <rPr>
            <b/>
            <sz val="9"/>
            <color indexed="81"/>
            <rFont val="Tahoma"/>
            <family val="2"/>
          </rPr>
          <t>PC:</t>
        </r>
        <r>
          <rPr>
            <sz val="9"/>
            <color indexed="81"/>
            <rFont val="Tahoma"/>
            <family val="2"/>
          </rPr>
          <t xml:space="preserve">
EQUIPO $1,800.00 C/U</t>
        </r>
      </text>
    </comment>
    <comment ref="H89" authorId="0" shapeId="0" xr:uid="{00000000-0006-0000-0800-000002000000}">
      <text>
        <r>
          <rPr>
            <b/>
            <sz val="9"/>
            <color indexed="81"/>
            <rFont val="Tahoma"/>
            <family val="2"/>
          </rPr>
          <t>PC:</t>
        </r>
        <r>
          <rPr>
            <sz val="9"/>
            <color indexed="81"/>
            <rFont val="Tahoma"/>
            <family val="2"/>
          </rPr>
          <t xml:space="preserve">
IMEI ANTERIOR:
865011034396797</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PC</author>
    <author>Usuario de Windows</author>
    <author>Luffi</author>
  </authors>
  <commentList>
    <comment ref="D3" authorId="0" shapeId="0" xr:uid="{00000000-0006-0000-0900-000001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3" authorId="0" shapeId="0" xr:uid="{00000000-0006-0000-0900-000002000000}">
      <text>
        <r>
          <rPr>
            <b/>
            <sz val="9"/>
            <color indexed="81"/>
            <rFont val="Tahoma"/>
            <family val="2"/>
          </rPr>
          <t>PC:</t>
        </r>
        <r>
          <rPr>
            <sz val="9"/>
            <color indexed="81"/>
            <rFont val="Tahoma"/>
            <family val="2"/>
          </rPr>
          <t xml:space="preserve">
30-ENE-2023</t>
        </r>
      </text>
    </comment>
    <comment ref="D4" authorId="0" shapeId="0" xr:uid="{00000000-0006-0000-0900-000003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4" authorId="0" shapeId="0" xr:uid="{00000000-0006-0000-0900-000004000000}">
      <text>
        <r>
          <rPr>
            <b/>
            <sz val="9"/>
            <color indexed="81"/>
            <rFont val="Tahoma"/>
            <family val="2"/>
          </rPr>
          <t>PC:</t>
        </r>
        <r>
          <rPr>
            <sz val="9"/>
            <color indexed="81"/>
            <rFont val="Tahoma"/>
            <family val="2"/>
          </rPr>
          <t xml:space="preserve">
21-FEBRERO-2023</t>
        </r>
      </text>
    </comment>
    <comment ref="K4" authorId="0" shapeId="0" xr:uid="{00000000-0006-0000-0900-000005000000}">
      <text>
        <r>
          <rPr>
            <b/>
            <sz val="9"/>
            <color indexed="81"/>
            <rFont val="Tahoma"/>
            <family val="2"/>
          </rPr>
          <t>PC:</t>
        </r>
        <r>
          <rPr>
            <sz val="9"/>
            <color indexed="81"/>
            <rFont val="Tahoma"/>
            <family val="2"/>
          </rPr>
          <t xml:space="preserve">
MANDAR RECORDATORIO EN ENERO PARA QUE PAGUE EN ENERO SI NO PAGA CANCELAR SERVICIO EN FEB </t>
        </r>
      </text>
    </comment>
    <comment ref="D5" authorId="0" shapeId="0" xr:uid="{00000000-0006-0000-0900-000006000000}">
      <text>
        <r>
          <rPr>
            <b/>
            <sz val="9"/>
            <color indexed="81"/>
            <rFont val="Tahoma"/>
            <family val="2"/>
          </rPr>
          <t>PC:</t>
        </r>
        <r>
          <rPr>
            <sz val="9"/>
            <color indexed="81"/>
            <rFont val="Tahoma"/>
            <family val="2"/>
          </rPr>
          <t xml:space="preserve">
1 EQUIPO Y ANUALIDAD 
EQUIPO $1,989.00 + IVA   $2,307.24
ANUALIDAD $3,300 + IVA  $3,828.00
TOTAL $6,135.24
INSTALACION 30-ENE-2021</t>
        </r>
      </text>
    </comment>
    <comment ref="J5" authorId="0" shapeId="0" xr:uid="{00000000-0006-0000-0900-000007000000}">
      <text>
        <r>
          <rPr>
            <b/>
            <sz val="9"/>
            <color indexed="81"/>
            <rFont val="Tahoma"/>
            <family val="2"/>
          </rPr>
          <t>PC:</t>
        </r>
        <r>
          <rPr>
            <sz val="9"/>
            <color indexed="81"/>
            <rFont val="Tahoma"/>
            <family val="2"/>
          </rPr>
          <t xml:space="preserve">
17-MARZO-2023</t>
        </r>
      </text>
    </comment>
    <comment ref="D6" authorId="0" shapeId="0" xr:uid="{00000000-0006-0000-0900-000008000000}">
      <text>
        <r>
          <rPr>
            <b/>
            <sz val="9"/>
            <color indexed="81"/>
            <rFont val="Tahoma"/>
            <family val="2"/>
          </rPr>
          <t>PC:</t>
        </r>
        <r>
          <rPr>
            <sz val="9"/>
            <color indexed="81"/>
            <rFont val="Tahoma"/>
            <family val="2"/>
          </rPr>
          <t xml:space="preserve">
6 ANUALIDADES 
$1,000.00 c/u
</t>
        </r>
      </text>
    </comment>
    <comment ref="J6" authorId="0" shapeId="0" xr:uid="{00000000-0006-0000-0900-000009000000}">
      <text>
        <r>
          <rPr>
            <b/>
            <sz val="9"/>
            <color indexed="81"/>
            <rFont val="Tahoma"/>
            <family val="2"/>
          </rPr>
          <t>PC:</t>
        </r>
        <r>
          <rPr>
            <sz val="9"/>
            <color indexed="81"/>
            <rFont val="Tahoma"/>
            <family val="2"/>
          </rPr>
          <t xml:space="preserve">
15-MARZO-2023</t>
        </r>
      </text>
    </comment>
    <comment ref="D7" authorId="0" shapeId="0" xr:uid="{00000000-0006-0000-0900-00000A000000}">
      <text>
        <r>
          <rPr>
            <b/>
            <sz val="9"/>
            <color indexed="81"/>
            <rFont val="Tahoma"/>
            <family val="2"/>
          </rPr>
          <t>PC:</t>
        </r>
        <r>
          <rPr>
            <sz val="9"/>
            <color indexed="81"/>
            <rFont val="Tahoma"/>
            <family val="2"/>
          </rPr>
          <t xml:space="preserve">
MIGRACIÓN DE PLAY MOTORS 10-MARZO-2023
EQUIPO $1,950.00
ANUALIDAD $3,000.00</t>
        </r>
      </text>
    </comment>
    <comment ref="J7" authorId="0" shapeId="0" xr:uid="{00000000-0006-0000-0900-00000B000000}">
      <text>
        <r>
          <rPr>
            <b/>
            <sz val="9"/>
            <color indexed="81"/>
            <rFont val="Tahoma"/>
            <family val="2"/>
          </rPr>
          <t>PC:</t>
        </r>
        <r>
          <rPr>
            <sz val="9"/>
            <color indexed="81"/>
            <rFont val="Tahoma"/>
            <family val="2"/>
          </rPr>
          <t xml:space="preserve">
10-MARZO-2023</t>
        </r>
      </text>
    </comment>
    <comment ref="J8" authorId="0" shapeId="0" xr:uid="{00000000-0006-0000-0900-00000C000000}">
      <text>
        <r>
          <rPr>
            <b/>
            <sz val="9"/>
            <color indexed="81"/>
            <rFont val="Tahoma"/>
            <family val="2"/>
          </rPr>
          <t>PC:</t>
        </r>
        <r>
          <rPr>
            <sz val="9"/>
            <color indexed="81"/>
            <rFont val="Tahoma"/>
            <family val="2"/>
          </rPr>
          <t xml:space="preserve">
20-ABRIL-2023</t>
        </r>
      </text>
    </comment>
    <comment ref="D9" authorId="0" shapeId="0" xr:uid="{00000000-0006-0000-0900-00000D000000}">
      <text>
        <r>
          <rPr>
            <b/>
            <sz val="9"/>
            <color indexed="81"/>
            <rFont val="Tahoma"/>
            <family val="2"/>
          </rPr>
          <t>PC:</t>
        </r>
        <r>
          <rPr>
            <sz val="9"/>
            <color indexed="81"/>
            <rFont val="Tahoma"/>
            <family val="2"/>
          </rPr>
          <t xml:space="preserve">
INICIA 01-ABRIL-2023
SIMS $58 C/M $696 ANUALIDAD
</t>
        </r>
      </text>
    </comment>
    <comment ref="J9" authorId="0" shapeId="0" xr:uid="{00000000-0006-0000-0900-00000E000000}">
      <text>
        <r>
          <rPr>
            <b/>
            <sz val="9"/>
            <color indexed="81"/>
            <rFont val="Tahoma"/>
            <family val="2"/>
          </rPr>
          <t>PC:</t>
        </r>
        <r>
          <rPr>
            <sz val="9"/>
            <color indexed="81"/>
            <rFont val="Tahoma"/>
            <family val="2"/>
          </rPr>
          <t xml:space="preserve">
01-ABRIL-2023
</t>
        </r>
      </text>
    </comment>
    <comment ref="D10" authorId="0" shapeId="0" xr:uid="{00000000-0006-0000-0900-00000F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J10" authorId="0" shapeId="0" xr:uid="{00000000-0006-0000-0900-000010000000}">
      <text>
        <r>
          <rPr>
            <b/>
            <sz val="9"/>
            <color indexed="81"/>
            <rFont val="Tahoma"/>
            <family val="2"/>
          </rPr>
          <t>PC:</t>
        </r>
        <r>
          <rPr>
            <sz val="9"/>
            <color indexed="81"/>
            <rFont val="Tahoma"/>
            <family val="2"/>
          </rPr>
          <t xml:space="preserve">
10-ABRIL-2023</t>
        </r>
      </text>
    </comment>
    <comment ref="D11" authorId="0" shapeId="0" xr:uid="{00000000-0006-0000-0900-000011000000}">
      <text>
        <r>
          <rPr>
            <b/>
            <sz val="9"/>
            <color indexed="81"/>
            <rFont val="Tahoma"/>
            <family val="2"/>
          </rPr>
          <t>PC:</t>
        </r>
        <r>
          <rPr>
            <sz val="9"/>
            <color indexed="81"/>
            <rFont val="Tahoma"/>
            <family val="2"/>
          </rPr>
          <t xml:space="preserve">
EQUIPO $1,800 / $1,500
ANUALIDAD $3,000
INSTALACION 19-ABRIL-2022
*COBRANZA MAYO´2022*
PAGO $4,500.00
ANUALIDAD $3,000.00</t>
        </r>
      </text>
    </comment>
    <comment ref="J11" authorId="0" shapeId="0" xr:uid="{00000000-0006-0000-0900-000012000000}">
      <text>
        <r>
          <rPr>
            <b/>
            <sz val="9"/>
            <color indexed="81"/>
            <rFont val="Tahoma"/>
            <family val="2"/>
          </rPr>
          <t>PC:</t>
        </r>
        <r>
          <rPr>
            <sz val="9"/>
            <color indexed="81"/>
            <rFont val="Tahoma"/>
            <family val="2"/>
          </rPr>
          <t xml:space="preserve">
27-ABRIL-2023</t>
        </r>
      </text>
    </comment>
    <comment ref="J12" authorId="0" shapeId="0" xr:uid="{00000000-0006-0000-0900-000013000000}">
      <text>
        <r>
          <rPr>
            <b/>
            <sz val="9"/>
            <color indexed="81"/>
            <rFont val="Tahoma"/>
            <family val="2"/>
          </rPr>
          <t>PC:</t>
        </r>
        <r>
          <rPr>
            <sz val="9"/>
            <color indexed="81"/>
            <rFont val="Tahoma"/>
            <family val="2"/>
          </rPr>
          <t xml:space="preserve">
04-ABRI-2023</t>
        </r>
      </text>
    </comment>
    <comment ref="D13" authorId="0" shapeId="0" xr:uid="{00000000-0006-0000-0900-000014000000}">
      <text>
        <r>
          <rPr>
            <b/>
            <sz val="9"/>
            <color indexed="81"/>
            <rFont val="Tahoma"/>
            <family val="2"/>
          </rPr>
          <t>PC:</t>
        </r>
        <r>
          <rPr>
            <sz val="9"/>
            <color indexed="81"/>
            <rFont val="Tahoma"/>
            <family val="2"/>
          </rPr>
          <t xml:space="preserve">
INSTALACION 29-OCT-2020
ANUALIDAD $3,000.00
EQUIPO $1,600.00
ANUALIDAD
$3,000.00</t>
        </r>
      </text>
    </comment>
    <comment ref="J13" authorId="0" shapeId="0" xr:uid="{00000000-0006-0000-0900-000015000000}">
      <text>
        <r>
          <rPr>
            <b/>
            <sz val="9"/>
            <color indexed="81"/>
            <rFont val="Tahoma"/>
            <family val="2"/>
          </rPr>
          <t>PC:</t>
        </r>
        <r>
          <rPr>
            <sz val="9"/>
            <color indexed="81"/>
            <rFont val="Tahoma"/>
            <family val="2"/>
          </rPr>
          <t xml:space="preserve">
05-ABRIL-2023</t>
        </r>
      </text>
    </comment>
    <comment ref="D14" authorId="1" shapeId="0" xr:uid="{00000000-0006-0000-0900-000016000000}">
      <text>
        <r>
          <rPr>
            <b/>
            <sz val="9"/>
            <color indexed="81"/>
            <rFont val="Tahoma"/>
            <family val="2"/>
          </rPr>
          <t>Usuario de Windows:</t>
        </r>
        <r>
          <rPr>
            <sz val="9"/>
            <color indexed="81"/>
            <rFont val="Tahoma"/>
            <family val="2"/>
          </rPr>
          <t xml:space="preserve">
</t>
        </r>
        <r>
          <rPr>
            <b/>
            <sz val="9"/>
            <color indexed="81"/>
            <rFont val="Tahoma"/>
            <family val="2"/>
          </rPr>
          <t xml:space="preserve">ANUALIDAD 
</t>
        </r>
        <r>
          <rPr>
            <sz val="9"/>
            <color indexed="81"/>
            <rFont val="Tahoma"/>
            <family val="2"/>
          </rPr>
          <t xml:space="preserve">EQUIPO $1,750 + IVA
ANUALIDAD $3,000 + IVA
</t>
        </r>
        <r>
          <rPr>
            <b/>
            <sz val="9"/>
            <color indexed="81"/>
            <rFont val="Tahoma"/>
            <family val="2"/>
          </rPr>
          <t xml:space="preserve">
1er Instalacion 29-ABRIL-2022
2da Instalacion 11-MAYO-2022
CUBRE MAYO´2022 - ABRIL´2023
DES-INSTALACION $350</t>
        </r>
      </text>
    </comment>
    <comment ref="J14" authorId="0" shapeId="0" xr:uid="{00000000-0006-0000-0900-000017000000}">
      <text>
        <r>
          <rPr>
            <b/>
            <sz val="9"/>
            <color indexed="81"/>
            <rFont val="Tahoma"/>
            <family val="2"/>
          </rPr>
          <t>PC:</t>
        </r>
        <r>
          <rPr>
            <sz val="9"/>
            <color indexed="81"/>
            <rFont val="Tahoma"/>
            <family val="2"/>
          </rPr>
          <t xml:space="preserve">
27-MAYO-2023</t>
        </r>
      </text>
    </comment>
    <comment ref="D15" authorId="2" shapeId="0" xr:uid="{00000000-0006-0000-0900-000018000000}">
      <text>
        <r>
          <rPr>
            <b/>
            <sz val="9"/>
            <color indexed="81"/>
            <rFont val="Tahoma"/>
            <family val="2"/>
          </rPr>
          <t>Luffi:</t>
        </r>
        <r>
          <rPr>
            <sz val="9"/>
            <color indexed="81"/>
            <rFont val="Tahoma"/>
            <family val="2"/>
          </rPr>
          <t xml:space="preserve">
EQUIPO $1,979.00 + IVA </t>
        </r>
        <r>
          <rPr>
            <b/>
            <sz val="9"/>
            <color indexed="81"/>
            <rFont val="Tahoma"/>
            <family val="2"/>
          </rPr>
          <t>$2,295.64</t>
        </r>
        <r>
          <rPr>
            <sz val="9"/>
            <color indexed="81"/>
            <rFont val="Tahoma"/>
            <family val="2"/>
          </rPr>
          <t xml:space="preserve">
ANUAL  $3,300.00 + IVA  </t>
        </r>
        <r>
          <rPr>
            <b/>
            <sz val="9"/>
            <color indexed="81"/>
            <rFont val="Tahoma"/>
            <family val="2"/>
          </rPr>
          <t>$3,828.00</t>
        </r>
        <r>
          <rPr>
            <sz val="9"/>
            <color indexed="81"/>
            <rFont val="Tahoma"/>
            <family val="2"/>
          </rPr>
          <t xml:space="preserve">
</t>
        </r>
      </text>
    </comment>
    <comment ref="J15" authorId="0" shapeId="0" xr:uid="{00000000-0006-0000-0900-000019000000}">
      <text>
        <r>
          <rPr>
            <b/>
            <sz val="9"/>
            <color indexed="81"/>
            <rFont val="Tahoma"/>
            <family val="2"/>
          </rPr>
          <t>PC:</t>
        </r>
        <r>
          <rPr>
            <sz val="9"/>
            <color indexed="81"/>
            <rFont val="Tahoma"/>
            <family val="2"/>
          </rPr>
          <t xml:space="preserve">
30-MAYO-2023</t>
        </r>
      </text>
    </comment>
    <comment ref="D16" authorId="0" shapeId="0" xr:uid="{00000000-0006-0000-0900-00001A000000}">
      <text>
        <r>
          <rPr>
            <b/>
            <sz val="9"/>
            <color indexed="81"/>
            <rFont val="Tahoma"/>
            <family val="2"/>
          </rPr>
          <t>PC:</t>
        </r>
        <r>
          <rPr>
            <sz val="9"/>
            <color indexed="81"/>
            <rFont val="Tahoma"/>
            <family val="2"/>
          </rPr>
          <t xml:space="preserve">
EQUIPO $1,800.00+IVA
ANUALIDAD $2,790.00
</t>
        </r>
      </text>
    </comment>
    <comment ref="J16" authorId="0" shapeId="0" xr:uid="{00000000-0006-0000-0900-00001B000000}">
      <text>
        <r>
          <rPr>
            <b/>
            <sz val="9"/>
            <color indexed="81"/>
            <rFont val="Tahoma"/>
            <family val="2"/>
          </rPr>
          <t>PC:</t>
        </r>
        <r>
          <rPr>
            <sz val="9"/>
            <color indexed="81"/>
            <rFont val="Tahoma"/>
            <family val="2"/>
          </rPr>
          <t xml:space="preserve">
19-JUNIO-2023</t>
        </r>
      </text>
    </comment>
    <comment ref="D17" authorId="0" shapeId="0" xr:uid="{00000000-0006-0000-0900-00001C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17" authorId="0" shapeId="0" xr:uid="{00000000-0006-0000-0900-00001D000000}">
      <text>
        <r>
          <rPr>
            <b/>
            <sz val="9"/>
            <color indexed="81"/>
            <rFont val="Tahoma"/>
            <family val="2"/>
          </rPr>
          <t>PC:</t>
        </r>
        <r>
          <rPr>
            <sz val="9"/>
            <color indexed="81"/>
            <rFont val="Tahoma"/>
            <family val="2"/>
          </rPr>
          <t xml:space="preserve">
25-JULIO-2023</t>
        </r>
      </text>
    </comment>
    <comment ref="D18" authorId="0" shapeId="0" xr:uid="{00000000-0006-0000-0900-00001E000000}">
      <text>
        <r>
          <rPr>
            <b/>
            <sz val="9"/>
            <color indexed="81"/>
            <rFont val="Tahoma"/>
            <family val="2"/>
          </rPr>
          <t>PC:</t>
        </r>
        <r>
          <rPr>
            <sz val="9"/>
            <color indexed="81"/>
            <rFont val="Tahoma"/>
            <family val="2"/>
          </rPr>
          <t xml:space="preserve">
ANULAIDAD $3,600 + IVA 
$4,176.00
EQUIPO $2,500.00+IVA = $2,900.00
</t>
        </r>
      </text>
    </comment>
    <comment ref="J18" authorId="0" shapeId="0" xr:uid="{00000000-0006-0000-0900-00001F000000}">
      <text>
        <r>
          <rPr>
            <b/>
            <sz val="9"/>
            <color indexed="81"/>
            <rFont val="Tahoma"/>
            <family val="2"/>
          </rPr>
          <t>PC:</t>
        </r>
        <r>
          <rPr>
            <sz val="9"/>
            <color indexed="81"/>
            <rFont val="Tahoma"/>
            <family val="2"/>
          </rPr>
          <t xml:space="preserve">
20-JULIO-2023</t>
        </r>
      </text>
    </comment>
    <comment ref="D19" authorId="0" shapeId="0" xr:uid="{00000000-0006-0000-0900-000020000000}">
      <text>
        <r>
          <rPr>
            <b/>
            <sz val="9"/>
            <color indexed="81"/>
            <rFont val="Tahoma"/>
            <family val="2"/>
          </rPr>
          <t>PC:</t>
        </r>
        <r>
          <rPr>
            <sz val="9"/>
            <color indexed="81"/>
            <rFont val="Tahoma"/>
            <family val="2"/>
          </rPr>
          <t xml:space="preserve">
Anualidad $3,000.00
Equipo $1,950.00
TRASPASO DE PLAY MOTORS 1 UNIDAD DODGE RAM GUINDA</t>
        </r>
      </text>
    </comment>
    <comment ref="J19" authorId="0" shapeId="0" xr:uid="{00000000-0006-0000-0900-000021000000}">
      <text>
        <r>
          <rPr>
            <b/>
            <sz val="9"/>
            <color indexed="81"/>
            <rFont val="Tahoma"/>
            <family val="2"/>
          </rPr>
          <t>PC:</t>
        </r>
        <r>
          <rPr>
            <sz val="9"/>
            <color indexed="81"/>
            <rFont val="Tahoma"/>
            <family val="2"/>
          </rPr>
          <t xml:space="preserve">
VENDIO LA CAMIONETA 
BAJA 11-JULIO-2023
</t>
        </r>
      </text>
    </comment>
    <comment ref="D20" authorId="0" shapeId="0" xr:uid="{00000000-0006-0000-0900-000022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20" authorId="0" shapeId="0" xr:uid="{00000000-0006-0000-0900-000023000000}">
      <text>
        <r>
          <rPr>
            <b/>
            <sz val="9"/>
            <color indexed="81"/>
            <rFont val="Tahoma"/>
            <family val="2"/>
          </rPr>
          <t>PC:</t>
        </r>
        <r>
          <rPr>
            <sz val="9"/>
            <color indexed="81"/>
            <rFont val="Tahoma"/>
            <family val="2"/>
          </rPr>
          <t xml:space="preserve">
07-AGOSTO-2023
</t>
        </r>
      </text>
    </comment>
    <comment ref="D21" authorId="0" shapeId="0" xr:uid="{00000000-0006-0000-0900-000024000000}">
      <text>
        <r>
          <rPr>
            <b/>
            <sz val="9"/>
            <color indexed="81"/>
            <rFont val="Tahoma"/>
            <family val="2"/>
          </rPr>
          <t>PC:</t>
        </r>
        <r>
          <rPr>
            <sz val="9"/>
            <color indexed="81"/>
            <rFont val="Tahoma"/>
            <family val="2"/>
          </rPr>
          <t xml:space="preserve">
INICIA EL 19-JUNIO-2023
EQUIPO $1,500.00
MENSUALIDAD $250.00
CAMBIA A ESQUEMA DE ANUALIDAD 04-AGOSTO-2023
RENOVACION EN AGOSTO 2024
ANUALIDAD $2,500.00+IVA=$2,900.00</t>
        </r>
      </text>
    </comment>
    <comment ref="J21" authorId="0" shapeId="0" xr:uid="{00000000-0006-0000-0900-000025000000}">
      <text>
        <r>
          <rPr>
            <b/>
            <sz val="9"/>
            <color indexed="81"/>
            <rFont val="Tahoma"/>
            <family val="2"/>
          </rPr>
          <t>PC:</t>
        </r>
        <r>
          <rPr>
            <sz val="9"/>
            <color indexed="81"/>
            <rFont val="Tahoma"/>
            <family val="2"/>
          </rPr>
          <t xml:space="preserve">
04-AGOSTO-2023
</t>
        </r>
      </text>
    </comment>
    <comment ref="D22" authorId="0" shapeId="0" xr:uid="{00000000-0006-0000-0900-000026000000}">
      <text>
        <r>
          <rPr>
            <b/>
            <sz val="9"/>
            <color indexed="81"/>
            <rFont val="Tahoma"/>
            <family val="2"/>
          </rPr>
          <t>PC:</t>
        </r>
        <r>
          <rPr>
            <sz val="9"/>
            <color indexed="81"/>
            <rFont val="Tahoma"/>
            <family val="2"/>
          </rPr>
          <t xml:space="preserve">
ANUALIDAD $2,600.00+IVA
EQUIPO $1,900.00+IVA</t>
        </r>
      </text>
    </comment>
    <comment ref="J22" authorId="0" shapeId="0" xr:uid="{00000000-0006-0000-0900-000027000000}">
      <text>
        <r>
          <rPr>
            <b/>
            <sz val="9"/>
            <color indexed="81"/>
            <rFont val="Tahoma"/>
            <family val="2"/>
          </rPr>
          <t>PC:</t>
        </r>
        <r>
          <rPr>
            <sz val="9"/>
            <color indexed="81"/>
            <rFont val="Tahoma"/>
            <family val="2"/>
          </rPr>
          <t xml:space="preserve">
22-AGOSTO-2023</t>
        </r>
      </text>
    </comment>
    <comment ref="D23" authorId="0" shapeId="0" xr:uid="{00000000-0006-0000-0900-000028000000}">
      <text>
        <r>
          <rPr>
            <b/>
            <sz val="9"/>
            <color indexed="81"/>
            <rFont val="Tahoma"/>
            <family val="2"/>
          </rPr>
          <t>PC:</t>
        </r>
        <r>
          <rPr>
            <sz val="9"/>
            <color indexed="81"/>
            <rFont val="Tahoma"/>
            <family val="2"/>
          </rPr>
          <t xml:space="preserve">
INICIA EL 13-SEPTIEMBRE-2022 
ANUALIDAD POR USO DE PLATAFORMA 
$600.00 C/U
</t>
        </r>
      </text>
    </comment>
    <comment ref="J23" authorId="0" shapeId="0" xr:uid="{00000000-0006-0000-0900-000029000000}">
      <text>
        <r>
          <rPr>
            <b/>
            <sz val="9"/>
            <color indexed="81"/>
            <rFont val="Tahoma"/>
            <family val="2"/>
          </rPr>
          <t>PC:</t>
        </r>
        <r>
          <rPr>
            <sz val="9"/>
            <color indexed="81"/>
            <rFont val="Tahoma"/>
            <family val="2"/>
          </rPr>
          <t xml:space="preserve">
05-SEPTIEMBRE-2023</t>
        </r>
      </text>
    </comment>
    <comment ref="D24" authorId="0" shapeId="0" xr:uid="{00000000-0006-0000-0900-00002A000000}">
      <text>
        <r>
          <rPr>
            <b/>
            <sz val="9"/>
            <color indexed="81"/>
            <rFont val="Tahoma"/>
            <family val="2"/>
          </rPr>
          <t>PC:</t>
        </r>
        <r>
          <rPr>
            <sz val="9"/>
            <color indexed="81"/>
            <rFont val="Tahoma"/>
            <family val="2"/>
          </rPr>
          <t xml:space="preserve">
ANUALIDAD $2,600.00+IVA
EQUIPO $1,900.00+IVA</t>
        </r>
      </text>
    </comment>
    <comment ref="J24" authorId="0" shapeId="0" xr:uid="{00000000-0006-0000-0900-00002B000000}">
      <text>
        <r>
          <rPr>
            <b/>
            <sz val="9"/>
            <color indexed="81"/>
            <rFont val="Tahoma"/>
            <family val="2"/>
          </rPr>
          <t>PC:</t>
        </r>
        <r>
          <rPr>
            <sz val="9"/>
            <color indexed="81"/>
            <rFont val="Tahoma"/>
            <family val="2"/>
          </rPr>
          <t xml:space="preserve">
11-SEPTIEMBRE-2023</t>
        </r>
      </text>
    </comment>
    <comment ref="D25" authorId="0" shapeId="0" xr:uid="{00000000-0006-0000-0900-00002C000000}">
      <text>
        <r>
          <rPr>
            <b/>
            <sz val="9"/>
            <color indexed="81"/>
            <rFont val="Tahoma"/>
            <family val="2"/>
          </rPr>
          <t>PC:</t>
        </r>
        <r>
          <rPr>
            <sz val="9"/>
            <color indexed="81"/>
            <rFont val="Tahoma"/>
            <family val="2"/>
          </rPr>
          <t xml:space="preserve">
ANUALIDAD $3,000.00+IVA=$3,480.00</t>
        </r>
      </text>
    </comment>
    <comment ref="J25" authorId="0" shapeId="0" xr:uid="{00000000-0006-0000-0900-00002D000000}">
      <text>
        <r>
          <rPr>
            <b/>
            <sz val="9"/>
            <color indexed="81"/>
            <rFont val="Tahoma"/>
            <family val="2"/>
          </rPr>
          <t>PC:</t>
        </r>
        <r>
          <rPr>
            <sz val="9"/>
            <color indexed="81"/>
            <rFont val="Tahoma"/>
            <family val="2"/>
          </rPr>
          <t xml:space="preserve">
18-SEPTIEMBRE-2023
</t>
        </r>
      </text>
    </comment>
    <comment ref="D26" authorId="0" shapeId="0" xr:uid="{00000000-0006-0000-0900-00002E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26" authorId="0" shapeId="0" xr:uid="{00000000-0006-0000-0900-00002F000000}">
      <text>
        <r>
          <rPr>
            <b/>
            <sz val="9"/>
            <color indexed="81"/>
            <rFont val="Tahoma"/>
            <family val="2"/>
          </rPr>
          <t>PC:</t>
        </r>
        <r>
          <rPr>
            <sz val="9"/>
            <color indexed="81"/>
            <rFont val="Tahoma"/>
            <family val="2"/>
          </rPr>
          <t xml:space="preserve">
15-SEPTIEMBRE-2023</t>
        </r>
      </text>
    </comment>
    <comment ref="D27" authorId="0" shapeId="0" xr:uid="{00000000-0006-0000-0900-000030000000}">
      <text>
        <r>
          <rPr>
            <b/>
            <sz val="9"/>
            <color indexed="81"/>
            <rFont val="Tahoma"/>
            <family val="2"/>
          </rPr>
          <t>PC:</t>
        </r>
        <r>
          <rPr>
            <sz val="9"/>
            <color indexed="81"/>
            <rFont val="Tahoma"/>
            <family val="2"/>
          </rPr>
          <t xml:space="preserve">
ANULAIDAD $3,600 + IVA 
$4,176.00
EQUIPO $2,500.00+IVA = $2,900.00
</t>
        </r>
      </text>
    </comment>
    <comment ref="J27" authorId="0" shapeId="0" xr:uid="{00000000-0006-0000-0900-000031000000}">
      <text>
        <r>
          <rPr>
            <b/>
            <sz val="9"/>
            <color indexed="81"/>
            <rFont val="Tahoma"/>
            <family val="2"/>
          </rPr>
          <t>PC:</t>
        </r>
        <r>
          <rPr>
            <sz val="9"/>
            <color indexed="81"/>
            <rFont val="Tahoma"/>
            <family val="2"/>
          </rPr>
          <t xml:space="preserve">
26-SEPTIEMBRE-202.</t>
        </r>
      </text>
    </comment>
    <comment ref="D28" authorId="0" shapeId="0" xr:uid="{00000000-0006-0000-0900-000032000000}">
      <text>
        <r>
          <rPr>
            <b/>
            <sz val="9"/>
            <color indexed="81"/>
            <rFont val="Tahoma"/>
            <family val="2"/>
          </rPr>
          <t>PC:</t>
        </r>
        <r>
          <rPr>
            <sz val="9"/>
            <color indexed="81"/>
            <rFont val="Tahoma"/>
            <family val="2"/>
          </rPr>
          <t xml:space="preserve">
EQUIPO $1,950.00+IVA 
MENSUALIDAD $300.00+IVA
ANUALIDAD $3,000.00´+IVA 
UNIDAD DODGE RAM NEGRA 2021</t>
        </r>
      </text>
    </comment>
    <comment ref="J28" authorId="0" shapeId="0" xr:uid="{00000000-0006-0000-0900-000033000000}">
      <text>
        <r>
          <rPr>
            <b/>
            <sz val="9"/>
            <color indexed="81"/>
            <rFont val="Tahoma"/>
            <family val="2"/>
          </rPr>
          <t>PC:</t>
        </r>
        <r>
          <rPr>
            <sz val="9"/>
            <color indexed="81"/>
            <rFont val="Tahoma"/>
            <family val="2"/>
          </rPr>
          <t xml:space="preserve">
10-OCTUBRE-2023</t>
        </r>
      </text>
    </comment>
    <comment ref="D29" authorId="0" shapeId="0" xr:uid="{00000000-0006-0000-0900-000034000000}">
      <text>
        <r>
          <rPr>
            <b/>
            <sz val="9"/>
            <color indexed="81"/>
            <rFont val="Tahoma"/>
            <family val="2"/>
          </rPr>
          <t>PC:</t>
        </r>
        <r>
          <rPr>
            <sz val="9"/>
            <color indexed="81"/>
            <rFont val="Tahoma"/>
            <family val="2"/>
          </rPr>
          <t xml:space="preserve">
INICIA 01-ABRIL-2023
SIMS $58 C/M $696 ANUALIDAD
02-OCTUBRE-2023 1 SIM
04-OCTUBRE-2023 3 SIM
13-NOVIEMBRE-2023
AGREGA 1 ANUALIDAD DE SIM EL 02-OCTUBRE-2023 PROPR. DE 7 MESES </t>
        </r>
      </text>
    </comment>
    <comment ref="J29" authorId="0" shapeId="0" xr:uid="{00000000-0006-0000-0900-000035000000}">
      <text>
        <r>
          <rPr>
            <b/>
            <sz val="9"/>
            <color indexed="81"/>
            <rFont val="Tahoma"/>
            <family val="2"/>
          </rPr>
          <t>PC:</t>
        </r>
        <r>
          <rPr>
            <sz val="9"/>
            <color indexed="81"/>
            <rFont val="Tahoma"/>
            <family val="2"/>
          </rPr>
          <t xml:space="preserve">
11-OCTUBRE-2023
</t>
        </r>
      </text>
    </comment>
    <comment ref="D30" authorId="0" shapeId="0" xr:uid="{00000000-0006-0000-0900-000036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30" authorId="0" shapeId="0" xr:uid="{00000000-0006-0000-0900-000037000000}">
      <text>
        <r>
          <rPr>
            <b/>
            <sz val="9"/>
            <color indexed="81"/>
            <rFont val="Tahoma"/>
            <family val="2"/>
          </rPr>
          <t>PC:</t>
        </r>
        <r>
          <rPr>
            <sz val="9"/>
            <color indexed="81"/>
            <rFont val="Tahoma"/>
            <family val="2"/>
          </rPr>
          <t xml:space="preserve">
23-OCTUBRE-2023</t>
        </r>
      </text>
    </comment>
    <comment ref="D31" authorId="0" shapeId="0" xr:uid="{00000000-0006-0000-0900-000038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31" authorId="0" shapeId="0" xr:uid="{00000000-0006-0000-0900-000039000000}">
      <text>
        <r>
          <rPr>
            <b/>
            <sz val="9"/>
            <color indexed="81"/>
            <rFont val="Tahoma"/>
            <family val="2"/>
          </rPr>
          <t>PC:</t>
        </r>
        <r>
          <rPr>
            <sz val="9"/>
            <color indexed="81"/>
            <rFont val="Tahoma"/>
            <family val="2"/>
          </rPr>
          <t xml:space="preserve">
31-OCTUBRE-2023</t>
        </r>
      </text>
    </comment>
    <comment ref="D32" authorId="0" shapeId="0" xr:uid="{00000000-0006-0000-0900-00003A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32" authorId="0" shapeId="0" xr:uid="{00000000-0006-0000-0900-00003B000000}">
      <text>
        <r>
          <rPr>
            <b/>
            <sz val="9"/>
            <color indexed="81"/>
            <rFont val="Tahoma"/>
            <family val="2"/>
          </rPr>
          <t>PC:</t>
        </r>
        <r>
          <rPr>
            <sz val="9"/>
            <color indexed="81"/>
            <rFont val="Tahoma"/>
            <family val="2"/>
          </rPr>
          <t xml:space="preserve">
28-NOVIEMBRE-2023</t>
        </r>
      </text>
    </comment>
    <comment ref="D33" authorId="0" shapeId="0" xr:uid="{00000000-0006-0000-0900-00003C000000}">
      <text>
        <r>
          <rPr>
            <b/>
            <sz val="9"/>
            <color indexed="81"/>
            <rFont val="Tahoma"/>
            <family val="2"/>
          </rPr>
          <t>PC:</t>
        </r>
        <r>
          <rPr>
            <sz val="9"/>
            <color indexed="81"/>
            <rFont val="Tahoma"/>
            <family val="2"/>
          </rPr>
          <t xml:space="preserve">
ANUALIDAD $3,000.00
</t>
        </r>
      </text>
    </comment>
    <comment ref="J33" authorId="0" shapeId="0" xr:uid="{00000000-0006-0000-0900-00003D000000}">
      <text>
        <r>
          <rPr>
            <b/>
            <sz val="9"/>
            <color indexed="81"/>
            <rFont val="Tahoma"/>
            <family val="2"/>
          </rPr>
          <t>PC:</t>
        </r>
        <r>
          <rPr>
            <sz val="9"/>
            <color indexed="81"/>
            <rFont val="Tahoma"/>
            <family val="2"/>
          </rPr>
          <t xml:space="preserve">
30-NOVIEMBRE-2023</t>
        </r>
      </text>
    </comment>
    <comment ref="D34" authorId="0" shapeId="0" xr:uid="{00000000-0006-0000-0900-00003E000000}">
      <text>
        <r>
          <rPr>
            <b/>
            <sz val="9"/>
            <color indexed="81"/>
            <rFont val="Tahoma"/>
            <family val="2"/>
          </rPr>
          <t>PC:</t>
        </r>
        <r>
          <rPr>
            <sz val="9"/>
            <color indexed="81"/>
            <rFont val="Tahoma"/>
            <family val="2"/>
          </rPr>
          <t xml:space="preserve">
RE-INGRESA EL 11-NOVIEMBRE-2023
INSTALACION $650.00+IVA
MENSUALIDAD $2,500.00+IVA</t>
        </r>
      </text>
    </comment>
    <comment ref="J34" authorId="0" shapeId="0" xr:uid="{00000000-0006-0000-0900-00003F000000}">
      <text>
        <r>
          <rPr>
            <b/>
            <sz val="9"/>
            <color indexed="81"/>
            <rFont val="Tahoma"/>
            <family val="2"/>
          </rPr>
          <t>PC:</t>
        </r>
        <r>
          <rPr>
            <sz val="9"/>
            <color indexed="81"/>
            <rFont val="Tahoma"/>
            <family val="2"/>
          </rPr>
          <t xml:space="preserve">
11-NOVIEMBRE-2023</t>
        </r>
      </text>
    </comment>
    <comment ref="D35" authorId="0" shapeId="0" xr:uid="{00000000-0006-0000-0900-000040000000}">
      <text>
        <r>
          <rPr>
            <b/>
            <sz val="9"/>
            <color indexed="81"/>
            <rFont val="Tahoma"/>
            <family val="2"/>
          </rPr>
          <t>PC:</t>
        </r>
        <r>
          <rPr>
            <sz val="9"/>
            <color indexed="81"/>
            <rFont val="Tahoma"/>
            <family val="2"/>
          </rPr>
          <t xml:space="preserve">
INICIA 01-ABRIL-2023
SIMS $58 C/M $696 ANUALIDAD
02-OCTUBRE-2023 1 SIM
04-OCTUBRE-2023 3 SIM
13-NOVIEMBRE-2023 5 SIM
AGREGA 1 ANUALIDAD DE SIM EL 02-OCTUBRE-2023 PROPR. DE 7 MESES </t>
        </r>
      </text>
    </comment>
    <comment ref="J35" authorId="0" shapeId="0" xr:uid="{00000000-0006-0000-0900-000041000000}">
      <text>
        <r>
          <rPr>
            <b/>
            <sz val="9"/>
            <color indexed="81"/>
            <rFont val="Tahoma"/>
            <family val="2"/>
          </rPr>
          <t>PC:</t>
        </r>
        <r>
          <rPr>
            <sz val="9"/>
            <color indexed="81"/>
            <rFont val="Tahoma"/>
            <family val="2"/>
          </rPr>
          <t xml:space="preserve">
SE ARREGLO CON JOSE LUIS CON UNOS EQUIPOS ENTREGADOS EN LA OFICINA </t>
        </r>
      </text>
    </comment>
    <comment ref="D36" authorId="0" shapeId="0" xr:uid="{00000000-0006-0000-0900-000042000000}">
      <text>
        <r>
          <rPr>
            <b/>
            <sz val="9"/>
            <color indexed="81"/>
            <rFont val="Tahoma"/>
            <family val="2"/>
          </rPr>
          <t>PC:</t>
        </r>
        <r>
          <rPr>
            <sz val="9"/>
            <color indexed="81"/>
            <rFont val="Tahoma"/>
            <family val="2"/>
          </rPr>
          <t xml:space="preserve">
RE-INGRESA EL 11-NOVIEMBRE-2023
INSTALACION $650.00+IVA
MENSUALIDAD $2,500.00+IVA</t>
        </r>
      </text>
    </comment>
    <comment ref="J36" authorId="0" shapeId="0" xr:uid="{00000000-0006-0000-0900-000043000000}">
      <text>
        <r>
          <rPr>
            <b/>
            <sz val="9"/>
            <color indexed="81"/>
            <rFont val="Tahoma"/>
            <family val="2"/>
          </rPr>
          <t>PC:</t>
        </r>
        <r>
          <rPr>
            <sz val="9"/>
            <color indexed="81"/>
            <rFont val="Tahoma"/>
            <family val="2"/>
          </rPr>
          <t xml:space="preserve">
27-NOVIEMBRE-2023</t>
        </r>
      </text>
    </comment>
    <comment ref="D37" authorId="0" shapeId="0" xr:uid="{00000000-0006-0000-0900-000044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37" authorId="0" shapeId="0" xr:uid="{00000000-0006-0000-0900-000045000000}">
      <text>
        <r>
          <rPr>
            <b/>
            <sz val="9"/>
            <color indexed="81"/>
            <rFont val="Tahoma"/>
            <family val="2"/>
          </rPr>
          <t>PC:</t>
        </r>
        <r>
          <rPr>
            <sz val="9"/>
            <color indexed="81"/>
            <rFont val="Tahoma"/>
            <family val="2"/>
          </rPr>
          <t xml:space="preserve">
29-DICIEMBRE-2023</t>
        </r>
      </text>
    </comment>
    <comment ref="D38" authorId="0" shapeId="0" xr:uid="{00000000-0006-0000-0900-000046000000}">
      <text>
        <r>
          <rPr>
            <b/>
            <sz val="9"/>
            <color indexed="81"/>
            <rFont val="Tahoma"/>
            <family val="2"/>
          </rPr>
          <t>PC:</t>
        </r>
        <r>
          <rPr>
            <sz val="9"/>
            <color indexed="81"/>
            <rFont val="Tahoma"/>
            <family val="2"/>
          </rPr>
          <t xml:space="preserve">
INICIA EL 06-DICIEMBRE-2023
EQUIPO $650.00+IVA
ANUALIDAD $2,500.00+IVA</t>
        </r>
      </text>
    </comment>
    <comment ref="J38" authorId="0" shapeId="0" xr:uid="{00000000-0006-0000-0900-000047000000}">
      <text>
        <r>
          <rPr>
            <b/>
            <sz val="9"/>
            <color indexed="81"/>
            <rFont val="Tahoma"/>
            <family val="2"/>
          </rPr>
          <t>PC:</t>
        </r>
        <r>
          <rPr>
            <sz val="9"/>
            <color indexed="81"/>
            <rFont val="Tahoma"/>
            <family val="2"/>
          </rPr>
          <t xml:space="preserve">
06-DICIEMBRE-2023</t>
        </r>
      </text>
    </comment>
    <comment ref="D39" authorId="0" shapeId="0" xr:uid="{00000000-0006-0000-0900-000048000000}">
      <text>
        <r>
          <rPr>
            <b/>
            <sz val="9"/>
            <color indexed="81"/>
            <rFont val="Tahoma"/>
            <family val="2"/>
          </rPr>
          <t>PC:</t>
        </r>
        <r>
          <rPr>
            <sz val="9"/>
            <color indexed="81"/>
            <rFont val="Tahoma"/>
            <family val="2"/>
          </rPr>
          <t xml:space="preserve">
INSTALACION 29-OCT-2020
ANUALIDAD $3,000.00
EQUIPO $1,600.00
ANUALIDAD
$3,000.00</t>
        </r>
      </text>
    </comment>
    <comment ref="J39" authorId="0" shapeId="0" xr:uid="{00000000-0006-0000-0900-000049000000}">
      <text>
        <r>
          <rPr>
            <b/>
            <sz val="9"/>
            <color indexed="81"/>
            <rFont val="Tahoma"/>
            <family val="2"/>
          </rPr>
          <t>PC:</t>
        </r>
        <r>
          <rPr>
            <sz val="9"/>
            <color indexed="81"/>
            <rFont val="Tahoma"/>
            <family val="2"/>
          </rPr>
          <t xml:space="preserve">
04-ENERO-2024</t>
        </r>
      </text>
    </comment>
    <comment ref="D40" authorId="0" shapeId="0" xr:uid="{00000000-0006-0000-0900-00004A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40" authorId="0" shapeId="0" xr:uid="{00000000-0006-0000-0900-00004B000000}">
      <text>
        <r>
          <rPr>
            <b/>
            <sz val="9"/>
            <color indexed="81"/>
            <rFont val="Tahoma"/>
            <family val="2"/>
          </rPr>
          <t>PC:</t>
        </r>
        <r>
          <rPr>
            <sz val="9"/>
            <color indexed="81"/>
            <rFont val="Tahoma"/>
            <family val="2"/>
          </rPr>
          <t xml:space="preserve">
22-DIC-2023</t>
        </r>
      </text>
    </comment>
    <comment ref="D41" authorId="0" shapeId="0" xr:uid="{00000000-0006-0000-0900-00004C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41" authorId="0" shapeId="0" xr:uid="{00000000-0006-0000-0900-00004D000000}">
      <text>
        <r>
          <rPr>
            <b/>
            <sz val="9"/>
            <color indexed="81"/>
            <rFont val="Tahoma"/>
            <family val="2"/>
          </rPr>
          <t>PC:</t>
        </r>
        <r>
          <rPr>
            <sz val="9"/>
            <color indexed="81"/>
            <rFont val="Tahoma"/>
            <family val="2"/>
          </rPr>
          <t xml:space="preserve">
19-ENERO-2024
</t>
        </r>
      </text>
    </comment>
    <comment ref="D42" authorId="0" shapeId="0" xr:uid="{00000000-0006-0000-0900-00004E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42" authorId="0" shapeId="0" xr:uid="{00000000-0006-0000-0900-00004F000000}">
      <text>
        <r>
          <rPr>
            <b/>
            <sz val="9"/>
            <color indexed="81"/>
            <rFont val="Tahoma"/>
            <family val="2"/>
          </rPr>
          <t>PC:</t>
        </r>
        <r>
          <rPr>
            <sz val="9"/>
            <color indexed="81"/>
            <rFont val="Tahoma"/>
            <family val="2"/>
          </rPr>
          <t xml:space="preserve">
31-ENERO-2024</t>
        </r>
      </text>
    </comment>
    <comment ref="D43" authorId="0" shapeId="0" xr:uid="{00000000-0006-0000-0900-000050000000}">
      <text>
        <r>
          <rPr>
            <b/>
            <sz val="9"/>
            <color indexed="81"/>
            <rFont val="Tahoma"/>
            <family val="2"/>
          </rPr>
          <t>PC:</t>
        </r>
        <r>
          <rPr>
            <sz val="9"/>
            <color indexed="81"/>
            <rFont val="Tahoma"/>
            <family val="2"/>
          </rPr>
          <t xml:space="preserve">
INICIA 01-ABRIL-2023
SIMS $58 C/M $696 ANUALIDAD
02-OCTUBRE-2023 1 SIMS
04-OCTUBRE-2023 3 SIMS
13-NOVIEMBRE-2023 5 SIMS
AGREGA 1 ANUALIDAD DE SIM EL 02-OCTUBRE-2023 PROPR. DE 7 MESES </t>
        </r>
      </text>
    </comment>
    <comment ref="J43" authorId="0" shapeId="0" xr:uid="{00000000-0006-0000-0900-000051000000}">
      <text>
        <r>
          <rPr>
            <b/>
            <sz val="9"/>
            <color indexed="81"/>
            <rFont val="Tahoma"/>
            <family val="2"/>
          </rPr>
          <t>PC:</t>
        </r>
        <r>
          <rPr>
            <sz val="9"/>
            <color indexed="81"/>
            <rFont val="Tahoma"/>
            <family val="2"/>
          </rPr>
          <t xml:space="preserve">
ENTREGARON PAGO EN EFECTIVO EN LA OFICINA 
02-FEBRERO-2024
</t>
        </r>
      </text>
    </comment>
    <comment ref="D44" authorId="0" shapeId="0" xr:uid="{00000000-0006-0000-0900-000052000000}">
      <text>
        <r>
          <rPr>
            <b/>
            <sz val="9"/>
            <color indexed="81"/>
            <rFont val="Tahoma"/>
            <family val="2"/>
          </rPr>
          <t>PC:</t>
        </r>
        <r>
          <rPr>
            <sz val="9"/>
            <color indexed="81"/>
            <rFont val="Tahoma"/>
            <family val="2"/>
          </rPr>
          <t xml:space="preserve">
APERTURA 2-AGOSTO-22
 2 UNIDADES
EQUIPO $1,850.00+IVA
MENSUALIDAD $270.00+IVA=$313.20
</t>
        </r>
      </text>
    </comment>
    <comment ref="J44" authorId="0" shapeId="0" xr:uid="{00000000-0006-0000-0900-000053000000}">
      <text>
        <r>
          <rPr>
            <b/>
            <sz val="9"/>
            <color indexed="81"/>
            <rFont val="Tahoma"/>
            <family val="2"/>
          </rPr>
          <t>PC:</t>
        </r>
        <r>
          <rPr>
            <sz val="9"/>
            <color indexed="81"/>
            <rFont val="Tahoma"/>
            <family val="2"/>
          </rPr>
          <t xml:space="preserve">
07-Febrero-2024</t>
        </r>
      </text>
    </comment>
    <comment ref="D45" authorId="0" shapeId="0" xr:uid="{00000000-0006-0000-0900-000054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45" authorId="0" shapeId="0" xr:uid="{00000000-0006-0000-0900-000055000000}">
      <text>
        <r>
          <rPr>
            <b/>
            <sz val="9"/>
            <color indexed="81"/>
            <rFont val="Tahoma"/>
            <family val="2"/>
          </rPr>
          <t>PC:</t>
        </r>
        <r>
          <rPr>
            <sz val="9"/>
            <color indexed="81"/>
            <rFont val="Tahoma"/>
            <family val="2"/>
          </rPr>
          <t xml:space="preserve">
13-MARZO-2024</t>
        </r>
      </text>
    </comment>
    <comment ref="D46" authorId="0" shapeId="0" xr:uid="{00000000-0006-0000-0900-000056000000}">
      <text>
        <r>
          <rPr>
            <b/>
            <sz val="9"/>
            <color indexed="81"/>
            <rFont val="Tahoma"/>
            <family val="2"/>
          </rPr>
          <t>PC:</t>
        </r>
        <r>
          <rPr>
            <sz val="9"/>
            <color indexed="81"/>
            <rFont val="Tahoma"/>
            <family val="2"/>
          </rPr>
          <t xml:space="preserve">
1 EQUIPO Y ANUALIDAD 
EQUIPO $1,989.00 + IVA   $2,307.24
ANUALIDAD $3,300 + IVA  $3,828.00
TOTAL $6,135.24
INSTALACION 30-ENE-2021</t>
        </r>
      </text>
    </comment>
    <comment ref="J46" authorId="0" shapeId="0" xr:uid="{00000000-0006-0000-0900-000057000000}">
      <text>
        <r>
          <rPr>
            <b/>
            <sz val="9"/>
            <color indexed="81"/>
            <rFont val="Tahoma"/>
            <family val="2"/>
          </rPr>
          <t>PC:</t>
        </r>
        <r>
          <rPr>
            <sz val="9"/>
            <color indexed="81"/>
            <rFont val="Tahoma"/>
            <family val="2"/>
          </rPr>
          <t xml:space="preserve">
19-FEBRERO-2024</t>
        </r>
      </text>
    </comment>
    <comment ref="D47" authorId="0" shapeId="0" xr:uid="{00000000-0006-0000-0900-000058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*INSTALACION 29-FEB-2024*
ANUALIDAD 
(BONIFICACION DE 1 MES X UNIDAD)
ANUAL $3,600.00 - BONIFICACION $300.00 
TOTAL $3,300.00 + IVA $3,828.00
GENERAR RENOVACIÓN ABRIL PARA COBRANZA EN MAYO </t>
        </r>
      </text>
    </comment>
    <comment ref="J47" authorId="0" shapeId="0" xr:uid="{00000000-0006-0000-0900-000059000000}">
      <text>
        <r>
          <rPr>
            <b/>
            <sz val="9"/>
            <color indexed="81"/>
            <rFont val="Tahoma"/>
            <family val="2"/>
          </rPr>
          <t>PC:</t>
        </r>
        <r>
          <rPr>
            <sz val="9"/>
            <color indexed="81"/>
            <rFont val="Tahoma"/>
            <family val="2"/>
          </rPr>
          <t xml:space="preserve">
28-FEBRERO-2024</t>
        </r>
      </text>
    </comment>
    <comment ref="D48" authorId="0" shapeId="0" xr:uid="{00000000-0006-0000-0900-00005A000000}">
      <text>
        <r>
          <rPr>
            <b/>
            <sz val="9"/>
            <color indexed="81"/>
            <rFont val="Tahoma"/>
            <family val="2"/>
          </rPr>
          <t>PC:</t>
        </r>
        <r>
          <rPr>
            <sz val="9"/>
            <color indexed="81"/>
            <rFont val="Tahoma"/>
            <family val="2"/>
          </rPr>
          <t xml:space="preserve">
6 ANUALIDADES 
$1,000.00 c/u
</t>
        </r>
      </text>
    </comment>
    <comment ref="J48" authorId="0" shapeId="0" xr:uid="{00000000-0006-0000-0900-00005B000000}">
      <text>
        <r>
          <rPr>
            <b/>
            <sz val="9"/>
            <color indexed="81"/>
            <rFont val="Tahoma"/>
            <family val="2"/>
          </rPr>
          <t>PC:</t>
        </r>
        <r>
          <rPr>
            <sz val="9"/>
            <color indexed="81"/>
            <rFont val="Tahoma"/>
            <family val="2"/>
          </rPr>
          <t xml:space="preserve">
08-ABRIL-2024</t>
        </r>
      </text>
    </comment>
    <comment ref="D49" authorId="0" shapeId="0" xr:uid="{00000000-0006-0000-0900-00005C000000}">
      <text>
        <r>
          <rPr>
            <b/>
            <sz val="9"/>
            <color indexed="81"/>
            <rFont val="Tahoma"/>
            <family val="2"/>
          </rPr>
          <t>PC:</t>
        </r>
        <r>
          <rPr>
            <sz val="9"/>
            <color indexed="81"/>
            <rFont val="Tahoma"/>
            <family val="2"/>
          </rPr>
          <t xml:space="preserve">
MIGRACIÓN DE PLAY MOTORS 10-MARZO-2023
EQUIPO $1,950.00
ANUALIDAD $3,000.00</t>
        </r>
      </text>
    </comment>
    <comment ref="J49" authorId="0" shapeId="0" xr:uid="{00000000-0006-0000-0900-00005D000000}">
      <text>
        <r>
          <rPr>
            <b/>
            <sz val="9"/>
            <color indexed="81"/>
            <rFont val="Tahoma"/>
            <family val="2"/>
          </rPr>
          <t>PC:</t>
        </r>
        <r>
          <rPr>
            <sz val="9"/>
            <color indexed="81"/>
            <rFont val="Tahoma"/>
            <family val="2"/>
          </rPr>
          <t xml:space="preserve">
13-MARZO-2024</t>
        </r>
      </text>
    </comment>
    <comment ref="D50" authorId="0" shapeId="0" xr:uid="{00000000-0006-0000-0900-00005E000000}">
      <text>
        <r>
          <rPr>
            <b/>
            <sz val="9"/>
            <color indexed="81"/>
            <rFont val="Tahoma"/>
            <family val="2"/>
          </rPr>
          <t>PC:</t>
        </r>
        <r>
          <rPr>
            <sz val="9"/>
            <color indexed="81"/>
            <rFont val="Tahoma"/>
            <family val="2"/>
          </rPr>
          <t xml:space="preserve">
SIMS $58 POR MES                                               </t>
        </r>
        <r>
          <rPr>
            <b/>
            <sz val="9"/>
            <color indexed="81"/>
            <rFont val="Tahoma"/>
            <family val="2"/>
          </rPr>
          <t xml:space="preserve">$696 ANUALIDAD
</t>
        </r>
        <r>
          <rPr>
            <sz val="9"/>
            <color indexed="81"/>
            <rFont val="Tahoma"/>
            <family val="2"/>
          </rPr>
          <t xml:space="preserve">
INICIA 01-ABRIL-2023 5 SIMS
02-OCTUBRE-2023 1 SIMS
04-OCTUBRE-2023 3 SIMS
13-NOVIEMBRE-2023 5 SIMS
16-ENERO-2024 17 SIMS
AGREGA 1 ANUALIDAD DE SIM EL 02-OCTUBRE-2023 PROPR. DE 7 MESES </t>
        </r>
      </text>
    </comment>
    <comment ref="D51" authorId="0" shapeId="0" xr:uid="{00000000-0006-0000-0900-00005F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J51" authorId="0" shapeId="0" xr:uid="{00000000-0006-0000-0900-000060000000}">
      <text>
        <r>
          <rPr>
            <b/>
            <sz val="9"/>
            <color indexed="81"/>
            <rFont val="Tahoma"/>
            <family val="2"/>
          </rPr>
          <t>PC:</t>
        </r>
        <r>
          <rPr>
            <sz val="9"/>
            <color indexed="81"/>
            <rFont val="Tahoma"/>
            <family val="2"/>
          </rPr>
          <t xml:space="preserve">
16-ABRIL-2024</t>
        </r>
      </text>
    </comment>
    <comment ref="D52" authorId="0" shapeId="0" xr:uid="{00000000-0006-0000-0900-000061000000}">
      <text>
        <r>
          <rPr>
            <b/>
            <sz val="9"/>
            <color indexed="81"/>
            <rFont val="Tahoma"/>
            <family val="2"/>
          </rPr>
          <t>PC:</t>
        </r>
        <r>
          <rPr>
            <sz val="9"/>
            <color indexed="81"/>
            <rFont val="Tahoma"/>
            <family val="2"/>
          </rPr>
          <t xml:space="preserve">
EQUIPO $1,800 / $1,500
ANUALIDAD $3,000
INSTALACION 19-ABRIL-2022
*COBRANZA MAYO´2022*
PAGO $4,500.00
ANUALIDAD $3,000.00</t>
        </r>
      </text>
    </comment>
    <comment ref="J52" authorId="0" shapeId="0" xr:uid="{00000000-0006-0000-0900-000062000000}">
      <text>
        <r>
          <rPr>
            <b/>
            <sz val="9"/>
            <color indexed="81"/>
            <rFont val="Tahoma"/>
            <family val="2"/>
          </rPr>
          <t>PC:</t>
        </r>
        <r>
          <rPr>
            <sz val="9"/>
            <color indexed="81"/>
            <rFont val="Tahoma"/>
            <family val="2"/>
          </rPr>
          <t xml:space="preserve">
10-ABRIL-2024
</t>
        </r>
      </text>
    </comment>
    <comment ref="D53" authorId="0" shapeId="0" xr:uid="{00000000-0006-0000-0900-000063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53" authorId="0" shapeId="0" xr:uid="{00000000-0006-0000-0900-000064000000}">
      <text>
        <r>
          <rPr>
            <b/>
            <sz val="9"/>
            <color indexed="81"/>
            <rFont val="Tahoma"/>
            <family val="2"/>
          </rPr>
          <t>PC:</t>
        </r>
        <r>
          <rPr>
            <sz val="9"/>
            <color indexed="81"/>
            <rFont val="Tahoma"/>
            <family val="2"/>
          </rPr>
          <t xml:space="preserve">
LIQUIDO FACTURA 2820 EL 07-MAYO-2024
SEGUNDO PAGO FACTURA 2819 08-MAYO-2024</t>
        </r>
      </text>
    </comment>
    <comment ref="D54" authorId="1" shapeId="0" xr:uid="{00000000-0006-0000-0900-000065000000}">
      <text>
        <r>
          <rPr>
            <b/>
            <sz val="9"/>
            <color indexed="81"/>
            <rFont val="Tahoma"/>
            <family val="2"/>
          </rPr>
          <t>Usuario de Windows:</t>
        </r>
        <r>
          <rPr>
            <sz val="9"/>
            <color indexed="81"/>
            <rFont val="Tahoma"/>
            <family val="2"/>
          </rPr>
          <t xml:space="preserve">
</t>
        </r>
        <r>
          <rPr>
            <b/>
            <sz val="9"/>
            <color indexed="81"/>
            <rFont val="Tahoma"/>
            <family val="2"/>
          </rPr>
          <t xml:space="preserve">ANUALIDAD 
</t>
        </r>
        <r>
          <rPr>
            <sz val="9"/>
            <color indexed="81"/>
            <rFont val="Tahoma"/>
            <family val="2"/>
          </rPr>
          <t xml:space="preserve">EQUIPO $1,750 + IVA
ANUALIDAD $3,000 + IVA
</t>
        </r>
        <r>
          <rPr>
            <b/>
            <sz val="9"/>
            <color indexed="81"/>
            <rFont val="Tahoma"/>
            <family val="2"/>
          </rPr>
          <t xml:space="preserve">
1er Instalacion 29-ABRIL-2022
2da Instalacion 11-MAYO-2022
CUBRE MAYO´2022 - ABRIL´2023
DES-INSTALACION $350</t>
        </r>
      </text>
    </comment>
    <comment ref="J54" authorId="0" shapeId="0" xr:uid="{00000000-0006-0000-0900-000066000000}">
      <text>
        <r>
          <rPr>
            <b/>
            <sz val="9"/>
            <color indexed="81"/>
            <rFont val="Tahoma"/>
            <family val="2"/>
          </rPr>
          <t>PC:</t>
        </r>
        <r>
          <rPr>
            <sz val="9"/>
            <color indexed="81"/>
            <rFont val="Tahoma"/>
            <family val="2"/>
          </rPr>
          <t xml:space="preserve">
PAGO ANUALIDAD 17-MAYO-2024 $6,960.00
27-MAYO-2023</t>
        </r>
      </text>
    </comment>
    <comment ref="D55" authorId="0" shapeId="0" xr:uid="{00000000-0006-0000-0900-000067000000}">
      <text>
        <r>
          <rPr>
            <b/>
            <sz val="9"/>
            <color indexed="81"/>
            <rFont val="Tahoma"/>
            <family val="2"/>
          </rPr>
          <t>PC:</t>
        </r>
        <r>
          <rPr>
            <sz val="9"/>
            <color indexed="81"/>
            <rFont val="Tahoma"/>
            <family val="2"/>
          </rPr>
          <t xml:space="preserve">
INGRESA EL 02-MAYO-2024
EQUIPO $2,250.00
ANUALIDAD $2,988.00
MENSUALIDAD $249.00</t>
        </r>
      </text>
    </comment>
    <comment ref="J55" authorId="0" shapeId="0" xr:uid="{00000000-0006-0000-0900-000068000000}">
      <text>
        <r>
          <rPr>
            <b/>
            <sz val="9"/>
            <color indexed="81"/>
            <rFont val="Tahoma"/>
            <family val="2"/>
          </rPr>
          <t>PC:</t>
        </r>
        <r>
          <rPr>
            <sz val="9"/>
            <color indexed="81"/>
            <rFont val="Tahoma"/>
            <family val="2"/>
          </rPr>
          <t xml:space="preserve">
14-MAYO-2024</t>
        </r>
      </text>
    </comment>
    <comment ref="D56" authorId="0" shapeId="0" xr:uid="{00000000-0006-0000-0900-000069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56" authorId="0" shapeId="0" xr:uid="{00000000-0006-0000-0900-00006A000000}">
      <text>
        <r>
          <rPr>
            <b/>
            <sz val="9"/>
            <color indexed="81"/>
            <rFont val="Tahoma"/>
            <family val="2"/>
          </rPr>
          <t>PC:</t>
        </r>
        <r>
          <rPr>
            <sz val="9"/>
            <color indexed="81"/>
            <rFont val="Tahoma"/>
            <family val="2"/>
          </rPr>
          <t xml:space="preserve">
05-JUNIO-2024</t>
        </r>
      </text>
    </comment>
    <comment ref="D57" authorId="0" shapeId="0" xr:uid="{00000000-0006-0000-0900-00006B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J57" authorId="0" shapeId="0" xr:uid="{00000000-0006-0000-0900-00006C000000}">
      <text>
        <r>
          <rPr>
            <b/>
            <sz val="9"/>
            <color indexed="81"/>
            <rFont val="Tahoma"/>
            <family val="2"/>
          </rPr>
          <t>PC:</t>
        </r>
        <r>
          <rPr>
            <sz val="9"/>
            <color indexed="81"/>
            <rFont val="Tahoma"/>
            <family val="2"/>
          </rPr>
          <t xml:space="preserve">
31-MAYO-2024</t>
        </r>
      </text>
    </comment>
    <comment ref="D58" authorId="0" shapeId="0" xr:uid="{00000000-0006-0000-0900-00006D000000}">
      <text>
        <r>
          <rPr>
            <b/>
            <sz val="9"/>
            <color indexed="81"/>
            <rFont val="Tahoma"/>
            <family val="2"/>
          </rPr>
          <t>PC:</t>
        </r>
        <r>
          <rPr>
            <sz val="9"/>
            <color indexed="81"/>
            <rFont val="Tahoma"/>
            <family val="2"/>
          </rPr>
          <t xml:space="preserve">
EQUIPO $1,800.00+IVA
ANUALIDAD $2,790.00
</t>
        </r>
      </text>
    </comment>
    <comment ref="J58" authorId="0" shapeId="0" xr:uid="{00000000-0006-0000-0900-00006E000000}">
      <text>
        <r>
          <rPr>
            <b/>
            <sz val="9"/>
            <color indexed="81"/>
            <rFont val="Tahoma"/>
            <family val="2"/>
          </rPr>
          <t>PC:</t>
        </r>
        <r>
          <rPr>
            <sz val="9"/>
            <color indexed="81"/>
            <rFont val="Tahoma"/>
            <family val="2"/>
          </rPr>
          <t xml:space="preserve">
11-JUNIO-2024</t>
        </r>
      </text>
    </comment>
    <comment ref="D59" authorId="0" shapeId="0" xr:uid="{00000000-0006-0000-0900-00006F000000}">
      <text>
        <r>
          <rPr>
            <b/>
            <sz val="9"/>
            <color indexed="81"/>
            <rFont val="Tahoma"/>
            <family val="2"/>
          </rPr>
          <t>PC:</t>
        </r>
        <r>
          <rPr>
            <sz val="9"/>
            <color indexed="81"/>
            <rFont val="Tahoma"/>
            <family val="2"/>
          </rPr>
          <t xml:space="preserve">
SIMS $58 POR MES                                               $696 ANUALIDAD
INICIA 01-ABRIL-2023 5 SIMS
02-OCTUBRE-2023 1 SIMS
04-OCTUBRE-2023 3 SIMS
13-NOVIEMBRE-2023 5 SIMS
16-ENERO-2024 17 SIMS
13-JUNIO-2024 1 SIM
AGREGA 1 ANUALIDAD DE SIM EL 02-OCTUBRE-2023 PROPR. DE 7 MESES </t>
        </r>
      </text>
    </comment>
    <comment ref="J59" authorId="0" shapeId="0" xr:uid="{00000000-0006-0000-0900-000070000000}">
      <text>
        <r>
          <rPr>
            <b/>
            <sz val="9"/>
            <color indexed="81"/>
            <rFont val="Tahoma"/>
            <family val="2"/>
          </rPr>
          <t>PC:</t>
        </r>
        <r>
          <rPr>
            <sz val="9"/>
            <color indexed="81"/>
            <rFont val="Tahoma"/>
            <family val="2"/>
          </rPr>
          <t xml:space="preserve">
10-JULIO-2024</t>
        </r>
      </text>
    </comment>
    <comment ref="D60" authorId="0" shapeId="0" xr:uid="{00000000-0006-0000-0900-000071000000}">
      <text>
        <r>
          <rPr>
            <b/>
            <sz val="9"/>
            <color indexed="81"/>
            <rFont val="Tahoma"/>
            <family val="2"/>
          </rPr>
          <t>PC:</t>
        </r>
        <r>
          <rPr>
            <sz val="9"/>
            <color indexed="81"/>
            <rFont val="Tahoma"/>
            <family val="2"/>
          </rPr>
          <t xml:space="preserve">
RE-INGRESA EL 11-NOVIEMBRE-2023
INSTALACION $650.00+IVA
ANUALIDAD $2,500.00+IVA</t>
        </r>
      </text>
    </comment>
    <comment ref="J60" authorId="0" shapeId="0" xr:uid="{00000000-0006-0000-0900-000072000000}">
      <text>
        <r>
          <rPr>
            <b/>
            <sz val="9"/>
            <color indexed="81"/>
            <rFont val="Tahoma"/>
            <family val="2"/>
          </rPr>
          <t>PC:</t>
        </r>
        <r>
          <rPr>
            <sz val="9"/>
            <color indexed="81"/>
            <rFont val="Tahoma"/>
            <family val="2"/>
          </rPr>
          <t xml:space="preserve">
05-JULIO-2024
</t>
        </r>
      </text>
    </comment>
    <comment ref="D61" authorId="0" shapeId="0" xr:uid="{00000000-0006-0000-0900-000073000000}">
      <text>
        <r>
          <rPr>
            <b/>
            <sz val="9"/>
            <color indexed="81"/>
            <rFont val="Tahoma"/>
            <family val="2"/>
          </rPr>
          <t>PC:</t>
        </r>
        <r>
          <rPr>
            <sz val="9"/>
            <color indexed="81"/>
            <rFont val="Tahoma"/>
            <family val="2"/>
          </rPr>
          <t xml:space="preserve">
INGRESA EL 28-MAYO-2024
CAMBIA A ESQUEMA DE ANUALIDAD EL 02-JULIO-2024
EQUIPO $2,250.00
ANUALIDAD $3,000.00
MENSUALIDAD $250.00</t>
        </r>
      </text>
    </comment>
    <comment ref="J61" authorId="0" shapeId="0" xr:uid="{00000000-0006-0000-0900-000074000000}">
      <text>
        <r>
          <rPr>
            <b/>
            <sz val="9"/>
            <color indexed="81"/>
            <rFont val="Tahoma"/>
            <family val="2"/>
          </rPr>
          <t>PC:</t>
        </r>
        <r>
          <rPr>
            <sz val="9"/>
            <color indexed="81"/>
            <rFont val="Tahoma"/>
            <family val="2"/>
          </rPr>
          <t xml:space="preserve">
02-JULIO-2024
</t>
        </r>
      </text>
    </comment>
    <comment ref="D62" authorId="0" shapeId="0" xr:uid="{00000000-0006-0000-0900-000075000000}">
      <text>
        <r>
          <rPr>
            <b/>
            <sz val="9"/>
            <color indexed="81"/>
            <rFont val="Tahoma"/>
            <family val="2"/>
          </rPr>
          <t>PC:</t>
        </r>
        <r>
          <rPr>
            <sz val="9"/>
            <color indexed="81"/>
            <rFont val="Tahoma"/>
            <family val="2"/>
          </rPr>
          <t xml:space="preserve">
ANULAIDAD $3,600 + IVA 
$4,176.00
EQUIPO $2,500.00+IVA = $2,900.00
</t>
        </r>
      </text>
    </comment>
    <comment ref="J62" authorId="0" shapeId="0" xr:uid="{00000000-0006-0000-0900-000076000000}">
      <text>
        <r>
          <rPr>
            <b/>
            <sz val="9"/>
            <color indexed="81"/>
            <rFont val="Tahoma"/>
            <family val="2"/>
          </rPr>
          <t>PC:</t>
        </r>
        <r>
          <rPr>
            <sz val="9"/>
            <color indexed="81"/>
            <rFont val="Tahoma"/>
            <family val="2"/>
          </rPr>
          <t xml:space="preserve">
05-JULIO-2024
20-JULIO-2023</t>
        </r>
      </text>
    </comment>
    <comment ref="D63" authorId="0" shapeId="0" xr:uid="{00000000-0006-0000-0900-000077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J63" authorId="0" shapeId="0" xr:uid="{00000000-0006-0000-0900-000078000000}">
      <text>
        <r>
          <rPr>
            <b/>
            <sz val="9"/>
            <color indexed="81"/>
            <rFont val="Tahoma"/>
            <family val="2"/>
          </rPr>
          <t>PC:</t>
        </r>
        <r>
          <rPr>
            <sz val="9"/>
            <color indexed="81"/>
            <rFont val="Tahoma"/>
            <family val="2"/>
          </rPr>
          <t xml:space="preserve">
17-JULIO-2024</t>
        </r>
      </text>
    </comment>
    <comment ref="D64" authorId="0" shapeId="0" xr:uid="{00000000-0006-0000-0900-000079000000}">
      <text>
        <r>
          <rPr>
            <b/>
            <sz val="9"/>
            <color indexed="81"/>
            <rFont val="Tahoma"/>
            <family val="2"/>
          </rPr>
          <t>PC:</t>
        </r>
        <r>
          <rPr>
            <sz val="9"/>
            <color indexed="81"/>
            <rFont val="Tahoma"/>
            <family val="2"/>
          </rPr>
          <t xml:space="preserve">
RE-INGRESA EL 11-NOVIEMBRE-2023
INSTALACION $650.00+IVA
ANUALIDAD $2,500.00+IVA</t>
        </r>
      </text>
    </comment>
    <comment ref="J64" authorId="0" shapeId="0" xr:uid="{00000000-0006-0000-0900-00007A000000}">
      <text>
        <r>
          <rPr>
            <b/>
            <sz val="9"/>
            <color indexed="81"/>
            <rFont val="Tahoma"/>
            <family val="2"/>
          </rPr>
          <t>PC:</t>
        </r>
        <r>
          <rPr>
            <sz val="9"/>
            <color indexed="81"/>
            <rFont val="Tahoma"/>
            <family val="2"/>
          </rPr>
          <t xml:space="preserve">
15-JULIO-2024
05-JULIO-2024
</t>
        </r>
      </text>
    </comment>
    <comment ref="D65" authorId="0" shapeId="0" xr:uid="{00000000-0006-0000-0900-00007B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65" authorId="0" shapeId="0" xr:uid="{00000000-0006-0000-0900-00007C000000}">
      <text>
        <r>
          <rPr>
            <b/>
            <sz val="9"/>
            <color indexed="81"/>
            <rFont val="Tahoma"/>
            <family val="2"/>
          </rPr>
          <t>PC:</t>
        </r>
        <r>
          <rPr>
            <sz val="9"/>
            <color indexed="81"/>
            <rFont val="Tahoma"/>
            <family val="2"/>
          </rPr>
          <t xml:space="preserve">
03-AGOSTO-2024
</t>
        </r>
      </text>
    </comment>
    <comment ref="D66" authorId="0" shapeId="0" xr:uid="{00000000-0006-0000-0900-00007D000000}">
      <text>
        <r>
          <rPr>
            <b/>
            <sz val="9"/>
            <color indexed="81"/>
            <rFont val="Tahoma"/>
            <family val="2"/>
          </rPr>
          <t>PC:</t>
        </r>
        <r>
          <rPr>
            <sz val="9"/>
            <color indexed="81"/>
            <rFont val="Tahoma"/>
            <family val="2"/>
          </rPr>
          <t xml:space="preserve">
INICIA EL 19-JUNIO-2023
EQUIPO $1,500.00
MENSUALIDAD $250.00
CAMBIA A ESQUEMA DE ANUALIDAD 04-AGOSTO-2023
RENOVACION EN AGOSTO 2024
ANUALIDAD $2,500.00+IVA=$2,900.00</t>
        </r>
      </text>
    </comment>
    <comment ref="J66" authorId="0" shapeId="0" xr:uid="{00000000-0006-0000-0900-00007E000000}">
      <text>
        <r>
          <rPr>
            <b/>
            <sz val="9"/>
            <color indexed="81"/>
            <rFont val="Tahoma"/>
            <family val="2"/>
          </rPr>
          <t>PC:</t>
        </r>
        <r>
          <rPr>
            <sz val="9"/>
            <color indexed="81"/>
            <rFont val="Tahoma"/>
            <family val="2"/>
          </rPr>
          <t xml:space="preserve">
12-AGOSTO-2024</t>
        </r>
      </text>
    </comment>
    <comment ref="D67" authorId="0" shapeId="0" xr:uid="{00000000-0006-0000-0900-00007F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67" authorId="0" shapeId="0" xr:uid="{00000000-0006-0000-0900-000080000000}">
      <text>
        <r>
          <rPr>
            <b/>
            <sz val="9"/>
            <color indexed="81"/>
            <rFont val="Tahoma"/>
            <family val="2"/>
          </rPr>
          <t>PC:</t>
        </r>
        <r>
          <rPr>
            <sz val="9"/>
            <color indexed="81"/>
            <rFont val="Tahoma"/>
            <family val="2"/>
          </rPr>
          <t xml:space="preserve">
18-SEPTIEMBRE-2024</t>
        </r>
      </text>
    </comment>
    <comment ref="D68" authorId="0" shapeId="0" xr:uid="{00000000-0006-0000-0900-000081000000}">
      <text>
        <r>
          <rPr>
            <b/>
            <sz val="9"/>
            <color indexed="81"/>
            <rFont val="Tahoma"/>
            <family val="2"/>
          </rPr>
          <t>PC:</t>
        </r>
        <r>
          <rPr>
            <sz val="9"/>
            <color indexed="81"/>
            <rFont val="Tahoma"/>
            <family val="2"/>
          </rPr>
          <t xml:space="preserve">
ANUALIDAD $2,600.00+IVA
EQUIPO $1,900.00+IVA</t>
        </r>
      </text>
    </comment>
    <comment ref="J68" authorId="0" shapeId="0" xr:uid="{00000000-0006-0000-0900-000082000000}">
      <text>
        <r>
          <rPr>
            <b/>
            <sz val="9"/>
            <color indexed="81"/>
            <rFont val="Tahoma"/>
            <family val="2"/>
          </rPr>
          <t>PC:</t>
        </r>
        <r>
          <rPr>
            <sz val="9"/>
            <color indexed="81"/>
            <rFont val="Tahoma"/>
            <family val="2"/>
          </rPr>
          <t xml:space="preserve">
11-SEPTIEMBRE-2023
20-SEPTIEMBRE-2024
</t>
        </r>
      </text>
    </comment>
    <comment ref="D69" authorId="0" shapeId="0" xr:uid="{00000000-0006-0000-0900-000083000000}">
      <text>
        <r>
          <rPr>
            <b/>
            <sz val="9"/>
            <color indexed="81"/>
            <rFont val="Tahoma"/>
            <family val="2"/>
          </rPr>
          <t>PC:</t>
        </r>
        <r>
          <rPr>
            <sz val="9"/>
            <color indexed="81"/>
            <rFont val="Tahoma"/>
            <family val="2"/>
          </rPr>
          <t xml:space="preserve">
ANUALIDAD $3,000.00+IVA=$3,480.00</t>
        </r>
      </text>
    </comment>
    <comment ref="J69" authorId="0" shapeId="0" xr:uid="{00000000-0006-0000-0900-000084000000}">
      <text>
        <r>
          <rPr>
            <b/>
            <sz val="9"/>
            <color indexed="81"/>
            <rFont val="Tahoma"/>
            <family val="2"/>
          </rPr>
          <t>PC:</t>
        </r>
        <r>
          <rPr>
            <sz val="9"/>
            <color indexed="81"/>
            <rFont val="Tahoma"/>
            <family val="2"/>
          </rPr>
          <t xml:space="preserve">
13-SEPTIEMBRE-2024
18-SEPTIEMBRE-2023
</t>
        </r>
      </text>
    </comment>
    <comment ref="D70" authorId="0" shapeId="0" xr:uid="{00000000-0006-0000-0900-000085000000}">
      <text>
        <r>
          <rPr>
            <b/>
            <sz val="9"/>
            <color indexed="81"/>
            <rFont val="Tahoma"/>
            <family val="2"/>
          </rPr>
          <t>PC:</t>
        </r>
        <r>
          <rPr>
            <sz val="9"/>
            <color indexed="81"/>
            <rFont val="Tahoma"/>
            <family val="2"/>
          </rPr>
          <t xml:space="preserve">
1 Equipo $2,500 + IVA $2,900 
1 MESES $250 + IVA $290
ANUALIDAD $3,000 + IVA C/U
RE-INSTALAICION $650  + IVA $754
SUBTOTAL $3,400.00
IVA           $   736.00
TOTAL      $3,944.00
AGREGA 1 UNIDAD 19 ABRIL´2022
UNIDAD VW Delivery blanco PZ-7700-A
EQUIPO $2,500 + IVA
PROPORCIONAL ANUALIDAD $1,250 + IVA</t>
        </r>
      </text>
    </comment>
    <comment ref="J70" authorId="0" shapeId="0" xr:uid="{00000000-0006-0000-0900-000086000000}">
      <text>
        <r>
          <rPr>
            <b/>
            <sz val="9"/>
            <color indexed="81"/>
            <rFont val="Tahoma"/>
            <family val="2"/>
          </rPr>
          <t>PC:</t>
        </r>
        <r>
          <rPr>
            <sz val="9"/>
            <color indexed="81"/>
            <rFont val="Tahoma"/>
            <family val="2"/>
          </rPr>
          <t xml:space="preserve">
15-SEPTIEMBRE-2023</t>
        </r>
      </text>
    </comment>
    <comment ref="D71" authorId="0" shapeId="0" xr:uid="{00000000-0006-0000-0900-000087000000}">
      <text>
        <r>
          <rPr>
            <b/>
            <sz val="9"/>
            <color indexed="81"/>
            <rFont val="Tahoma"/>
            <family val="2"/>
          </rPr>
          <t>PC:</t>
        </r>
        <r>
          <rPr>
            <sz val="9"/>
            <color indexed="81"/>
            <rFont val="Tahoma"/>
            <family val="2"/>
          </rPr>
          <t xml:space="preserve">
RE-INGRESA EL 11-NOVIEMBRE-2023
INSTALACION $650.00+IVA
ANUALIDAD $2,500.00+IVA</t>
        </r>
      </text>
    </comment>
    <comment ref="J71" authorId="0" shapeId="0" xr:uid="{00000000-0006-0000-0900-000088000000}">
      <text>
        <r>
          <rPr>
            <b/>
            <sz val="9"/>
            <color indexed="81"/>
            <rFont val="Tahoma"/>
            <family val="2"/>
          </rPr>
          <t>PC:</t>
        </r>
        <r>
          <rPr>
            <sz val="9"/>
            <color indexed="81"/>
            <rFont val="Tahoma"/>
            <family val="2"/>
          </rPr>
          <t xml:space="preserve">
21-SEPTIEMBRE-2024</t>
        </r>
      </text>
    </comment>
    <comment ref="D72" authorId="0" shapeId="0" xr:uid="{00000000-0006-0000-0900-000089000000}">
      <text>
        <r>
          <rPr>
            <b/>
            <sz val="9"/>
            <color indexed="81"/>
            <rFont val="Tahoma"/>
            <family val="2"/>
          </rPr>
          <t>PC:</t>
        </r>
        <r>
          <rPr>
            <sz val="9"/>
            <color indexed="81"/>
            <rFont val="Tahoma"/>
            <family val="2"/>
          </rPr>
          <t xml:space="preserve">
INGRESA EL 17-SEPTIEMBRE-2024
COMODATO
INSTALACIÓN $549.00
ANUALIDAD $3,000.00</t>
        </r>
      </text>
    </comment>
    <comment ref="J72" authorId="0" shapeId="0" xr:uid="{00000000-0006-0000-0900-00008A000000}">
      <text>
        <r>
          <rPr>
            <b/>
            <sz val="9"/>
            <color indexed="81"/>
            <rFont val="Tahoma"/>
            <family val="2"/>
          </rPr>
          <t>PC:</t>
        </r>
        <r>
          <rPr>
            <sz val="9"/>
            <color indexed="81"/>
            <rFont val="Tahoma"/>
            <family val="2"/>
          </rPr>
          <t xml:space="preserve">
17-SEPTIEMBRE-2024
</t>
        </r>
      </text>
    </comment>
    <comment ref="D73" authorId="0" shapeId="0" xr:uid="{00000000-0006-0000-0900-00008B000000}">
      <text>
        <r>
          <rPr>
            <b/>
            <sz val="9"/>
            <color indexed="81"/>
            <rFont val="Tahoma"/>
            <family val="2"/>
          </rPr>
          <t>PC:</t>
        </r>
        <r>
          <rPr>
            <sz val="9"/>
            <color indexed="81"/>
            <rFont val="Tahoma"/>
            <family val="2"/>
          </rPr>
          <t xml:space="preserve">
INGRESA EL 18-SEPTIEMBRE-2024 
CON CANAL DE VOZ 
EQUIPO $2,200.00
ANUALIDAD $3,000.00</t>
        </r>
      </text>
    </comment>
    <comment ref="J73" authorId="0" shapeId="0" xr:uid="{00000000-0006-0000-0900-00008C000000}">
      <text>
        <r>
          <rPr>
            <b/>
            <sz val="9"/>
            <color indexed="81"/>
            <rFont val="Tahoma"/>
            <family val="2"/>
          </rPr>
          <t>PC:</t>
        </r>
        <r>
          <rPr>
            <sz val="9"/>
            <color indexed="81"/>
            <rFont val="Tahoma"/>
            <family val="2"/>
          </rPr>
          <t xml:space="preserve">
18-SEPTIEMBRE-2024</t>
        </r>
      </text>
    </comment>
    <comment ref="D74" authorId="0" shapeId="0" xr:uid="{00000000-0006-0000-0900-00008D000000}">
      <text>
        <r>
          <rPr>
            <b/>
            <sz val="9"/>
            <color indexed="81"/>
            <rFont val="Tahoma"/>
            <family val="2"/>
          </rPr>
          <t>PC:</t>
        </r>
        <r>
          <rPr>
            <sz val="9"/>
            <color indexed="81"/>
            <rFont val="Tahoma"/>
            <family val="2"/>
          </rPr>
          <t xml:space="preserve">
INGRESA EL 28-MAYO-2024
CAMBIA A ESQUEMA DE ANUALIDAD EL 02-JULIO-2024
EQUIPO $2,250.00
ANUALIDAD $3,000.00
MENSUALIDAD $250.00</t>
        </r>
      </text>
    </comment>
    <comment ref="J74" authorId="0" shapeId="0" xr:uid="{00000000-0006-0000-0900-00008E000000}">
      <text>
        <r>
          <rPr>
            <b/>
            <sz val="9"/>
            <color indexed="81"/>
            <rFont val="Tahoma"/>
            <family val="2"/>
          </rPr>
          <t>PC:</t>
        </r>
        <r>
          <rPr>
            <sz val="9"/>
            <color indexed="81"/>
            <rFont val="Tahoma"/>
            <family val="2"/>
          </rPr>
          <t xml:space="preserve">
27-SEPTIEMBRE-2024</t>
        </r>
      </text>
    </comment>
    <comment ref="D75" authorId="0" shapeId="0" xr:uid="{00000000-0006-0000-0900-00008F000000}">
      <text>
        <r>
          <rPr>
            <b/>
            <sz val="9"/>
            <color indexed="81"/>
            <rFont val="Tahoma"/>
            <family val="2"/>
          </rPr>
          <t>PC:</t>
        </r>
        <r>
          <rPr>
            <sz val="9"/>
            <color indexed="81"/>
            <rFont val="Tahoma"/>
            <family val="2"/>
          </rPr>
          <t xml:space="preserve">
INGRESA EL 28-MAYO-2024
CAMBIA A ESQUEMA DE ANUALIDAD EL 02-JULIO-2024
EQUIPO $2,250.00
ANUALIDAD $3,000.00
MENSUALIDAD $250.00</t>
        </r>
      </text>
    </comment>
    <comment ref="J75" authorId="0" shapeId="0" xr:uid="{00000000-0006-0000-0900-000090000000}">
      <text>
        <r>
          <rPr>
            <b/>
            <sz val="9"/>
            <color indexed="81"/>
            <rFont val="Tahoma"/>
            <family val="2"/>
          </rPr>
          <t>PC:</t>
        </r>
        <r>
          <rPr>
            <sz val="9"/>
            <color indexed="81"/>
            <rFont val="Tahoma"/>
            <family val="2"/>
          </rPr>
          <t xml:space="preserve">
14-OCTUBRE-2024</t>
        </r>
      </text>
    </comment>
    <comment ref="D76" authorId="0" shapeId="0" xr:uid="{00000000-0006-0000-0900-000091000000}">
      <text>
        <r>
          <rPr>
            <b/>
            <sz val="9"/>
            <color indexed="81"/>
            <rFont val="Tahoma"/>
            <family val="2"/>
          </rPr>
          <t>PC:</t>
        </r>
        <r>
          <rPr>
            <sz val="9"/>
            <color indexed="81"/>
            <rFont val="Tahoma"/>
            <family val="2"/>
          </rPr>
          <t xml:space="preserve">
ANUALIDAD $3,000.00+IVA=$3,480.00</t>
        </r>
      </text>
    </comment>
    <comment ref="J76" authorId="0" shapeId="0" xr:uid="{00000000-0006-0000-0900-000092000000}">
      <text>
        <r>
          <rPr>
            <b/>
            <sz val="9"/>
            <color indexed="81"/>
            <rFont val="Tahoma"/>
            <family val="2"/>
          </rPr>
          <t>PC:</t>
        </r>
        <r>
          <rPr>
            <sz val="9"/>
            <color indexed="81"/>
            <rFont val="Tahoma"/>
            <family val="2"/>
          </rPr>
          <t xml:space="preserve">
04-OCTUBRE-2024</t>
        </r>
      </text>
    </comment>
    <comment ref="D77" authorId="0" shapeId="0" xr:uid="{00000000-0006-0000-0900-000093000000}">
      <text>
        <r>
          <rPr>
            <b/>
            <sz val="9"/>
            <color indexed="81"/>
            <rFont val="Tahoma"/>
            <family val="2"/>
          </rPr>
          <t>PC:</t>
        </r>
        <r>
          <rPr>
            <sz val="9"/>
            <color indexed="81"/>
            <rFont val="Tahoma"/>
            <family val="2"/>
          </rPr>
          <t xml:space="preserve">
RE-INGRESA EL 11-NOVIEMBRE-2023
INSTALACION $650.00+IVA
ANUALIDAD $2,500.00+IVA</t>
        </r>
      </text>
    </comment>
    <comment ref="J77" authorId="0" shapeId="0" xr:uid="{00000000-0006-0000-0900-000094000000}">
      <text>
        <r>
          <rPr>
            <b/>
            <sz val="9"/>
            <color indexed="81"/>
            <rFont val="Tahoma"/>
            <family val="2"/>
          </rPr>
          <t>PC:</t>
        </r>
        <r>
          <rPr>
            <sz val="9"/>
            <color indexed="81"/>
            <rFont val="Tahoma"/>
            <family val="2"/>
          </rPr>
          <t xml:space="preserve">
21-NOVIEMBRE-2024</t>
        </r>
      </text>
    </comment>
    <comment ref="J78" authorId="0" shapeId="0" xr:uid="{00000000-0006-0000-0900-000095000000}">
      <text>
        <r>
          <rPr>
            <b/>
            <sz val="9"/>
            <color indexed="81"/>
            <rFont val="Tahoma"/>
            <family val="2"/>
          </rPr>
          <t>PC:</t>
        </r>
        <r>
          <rPr>
            <sz val="9"/>
            <color indexed="81"/>
            <rFont val="Tahoma"/>
            <family val="2"/>
          </rPr>
          <t xml:space="preserve">
21-NOVIEMBRE-2024</t>
        </r>
      </text>
    </comment>
    <comment ref="D79" authorId="0" shapeId="0" xr:uid="{00000000-0006-0000-0900-000096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79" authorId="0" shapeId="0" xr:uid="{00000000-0006-0000-0900-000097000000}">
      <text>
        <r>
          <rPr>
            <b/>
            <sz val="9"/>
            <color indexed="81"/>
            <rFont val="Tahoma"/>
            <family val="2"/>
          </rPr>
          <t>PC:</t>
        </r>
        <r>
          <rPr>
            <sz val="9"/>
            <color indexed="81"/>
            <rFont val="Tahoma"/>
            <family val="2"/>
          </rPr>
          <t xml:space="preserve">
19-ENERO-2024
11-NOVIEMBRE-2024
</t>
        </r>
      </text>
    </comment>
    <comment ref="D80" authorId="0" shapeId="0" xr:uid="{00000000-0006-0000-0900-000098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80" authorId="0" shapeId="0" xr:uid="{00000000-0006-0000-0900-000099000000}">
      <text>
        <r>
          <rPr>
            <b/>
            <sz val="9"/>
            <color indexed="81"/>
            <rFont val="Tahoma"/>
            <family val="2"/>
          </rPr>
          <t>PC:</t>
        </r>
        <r>
          <rPr>
            <sz val="9"/>
            <color indexed="81"/>
            <rFont val="Tahoma"/>
            <family val="2"/>
          </rPr>
          <t xml:space="preserve">
10-DICIEMBRE-2024</t>
        </r>
      </text>
    </comment>
    <comment ref="D81" authorId="0" shapeId="0" xr:uid="{00000000-0006-0000-0900-00009A000000}">
      <text>
        <r>
          <rPr>
            <b/>
            <sz val="9"/>
            <color indexed="81"/>
            <rFont val="Tahoma"/>
            <family val="2"/>
          </rPr>
          <t>PC:</t>
        </r>
        <r>
          <rPr>
            <sz val="9"/>
            <color indexed="81"/>
            <rFont val="Tahoma"/>
            <family val="2"/>
          </rPr>
          <t xml:space="preserve">
INSTALACION 29-OCT-2020
ANUALIDAD $3,000.00
EQUIPO $1,600.00
ANUALIDAD
$3,000.00</t>
        </r>
      </text>
    </comment>
    <comment ref="J81" authorId="0" shapeId="0" xr:uid="{00000000-0006-0000-0900-00009B000000}">
      <text>
        <r>
          <rPr>
            <b/>
            <sz val="9"/>
            <color indexed="81"/>
            <rFont val="Tahoma"/>
            <family val="2"/>
          </rPr>
          <t>PC:</t>
        </r>
        <r>
          <rPr>
            <sz val="9"/>
            <color indexed="81"/>
            <rFont val="Tahoma"/>
            <family val="2"/>
          </rPr>
          <t xml:space="preserve">
24-ENERO-2025
</t>
        </r>
      </text>
    </comment>
    <comment ref="D82" authorId="0" shapeId="0" xr:uid="{00000000-0006-0000-0900-00009C000000}">
      <text>
        <r>
          <rPr>
            <b/>
            <sz val="9"/>
            <color indexed="81"/>
            <rFont val="Tahoma"/>
            <family val="2"/>
          </rPr>
          <t>PC:</t>
        </r>
        <r>
          <rPr>
            <sz val="9"/>
            <color indexed="81"/>
            <rFont val="Tahoma"/>
            <family val="2"/>
          </rPr>
          <t xml:space="preserve">
SE DIVIDE CUENTA DE 360 LOGISTICS EL 06-DICIEMBRE-2024
EQUIPO $1,800.00+IVA
ANUALIDAD $2,790.00+IVA</t>
        </r>
      </text>
    </comment>
    <comment ref="J82" authorId="0" shapeId="0" xr:uid="{00000000-0006-0000-0900-00009D000000}">
      <text>
        <r>
          <rPr>
            <b/>
            <sz val="9"/>
            <color indexed="81"/>
            <rFont val="Tahoma"/>
            <family val="2"/>
          </rPr>
          <t>PC:</t>
        </r>
        <r>
          <rPr>
            <sz val="9"/>
            <color indexed="81"/>
            <rFont val="Tahoma"/>
            <family val="2"/>
          </rPr>
          <t xml:space="preserve">
08-ENERO-2025</t>
        </r>
      </text>
    </comment>
    <comment ref="D83" authorId="0" shapeId="0" xr:uid="{00000000-0006-0000-0900-00009E000000}">
      <text>
        <r>
          <rPr>
            <b/>
            <sz val="9"/>
            <color indexed="81"/>
            <rFont val="Tahoma"/>
            <family val="2"/>
          </rPr>
          <t>PC:</t>
        </r>
        <r>
          <rPr>
            <sz val="9"/>
            <color indexed="81"/>
            <rFont val="Tahoma"/>
            <family val="2"/>
          </rPr>
          <t xml:space="preserve">
INGRESA EL 08-ENERO-2025
EQUIPO $2,099.00+IVA
ANUALIDAD $3,000.00+IVA-2 MESES DE BONIFICACION </t>
        </r>
      </text>
    </comment>
    <comment ref="J83" authorId="0" shapeId="0" xr:uid="{00000000-0006-0000-0900-00009F000000}">
      <text>
        <r>
          <rPr>
            <b/>
            <sz val="9"/>
            <color indexed="81"/>
            <rFont val="Tahoma"/>
            <family val="2"/>
          </rPr>
          <t>PC:</t>
        </r>
        <r>
          <rPr>
            <sz val="9"/>
            <color indexed="81"/>
            <rFont val="Tahoma"/>
            <family val="2"/>
          </rPr>
          <t xml:space="preserve">
10-ENERO-2025</t>
        </r>
      </text>
    </comment>
    <comment ref="D84" authorId="0" shapeId="0" xr:uid="{00000000-0006-0000-0900-0000A0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84" authorId="0" shapeId="0" xr:uid="{00000000-0006-0000-0900-0000A1000000}">
      <text>
        <r>
          <rPr>
            <b/>
            <sz val="9"/>
            <color indexed="81"/>
            <rFont val="Tahoma"/>
            <family val="2"/>
          </rPr>
          <t>PC:</t>
        </r>
        <r>
          <rPr>
            <sz val="9"/>
            <color indexed="81"/>
            <rFont val="Tahoma"/>
            <family val="2"/>
          </rPr>
          <t xml:space="preserve">
28-ENERO-2025</t>
        </r>
      </text>
    </comment>
    <comment ref="D85" authorId="0" shapeId="0" xr:uid="{00000000-0006-0000-0900-0000A2000000}">
      <text>
        <r>
          <rPr>
            <b/>
            <sz val="9"/>
            <color indexed="81"/>
            <rFont val="Tahoma"/>
            <family val="2"/>
          </rPr>
          <t>PC:</t>
        </r>
        <r>
          <rPr>
            <sz val="9"/>
            <color indexed="81"/>
            <rFont val="Tahoma"/>
            <family val="2"/>
          </rPr>
          <t xml:space="preserve">
ANUALIDAD 8 UNIDADES:
TOTAL $27,664.00
DIFERIDO EN 3 FACTURAS POR:
SUBTOTAL: $7,949.44
IVA:           $1,271.91
TOTAL:      $9,221.35
1/3 ANUALIDAD NOV´2020 $9,221.35
2/3 ANUALIDAD DIC´2020   $9,221.35
3/3 ANUALIDAD ENE´2020  $9,221.35
DATOS DE FACTURACIÓN: 
Nombre de la Empresa: POWERTRUCK MONTERREY, S.A. DE C.V.
RFC. PMO1502053V2
USO de CFDI: Gastos en general
Contacto: Silvia Castillo
Email: powertruck.monterrey@gmail.com  
Teléfono:  811 004 6807 / 2230 9015
Método de Pago: Transferencia </t>
        </r>
      </text>
    </comment>
    <comment ref="J85" authorId="0" shapeId="0" xr:uid="{00000000-0006-0000-0900-0000A3000000}">
      <text>
        <r>
          <rPr>
            <b/>
            <sz val="9"/>
            <color indexed="81"/>
            <rFont val="Tahoma"/>
            <family val="2"/>
          </rPr>
          <t>PC:</t>
        </r>
        <r>
          <rPr>
            <sz val="9"/>
            <color indexed="81"/>
            <rFont val="Tahoma"/>
            <family val="2"/>
          </rPr>
          <t xml:space="preserve">
17-ENERO-2025</t>
        </r>
      </text>
    </comment>
    <comment ref="D86" authorId="0" shapeId="0" xr:uid="{00000000-0006-0000-0900-0000A4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J86" authorId="0" shapeId="0" xr:uid="{00000000-0006-0000-0900-0000A5000000}">
      <text>
        <r>
          <rPr>
            <b/>
            <sz val="9"/>
            <color indexed="81"/>
            <rFont val="Tahoma"/>
            <family val="2"/>
          </rPr>
          <t>PC:</t>
        </r>
        <r>
          <rPr>
            <sz val="9"/>
            <color indexed="81"/>
            <rFont val="Tahoma"/>
            <family val="2"/>
          </rPr>
          <t xml:space="preserve">
19-FEBRERO-2025
</t>
        </r>
      </text>
    </comment>
    <comment ref="D87" authorId="0" shapeId="0" xr:uid="{00000000-0006-0000-0900-0000A6000000}">
      <text>
        <r>
          <rPr>
            <b/>
            <sz val="9"/>
            <color indexed="81"/>
            <rFont val="Tahoma"/>
            <family val="2"/>
          </rPr>
          <t>PC:</t>
        </r>
        <r>
          <rPr>
            <sz val="9"/>
            <color indexed="81"/>
            <rFont val="Tahoma"/>
            <family val="2"/>
          </rPr>
          <t xml:space="preserve">
SE DIVIDE CUENTA DE 360 LOGISTICS EL 06-DICIEMBRE-2024
EQUIPO $1,800.00+IVA
ANUALIDAD $2,790.00+IVA</t>
        </r>
      </text>
    </comment>
    <comment ref="J87" authorId="0" shapeId="0" xr:uid="{00000000-0006-0000-0900-0000A7000000}">
      <text>
        <r>
          <rPr>
            <b/>
            <sz val="9"/>
            <color indexed="81"/>
            <rFont val="Tahoma"/>
            <family val="2"/>
          </rPr>
          <t>PC:</t>
        </r>
        <r>
          <rPr>
            <sz val="9"/>
            <color indexed="81"/>
            <rFont val="Tahoma"/>
            <family val="2"/>
          </rPr>
          <t xml:space="preserve">
05-MARZO-2025
</t>
        </r>
      </text>
    </comment>
    <comment ref="D88" authorId="0" shapeId="0" xr:uid="{00000000-0006-0000-0900-0000A8000000}">
      <text>
        <r>
          <rPr>
            <b/>
            <sz val="9"/>
            <color indexed="81"/>
            <rFont val="Tahoma"/>
            <family val="2"/>
          </rPr>
          <t>PC:</t>
        </r>
        <r>
          <rPr>
            <sz val="9"/>
            <color indexed="81"/>
            <rFont val="Tahoma"/>
            <family val="2"/>
          </rPr>
          <t xml:space="preserve">
APERTURA 2-AGOSTO-22
 2 UNIDADES
EQUIPO $1,850.00+IVA
MENSUALIDAD $270.00+IVA=$313.20
ANUALIDAD $2,700.00+IVA=$3,132.00</t>
        </r>
      </text>
    </comment>
    <comment ref="J88" authorId="0" shapeId="0" xr:uid="{00000000-0006-0000-0900-0000A9000000}">
      <text>
        <r>
          <rPr>
            <b/>
            <sz val="9"/>
            <color indexed="81"/>
            <rFont val="Tahoma"/>
            <family val="2"/>
          </rPr>
          <t>PC:</t>
        </r>
        <r>
          <rPr>
            <sz val="9"/>
            <color indexed="81"/>
            <rFont val="Tahoma"/>
            <family val="2"/>
          </rPr>
          <t xml:space="preserve">
07-FEBRERO-2025</t>
        </r>
      </text>
    </comment>
    <comment ref="D89" authorId="0" shapeId="0" xr:uid="{00000000-0006-0000-0900-0000AA000000}">
      <text>
        <r>
          <rPr>
            <b/>
            <sz val="9"/>
            <color indexed="81"/>
            <rFont val="Tahoma"/>
            <family val="2"/>
          </rPr>
          <t>PC:</t>
        </r>
        <r>
          <rPr>
            <sz val="9"/>
            <color indexed="81"/>
            <rFont val="Tahoma"/>
            <family val="2"/>
          </rPr>
          <t xml:space="preserve">
INGRESA EL 26-FEBRERO-2025
EQUIPO E INSTALACION GPS DASH CAM $6,200.00+IVA
CAMARA INTERIOR: $1,200.00+IVA
ANUALIDAD $10,800.00+IVA -BONIFICACION SOBRE ANUALIDAD -$900.00</t>
        </r>
      </text>
    </comment>
    <comment ref="J89" authorId="0" shapeId="0" xr:uid="{00000000-0006-0000-0900-0000AB000000}">
      <text>
        <r>
          <rPr>
            <b/>
            <sz val="9"/>
            <color indexed="81"/>
            <rFont val="Tahoma"/>
            <family val="2"/>
          </rPr>
          <t>PC:</t>
        </r>
        <r>
          <rPr>
            <sz val="9"/>
            <color indexed="81"/>
            <rFont val="Tahoma"/>
            <family val="2"/>
          </rPr>
          <t xml:space="preserve">
26-FEBRERO-2025
</t>
        </r>
      </text>
    </comment>
    <comment ref="D90" authorId="0" shapeId="0" xr:uid="{00000000-0006-0000-0900-0000AC000000}">
      <text>
        <r>
          <rPr>
            <b/>
            <sz val="9"/>
            <color indexed="81"/>
            <rFont val="Tahoma"/>
            <family val="2"/>
          </rPr>
          <t>PC:</t>
        </r>
        <r>
          <rPr>
            <sz val="9"/>
            <color indexed="81"/>
            <rFont val="Tahoma"/>
            <family val="2"/>
          </rPr>
          <t xml:space="preserve">
6 ANUALIDADES 
$1,000.00 c/u
</t>
        </r>
      </text>
    </comment>
    <comment ref="J90" authorId="0" shapeId="0" xr:uid="{00000000-0006-0000-0900-0000AD000000}">
      <text>
        <r>
          <rPr>
            <b/>
            <sz val="9"/>
            <color indexed="81"/>
            <rFont val="Tahoma"/>
            <family val="2"/>
          </rPr>
          <t>PC:</t>
        </r>
        <r>
          <rPr>
            <sz val="9"/>
            <color indexed="81"/>
            <rFont val="Tahoma"/>
            <family val="2"/>
          </rPr>
          <t xml:space="preserve">
28-MARZO-2025 $3,000.00</t>
        </r>
      </text>
    </comment>
    <comment ref="D91" authorId="0" shapeId="0" xr:uid="{00000000-0006-0000-0900-0000AE000000}">
      <text>
        <r>
          <rPr>
            <b/>
            <sz val="9"/>
            <color indexed="81"/>
            <rFont val="Tahoma"/>
            <family val="2"/>
          </rPr>
          <t>PC:</t>
        </r>
        <r>
          <rPr>
            <sz val="9"/>
            <color indexed="81"/>
            <rFont val="Tahoma"/>
            <family val="2"/>
          </rPr>
          <t xml:space="preserve">
RE-INGRESA EL 11-NOVIEMBRE-2023
INSTALACION $650.00+IVA
ANUALIDAD $2,500.00+IVA</t>
        </r>
      </text>
    </comment>
    <comment ref="J91" authorId="0" shapeId="0" xr:uid="{00000000-0006-0000-0900-0000AF000000}">
      <text>
        <r>
          <rPr>
            <b/>
            <sz val="9"/>
            <color indexed="81"/>
            <rFont val="Tahoma"/>
            <family val="2"/>
          </rPr>
          <t>PC:</t>
        </r>
        <r>
          <rPr>
            <sz val="9"/>
            <color indexed="81"/>
            <rFont val="Tahoma"/>
            <family val="2"/>
          </rPr>
          <t xml:space="preserve">
21-ABRIL-2025</t>
        </r>
      </text>
    </comment>
    <comment ref="D92" authorId="0" shapeId="0" xr:uid="{00000000-0006-0000-0900-0000B0000000}">
      <text>
        <r>
          <rPr>
            <b/>
            <sz val="9"/>
            <color indexed="81"/>
            <rFont val="Tahoma"/>
            <family val="2"/>
          </rPr>
          <t>PC:</t>
        </r>
        <r>
          <rPr>
            <sz val="9"/>
            <color indexed="81"/>
            <rFont val="Tahoma"/>
            <family val="2"/>
          </rPr>
          <t xml:space="preserve">
RE-INGRESA EL 11-NOVIEMBRE-2023
INSTALACION $650.00+IVA
ANUALIDAD $2,500.00+IVA
EQUIPOS $997.00+IVA</t>
        </r>
      </text>
    </comment>
    <comment ref="J92" authorId="0" shapeId="0" xr:uid="{00000000-0006-0000-0900-0000B1000000}">
      <text>
        <r>
          <rPr>
            <b/>
            <sz val="9"/>
            <color indexed="81"/>
            <rFont val="Tahoma"/>
            <family val="2"/>
          </rPr>
          <t>PC:</t>
        </r>
        <r>
          <rPr>
            <sz val="9"/>
            <color indexed="81"/>
            <rFont val="Tahoma"/>
            <family val="2"/>
          </rPr>
          <t xml:space="preserve">
21-ABRIL-2025</t>
        </r>
      </text>
    </comment>
    <comment ref="D93" authorId="0" shapeId="0" xr:uid="{00000000-0006-0000-0900-0000B2000000}">
      <text>
        <r>
          <rPr>
            <b/>
            <sz val="9"/>
            <color indexed="81"/>
            <rFont val="Tahoma"/>
            <family val="2"/>
          </rPr>
          <t>PC:</t>
        </r>
        <r>
          <rPr>
            <sz val="9"/>
            <color indexed="81"/>
            <rFont val="Tahoma"/>
            <family val="2"/>
          </rPr>
          <t xml:space="preserve">
Usuario de Windows:
COMODATO 
INSTALACION $650 + IVA
MENSUALIDAD $300 + IVA
*INSTALACION 28-MAR-2022*
SE GENERA COBRANZA MAYO´2022
ANUALIDAD 
(BONIFICACION DE 1 MES X UNIDAD)
ANUAL $3,600.00 - BONIFICACION $300.00 
TOTAL $3,300.00 + IVA $3,828.00
GENERAR RENOVACIÓN ABRIL PARA COBRANZA EN MAYO </t>
        </r>
      </text>
    </comment>
    <comment ref="J93" authorId="0" shapeId="0" xr:uid="{00000000-0006-0000-0900-0000B3000000}">
      <text>
        <r>
          <rPr>
            <b/>
            <sz val="9"/>
            <color indexed="81"/>
            <rFont val="Tahoma"/>
            <family val="2"/>
          </rPr>
          <t>PC:</t>
        </r>
        <r>
          <rPr>
            <sz val="9"/>
            <color indexed="81"/>
            <rFont val="Tahoma"/>
            <family val="2"/>
          </rPr>
          <t xml:space="preserve">
04-ABRIL-2025
</t>
        </r>
      </text>
    </comment>
    <comment ref="D94" authorId="0" shapeId="0" xr:uid="{00000000-0006-0000-0900-0000B4000000}">
      <text>
        <r>
          <rPr>
            <b/>
            <sz val="9"/>
            <color indexed="81"/>
            <rFont val="Tahoma"/>
            <family val="2"/>
          </rPr>
          <t>PC:</t>
        </r>
        <r>
          <rPr>
            <sz val="9"/>
            <color indexed="81"/>
            <rFont val="Tahoma"/>
            <family val="2"/>
          </rPr>
          <t xml:space="preserve">
SIMS $58 POR MES                                               $696 ANUALIDAD
INICIA 01-ABRIL-2023 5 SIMS
02-OCTUBRE-2023 1 SIMS
04-OCTUBRE-2023 3 SIMS
13-NOVIEMBRE-2023 5 SIMS
16-ENERO-2024 17 SIMS
13-JUNIO-2024 1 SIM
AGREGA 1 ANUALIDAD DE SIM EL 02-OCTUBRE-2023 PROPR. DE 7 MESES </t>
        </r>
      </text>
    </comment>
    <comment ref="D95" authorId="0" shapeId="0" xr:uid="{00000000-0006-0000-0900-0000B5000000}">
      <text>
        <r>
          <rPr>
            <b/>
            <sz val="9"/>
            <color indexed="81"/>
            <rFont val="Tahoma"/>
            <family val="2"/>
          </rPr>
          <t>PC:</t>
        </r>
        <r>
          <rPr>
            <sz val="9"/>
            <color indexed="81"/>
            <rFont val="Tahoma"/>
            <family val="2"/>
          </rPr>
          <t xml:space="preserve">
INGRESA EL 08-ENERO-2025
EQUIPO $2,099.00+IVA
ANUALIDAD $3,000.00+IVA-2 MESES DE BONIFICACION </t>
        </r>
      </text>
    </comment>
    <comment ref="J95" authorId="0" shapeId="0" xr:uid="{00000000-0006-0000-0900-0000B6000000}">
      <text>
        <r>
          <rPr>
            <b/>
            <sz val="9"/>
            <color indexed="81"/>
            <rFont val="Tahoma"/>
            <family val="2"/>
          </rPr>
          <t>PC:</t>
        </r>
        <r>
          <rPr>
            <sz val="9"/>
            <color indexed="81"/>
            <rFont val="Tahoma"/>
            <family val="2"/>
          </rPr>
          <t xml:space="preserve">
08-ABRIL-2025</t>
        </r>
      </text>
    </comment>
    <comment ref="D96" authorId="0" shapeId="0" xr:uid="{00000000-0006-0000-0900-0000B7000000}">
      <text>
        <r>
          <rPr>
            <b/>
            <sz val="9"/>
            <color indexed="81"/>
            <rFont val="Tahoma"/>
            <family val="2"/>
          </rPr>
          <t>PC:</t>
        </r>
        <r>
          <rPr>
            <sz val="9"/>
            <color indexed="81"/>
            <rFont val="Tahoma"/>
            <family val="2"/>
          </rPr>
          <t xml:space="preserve">
INICIO FEBRERO 2021 - 3 UNIDADES
ANUALIDAD POR UNIDAD $2,790.00 + IVA $3,236.40 / EQUIPO $1,850 + IVA
RENOVACION FEBRERO 2022
TOTAL ANUALIDAD $9,709.20 / F. 591 / 3 UNIDADES
1 UNIDAD SE AGREGA 19-ABRIL-2021-2022 / F.677
DODGE RAM BLANCO Placas.04-AF-1V 
EQUIPO       $1,800 + IVA  /  ANUALIDAD  $2,790 + IVA
COBRO ADICIONAL ABRIL (3 UNIDADES) / F. 678
CREACION Y PROGRAMACION PARA INGRESO A PLATAFORMA (RC CONTROL)
$1,200 + IVA 
1 UNIDAD SE AGREGA 04-AGO-2021-2022 / F. 810
01 RAM BLANCO Placas. RJ-90-894
EQUIPO $1,800 + IVA  /  ANUALIDAD  $1,674 + IVA (Proporcional p/Renovar en Feb´2022)
1 UNIDAD SE AGREGA 03-SEP-2021-2022 / F. 904
05 RAM BLANCO Placas.01-AL-9C
EQUIPO $1,800 + IVA /  ANUALIDAD  $1,618.20 + IVA (Proporcional p/Renovar en Feb´2022)
1 EQUIPO (CAMBIO POR FALLA ELECTRICA) FAC. 1264
05 RAM BLANCO 
EQUIPO $1,800 + IVA / SOLO EQUIPO </t>
        </r>
      </text>
    </comment>
    <comment ref="D97" authorId="1" shapeId="0" xr:uid="{00000000-0006-0000-0900-0000B8000000}">
      <text>
        <r>
          <rPr>
            <b/>
            <sz val="9"/>
            <color indexed="81"/>
            <rFont val="Tahoma"/>
            <family val="2"/>
          </rPr>
          <t>Usuario de Windows:</t>
        </r>
        <r>
          <rPr>
            <sz val="9"/>
            <color indexed="81"/>
            <rFont val="Tahoma"/>
            <family val="2"/>
          </rPr>
          <t xml:space="preserve">
</t>
        </r>
        <r>
          <rPr>
            <b/>
            <sz val="9"/>
            <color indexed="81"/>
            <rFont val="Tahoma"/>
            <family val="2"/>
          </rPr>
          <t xml:space="preserve">ANUALIDAD 
</t>
        </r>
        <r>
          <rPr>
            <sz val="9"/>
            <color indexed="81"/>
            <rFont val="Tahoma"/>
            <family val="2"/>
          </rPr>
          <t xml:space="preserve">EQUIPO $1,750 + IVA
ANUALIDAD $3,000 + IVA
</t>
        </r>
        <r>
          <rPr>
            <b/>
            <sz val="9"/>
            <color indexed="81"/>
            <rFont val="Tahoma"/>
            <family val="2"/>
          </rPr>
          <t xml:space="preserve">
1er Instalacion 29-ABRIL-2022
2da Instalacion 11-MAYO-2022
CUBRE MAYO´2022 - ABRIL´2023
DES-INSTALACION $350</t>
        </r>
      </text>
    </comment>
    <comment ref="J97" authorId="0" shapeId="0" xr:uid="{00000000-0006-0000-0900-0000B9000000}">
      <text>
        <r>
          <rPr>
            <b/>
            <sz val="9"/>
            <color indexed="81"/>
            <rFont val="Tahoma"/>
            <family val="2"/>
          </rPr>
          <t>PC:</t>
        </r>
        <r>
          <rPr>
            <sz val="9"/>
            <color indexed="81"/>
            <rFont val="Tahoma"/>
            <family val="2"/>
          </rPr>
          <t xml:space="preserve">
PAGO ANUALIDAD 17-MAYO-2024 $6,960.00
27-MAYO-2023</t>
        </r>
      </text>
    </comment>
    <comment ref="D98" authorId="0" shapeId="0" xr:uid="{00000000-0006-0000-0900-0000BA000000}">
      <text>
        <r>
          <rPr>
            <b/>
            <sz val="9"/>
            <color indexed="81"/>
            <rFont val="Tahoma"/>
            <family val="2"/>
          </rPr>
          <t>PC:</t>
        </r>
        <r>
          <rPr>
            <sz val="9"/>
            <color indexed="81"/>
            <rFont val="Tahoma"/>
            <family val="2"/>
          </rPr>
          <t xml:space="preserve">
INGRESA EL 02-MAYO-2024
EQUIPO $2,250.00
ANUALIDAD $2,988.00
MENSUALIDAD $249.00</t>
        </r>
      </text>
    </comment>
    <comment ref="J98" authorId="0" shapeId="0" xr:uid="{00000000-0006-0000-0900-0000BB000000}">
      <text>
        <r>
          <rPr>
            <b/>
            <sz val="9"/>
            <color indexed="81"/>
            <rFont val="Tahoma"/>
            <family val="2"/>
          </rPr>
          <t>PC:</t>
        </r>
        <r>
          <rPr>
            <sz val="9"/>
            <color indexed="81"/>
            <rFont val="Tahoma"/>
            <family val="2"/>
          </rPr>
          <t xml:space="preserve">
14-MAYO-2024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F3" authorId="0" shapeId="0" xr:uid="{00000000-0006-0000-0A00-000001000000}">
      <text>
        <r>
          <rPr>
            <b/>
            <sz val="9"/>
            <color indexed="81"/>
            <rFont val="Tahoma"/>
            <family val="2"/>
          </rPr>
          <t>PC:</t>
        </r>
        <r>
          <rPr>
            <sz val="9"/>
            <color indexed="81"/>
            <rFont val="Tahoma"/>
            <family val="2"/>
          </rPr>
          <t xml:space="preserve">
</t>
        </r>
        <r>
          <rPr>
            <b/>
            <sz val="9"/>
            <color indexed="81"/>
            <rFont val="Tahoma"/>
            <family val="2"/>
          </rPr>
          <t xml:space="preserve">DATOS DE FACTURACIÓN: </t>
        </r>
        <r>
          <rPr>
            <sz val="9"/>
            <color indexed="81"/>
            <rFont val="Tahoma"/>
            <family val="2"/>
          </rPr>
          <t xml:space="preserve">
Nombre de la Empresa: INDUSTRIAL DE CARBON Y GRAFITO, S.A. DE C.V.
RFC:  ICG 100106 UR0 
CFDI: Gastos en general
TEL: 16 42 2004                                          Contacto: Pablo Rodriguez 
Email: Elda@carbograf.com
1er Factura 1768 
Sele cobra hasta enero 2023 </t>
        </r>
      </text>
    </comment>
    <comment ref="F4" authorId="0" shapeId="0" xr:uid="{00000000-0006-0000-0A00-000002000000}">
      <text>
        <r>
          <rPr>
            <b/>
            <sz val="9"/>
            <color indexed="81"/>
            <rFont val="Tahoma"/>
            <family val="2"/>
          </rPr>
          <t>PC:</t>
        </r>
        <r>
          <rPr>
            <sz val="9"/>
            <color indexed="81"/>
            <rFont val="Tahoma"/>
            <family val="2"/>
          </rPr>
          <t xml:space="preserve">
</t>
        </r>
        <r>
          <rPr>
            <b/>
            <sz val="9"/>
            <color indexed="81"/>
            <rFont val="Tahoma"/>
            <family val="2"/>
          </rPr>
          <t>DATOS DE FACTURACIÓN:</t>
        </r>
        <r>
          <rPr>
            <sz val="9"/>
            <color indexed="81"/>
            <rFont val="Tahoma"/>
            <family val="2"/>
          </rPr>
          <t xml:space="preserve">
Nombre de la Empresa: COMERCIALIZADORA AGROPECUARIA ICK S.A. DE C.V. 
RFC.: CAI220330VD7            
CFDI: Gastos en general                                                                   Forma de Pago: Transferencia                     Teléfono: 81 2860 1814 
Contacto: Adrian Rivera 
Email: adrian.rmoxica75@gmail.com
1er Factura 1773</t>
        </r>
      </text>
    </comment>
    <comment ref="F6" authorId="0" shapeId="0" xr:uid="{00000000-0006-0000-0A00-000003000000}">
      <text>
        <r>
          <rPr>
            <b/>
            <sz val="9"/>
            <color indexed="81"/>
            <rFont val="Tahoma"/>
            <family val="2"/>
          </rPr>
          <t>PC:</t>
        </r>
        <r>
          <rPr>
            <sz val="9"/>
            <color indexed="81"/>
            <rFont val="Tahoma"/>
            <family val="2"/>
          </rPr>
          <t xml:space="preserve">
</t>
        </r>
        <r>
          <rPr>
            <b/>
            <sz val="9"/>
            <color indexed="81"/>
            <rFont val="Tahoma"/>
            <family val="2"/>
          </rPr>
          <t xml:space="preserve">DATOS DE FACTURACIÓN: </t>
        </r>
        <r>
          <rPr>
            <sz val="9"/>
            <color indexed="81"/>
            <rFont val="Tahoma"/>
            <family val="2"/>
          </rPr>
          <t xml:space="preserve">
Nombre de la Empresa: VICTOR BRAYAN CEPEDA SAUCEDO  
RFC. CESV910408SU8
CFDI : Gastos en general    
Forma de Pago: Transferencia                                    Teléfono:  55 6488 2981
Contacto: Victor Cepeda 
Email: vcepeda@securityconsulting.com.mx
1er Factura 1826</t>
        </r>
      </text>
    </comment>
    <comment ref="F7" authorId="0" shapeId="0" xr:uid="{00000000-0006-0000-0A00-000004000000}">
      <text>
        <r>
          <rPr>
            <b/>
            <sz val="9"/>
            <color indexed="81"/>
            <rFont val="Tahoma"/>
            <family val="2"/>
          </rPr>
          <t>PC:</t>
        </r>
        <r>
          <rPr>
            <sz val="9"/>
            <color indexed="81"/>
            <rFont val="Tahoma"/>
            <family val="2"/>
          </rPr>
          <t xml:space="preserve">
DATOS DE FACTURACIÓN: 
Nombre de la Empresa: AUTOTRANSPORTES GAMI S.A. DE C.V. 
RFC. AGA190212RX9  
CFDI : Gastos en general    
Forma de Pago: Transferencia                                    Teléfono:  81 2658 5423
Contacto: Lesly
Email: lesly.facturacion@atgami.mx 
1er Factura 1858
</t>
        </r>
        <r>
          <rPr>
            <b/>
            <sz val="9"/>
            <color indexed="81"/>
            <rFont val="Tahoma"/>
            <family val="2"/>
          </rPr>
          <t xml:space="preserve">*PENDIENTE INSTALACIÓN </t>
        </r>
      </text>
    </comment>
    <comment ref="F9" authorId="0" shapeId="0" xr:uid="{00000000-0006-0000-0A00-000005000000}">
      <text>
        <r>
          <rPr>
            <b/>
            <sz val="9"/>
            <color indexed="81"/>
            <rFont val="Tahoma"/>
            <family val="2"/>
          </rPr>
          <t>PC:</t>
        </r>
        <r>
          <rPr>
            <sz val="9"/>
            <color indexed="81"/>
            <rFont val="Tahoma"/>
            <family val="2"/>
          </rPr>
          <t xml:space="preserve">
SE LE EMPIEZA A COBRAR EN MARZO 2023</t>
        </r>
      </text>
    </comment>
    <comment ref="F10" authorId="0" shapeId="0" xr:uid="{00000000-0006-0000-0A00-000006000000}">
      <text>
        <r>
          <rPr>
            <b/>
            <sz val="9"/>
            <color indexed="81"/>
            <rFont val="Tahoma"/>
            <family val="2"/>
          </rPr>
          <t>PC:</t>
        </r>
        <r>
          <rPr>
            <sz val="9"/>
            <color indexed="81"/>
            <rFont val="Tahoma"/>
            <family val="2"/>
          </rPr>
          <t xml:space="preserve">
</t>
        </r>
        <r>
          <rPr>
            <b/>
            <sz val="9"/>
            <color indexed="81"/>
            <rFont val="Tahoma"/>
            <family val="2"/>
          </rPr>
          <t xml:space="preserve">DATOS DE FACTURACIÓN: </t>
        </r>
        <r>
          <rPr>
            <sz val="9"/>
            <color indexed="81"/>
            <rFont val="Tahoma"/>
            <family val="2"/>
          </rPr>
          <t xml:space="preserve">
Nombre de la Empresa: LEMURA VIVIENDA S.A. DE C.V. 
RFC. LVI170630MEA 
CFDI: Gastos en general    
Forma de Pago: Transferencia 
Teléfono: 81 1624 4288
Contacto: Ignacio Gaxiola
Email: igaxiola@lemura.com.mx
1er Factura 1859</t>
        </r>
      </text>
    </comment>
    <comment ref="F12" authorId="0" shapeId="0" xr:uid="{00000000-0006-0000-0A00-000007000000}">
      <text>
        <r>
          <rPr>
            <b/>
            <sz val="9"/>
            <color indexed="81"/>
            <rFont val="Tahoma"/>
            <family val="2"/>
          </rPr>
          <t>PC:</t>
        </r>
        <r>
          <rPr>
            <sz val="9"/>
            <color indexed="81"/>
            <rFont val="Tahoma"/>
            <family val="2"/>
          </rPr>
          <t xml:space="preserve">
</t>
        </r>
        <r>
          <rPr>
            <b/>
            <sz val="9"/>
            <color indexed="81"/>
            <rFont val="Tahoma"/>
            <family val="2"/>
          </rPr>
          <t>DATOS DE FACTURACIÓN:</t>
        </r>
        <r>
          <rPr>
            <sz val="9"/>
            <color indexed="81"/>
            <rFont val="Tahoma"/>
            <family val="2"/>
          </rPr>
          <t xml:space="preserve">
Nombre de la Empresa: GRUAS TEGMESA S.A. DE C.V. 
RFC. GTE1602233N9  CFDI : Gastos en general    Forma de Pago: Transferencia                                    Teléfono:  81 1908 2914
Contacto: Julia Gonzalez Sosa
Email: julia@construtecacero.com.mx
1er Factura</t>
        </r>
      </text>
    </comment>
    <comment ref="F13" authorId="0" shapeId="0" xr:uid="{00000000-0006-0000-0A00-000008000000}">
      <text>
        <r>
          <rPr>
            <b/>
            <sz val="9"/>
            <color indexed="81"/>
            <rFont val="Tahoma"/>
            <family val="2"/>
          </rPr>
          <t>PC:</t>
        </r>
        <r>
          <rPr>
            <sz val="9"/>
            <color indexed="81"/>
            <rFont val="Tahoma"/>
            <family val="2"/>
          </rPr>
          <t xml:space="preserve">
</t>
        </r>
        <r>
          <rPr>
            <b/>
            <sz val="9"/>
            <color indexed="81"/>
            <rFont val="Tahoma"/>
            <family val="2"/>
          </rPr>
          <t xml:space="preserve">DATOS DE FACTURACIÓN: </t>
        </r>
        <r>
          <rPr>
            <sz val="9"/>
            <color indexed="81"/>
            <rFont val="Tahoma"/>
            <family val="2"/>
          </rPr>
          <t xml:space="preserve">
Nombre de la Empresa: AUTOEXPRESS MATA S.A. DE C.V. 
RFC. AMA040520BZ2
CFDI :     P01                                     
Forma de Pago: Transferencia                                    Teléfono:  81 1029 1017 
Contacto: Edgar Garza 
Email:
1er Factura 1879
*PDTE. CORREO</t>
        </r>
      </text>
    </comment>
    <comment ref="F15" authorId="0" shapeId="0" xr:uid="{00000000-0006-0000-0A00-000009000000}">
      <text>
        <r>
          <rPr>
            <b/>
            <sz val="9"/>
            <color indexed="81"/>
            <rFont val="Tahoma"/>
            <family val="2"/>
          </rPr>
          <t>PC:</t>
        </r>
        <r>
          <rPr>
            <sz val="9"/>
            <color indexed="81"/>
            <rFont val="Tahoma"/>
            <family val="2"/>
          </rPr>
          <t xml:space="preserve">
</t>
        </r>
        <r>
          <rPr>
            <b/>
            <sz val="9"/>
            <color indexed="81"/>
            <rFont val="Tahoma"/>
            <family val="2"/>
          </rPr>
          <t>DATOS DE FACTURACIÓN: 
5 UNIDADES FACTURAR A:</t>
        </r>
        <r>
          <rPr>
            <sz val="9"/>
            <color indexed="81"/>
            <rFont val="Tahoma"/>
            <family val="2"/>
          </rPr>
          <t xml:space="preserve">
Nombre de la Empresa: DRP TRANSPORTES S. DE R. L. DE C.V. 
RFC.: DTR210720A25  CFDI : G03                        Forma de Pago: Transferencia                            Teléfono: 81 1421 3083 
Contacto: Francisco Sanchez
Email: fsancheznoreste@hotmail.es   
1er Factura 1934
</t>
        </r>
        <r>
          <rPr>
            <b/>
            <sz val="9"/>
            <color indexed="81"/>
            <rFont val="Tahoma"/>
            <family val="2"/>
          </rPr>
          <t xml:space="preserve">2 UNIDADES FACTURAR A:    </t>
        </r>
        <r>
          <rPr>
            <sz val="9"/>
            <color indexed="81"/>
            <rFont val="Tahoma"/>
            <family val="2"/>
          </rPr>
          <t xml:space="preserve">                                                                                                                                                                               
Nombre de la Empresa: JUAN FRANCISCO SANCHEZ CONTRERAS
RFC.: SACJ7811022UA  CFDI : G03                        Forma de Pago: Transferencia                                  Teléfono: 81 1421 3083 
Contacto: Francisco Sanchez
Email: fsancheznoreste@hotmail.es
1er Factura 1935 </t>
        </r>
      </text>
    </comment>
    <comment ref="D17" authorId="0" shapeId="0" xr:uid="{00000000-0006-0000-0A00-00000A000000}">
      <text>
        <r>
          <rPr>
            <b/>
            <sz val="9"/>
            <color indexed="81"/>
            <rFont val="Tahoma"/>
            <family val="2"/>
          </rPr>
          <t>PC:</t>
        </r>
        <r>
          <rPr>
            <sz val="9"/>
            <color indexed="81"/>
            <rFont val="Tahoma"/>
            <family val="2"/>
          </rPr>
          <t xml:space="preserve">
INICIA 01-ABRIL-2023
SIMS $58 C/M $696 ANUALIDAD
</t>
        </r>
      </text>
    </comment>
    <comment ref="F18" authorId="0" shapeId="0" xr:uid="{00000000-0006-0000-0A00-00000B000000}">
      <text>
        <r>
          <rPr>
            <b/>
            <sz val="9"/>
            <color indexed="81"/>
            <rFont val="Tahoma"/>
            <family val="2"/>
          </rPr>
          <t>PC:</t>
        </r>
        <r>
          <rPr>
            <sz val="9"/>
            <color indexed="81"/>
            <rFont val="Tahoma"/>
            <family val="2"/>
          </rPr>
          <t xml:space="preserve">
DATOS DE FACTURACIÓN: 
Nombre de la Empresa: FINPAIS S.A. DE C.V. 
RFC. FCO130429629 CFDI: Gastos en general                                                                  Forma de Pago: TransferenciaTeléfono: 81 8208 7559
Contacto: Katty
Email: administracion@finpais.com.mx
1er Factura: 1944</t>
        </r>
      </text>
    </comment>
    <comment ref="F19" authorId="0" shapeId="0" xr:uid="{00000000-0006-0000-0A00-00000C000000}">
      <text>
        <r>
          <rPr>
            <b/>
            <sz val="9"/>
            <color indexed="81"/>
            <rFont val="Tahoma"/>
            <family val="2"/>
          </rPr>
          <t>PC:</t>
        </r>
        <r>
          <rPr>
            <sz val="9"/>
            <color indexed="81"/>
            <rFont val="Tahoma"/>
            <family val="2"/>
          </rPr>
          <t xml:space="preserve">
DATOS DE FACTURACIÓN:
Nombre de la Empresa: GRUPO ENTUSIASMO CONSTRUCTIVO S.A. DE C.V. 
RFC. GEC060821LT8  CFDI : Gastos en general    Forma de Pago: Transferencia                                    Teléfono:  8183003790
Contacto: Lucia Salas Cerda
Email: lucy@grupoentusiasmo.com
1er Factura: 1946</t>
        </r>
      </text>
    </comment>
    <comment ref="F20" authorId="0" shapeId="0" xr:uid="{00000000-0006-0000-0A00-00000D000000}">
      <text>
        <r>
          <rPr>
            <b/>
            <sz val="9"/>
            <color indexed="81"/>
            <rFont val="Tahoma"/>
            <family val="2"/>
          </rPr>
          <t>PC:</t>
        </r>
        <r>
          <rPr>
            <sz val="9"/>
            <color indexed="81"/>
            <rFont val="Tahoma"/>
            <family val="2"/>
          </rPr>
          <t xml:space="preserve">
DATOS DE FACTURACIÓN: 
Nombre de la Empresa: TRANSPORTES REFRIGERADOS CABELLO S. DE R.L. DE C.V. 
RFC. TRC130301RV2 
CFDI : Gastos en General      
Forma de Pago: Transferencia
Teléfono: 81 1544 8419
Contacto: Flor Garza
Email: flor@grupocabello.com
1er Factura: 1950</t>
        </r>
      </text>
    </comment>
    <comment ref="F22" authorId="0" shapeId="0" xr:uid="{00000000-0006-0000-0A00-00000E000000}">
      <text>
        <r>
          <rPr>
            <b/>
            <sz val="9"/>
            <color indexed="81"/>
            <rFont val="Tahoma"/>
            <family val="2"/>
          </rPr>
          <t>PC:</t>
        </r>
        <r>
          <rPr>
            <sz val="9"/>
            <color indexed="81"/>
            <rFont val="Tahoma"/>
            <family val="2"/>
          </rPr>
          <t xml:space="preserve">
DATOS DE FACTURACIÓN: 
Nombre de la Empresa: HACIENDO EQUIPO EN TU PROYECTO S.A. DE C.V. 
RFC. EMO180713MC1 
CFDI : Gastos en General      
C.P.: 64000
Regimen Fiscal: R SIMPLIFICADO DE CONFIANZA
Forma de Pago: Transferencia
Teléfono: 81 2002 4556
Contacto: Oscar Herrera
Email:compras@equiprestmx.com
1er Factura: 1951</t>
        </r>
      </text>
    </comment>
    <comment ref="F26" authorId="0" shapeId="0" xr:uid="{00000000-0006-0000-0A00-00000F000000}">
      <text>
        <r>
          <rPr>
            <b/>
            <sz val="9"/>
            <color indexed="81"/>
            <rFont val="Tahoma"/>
            <family val="2"/>
          </rPr>
          <t>PC:</t>
        </r>
        <r>
          <rPr>
            <sz val="9"/>
            <color indexed="81"/>
            <rFont val="Tahoma"/>
            <family val="2"/>
          </rPr>
          <t xml:space="preserve">
DATOS DE FACTURACIÓN: 
Nombre de la Empresa: LAMBI S.A. DE C.V.  
RFC. LAM9109013H1
CFDI : Gastos en General      
C.P.: 66062
Regimen Fiscal: R GENERAL DE LEY PERSONAS MORALES
Forma de Pago: POR DEFINIR 
Método de Pago: PAGO EN PARCIALIDADES O DIFERIDO
Teléfono: 81  1908 0591
Contacto: Ericka Ortega
Email: eortega@lambi.com.mx
1er Factura: 2008</t>
        </r>
      </text>
    </comment>
    <comment ref="F29" authorId="0" shapeId="0" xr:uid="{00000000-0006-0000-0A00-000010000000}">
      <text>
        <r>
          <rPr>
            <b/>
            <sz val="9"/>
            <color indexed="81"/>
            <rFont val="Tahoma"/>
            <family val="2"/>
          </rPr>
          <t>PC:</t>
        </r>
        <r>
          <rPr>
            <sz val="9"/>
            <color indexed="81"/>
            <rFont val="Tahoma"/>
            <family val="2"/>
          </rPr>
          <t xml:space="preserve">
DATOS DE FACTURACIÓN: 
Nombre de la Empresa:HECTOR ALVEAR AGUILAR
RFC. AEAH940117AV1
CFDI : Gastos en General      
C.P.: 67250
Regimen Fiscal: R DE LAS PERSONAS FISICAS CON ACTIVIDADES EMPRESARIALES Y PROFESIONALES 
Forma de Pago: Transferencia
Método de Pago: Una sola exhibición
Teléfono: 81  1800 0233 
Contacto: Karla Alvear
Email: Hec_alvear@hotmail.com
1er Factura: 2068</t>
        </r>
      </text>
    </comment>
    <comment ref="F31" authorId="0" shapeId="0" xr:uid="{00000000-0006-0000-0A00-000011000000}">
      <text>
        <r>
          <rPr>
            <b/>
            <sz val="9"/>
            <color indexed="81"/>
            <rFont val="Tahoma"/>
            <family val="2"/>
          </rPr>
          <t>PC:</t>
        </r>
        <r>
          <rPr>
            <sz val="9"/>
            <color indexed="81"/>
            <rFont val="Tahoma"/>
            <family val="2"/>
          </rPr>
          <t xml:space="preserve">
DATOS DE FACTURACIÓN: 
Nombre de la Empresa:KROHNE DE MEXICO
RFC. KME091130LY6
CFDI : Gastos en General      
C.P.: 89110
Regimen Fiscal: R GENERAL DE LEY PERSONAS MORALES 
Forma de Pago: Transferencia
Método de Pago: Una sola exhibición
Teléfono: 
Contacto: 
Email: 'erika@krohnemexico.com'; 'israel@krohnemexico.com'; 'maricela@krohnemexico.com'
1er Factura: 2070</t>
        </r>
      </text>
    </comment>
    <comment ref="F32" authorId="0" shapeId="0" xr:uid="{00000000-0006-0000-0A00-000012000000}">
      <text>
        <r>
          <rPr>
            <b/>
            <sz val="9"/>
            <color indexed="81"/>
            <rFont val="Tahoma"/>
            <family val="2"/>
          </rPr>
          <t>PC:</t>
        </r>
        <r>
          <rPr>
            <sz val="9"/>
            <color indexed="81"/>
            <rFont val="Tahoma"/>
            <family val="2"/>
          </rPr>
          <t xml:space="preserve">
DATOS DE FACTURACIÓN: 
Nombre de la Empresa: COMERCIALIZADORA DE MATERIALES MKN
RFC. CMM180605AT3
CFDI : Gastos en General     
 C.P.: 66368
Regimen Fiscal: R GENERAL DE LEY PERSONAS MORALES
Forma de Pago: Transferencia
Teléfono: 81 8050 5722  
Contacto: Leyra Bautista
Email: lbautista@grupomkn.com
1er Factura: 2076</t>
        </r>
      </text>
    </comment>
    <comment ref="F33" authorId="0" shapeId="0" xr:uid="{00000000-0006-0000-0A00-000013000000}">
      <text>
        <r>
          <rPr>
            <b/>
            <sz val="9"/>
            <color indexed="81"/>
            <rFont val="Tahoma"/>
            <family val="2"/>
          </rPr>
          <t>PC:</t>
        </r>
        <r>
          <rPr>
            <sz val="9"/>
            <color indexed="81"/>
            <rFont val="Tahoma"/>
            <family val="2"/>
          </rPr>
          <t xml:space="preserve">
CAMBIA A PLAN ANUALIDAD Y FACTURA EN AGOSTO 2023
RAZON SOCIAL: FULL DIAMOND PUBLICITY</t>
        </r>
      </text>
    </comment>
    <comment ref="F34" authorId="0" shapeId="0" xr:uid="{00000000-0006-0000-0A00-000014000000}">
      <text>
        <r>
          <rPr>
            <b/>
            <sz val="9"/>
            <color indexed="81"/>
            <rFont val="Tahoma"/>
            <family val="2"/>
          </rPr>
          <t>PC:</t>
        </r>
        <r>
          <rPr>
            <sz val="9"/>
            <color indexed="81"/>
            <rFont val="Tahoma"/>
            <family val="2"/>
          </rPr>
          <t xml:space="preserve">
DATOS DE FACTURACIÓN: 
Nombre de la Empresa: FITUA S.A. DE C.V.
RFC. FIT220928V95
CFDI : Gastos en General     
 C.P.: 64700
Regimen Fiscal: R GENERAL DE LEY PERSONAS MORALES
Forma de Pago: Transferencia
Teléfono:  81 2172 4469
Contacto: Elias Financiera
Email: 
1er Factura: 2095
</t>
        </r>
      </text>
    </comment>
    <comment ref="F36" authorId="0" shapeId="0" xr:uid="{00000000-0006-0000-0A00-000015000000}">
      <text>
        <r>
          <rPr>
            <b/>
            <sz val="9"/>
            <color indexed="81"/>
            <rFont val="Tahoma"/>
            <family val="2"/>
          </rPr>
          <t>PC:</t>
        </r>
        <r>
          <rPr>
            <sz val="9"/>
            <color indexed="81"/>
            <rFont val="Tahoma"/>
            <family val="2"/>
          </rPr>
          <t xml:space="preserve">
DATOS DE FACTURACIÓN: 
Nombre de la Empresa: LUIS MAURICIO MARTINEZ GONZALEZ
RFC. MAGL990822DE0
CFDI : Gastos en General     
 C.P.: 67115
Regimen Fiscal: R DE LAS PERSONAS FISICAS CON ACTIVIDADES EMPRESARIALES Y PROFESIONALES 
Forma de Pago: Transferencia
Teléfono:  956 282 8555
Contacto: LUIS MAURICIO MARTINEZ GONZALEZ
Email: mmkwgzz@hotmail.com
1er Factura: 2135</t>
        </r>
      </text>
    </comment>
    <comment ref="F39" authorId="0" shapeId="0" xr:uid="{00000000-0006-0000-0A00-000016000000}">
      <text>
        <r>
          <rPr>
            <b/>
            <sz val="9"/>
            <color indexed="81"/>
            <rFont val="Tahoma"/>
            <family val="2"/>
          </rPr>
          <t>PC:</t>
        </r>
        <r>
          <rPr>
            <sz val="9"/>
            <color indexed="81"/>
            <rFont val="Tahoma"/>
            <family val="2"/>
          </rPr>
          <t xml:space="preserve">
DATOS DE FACTURACIÓN: 
Nombre de la Empresa: EDUARDO VENTURA MENDOZA
RFC. MEED5707143IA
CFDI : Gastos en General     
 C.P.: 64610
Regimen Fiscal: R DE LAS PERSONAS FISICAS CON ACTIVIDADES EMPRESARIALES Y PROFESIONALES 
Forma de Pago: Transferencia
Teléfono:  81 3090 4628 
Contacto: EDUARDO VENTURA MENDOZA
Email: mendozael2003@yahoo.com
1er Factura: 2145 CANCELADA
                    2146</t>
        </r>
      </text>
    </comment>
    <comment ref="F44" authorId="0" shapeId="0" xr:uid="{00000000-0006-0000-0A00-000017000000}">
      <text>
        <r>
          <rPr>
            <b/>
            <sz val="9"/>
            <color indexed="81"/>
            <rFont val="Tahoma"/>
            <family val="2"/>
          </rPr>
          <t>PC:</t>
        </r>
        <r>
          <rPr>
            <sz val="9"/>
            <color indexed="81"/>
            <rFont val="Tahoma"/>
            <family val="2"/>
          </rPr>
          <t xml:space="preserve">
DATOS DE FACTURACIÓN: 
Nombre de la Empresa: MARCO ANTONIO ROMERO PAEZ
RFC. ROPM870917N76
CFDI : Gastos en General     
 C.P.: 66410
Regimen Fiscal: R SIMPLIFICADO DE CONFIANZA
Forma de Pago: Transferencia
Teléfono:  81 8120 6608
Contacto: PEDRO ANTONIO RAMIREZ NAJERA
Email: facturas@andamioscelestes.com
1er Factura: 2277</t>
        </r>
      </text>
    </comment>
    <comment ref="F46" authorId="0" shapeId="0" xr:uid="{00000000-0006-0000-0A00-000018000000}">
      <text>
        <r>
          <rPr>
            <b/>
            <sz val="9"/>
            <color indexed="81"/>
            <rFont val="Tahoma"/>
            <family val="2"/>
          </rPr>
          <t>PC:</t>
        </r>
        <r>
          <rPr>
            <sz val="9"/>
            <color indexed="81"/>
            <rFont val="Tahoma"/>
            <family val="2"/>
          </rPr>
          <t xml:space="preserve">
DATOS DE FACTURACIÓN: 
Nombre de la Empresa: K3 SOLUCIONES A LA INDUSTRIA ALIMENTICIA S.A. DE C.V.
RFC. KSI100319QJ1
CFDI : Gastos en General     
 C.P.: 64530
Regimen Fiscal:R GENERAL DE LEY PERSONAS MORALES
Forma de Pago: Transferencia
Teléfono:  81 1047 7494
Contacto: ALEJANDRO SUAREZ
Email: 
1er Factura: 2283 CANCELADA
                            2284</t>
        </r>
      </text>
    </comment>
    <comment ref="F48" authorId="0" shapeId="0" xr:uid="{00000000-0006-0000-0A00-000019000000}">
      <text>
        <r>
          <rPr>
            <b/>
            <sz val="9"/>
            <color indexed="81"/>
            <rFont val="Tahoma"/>
            <family val="2"/>
          </rPr>
          <t>PC:</t>
        </r>
        <r>
          <rPr>
            <sz val="9"/>
            <color indexed="81"/>
            <rFont val="Tahoma"/>
            <family val="2"/>
          </rPr>
          <t xml:space="preserve">
DATOS DE FACTURACIÓN: 
Nombre de la Empresa: JUAN JAVIER CABRIALES CEDILLO.
RFC. CACJ720425LF1
CFDI : Gastos en General     
 C.P.: 66070
Regimen Fiscal: R INCORPORACION FISCAL
Forma de Pago: Transferencia
Teléfono:  81 2947 2650 
Contacto:JUAN CABRIALES
Email: transportes.rcd.diaz@gmail.com
1er Factura: 2350</t>
        </r>
      </text>
    </comment>
    <comment ref="F49" authorId="0" shapeId="0" xr:uid="{00000000-0006-0000-0A00-00001A000000}">
      <text>
        <r>
          <rPr>
            <b/>
            <sz val="9"/>
            <color indexed="81"/>
            <rFont val="Tahoma"/>
            <family val="2"/>
          </rPr>
          <t>PC:</t>
        </r>
        <r>
          <rPr>
            <sz val="9"/>
            <color indexed="81"/>
            <rFont val="Tahoma"/>
            <family val="2"/>
          </rPr>
          <t xml:space="preserve">
DATOS DE FACTURACIÓN: 
Nombre de la Empresa: SEI ARQUITECTOS
RFC. SAR170809TL7
CFDI : Gastos en General     
 C.P.: 64850
Regimen Fiscal: R GENERAL DE LEY PERSONAS MORALES
Forma de Pago: Transferencia
Teléfono:   81 1495 0269 
Contacto:NOHEMI MONTEMAYOR 
Email: daniela.ochoa@seiarquitectos.com claudia.martinez@seiarquitectos.com
1er Factura: 2351</t>
        </r>
      </text>
    </comment>
    <comment ref="F51" authorId="0" shapeId="0" xr:uid="{00000000-0006-0000-0A00-00001B000000}">
      <text>
        <r>
          <rPr>
            <b/>
            <sz val="9"/>
            <color indexed="81"/>
            <rFont val="Tahoma"/>
            <family val="2"/>
          </rPr>
          <t>PC:</t>
        </r>
        <r>
          <rPr>
            <sz val="9"/>
            <color indexed="81"/>
            <rFont val="Tahoma"/>
            <family val="2"/>
          </rPr>
          <t xml:space="preserve">
DATOS DE FACTURACIÓN: 
Nombre de la Empresa: AUTOREDES EL BAJIO
RFC. ABA171130FVA
CFDI : Gastos en General     
 C.P.: 69560
Regimen Fiscal: R DE LOS COORDINADOS
Forma de Pago: Transferencia
Teléfono:   833 233 5258 
Contacto:FRANCISCO GUTIERREZ
Email: admontubored@hotmail.com
1er Factura: 2357</t>
        </r>
      </text>
    </comment>
    <comment ref="F53" authorId="0" shapeId="0" xr:uid="{00000000-0006-0000-0A00-00001C000000}">
      <text>
        <r>
          <rPr>
            <b/>
            <sz val="9"/>
            <color indexed="81"/>
            <rFont val="Tahoma"/>
            <family val="2"/>
          </rPr>
          <t>PC:</t>
        </r>
        <r>
          <rPr>
            <sz val="9"/>
            <color indexed="81"/>
            <rFont val="Tahoma"/>
            <family val="2"/>
          </rPr>
          <t xml:space="preserve">
DATOS DE FACTURACIÓN: 
Nombre de la Empresa: MCJ CHILLER SERVICE
RFC. MCS090914227
CFDI : Gastos en General     
 C.P.: 67113
Regimen Fiscal: R GENERAL DE LEY PERSONAS MORALES
Forma de Pago: Transferencia
Teléfono:  81 1823 3384 / 81 7654 2904 / 81 18 72 2728 
Contacto: Everardo Nuncio -Pagos Brenda Ocañas 
Email: oficina@mcjchillerservice.com
1er Factura: 2423</t>
        </r>
      </text>
    </comment>
    <comment ref="F54" authorId="0" shapeId="0" xr:uid="{00000000-0006-0000-0A00-00001D000000}">
      <text>
        <r>
          <rPr>
            <b/>
            <sz val="9"/>
            <color indexed="81"/>
            <rFont val="Tahoma"/>
            <family val="2"/>
          </rPr>
          <t>PC:</t>
        </r>
        <r>
          <rPr>
            <sz val="9"/>
            <color indexed="81"/>
            <rFont val="Tahoma"/>
            <family val="2"/>
          </rPr>
          <t xml:space="preserve">
DATOS DE FACTURACIÓN: 
Nombre de la Empresa: JOSE MELQUIADES TOLEDO GARCIA DE LEON
RFC. TOGM8502023Q6
CFDI : Gastos en General     
 C.P.: 28869
Regimen Fiscal: R DE LAS PERSONAS FISICAS CON ACTIVIDADES EMPRESARIALES Y PROFESIONALES 
Forma de Pago: Transferencia
Teléfono: 81 1015 9453
Contacto: JOSE TOLEDO
Email: j.garcia@grupotranstech.com
1er Factura: 2426</t>
        </r>
      </text>
    </comment>
    <comment ref="F55" authorId="0" shapeId="0" xr:uid="{00000000-0006-0000-0A00-00001E000000}">
      <text>
        <r>
          <rPr>
            <b/>
            <sz val="9"/>
            <color indexed="81"/>
            <rFont val="Tahoma"/>
            <family val="2"/>
          </rPr>
          <t>PC:</t>
        </r>
        <r>
          <rPr>
            <sz val="9"/>
            <color indexed="81"/>
            <rFont val="Tahoma"/>
            <family val="2"/>
          </rPr>
          <t xml:space="preserve">
DATOS DE FACTURACIÓN: 
Nombre de la Empresa: GENARO ELIAN GOMEZ PUENTE
RFC. GOPG990716CZ1
CFDI : Gastos en General     
 C.P.: 67198
Regimen Fiscal: R DE LAS PERSONAS FISICAS CON ACTIVIDADES EMPRESARIALES Y PROFESIONALES  
Forma de Pago: Transferencia
Teléfono: 81 1991 9110 
Contacto: ANUALIDAD GENARO ELIAN                                                 
Email: ggenaro1999@hotmail.com
1er Factura: 2425</t>
        </r>
      </text>
    </comment>
    <comment ref="F56" authorId="0" shapeId="0" xr:uid="{00000000-0006-0000-0A00-00001F000000}">
      <text>
        <r>
          <rPr>
            <b/>
            <sz val="9"/>
            <color indexed="81"/>
            <rFont val="Tahoma"/>
            <family val="2"/>
          </rPr>
          <t>PC:</t>
        </r>
        <r>
          <rPr>
            <sz val="9"/>
            <color indexed="81"/>
            <rFont val="Tahoma"/>
            <family val="2"/>
          </rPr>
          <t xml:space="preserve">
DATOS DE FACTURACIÓN: 
Nombre de la Empresa: COMPA&amp;IA MADERERA CUAUHTEMOC
RFC. MCU940217MD4
CFDI : Gastos en General     
 C.P.: 64710
Regimen Fiscal: R GENERAL DE LEY PERSONAS MORALES  
Forma de Pago: Transferencia
Teléfono: 81 2634 0402 
Contacto: Daniel Cardenas                                           
Email:recepcionfacturas@ciamaderera.com
1er Factura: 2511</t>
        </r>
      </text>
    </comment>
    <comment ref="F58" authorId="0" shapeId="0" xr:uid="{00000000-0006-0000-0A00-000020000000}">
      <text>
        <r>
          <rPr>
            <b/>
            <sz val="9"/>
            <color indexed="81"/>
            <rFont val="Tahoma"/>
            <family val="2"/>
          </rPr>
          <t>PC:</t>
        </r>
        <r>
          <rPr>
            <sz val="9"/>
            <color indexed="81"/>
            <rFont val="Tahoma"/>
            <family val="2"/>
          </rPr>
          <t xml:space="preserve">
DATOS DE FACTURACIÓN: 
Nombre de la Empresa: RAYAS SERVICIOS Y DESARROLLOS INTEGRALES
RFC. RSD160525IH3
CFDI : Gastos en General     
 C.P.: 25034
Regimen Fiscal: R GENERAL DE LEY PERSONAS MORALES
Forma de Pago: Transferencia
Teléfono: 81 3643 2962 
Contacto: Alfonso                                          
Email:alonsogaspar578@gmail.com
1er Factura: 2583</t>
        </r>
      </text>
    </comment>
    <comment ref="F60" authorId="0" shapeId="0" xr:uid="{00000000-0006-0000-0A00-000021000000}">
      <text>
        <r>
          <rPr>
            <b/>
            <sz val="9"/>
            <color indexed="81"/>
            <rFont val="Tahoma"/>
            <family val="2"/>
          </rPr>
          <t>PC:</t>
        </r>
        <r>
          <rPr>
            <sz val="9"/>
            <color indexed="81"/>
            <rFont val="Tahoma"/>
            <family val="2"/>
          </rPr>
          <t xml:space="preserve">
DATOS DE FACTURACIÓN: 
Nombre de la Empresa: ENDO LASER MICROQUIRURGICO
RFC. ELM870514UW3
CFDI : Gastos en General     
 C.P.: 64718
Regimen Fiscal: R GENERAL DE LEY PERSONAS MORALES
Forma de Pago: Transferencia
Teléfono: 81 1588 8485 
Contacto: Daniela Medellin                                          
Email: monitoreo@endolaser.com.mx
1er Factura: 2586</t>
        </r>
      </text>
    </comment>
    <comment ref="F61" authorId="0" shapeId="0" xr:uid="{00000000-0006-0000-0A00-000022000000}">
      <text>
        <r>
          <rPr>
            <b/>
            <sz val="9"/>
            <color indexed="81"/>
            <rFont val="Tahoma"/>
            <family val="2"/>
          </rPr>
          <t>PC:</t>
        </r>
        <r>
          <rPr>
            <sz val="9"/>
            <color indexed="81"/>
            <rFont val="Tahoma"/>
            <family val="2"/>
          </rPr>
          <t xml:space="preserve">
DATOS DE FACTURACIÓN: 
Nombre de la Empresa: GABRIEL HERNALDO CASTELLANOS ARZOLA
RFC. CAAG831020HT0
CFDI : Gastos en General     
 C.P.: 25290
Regimen Fiscal: R DE LAS PERSONAS FISICAS CON ACTIVIDADES EMPRESARIALES Y PROFESIONALES
Forma de Pago: Transferencia
Teléfono: 81 8683 3920
Contacto: Alejandro Bocanegra                                          
Email: luisbj.silverconstrucciones@gmail.com
1er Factura: 2589</t>
        </r>
      </text>
    </comment>
    <comment ref="F62" authorId="0" shapeId="0" xr:uid="{00000000-0006-0000-0A00-000023000000}">
      <text>
        <r>
          <rPr>
            <b/>
            <sz val="9"/>
            <color indexed="81"/>
            <rFont val="Tahoma"/>
            <family val="2"/>
          </rPr>
          <t>PC:</t>
        </r>
        <r>
          <rPr>
            <sz val="9"/>
            <color indexed="81"/>
            <rFont val="Tahoma"/>
            <family val="2"/>
          </rPr>
          <t xml:space="preserve">
DATOS DE FACTURACIÓN: 
Nombre de la Empresa: ADRIANA ORANDAY DAVILA
RFC. OADA880103528
CFDI : Gastos en General     
 C.P.: 67134
Regimen Fiscal: R DE LAS ACTIVIDADES EMPESARIALES CON INGRESOS A TRAVES DE PLATAFORMAS TECNOLOGICAS
Forma de Pago: Transferencia
Teléfono: 81 2861 1509 
Contacto: Rodrigo Alanis                                        
Email: adrianaoranday@gmail.com alanis_rodrigo@hotmail.com
1er Factura: 2660</t>
        </r>
      </text>
    </comment>
    <comment ref="F72" authorId="0" shapeId="0" xr:uid="{00000000-0006-0000-0A00-000024000000}">
      <text>
        <r>
          <rPr>
            <b/>
            <sz val="9"/>
            <color indexed="81"/>
            <rFont val="Tahoma"/>
            <family val="2"/>
          </rPr>
          <t>PC:</t>
        </r>
        <r>
          <rPr>
            <sz val="9"/>
            <color indexed="81"/>
            <rFont val="Tahoma"/>
            <family val="2"/>
          </rPr>
          <t xml:space="preserve">
DATOS DE FACTURACIÓN: 
Nombre de la Empresa: MARMOL Y GRANITO RIO
RFC. MGR110804T97
CFDI : Gastos en General     
 C.P.: 64000
Regimen Fiscal: R GENERAL DE LEY PERSONAS MORALES
Forma de Pago: Transferencia
Teléfono: 81 1184 1231
Contacto: Gerardo Nieto                                         
Email: fizz98@hotmail.com
1er Factura: 2766</t>
        </r>
      </text>
    </comment>
    <comment ref="F74" authorId="0" shapeId="0" xr:uid="{00000000-0006-0000-0A00-000025000000}">
      <text>
        <r>
          <rPr>
            <b/>
            <sz val="9"/>
            <color indexed="81"/>
            <rFont val="Tahoma"/>
            <family val="2"/>
          </rPr>
          <t>PC:</t>
        </r>
        <r>
          <rPr>
            <sz val="9"/>
            <color indexed="81"/>
            <rFont val="Tahoma"/>
            <family val="2"/>
          </rPr>
          <t xml:space="preserve">
DATOS DE FACTURACIÓN: 
Nombre de la Empresa: MARTINEZ &amp; DE LA ROSA CONSTRUCCIONES
RFC. MAR120127AY5
CFDI : Gastos en General     
 C.P.: 66630
Regimen Fiscal: R GENERAL DE LEY PERSONAS MORALES
Forma de Pago: Transferencia
Teléfono: 81 1537 7636
Contacto: Ing. Antonio Martínez                                        
Email: catalinac@myrconsa.mx antoniomtz@myrconsa.mx
1er Factura: 2817</t>
        </r>
      </text>
    </comment>
    <comment ref="F76" authorId="0" shapeId="0" xr:uid="{00000000-0006-0000-0A00-000026000000}">
      <text>
        <r>
          <rPr>
            <b/>
            <sz val="9"/>
            <color indexed="81"/>
            <rFont val="Tahoma"/>
            <family val="2"/>
          </rPr>
          <t>PC:</t>
        </r>
        <r>
          <rPr>
            <sz val="9"/>
            <color indexed="81"/>
            <rFont val="Tahoma"/>
            <family val="2"/>
          </rPr>
          <t xml:space="preserve">
DATOS DE FACTURACIÓN: 
Nombre de la Empresa: JESUS ALEJANDRO LOZANO LOZANO
RFC. LOLJ840401M66
CFDI : Gastos en General     
 C.P.: 66610
Regimen Fiscal: R DE LAS PERSONAS FISICAS CON ACTIVIDADES EMPRESARIALES Y PROFESIONALES
Forma de Pago: Correo
Teléfono: 
Contacto:                                 
Email: ventas@autotransportes-jl.com administracion@autotransportes-jl.com
1er Factura: 2821</t>
        </r>
      </text>
    </comment>
    <comment ref="F82" authorId="0" shapeId="0" xr:uid="{00000000-0006-0000-0A00-000027000000}">
      <text>
        <r>
          <rPr>
            <b/>
            <sz val="9"/>
            <color indexed="81"/>
            <rFont val="Tahoma"/>
            <family val="2"/>
          </rPr>
          <t>PC:</t>
        </r>
        <r>
          <rPr>
            <sz val="9"/>
            <color indexed="81"/>
            <rFont val="Tahoma"/>
            <family val="2"/>
          </rPr>
          <t xml:space="preserve">
DATOS DE FACTURACIÓN: 
Nombre de la Empresa: PREFOM S.A.DE C.V.
RFC.PRE200318D43
CFDI : Gastos en General     
 C.P.: 66350
Regimen Fiscal: R GENERAL DE LEY PERSONAS MORALES
Forma de Pago: Transferencia
Teléfono: 81 1290 4608 
Contacto: Hugo Díaz                                
Email: 
1er Factura: 2892</t>
        </r>
      </text>
    </comment>
    <comment ref="F84" authorId="0" shapeId="0" xr:uid="{00000000-0006-0000-0A00-000028000000}">
      <text>
        <r>
          <rPr>
            <b/>
            <sz val="9"/>
            <color indexed="81"/>
            <rFont val="Tahoma"/>
            <family val="2"/>
          </rPr>
          <t>PC:</t>
        </r>
        <r>
          <rPr>
            <sz val="9"/>
            <color indexed="81"/>
            <rFont val="Tahoma"/>
            <family val="2"/>
          </rPr>
          <t xml:space="preserve">
DATOS DE FACTURACIÓN: 
Nombre de la Empresa: BRANDO IVAN MARTINEZ GOVEA
RFC.MAGB791229LK6
CFDI : Gastos en General     
 C.P.: 64250
Regimen Fiscal: R DE LAS PERSONAS FISICAS CON ACTIVIDADES EMPRESARIALES Y PROFESIONALES 
Forma de Pago: Transferencia
Teléfono: 81 1977 0958
Contacto: Josue Fernandez                                
Email: jfhz@icloud.com
1er Factura: 2900</t>
        </r>
      </text>
    </comment>
    <comment ref="F86" authorId="0" shapeId="0" xr:uid="{00000000-0006-0000-0A00-000029000000}">
      <text>
        <r>
          <rPr>
            <b/>
            <sz val="9"/>
            <color indexed="81"/>
            <rFont val="Tahoma"/>
            <family val="2"/>
          </rPr>
          <t>PC:</t>
        </r>
        <r>
          <rPr>
            <sz val="9"/>
            <color indexed="81"/>
            <rFont val="Tahoma"/>
            <family val="2"/>
          </rPr>
          <t xml:space="preserve">
DATOS DE FACTURACIÓN: 
Nombre de la Empresa: SERGIO EDIÑHO ARRIAGA HERNANDEZ
RFC.AIHS850826PI2
CFDI : Gastos en General     
 C.P.: 67110
Regimen Fiscal: R DE LAS PERSONAS FISICAS CON ACTIVIDADES EMPRESARIALES Y PROFESIONALES 
Forma de Pago: Transferencia
Teléfono: 
Contacto:                                 
Email: se.arriaga@hotmail.com
1er Factura: 2904</t>
        </r>
      </text>
    </comment>
    <comment ref="F88" authorId="0" shapeId="0" xr:uid="{00000000-0006-0000-0A00-00002A000000}">
      <text>
        <r>
          <rPr>
            <b/>
            <sz val="9"/>
            <color indexed="81"/>
            <rFont val="Tahoma"/>
            <family val="2"/>
          </rPr>
          <t>PC:</t>
        </r>
        <r>
          <rPr>
            <sz val="9"/>
            <color indexed="81"/>
            <rFont val="Tahoma"/>
            <family val="2"/>
          </rPr>
          <t xml:space="preserve">
SE LE INSTALA EL 07-JUNIO-2024
SE AGREGA A LA COBRANZA EL 10-JUNIO-2024</t>
        </r>
      </text>
    </comment>
    <comment ref="F91" authorId="0" shapeId="0" xr:uid="{00000000-0006-0000-0A00-00002B000000}">
      <text>
        <r>
          <rPr>
            <b/>
            <sz val="9"/>
            <color indexed="81"/>
            <rFont val="Tahoma"/>
            <family val="2"/>
          </rPr>
          <t>PC:</t>
        </r>
        <r>
          <rPr>
            <sz val="9"/>
            <color indexed="81"/>
            <rFont val="Tahoma"/>
            <family val="2"/>
          </rPr>
          <t xml:space="preserve">
-Alejandro Macias Garza
-MAGA7109154R2
-Cristal de Nieve 113, Valle de Cristal, Monterrey NL
64990
-Metodo Pago Trasferencia 
-8117283110
-am11arquitectos@gmail.com</t>
        </r>
      </text>
    </comment>
    <comment ref="F92" authorId="0" shapeId="0" xr:uid="{00000000-0006-0000-0A00-00002C000000}">
      <text>
        <r>
          <rPr>
            <b/>
            <sz val="9"/>
            <color indexed="81"/>
            <rFont val="Tahoma"/>
            <family val="2"/>
          </rPr>
          <t>PC:</t>
        </r>
        <r>
          <rPr>
            <sz val="9"/>
            <color indexed="81"/>
            <rFont val="Tahoma"/>
            <family val="2"/>
          </rPr>
          <t xml:space="preserve">
DATOS DE FACTURACIÓN: 
Nombre de la Empresa: SERVICIOS ESTRATEGICOS SOTO
RFC.SES22092932A
CFDI : Gastos en General     
 C.P.: 64780
Regimen Fiscal: R GENERAL DE LEY PERSONAS MORALES 
Forma de Pago: Transferencia
Teléfono: 81 8080 5674
Contacto: Veronica Matamoros                                 
Email: 
1er Factura: 2985</t>
        </r>
      </text>
    </comment>
    <comment ref="F98" authorId="0" shapeId="0" xr:uid="{00000000-0006-0000-0A00-00002D000000}">
      <text>
        <r>
          <rPr>
            <b/>
            <sz val="9"/>
            <color indexed="81"/>
            <rFont val="Tahoma"/>
            <family val="2"/>
          </rPr>
          <t>PC:</t>
        </r>
        <r>
          <rPr>
            <sz val="9"/>
            <color indexed="81"/>
            <rFont val="Tahoma"/>
            <family val="2"/>
          </rPr>
          <t xml:space="preserve">
DATOS DE FACTURACIÓN: 
Nombre de la Empresa: PROATAM S.A. DE C.V. 
RFC.PRO090423A59
CFDI : Gastos en General     
 C.P.: 88720
Regimen Fiscal: R GENERAL DE LEY PERSONAS MORALES
Forma de Pago: Transferencia
Teléfono: 899 168 0313
Contacto: Jose Antonio                              
Email: proatam.admon@gmail.com
1er Factura: 3155 AGOSTO 2024</t>
        </r>
      </text>
    </comment>
    <comment ref="F104" authorId="0" shapeId="0" xr:uid="{00000000-0006-0000-0A00-00002E000000}">
      <text>
        <r>
          <rPr>
            <b/>
            <sz val="9"/>
            <color indexed="81"/>
            <rFont val="Tahoma"/>
            <family val="2"/>
          </rPr>
          <t>PC:</t>
        </r>
        <r>
          <rPr>
            <sz val="9"/>
            <color indexed="81"/>
            <rFont val="Tahoma"/>
            <family val="2"/>
          </rPr>
          <t xml:space="preserve">
DATOS DE FACTURACIÓN: 
Nombre de la Empresa: EXTINTORES Y EQUIPOS MONTERREY
RFC.EEM140131744
CFDI : Gastos en General     
 C.P.: 64000
Regimen Fiscal: R SIMPLIFICADO DE CONFIANZA
Forma de Pago: Transferencia
Teléfono:  81 8654 2753 
Contacto: Sergio Gonzalez                            
Email: sergio.jr987@outlook.com
1er Factura: 3248 SEPTIEMBRE  2024</t>
        </r>
      </text>
    </comment>
    <comment ref="F110" authorId="0" shapeId="0" xr:uid="{00000000-0006-0000-0A00-00002F000000}">
      <text>
        <r>
          <rPr>
            <b/>
            <sz val="9"/>
            <color indexed="81"/>
            <rFont val="Tahoma"/>
            <family val="2"/>
          </rPr>
          <t>PC:</t>
        </r>
        <r>
          <rPr>
            <sz val="9"/>
            <color indexed="81"/>
            <rFont val="Tahoma"/>
            <family val="2"/>
          </rPr>
          <t xml:space="preserve">
DATOS DE FACTURACIÓN: 
Nombre de la Empresa: INDUSTRIAS PERSISTA LABORO
RFC. IPL151012RPA
CFDI : Gastos en General     
 C.P.: 64410
Regimen Fiscal: R GENERAL DE LEY PERSONAS MORALES
Forma de Pago: Transferencia
Teléfono:  81 2001 9256  
Contacto: Ernesto Gómez                       
Email: ernesto.gomez@sanbox.com.mx
1er Factura: 3245 SEPTIEMBRE  2024</t>
        </r>
      </text>
    </comment>
    <comment ref="F113" authorId="0" shapeId="0" xr:uid="{00000000-0006-0000-0A00-000030000000}">
      <text>
        <r>
          <rPr>
            <b/>
            <sz val="9"/>
            <color indexed="81"/>
            <rFont val="Tahoma"/>
            <family val="2"/>
          </rPr>
          <t>PC:</t>
        </r>
        <r>
          <rPr>
            <sz val="9"/>
            <color indexed="81"/>
            <rFont val="Tahoma"/>
            <family val="2"/>
          </rPr>
          <t xml:space="preserve">
DATOS DE FACTURACIÓN: 
Nombre de la Empresa: PABLO EMILIANO RODRIGUEZ DURAN
RFC. IRODP010907GR4
CFDI : Gastos en General     
 C.P.: 66460
Regimen Fiscal:R SIMPLIFICADO DE CONFIANZA
Forma de Pago: Transferencia
Teléfono:  81 2010 3744  
Contacto: Pablo Rodriguez                    
Email: pablordzmasper@hotmail.com
1er Factura: 3251 OCTUBRE  2024</t>
        </r>
      </text>
    </comment>
    <comment ref="F115" authorId="0" shapeId="0" xr:uid="{00000000-0006-0000-0A00-000031000000}">
      <text>
        <r>
          <rPr>
            <b/>
            <sz val="9"/>
            <color indexed="81"/>
            <rFont val="Tahoma"/>
            <family val="2"/>
          </rPr>
          <t>PC:</t>
        </r>
        <r>
          <rPr>
            <sz val="9"/>
            <color indexed="81"/>
            <rFont val="Tahoma"/>
            <family val="2"/>
          </rPr>
          <t xml:space="preserve">
 DATOS DE FACTURACIÓN: 
Nombre de la Empresa: FERNANDO REYES HERNANDEZ
RFC. REHF841213KC7
CFDI : Gastos en General     
 C.P.: 64760
Regimen Fiscal:R DE LAS PERSONAS FISICAS CON ACTIVIDADES EMPRESARIALES Y PROFESIONALES 
Forma de Pago: Transferencia
Teléfono:  
Contacto: Fernando Reyes - 81 1821 3781 Viridiana Flores - 81 1796 4130                   
Email: arnol84reyeshdz@gmail.com
1er Factura: 3276 OCTUBRE  2024</t>
        </r>
      </text>
    </comment>
    <comment ref="F116" authorId="0" shapeId="0" xr:uid="{00000000-0006-0000-0A00-000032000000}">
      <text>
        <r>
          <rPr>
            <b/>
            <sz val="9"/>
            <color indexed="81"/>
            <rFont val="Tahoma"/>
            <family val="2"/>
          </rPr>
          <t>PC:</t>
        </r>
        <r>
          <rPr>
            <sz val="9"/>
            <color indexed="81"/>
            <rFont val="Tahoma"/>
            <family val="2"/>
          </rPr>
          <t xml:space="preserve">
DATOS DE FACTURACIÓN: 
Nombre de la Empresa: GREGORY AJMEL MARTINEZ GARCIA
RFC. MAGG900126F3A
CFDI : Gastos en General     
 C.P.: 66024
Regimen Fiscal:R DE LAS PERSONAS FISICAS CON ACTIVIDADES EMPRESARIALES Y PROFESIONALES 
Forma de Pago: Transferencia
Teléfono:  81 1041 6798  
Contacto: Gregory Martínez García              
Email: greck_090@hotmail.com
1er Factura: 3333 OCTUBRE  2024</t>
        </r>
      </text>
    </comment>
    <comment ref="F118" authorId="0" shapeId="0" xr:uid="{00000000-0006-0000-0A00-000033000000}">
      <text>
        <r>
          <rPr>
            <b/>
            <sz val="9"/>
            <color indexed="81"/>
            <rFont val="Tahoma"/>
            <family val="2"/>
          </rPr>
          <t>PC:</t>
        </r>
        <r>
          <rPr>
            <sz val="9"/>
            <color indexed="81"/>
            <rFont val="Tahoma"/>
            <family val="2"/>
          </rPr>
          <t xml:space="preserve">
DATOS DE FACTURACIÓN: 
Nombre de la Empresa: RODRIGO MORENO VILLARREAL
RFC. MOVR88011143A
CFDI : Gastos en General     
 C.P.: 25720
Regimen Fiscal:R DE LAS PERSONAS FISICAS CON ACTIVIDADES EMPRESARIALES Y PROFESIONALES 
Forma de Pago: Transferencia
Teléfono:  44 8238 8445     
Contacto: Rodrigo Moreno               
Email: 
1er Factura: 3335 OCTUBRE  2024</t>
        </r>
      </text>
    </comment>
    <comment ref="F119" authorId="0" shapeId="0" xr:uid="{00000000-0006-0000-0A00-000034000000}">
      <text>
        <r>
          <rPr>
            <b/>
            <sz val="9"/>
            <color indexed="81"/>
            <rFont val="Tahoma"/>
            <family val="2"/>
          </rPr>
          <t>PC:</t>
        </r>
        <r>
          <rPr>
            <sz val="9"/>
            <color indexed="81"/>
            <rFont val="Tahoma"/>
            <family val="2"/>
          </rPr>
          <t xml:space="preserve">
DATOS DE FACTURACIÓN: 
Nombre de la Empresa: ROBERTO CARLOS AVILA GUZMAN
RFC. AIGR7407141M5
CFDI : Gastos en General     
 C.P.: 66050
Regimen Fiscal:R DE LAS PERSONAS FISICAS CON ACTIVIDADES EMPRESARIALES Y PROFESIONALES 
Forma de Pago: Transferencia
Teléfono:  81 8088 2340
Contacto: Roberto Avila               
Email:  fletes-avila@hotmail.com
1er Factura: 3337 OCTUBRE  2024</t>
        </r>
      </text>
    </comment>
    <comment ref="F120" authorId="0" shapeId="0" xr:uid="{00000000-0006-0000-0A00-000035000000}">
      <text>
        <r>
          <rPr>
            <b/>
            <sz val="9"/>
            <color indexed="81"/>
            <rFont val="Tahoma"/>
            <family val="2"/>
          </rPr>
          <t>PC:</t>
        </r>
        <r>
          <rPr>
            <sz val="9"/>
            <color indexed="81"/>
            <rFont val="Tahoma"/>
            <family val="2"/>
          </rPr>
          <t xml:space="preserve">
DATOS DE FACTURACIÓN: 
Nombre de la Empresa: JUAN HUMBERTO TAMEZ MARTINEZ
RFC. TAMJ8009293R9
CFDI : Gastos en General     
 C.P.: 67350
Regimen Fiscal:R DE LAS PERSONAS FISICAS CON ACTIVIDADES EMPRESARIALES Y PROFESIONALES 
Forma de Pago: Transferencia
Teléfono:  
Contacto: Humberto Tamez - 82 6105 8660                          Jose Tamez - 81 1066 5375           
Email:  
1er Factura: 3336 OCTUBRE  2024</t>
        </r>
      </text>
    </comment>
    <comment ref="F121" authorId="0" shapeId="0" xr:uid="{00000000-0006-0000-0A00-000036000000}">
      <text>
        <r>
          <rPr>
            <b/>
            <sz val="9"/>
            <color indexed="81"/>
            <rFont val="Tahoma"/>
            <family val="2"/>
          </rPr>
          <t>PC:</t>
        </r>
        <r>
          <rPr>
            <sz val="9"/>
            <color indexed="81"/>
            <rFont val="Tahoma"/>
            <family val="2"/>
          </rPr>
          <t xml:space="preserve">
DATOS DE FACTURACIÓN: 
Nombre de la Empresa: U MEGAMEDIOS COMERCIAL
RFC. UMC2010168C3
CFDI : Gastos en General     
 C.P.: 25295
Regimen Fiscal:R GENERAL DE LEY PERSONAS MORALES
Forma de Pago: Transferencia
Teléfono:  
Contacto:Abraham Gutierrez        
Email:  
1er Factura: 3342 OCTUBRE  2024</t>
        </r>
      </text>
    </comment>
    <comment ref="F123" authorId="0" shapeId="0" xr:uid="{00000000-0006-0000-0A00-000037000000}">
      <text>
        <r>
          <rPr>
            <b/>
            <sz val="9"/>
            <color indexed="81"/>
            <rFont val="Tahoma"/>
            <family val="2"/>
          </rPr>
          <t>PC:</t>
        </r>
        <r>
          <rPr>
            <sz val="9"/>
            <color indexed="81"/>
            <rFont val="Tahoma"/>
            <family val="2"/>
          </rPr>
          <t xml:space="preserve">
DATOS DE FACTURACIÓN: 
Nombre de la Empresa: FLETES ESPECIALIZADOS AGL
RFC. FEA231019VC8
CFDI : Gastos en General     
 C.P.: 64010
Regimen Fiscal:R GENERAL DE LEY PERSONAS MORALES
Forma de Pago: Transferencia
Teléfono:  81 1974 2676
Contacto: Sr. Ariel       
Email: fletesagl@gmail.com 
1er Factura: 3343 OCTUBRE  2024</t>
        </r>
      </text>
    </comment>
    <comment ref="F124" authorId="0" shapeId="0" xr:uid="{00000000-0006-0000-0A00-000038000000}">
      <text>
        <r>
          <rPr>
            <b/>
            <sz val="9"/>
            <color indexed="81"/>
            <rFont val="Tahoma"/>
            <family val="2"/>
          </rPr>
          <t>PC:</t>
        </r>
        <r>
          <rPr>
            <sz val="9"/>
            <color indexed="81"/>
            <rFont val="Tahoma"/>
            <family val="2"/>
          </rPr>
          <t xml:space="preserve">
DATOS DE FACTURACIÓN: 
Nombre de la Empresa: RAUL MURO RODRIGUEZ
RFC. MURR7211168T1
CFDI : Gastos en General     
 C.P.: 66646
Regimen Fiscal:R DE LAS PERSONAS FISICAS CON ACTIVIDADES EMPRESARIALES Y PROFESIONALES
Forma de Pago: Transferencia
Teléfono:  81 2255 3176 
Contacto:Edgar Muro
Email: transportesmuro@hotmail.com
1er Factura: 3345 OCTUBRE  2024</t>
        </r>
      </text>
    </comment>
    <comment ref="F125" authorId="0" shapeId="0" xr:uid="{00000000-0006-0000-0A00-000039000000}">
      <text>
        <r>
          <rPr>
            <b/>
            <sz val="9"/>
            <color indexed="81"/>
            <rFont val="Tahoma"/>
            <family val="2"/>
          </rPr>
          <t>PC:</t>
        </r>
        <r>
          <rPr>
            <sz val="9"/>
            <color indexed="81"/>
            <rFont val="Tahoma"/>
            <family val="2"/>
          </rPr>
          <t xml:space="preserve">
DATOS DE FACTURACIÓN: 
Nombre de la Empresa: JUAN MEJIA HERNANDEZ
RFC. MEHJ680915TTA
CFDI : Gastos en General     
 C.P.: 76079
Regimen Fiscal:R DE LAS PERSONAS FISICAS CON ACTIVIDADES EMPRESARIALES Y PROFESIONALES
Forma de Pago: Transferencia
Teléfono:  44 2160 1772    
Contacto: Juan Mejia
Email: mejiahj@hotmail.com
1er Factura: 3347 y 3348 OCTUBRE  2024</t>
        </r>
      </text>
    </comment>
    <comment ref="F126" authorId="0" shapeId="0" xr:uid="{00000000-0006-0000-0A00-00003A000000}">
      <text>
        <r>
          <rPr>
            <b/>
            <sz val="9"/>
            <color indexed="81"/>
            <rFont val="Tahoma"/>
            <family val="2"/>
          </rPr>
          <t>PC:</t>
        </r>
        <r>
          <rPr>
            <sz val="9"/>
            <color indexed="81"/>
            <rFont val="Tahoma"/>
            <family val="2"/>
          </rPr>
          <t xml:space="preserve">
DATOS DE FACTURACIÓN: 
Nombre de la Empresa: SITELECOM SERVICIOS DE INGENIERIA Y TELECOMUNICACIONES
RFC. SSI170529CV4
CFDI : Gastos en General     
 C.P.: 42985
Regimen Fiscal:R GENERAL DE LEY PERSONAS MORALES
Forma de Pago: Transferencia
Teléfono:  77 1393 3704     
Contacto: Alejandro 
Email: eber.sannicolas@sitelecom.lat
1er Factura: 3346 OCTUBRE  2024</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PC</author>
    <author>Luffi</author>
    <author>Usuario de Windows</author>
  </authors>
  <commentList>
    <comment ref="C3" authorId="0" shapeId="0" xr:uid="{00000000-0006-0000-0B00-000001000000}">
      <text>
        <r>
          <rPr>
            <b/>
            <sz val="9"/>
            <color indexed="81"/>
            <rFont val="Tahoma"/>
            <family val="2"/>
          </rPr>
          <t>PC:</t>
        </r>
        <r>
          <rPr>
            <sz val="9"/>
            <color indexed="81"/>
            <rFont val="Tahoma"/>
            <family val="2"/>
          </rPr>
          <t xml:space="preserve">
3 UNIDADES COMODATO
INSTALACION $650 + IVA 
MENSUALIDAD $330 + IVA
*PAGO 5-JUNIO-2021 
1er INSTALACION 08-JUN-2021 / HILUX
DES-INSTALACION DE EQUIPOS 03-ENERO-23 
+MANIPULADOS*
$350.00+IVA=$406.00</t>
        </r>
      </text>
    </comment>
    <comment ref="G3" authorId="0" shapeId="0" xr:uid="{00000000-0006-0000-0B00-000002000000}">
      <text>
        <r>
          <rPr>
            <b/>
            <sz val="9"/>
            <color indexed="81"/>
            <rFont val="Tahoma"/>
            <family val="2"/>
          </rPr>
          <t>PC:</t>
        </r>
        <r>
          <rPr>
            <sz val="9"/>
            <color indexed="81"/>
            <rFont val="Tahoma"/>
            <family val="2"/>
          </rPr>
          <t xml:space="preserve">
Nombre de la Empresa: COMERCIALIZADORA Y DISTRIBUIDORA RAPE MONTERREY S.A. DE C.V. 
RFC. CDR170301DDA   CFDI: Gastos en general                                                                         Forma de Pago: Transferencia
Contacto: Sergio Ramos  
Email: facturacion@turboline.com.mx </t>
        </r>
      </text>
    </comment>
    <comment ref="C4" authorId="0" shapeId="0" xr:uid="{00000000-0006-0000-0B00-000003000000}">
      <text>
        <r>
          <rPr>
            <b/>
            <sz val="9"/>
            <color indexed="81"/>
            <rFont val="Tahoma"/>
            <family val="2"/>
          </rPr>
          <t>PC:</t>
        </r>
        <r>
          <rPr>
            <sz val="9"/>
            <color indexed="81"/>
            <rFont val="Tahoma"/>
            <family val="2"/>
          </rPr>
          <t xml:space="preserve">
EQUIPO $1,950 + IVA
MENSUALIDAD $400.00
*TRASPASO DE CUENTA PLAY MOTORS*
SEPTIMBRE´2021
SE LE EMPIEZA A COBRAR EN DIC´2021</t>
        </r>
      </text>
    </comment>
    <comment ref="D4" authorId="0" shapeId="0" xr:uid="{00000000-0006-0000-0B00-000004000000}">
      <text>
        <r>
          <rPr>
            <b/>
            <sz val="9"/>
            <color indexed="81"/>
            <rFont val="Tahoma"/>
            <family val="2"/>
          </rPr>
          <t>PC:</t>
        </r>
        <r>
          <rPr>
            <sz val="9"/>
            <color indexed="81"/>
            <rFont val="Tahoma"/>
            <family val="2"/>
          </rPr>
          <t xml:space="preserve">
Se le empezó a cobrar hasta Diciembre 2021  </t>
        </r>
      </text>
    </comment>
    <comment ref="H4" authorId="0" shapeId="0" xr:uid="{00000000-0006-0000-0B00-000005000000}">
      <text>
        <r>
          <rPr>
            <b/>
            <sz val="9"/>
            <color indexed="81"/>
            <rFont val="Tahoma"/>
            <family val="2"/>
          </rPr>
          <t>PC:</t>
        </r>
        <r>
          <rPr>
            <sz val="9"/>
            <color indexed="81"/>
            <rFont val="Tahoma"/>
            <family val="2"/>
          </rPr>
          <t xml:space="preserve">
LIQUIDO EL 09-ENERO-2023</t>
        </r>
      </text>
    </comment>
    <comment ref="C5" authorId="0" shapeId="0" xr:uid="{00000000-0006-0000-0B00-000006000000}">
      <text>
        <r>
          <rPr>
            <b/>
            <sz val="9"/>
            <color indexed="81"/>
            <rFont val="Tahoma"/>
            <family val="2"/>
          </rPr>
          <t>PC:</t>
        </r>
        <r>
          <rPr>
            <sz val="9"/>
            <color indexed="81"/>
            <rFont val="Tahoma"/>
            <family val="2"/>
          </rPr>
          <t xml:space="preserve">
INICIA EL 04-OCTUBRE-2022 
EQUIPOS $1950.00+IVA312.00=$2,262.00
MENSUALIDAD $300.00+IVA$48.00=$348.00
DES-INSTALACIÓN $650.00+IVA
RE-INSTALACIÓN $650.00+IVA</t>
        </r>
      </text>
    </comment>
    <comment ref="C6" authorId="0" shapeId="0" xr:uid="{00000000-0006-0000-0B00-000007000000}">
      <text>
        <r>
          <rPr>
            <b/>
            <sz val="9"/>
            <color indexed="81"/>
            <rFont val="Tahoma"/>
            <family val="2"/>
          </rPr>
          <t>PC:</t>
        </r>
        <r>
          <rPr>
            <sz val="9"/>
            <color indexed="81"/>
            <rFont val="Tahoma"/>
            <family val="2"/>
          </rPr>
          <t xml:space="preserve">
CLIENTE RE-INGRESO 20-OCTUBRE-2022
EQUIPO $1,950.00 +IVA 
MENSUALIDAD TRACTO $280.00 + IVA MENSUALIDAD PLANA </t>
        </r>
      </text>
    </comment>
    <comment ref="D6" authorId="0" shapeId="0" xr:uid="{00000000-0006-0000-0B00-000008000000}">
      <text>
        <r>
          <rPr>
            <b/>
            <sz val="9"/>
            <color indexed="81"/>
            <rFont val="Tahoma"/>
            <family val="2"/>
          </rPr>
          <t>PC:</t>
        </r>
        <r>
          <rPr>
            <sz val="9"/>
            <color indexed="81"/>
            <rFont val="Tahoma"/>
            <family val="2"/>
          </rPr>
          <t xml:space="preserve">
RE-INGRESO 20-OCTUBRE-22</t>
        </r>
      </text>
    </comment>
    <comment ref="G6" authorId="0" shapeId="0" xr:uid="{00000000-0006-0000-0B00-000009000000}">
      <text>
        <r>
          <rPr>
            <b/>
            <sz val="9"/>
            <color indexed="81"/>
            <rFont val="Tahoma"/>
            <family val="2"/>
          </rPr>
          <t>PC:</t>
        </r>
        <r>
          <rPr>
            <sz val="9"/>
            <color indexed="81"/>
            <rFont val="Tahoma"/>
            <family val="2"/>
          </rPr>
          <t xml:space="preserve">
Nombre de la Empresa: ISMAEL ALEJANDRO ESCAREÑO CRISPIN                                                                                                  RFC. EACI8804138A1  CFDI: Gastos en General Contacto: Ismael Alejandro Escareño Crispin (Express General)                                                                     Email: escarenoalejandro03@gmail.com Teléfono: 813 079 9137 </t>
        </r>
      </text>
    </comment>
    <comment ref="H6" authorId="0" shapeId="0" xr:uid="{00000000-0006-0000-0B00-00000A000000}">
      <text>
        <r>
          <rPr>
            <b/>
            <sz val="9"/>
            <color indexed="81"/>
            <rFont val="Tahoma"/>
            <family val="2"/>
          </rPr>
          <t>PC:</t>
        </r>
        <r>
          <rPr>
            <sz val="9"/>
            <color indexed="81"/>
            <rFont val="Tahoma"/>
            <family val="2"/>
          </rPr>
          <t xml:space="preserve">
PAGO SALDO PENDIENTE DE $4,060.00 EL 06-ABRIL-2023
</t>
        </r>
      </text>
    </comment>
    <comment ref="C7" authorId="0" shapeId="0" xr:uid="{00000000-0006-0000-0B00-00000B000000}">
      <text>
        <r>
          <rPr>
            <b/>
            <sz val="9"/>
            <color indexed="81"/>
            <rFont val="Tahoma"/>
            <family val="2"/>
          </rPr>
          <t>PC:</t>
        </r>
        <r>
          <rPr>
            <sz val="9"/>
            <color indexed="81"/>
            <rFont val="Tahoma"/>
            <family val="2"/>
          </rPr>
          <t xml:space="preserve">
INICIA EL 18-AGOSTO-2022 
EQUIPO E INSTALACIÓN $2,000.00
MENUSALIDAD $350.00 </t>
        </r>
      </text>
    </comment>
    <comment ref="C8" authorId="0" shapeId="0" xr:uid="{00000000-0006-0000-0B00-00000C000000}">
      <text>
        <r>
          <rPr>
            <b/>
            <sz val="9"/>
            <color indexed="81"/>
            <rFont val="Tahoma"/>
            <family val="2"/>
          </rPr>
          <t>PC:</t>
        </r>
        <r>
          <rPr>
            <sz val="9"/>
            <color indexed="81"/>
            <rFont val="Tahoma"/>
            <family val="2"/>
          </rPr>
          <t xml:space="preserve">
MENSUALIDAD $300.00</t>
        </r>
      </text>
    </comment>
    <comment ref="C9" authorId="0" shapeId="0" xr:uid="{00000000-0006-0000-0B00-00000D000000}">
      <text>
        <r>
          <rPr>
            <b/>
            <sz val="9"/>
            <color indexed="81"/>
            <rFont val="Tahoma"/>
            <family val="2"/>
          </rPr>
          <t>PC:</t>
        </r>
        <r>
          <rPr>
            <sz val="9"/>
            <color indexed="81"/>
            <rFont val="Tahoma"/>
            <family val="2"/>
          </rPr>
          <t xml:space="preserve">
3 RENTA $350.00
BAJA DE UNIDAD 
KW CUADRADO 4-AGO-20</t>
        </r>
      </text>
    </comment>
    <comment ref="C10" authorId="0" shapeId="0" xr:uid="{00000000-0006-0000-0B00-00000E000000}">
      <text>
        <r>
          <rPr>
            <b/>
            <sz val="9"/>
            <color indexed="81"/>
            <rFont val="Tahoma"/>
            <family val="2"/>
          </rPr>
          <t>PC:</t>
        </r>
        <r>
          <rPr>
            <sz val="9"/>
            <color indexed="81"/>
            <rFont val="Tahoma"/>
            <family val="2"/>
          </rPr>
          <t xml:space="preserve">
EQUIPO $1,879.00
MENSUALIDAD $300.00
INICIA EL 14-OCTUBRE-22</t>
        </r>
      </text>
    </comment>
    <comment ref="C11" authorId="0" shapeId="0" xr:uid="{00000000-0006-0000-0B00-00000F000000}">
      <text>
        <r>
          <rPr>
            <b/>
            <sz val="9"/>
            <color indexed="81"/>
            <rFont val="Tahoma"/>
            <family val="2"/>
          </rPr>
          <t>PC:</t>
        </r>
        <r>
          <rPr>
            <sz val="9"/>
            <color indexed="81"/>
            <rFont val="Tahoma"/>
            <family val="2"/>
          </rPr>
          <t xml:space="preserve">
EQUIPO COMODATO (9 UNIDADES)
MENSUALIDAD $300.00 + IVA $348.00
INSTALACION  $550.00 + IVA $638.00
DES-INSTALACION $600 + IVA $
RE-INSTALACION   $600 + IVA $
*INICIA SERVICIO DIC´2021
*INICIA COBRANZA FEB´2022</t>
        </r>
      </text>
    </comment>
    <comment ref="G11" authorId="0" shapeId="0" xr:uid="{00000000-0006-0000-0B00-000010000000}">
      <text>
        <r>
          <rPr>
            <b/>
            <sz val="9"/>
            <color indexed="81"/>
            <rFont val="Tahoma"/>
            <family val="2"/>
          </rPr>
          <t>PC:</t>
        </r>
        <r>
          <rPr>
            <sz val="9"/>
            <color indexed="81"/>
            <rFont val="Tahoma"/>
            <family val="2"/>
          </rPr>
          <t xml:space="preserve">
Nombre de la Empresa: AUTO LINEAS HR S.A. DE C.V. 
RFC.:  ALH1905283D9 CFDI: Gastos en general                   Forma de Pago: Transferencia Teléfono: 813 454 6320
Contacto: Enrique Ruiz 
Email: enrique.ruizs@hrtransportes.mx; </t>
        </r>
      </text>
    </comment>
    <comment ref="C12" authorId="0" shapeId="0" xr:uid="{00000000-0006-0000-0B00-000011000000}">
      <text>
        <r>
          <rPr>
            <b/>
            <sz val="9"/>
            <color indexed="81"/>
            <rFont val="Tahoma"/>
            <family val="2"/>
          </rPr>
          <t>PC:</t>
        </r>
        <r>
          <rPr>
            <sz val="9"/>
            <color indexed="81"/>
            <rFont val="Tahoma"/>
            <family val="2"/>
          </rPr>
          <t xml:space="preserve">
MENSUALIDAD $250.00
RE-INSTALACIÓN $450.00 (20-enero-23)
EQUIPO $1,500.00 
(PRECIO ESPECIAL POR COMPRA DE 2 EQUIPOS) 
DES-INSTALACIÓN $450.00
COMPRA DE 2 EQUIPOS 
INCREMENTA 1 MENSUALIDAD = TOTAL 3 UNIDADES
17-FEB-2022</t>
        </r>
      </text>
    </comment>
    <comment ref="C13" authorId="0" shapeId="0" xr:uid="{00000000-0006-0000-0B00-000012000000}">
      <text>
        <r>
          <rPr>
            <b/>
            <sz val="9"/>
            <color indexed="81"/>
            <rFont val="Tahoma"/>
            <family val="2"/>
          </rPr>
          <t>PC:</t>
        </r>
        <r>
          <rPr>
            <sz val="9"/>
            <color indexed="81"/>
            <rFont val="Tahoma"/>
            <family val="2"/>
          </rPr>
          <t xml:space="preserve">
SE LE INSTALÓ EL 22-FEB-2023 
UNIDAD ECONÓMICO 114 
EQUIPO $1,850.00
SENSOR DE ENGANCHE Y DESENGANCHE $1,199.00
MENSUALIDAD $299.00 </t>
        </r>
      </text>
    </comment>
    <comment ref="G13" authorId="0" shapeId="0" xr:uid="{00000000-0006-0000-0B00-000013000000}">
      <text>
        <r>
          <rPr>
            <b/>
            <sz val="9"/>
            <color indexed="81"/>
            <rFont val="Tahoma"/>
            <family val="2"/>
          </rPr>
          <t>PC:</t>
        </r>
        <r>
          <rPr>
            <sz val="9"/>
            <color indexed="81"/>
            <rFont val="Tahoma"/>
            <family val="2"/>
          </rPr>
          <t xml:space="preserve">
Nombre de la Empresa: AUTOTRANSPORTES GAMI S.A. DE C.V. 
RFC. AGA190212RX9  CFDI : Gastos en general    Forma de Pago: Transferencia                                    Teléfono:  81 2658 5423
Contacto: Lesly
Email: lesly.facturacion@atgami.mx</t>
        </r>
      </text>
    </comment>
    <comment ref="C14" authorId="0" shapeId="0" xr:uid="{00000000-0006-0000-0B00-000014000000}">
      <text>
        <r>
          <rPr>
            <b/>
            <sz val="9"/>
            <color indexed="81"/>
            <rFont val="Tahoma"/>
            <family val="2"/>
          </rPr>
          <t>PC:</t>
        </r>
        <r>
          <rPr>
            <sz val="9"/>
            <color indexed="81"/>
            <rFont val="Tahoma"/>
            <family val="2"/>
          </rPr>
          <t xml:space="preserve">
Luffi:
INICIO DE SERVICIO 7-ABR-2021
INSTALACION 7-ABRIL-2021
EQUIPO $1,724
MENSUALIDAD $150</t>
        </r>
      </text>
    </comment>
    <comment ref="C15" authorId="0" shapeId="0" xr:uid="{00000000-0006-0000-0B00-000015000000}">
      <text>
        <r>
          <rPr>
            <b/>
            <sz val="9"/>
            <color indexed="81"/>
            <rFont val="Tahoma"/>
            <family val="2"/>
          </rPr>
          <t>PC:</t>
        </r>
        <r>
          <rPr>
            <sz val="9"/>
            <color indexed="81"/>
            <rFont val="Tahoma"/>
            <family val="2"/>
          </rPr>
          <t xml:space="preserve">
</t>
        </r>
        <r>
          <rPr>
            <sz val="10"/>
            <color indexed="81"/>
            <rFont val="Tahoma"/>
            <family val="2"/>
          </rPr>
          <t>INICA EL 28-ABRIL-2023 SE LE INSTALA HASTA MAYO 2023
EQUIPO $2,241.38+IVA
MENSUALIDAD $400.00+IVA
SENSOR DE COMBUSTIBLE DE VARILLA $5,600.00+IVA
SENSOR DE TEMPERATURA $899.00+IVA</t>
        </r>
      </text>
    </comment>
    <comment ref="G15" authorId="0" shapeId="0" xr:uid="{00000000-0006-0000-0B00-000016000000}">
      <text>
        <r>
          <rPr>
            <b/>
            <sz val="9"/>
            <color indexed="81"/>
            <rFont val="Tahoma"/>
            <family val="2"/>
          </rPr>
          <t>PC:</t>
        </r>
        <r>
          <rPr>
            <sz val="9"/>
            <color indexed="81"/>
            <rFont val="Tahoma"/>
            <family val="2"/>
          </rPr>
          <t xml:space="preserve">
Nombre de la Empresa: TRANSPORTES REFRIGERADOS CABELLO S. DE R.L. DE C.V. 
RFC. TRC130301RV2  CFDI : Gastos en general    Forma de Pago: Transferencia                                    Teléfono:  81 1544 8419 
Contacto: Flor Garza                                                                   Email: flor@grupocabello.com</t>
        </r>
      </text>
    </comment>
    <comment ref="C16" authorId="0" shapeId="0" xr:uid="{00000000-0006-0000-0B00-000017000000}">
      <text>
        <r>
          <rPr>
            <b/>
            <sz val="9"/>
            <color indexed="81"/>
            <rFont val="Tahoma"/>
            <family val="2"/>
          </rPr>
          <t>PC:</t>
        </r>
        <r>
          <rPr>
            <sz val="9"/>
            <color indexed="81"/>
            <rFont val="Tahoma"/>
            <family val="2"/>
          </rPr>
          <t xml:space="preserve">
MENSUALIDAD $330.00+IVA=$382.80</t>
        </r>
      </text>
    </comment>
    <comment ref="G16" authorId="0" shapeId="0" xr:uid="{00000000-0006-0000-0B00-000018000000}">
      <text>
        <r>
          <rPr>
            <b/>
            <sz val="9"/>
            <color indexed="81"/>
            <rFont val="Tahoma"/>
            <family val="2"/>
          </rPr>
          <t>PC:</t>
        </r>
        <r>
          <rPr>
            <sz val="9"/>
            <color indexed="81"/>
            <rFont val="Tahoma"/>
            <family val="2"/>
          </rPr>
          <t xml:space="preserve">
Nombre de la Empresa: COMERCIALIZADORA GARDUÑO GUERRERO S.A. DE C.V. 
RFC. CGG061215MA5   CFDI: Gastos en general                                                               Forma de Pago: Transferencia          Teléfono: 813 054 0124 / 818 351 6378 
Contacto: Ana Lorena Garduño Guerrero / Juan Sergio Rolando Garduño Hidalgo
Email: comercializadorasegah@yahoo.com.mx; vicos.logistica@gmail.com; comercializadorasegah@hotmail.com   </t>
        </r>
      </text>
    </comment>
    <comment ref="C17" authorId="1" shapeId="0" xr:uid="{00000000-0006-0000-0B00-000019000000}">
      <text>
        <r>
          <rPr>
            <b/>
            <sz val="9"/>
            <color indexed="81"/>
            <rFont val="Tahoma"/>
            <family val="2"/>
          </rPr>
          <t>Luffi:</t>
        </r>
        <r>
          <rPr>
            <sz val="9"/>
            <color indexed="81"/>
            <rFont val="Tahoma"/>
            <family val="2"/>
          </rPr>
          <t xml:space="preserve">
EQUIPO $1,979.00 + IVA </t>
        </r>
        <r>
          <rPr>
            <b/>
            <sz val="9"/>
            <color indexed="81"/>
            <rFont val="Tahoma"/>
            <family val="2"/>
          </rPr>
          <t>$2,295.64</t>
        </r>
        <r>
          <rPr>
            <sz val="9"/>
            <color indexed="81"/>
            <rFont val="Tahoma"/>
            <family val="2"/>
          </rPr>
          <t xml:space="preserve">
ANUAL  $3,300.00 + IVA  </t>
        </r>
        <r>
          <rPr>
            <b/>
            <sz val="9"/>
            <color indexed="81"/>
            <rFont val="Tahoma"/>
            <family val="2"/>
          </rPr>
          <t>$3,828.00</t>
        </r>
        <r>
          <rPr>
            <sz val="9"/>
            <color indexed="81"/>
            <rFont val="Tahoma"/>
            <family val="2"/>
          </rPr>
          <t xml:space="preserve">
</t>
        </r>
      </text>
    </comment>
    <comment ref="C18" authorId="1" shapeId="0" xr:uid="{00000000-0006-0000-0B00-00001A000000}">
      <text>
        <r>
          <rPr>
            <b/>
            <sz val="9"/>
            <color indexed="81"/>
            <rFont val="Tahoma"/>
            <family val="2"/>
          </rPr>
          <t>Luffi:</t>
        </r>
        <r>
          <rPr>
            <sz val="9"/>
            <color indexed="81"/>
            <rFont val="Tahoma"/>
            <family val="2"/>
          </rPr>
          <t xml:space="preserve">
</t>
        </r>
        <r>
          <rPr>
            <sz val="10"/>
            <color indexed="81"/>
            <rFont val="Tahoma"/>
            <family val="2"/>
          </rPr>
          <t xml:space="preserve">1 RENTA $350.00 + IVA </t>
        </r>
        <r>
          <rPr>
            <b/>
            <sz val="10"/>
            <color indexed="81"/>
            <rFont val="Tahoma"/>
            <family val="2"/>
          </rPr>
          <t>$406.00</t>
        </r>
        <r>
          <rPr>
            <sz val="10"/>
            <color indexed="81"/>
            <rFont val="Tahoma"/>
            <family val="2"/>
          </rPr>
          <t xml:space="preserve">
BAJA DE UNIDAD 31-MAR-2020
2 RENTA $350.00 +IVA</t>
        </r>
      </text>
    </comment>
    <comment ref="C19" authorId="0" shapeId="0" xr:uid="{00000000-0006-0000-0B00-00001B000000}">
      <text>
        <r>
          <rPr>
            <b/>
            <sz val="9"/>
            <color indexed="81"/>
            <rFont val="Tahoma"/>
            <family val="2"/>
          </rPr>
          <t>PC:</t>
        </r>
        <r>
          <rPr>
            <sz val="9"/>
            <color indexed="81"/>
            <rFont val="Tahoma"/>
            <family val="2"/>
          </rPr>
          <t xml:space="preserve">
INICIA EL 19-ENERO-2023 
MENSUALIDAD $350.00
EQUIPO $1,800.00
</t>
        </r>
      </text>
    </comment>
    <comment ref="C20" authorId="1" shapeId="0" xr:uid="{00000000-0006-0000-0B00-00001C000000}">
      <text>
        <r>
          <rPr>
            <b/>
            <sz val="9"/>
            <color indexed="81"/>
            <rFont val="Tahoma"/>
            <family val="2"/>
          </rPr>
          <t>Luffi:</t>
        </r>
        <r>
          <rPr>
            <sz val="9"/>
            <color indexed="81"/>
            <rFont val="Tahoma"/>
            <family val="2"/>
          </rPr>
          <t xml:space="preserve">
RENTA $400.00
ROAMING </t>
        </r>
      </text>
    </comment>
    <comment ref="H20" authorId="0" shapeId="0" xr:uid="{00000000-0006-0000-0B00-00001D000000}">
      <text>
        <r>
          <rPr>
            <b/>
            <sz val="9"/>
            <color indexed="81"/>
            <rFont val="Tahoma"/>
            <family val="2"/>
          </rPr>
          <t>PC:</t>
        </r>
        <r>
          <rPr>
            <sz val="9"/>
            <color indexed="81"/>
            <rFont val="Tahoma"/>
            <family val="2"/>
          </rPr>
          <t xml:space="preserve">
MENSUALIDAD DE JUNIO.
INFORMO DE LA BAJA DESPUES DE LA FECHA DE VENCIMIENTO </t>
        </r>
      </text>
    </comment>
    <comment ref="C21" authorId="0" shapeId="0" xr:uid="{00000000-0006-0000-0B00-00001E000000}">
      <text>
        <r>
          <rPr>
            <b/>
            <sz val="9"/>
            <color indexed="81"/>
            <rFont val="Tahoma"/>
            <family val="2"/>
          </rPr>
          <t>PC:</t>
        </r>
        <r>
          <rPr>
            <sz val="9"/>
            <color indexed="81"/>
            <rFont val="Tahoma"/>
            <family val="2"/>
          </rPr>
          <t xml:space="preserve">
Anualidad $3,000.00
Equipo $1,950.00
TRASPASO DE PLAY MOTORS 1 UNIDAD DODGE RAM GUINDA</t>
        </r>
      </text>
    </comment>
    <comment ref="C22" authorId="0" shapeId="0" xr:uid="{00000000-0006-0000-0B00-00001F000000}">
      <text>
        <r>
          <rPr>
            <b/>
            <sz val="9"/>
            <color indexed="81"/>
            <rFont val="Tahoma"/>
            <family val="2"/>
          </rPr>
          <t>PC:</t>
        </r>
        <r>
          <rPr>
            <sz val="9"/>
            <color indexed="81"/>
            <rFont val="Tahoma"/>
            <family val="2"/>
          </rPr>
          <t xml:space="preserve">
INICIA EL 13-SEPTIEMBRE-2022 
ANUALIDAD POR USO DE PLATAFORMA 
$600.00 C/U
</t>
        </r>
      </text>
    </comment>
    <comment ref="C23" authorId="1" shapeId="0" xr:uid="{00000000-0006-0000-0B00-000020000000}">
      <text>
        <r>
          <rPr>
            <b/>
            <sz val="9"/>
            <color indexed="81"/>
            <rFont val="Tahoma"/>
            <family val="2"/>
          </rPr>
          <t>Luffi:</t>
        </r>
        <r>
          <rPr>
            <sz val="9"/>
            <color indexed="81"/>
            <rFont val="Tahoma"/>
            <family val="2"/>
          </rPr>
          <t xml:space="preserve">
7 UNIDADES COMODATO
ESQUEMA COMODATO 6 EQUIPOS  
1 MIGRACION TC-28 (CARRERA)
INSTALACION $600.00 + IVA
MENSUALIDAD $320.00 + IVA
TOTAL $7,366.00 
MENSUALIDAD $2,842.00</t>
        </r>
      </text>
    </comment>
    <comment ref="C24" authorId="1" shapeId="0" xr:uid="{00000000-0006-0000-0B00-000021000000}">
      <text>
        <r>
          <rPr>
            <b/>
            <sz val="9"/>
            <color indexed="81"/>
            <rFont val="Tahoma"/>
            <family val="2"/>
          </rPr>
          <t>Luffi:</t>
        </r>
        <r>
          <rPr>
            <sz val="9"/>
            <color indexed="81"/>
            <rFont val="Tahoma"/>
            <family val="2"/>
          </rPr>
          <t xml:space="preserve">
INICIA EL 23-MAYO-2023
EQUIPO $1,600.00
MENSUALIDAD $250.00</t>
        </r>
      </text>
    </comment>
    <comment ref="C25" authorId="0" shapeId="0" xr:uid="{00000000-0006-0000-0B00-000022000000}">
      <text>
        <r>
          <rPr>
            <b/>
            <sz val="9"/>
            <color indexed="81"/>
            <rFont val="Tahoma"/>
            <family val="2"/>
          </rPr>
          <t>PC:</t>
        </r>
        <r>
          <rPr>
            <sz val="9"/>
            <color indexed="81"/>
            <rFont val="Tahoma"/>
            <family val="2"/>
          </rPr>
          <t xml:space="preserve">
INICA EL 23-MAYO-2023
EQUIPO $1,600.00
MENSUALIDAD $250.00</t>
        </r>
      </text>
    </comment>
    <comment ref="C26" authorId="0" shapeId="0" xr:uid="{00000000-0006-0000-0B00-000023000000}">
      <text>
        <r>
          <rPr>
            <b/>
            <sz val="9"/>
            <color indexed="81"/>
            <rFont val="Tahoma"/>
            <family val="2"/>
          </rPr>
          <t>PC:</t>
        </r>
        <r>
          <rPr>
            <sz val="9"/>
            <color indexed="81"/>
            <rFont val="Tahoma"/>
            <family val="2"/>
          </rPr>
          <t xml:space="preserve">
MENSUALIDAD $350.00+IVA </t>
        </r>
      </text>
    </comment>
    <comment ref="C27" authorId="0" shapeId="0" xr:uid="{00000000-0006-0000-0B00-000024000000}">
      <text>
        <r>
          <rPr>
            <b/>
            <sz val="9"/>
            <color indexed="81"/>
            <rFont val="Tahoma"/>
            <family val="2"/>
          </rPr>
          <t>PC:</t>
        </r>
        <r>
          <rPr>
            <sz val="9"/>
            <color indexed="81"/>
            <rFont val="Tahoma"/>
            <family val="2"/>
          </rPr>
          <t xml:space="preserve">
INICIA EL 07-SEPTIEMBRE-2023
EQUIPO $2,100.00+IVA
MENSUALIDAD $300+IVA</t>
        </r>
      </text>
    </comment>
    <comment ref="C28" authorId="0" shapeId="0" xr:uid="{00000000-0006-0000-0B00-000025000000}">
      <text>
        <r>
          <rPr>
            <b/>
            <sz val="9"/>
            <color indexed="81"/>
            <rFont val="Tahoma"/>
            <family val="2"/>
          </rPr>
          <t>PC:</t>
        </r>
        <r>
          <rPr>
            <sz val="9"/>
            <color indexed="81"/>
            <rFont val="Tahoma"/>
            <family val="2"/>
          </rPr>
          <t xml:space="preserve">
EQUIPO $1,950.00+IVA 
MENSUALIDAD $300.00+IVA
ANUALIDAD $3,000.00´+IVA 
UNIDAD DODGE RAM NEGRA 2021</t>
        </r>
      </text>
    </comment>
    <comment ref="C29" authorId="0" shapeId="0" xr:uid="{00000000-0006-0000-0B00-000026000000}">
      <text>
        <r>
          <rPr>
            <b/>
            <sz val="9"/>
            <color indexed="81"/>
            <rFont val="Tahoma"/>
            <family val="2"/>
          </rPr>
          <t>PC:</t>
        </r>
        <r>
          <rPr>
            <sz val="9"/>
            <color indexed="81"/>
            <rFont val="Tahoma"/>
            <family val="2"/>
          </rPr>
          <t xml:space="preserve">
CLIENTE MIGRADO DE APFEL
INICIA EL 12-OCTUBRE-22 DICIEMBRE'22 COBRAR ANUALIDAD  MENSUALIDAD $300.00+IVA</t>
        </r>
      </text>
    </comment>
    <comment ref="C30" authorId="0" shapeId="0" xr:uid="{00000000-0006-0000-0B00-000027000000}">
      <text>
        <r>
          <rPr>
            <b/>
            <sz val="9"/>
            <color indexed="81"/>
            <rFont val="Tahoma"/>
            <family val="2"/>
          </rPr>
          <t>PC:</t>
        </r>
        <r>
          <rPr>
            <sz val="9"/>
            <color indexed="81"/>
            <rFont val="Tahoma"/>
            <family val="2"/>
          </rPr>
          <t xml:space="preserve">
INICIA EL 20-MARZO-2023 
EQUIPO $2,200.00
MENSUALIDAD $300.00
CAMBIA A ESQUEMA DE FACTURAS EL 10 DE MAYO 2023
</t>
        </r>
      </text>
    </comment>
    <comment ref="C31" authorId="1" shapeId="0" xr:uid="{00000000-0006-0000-0B00-000028000000}">
      <text>
        <r>
          <rPr>
            <b/>
            <sz val="9"/>
            <color indexed="81"/>
            <rFont val="Tahoma"/>
            <family val="2"/>
          </rPr>
          <t>Luffi:</t>
        </r>
        <r>
          <rPr>
            <sz val="9"/>
            <color indexed="81"/>
            <rFont val="Tahoma"/>
            <family val="2"/>
          </rPr>
          <t xml:space="preserve">
1 EQUIPO GPS $2,000 + IVA $2,350
1 MENSUALIDAD $300 + IVA $348
</t>
        </r>
        <r>
          <rPr>
            <b/>
            <sz val="9"/>
            <color indexed="81"/>
            <rFont val="Tahoma"/>
            <family val="2"/>
          </rPr>
          <t>*INICIA 28-SEP-2020 SE LE COBRA HASTA NOVIEMBRE´2020</t>
        </r>
      </text>
    </comment>
    <comment ref="C32" authorId="0" shapeId="0" xr:uid="{00000000-0006-0000-0B00-000029000000}">
      <text>
        <r>
          <rPr>
            <b/>
            <sz val="9"/>
            <color indexed="81"/>
            <rFont val="Tahoma"/>
            <family val="2"/>
          </rPr>
          <t>PC:</t>
        </r>
        <r>
          <rPr>
            <sz val="9"/>
            <color indexed="81"/>
            <rFont val="Tahoma"/>
            <family val="2"/>
          </rPr>
          <t xml:space="preserve">
INGRESA EL 15-JUNIO-2023
EQUIPO $700.00+IVA
MENSUALIDAD $300.00+IVA
1ER INST. 23-JUNIO-2023 
</t>
        </r>
      </text>
    </comment>
    <comment ref="C34" authorId="0" shapeId="0" xr:uid="{00000000-0006-0000-0B00-00002A000000}">
      <text>
        <r>
          <rPr>
            <b/>
            <sz val="9"/>
            <color indexed="81"/>
            <rFont val="Tahoma"/>
            <family val="2"/>
          </rPr>
          <t>PC:</t>
        </r>
        <r>
          <rPr>
            <sz val="9"/>
            <color indexed="81"/>
            <rFont val="Tahoma"/>
            <family val="2"/>
          </rPr>
          <t xml:space="preserve">
INICA 01-JUNIO-2023
MENSUALIDAD $250.00+IVA 
CTE. MIGRADO DE GRUPO TTM</t>
        </r>
      </text>
    </comment>
    <comment ref="C35" authorId="0" shapeId="0" xr:uid="{00000000-0006-0000-0B00-00002B000000}">
      <text>
        <r>
          <rPr>
            <b/>
            <sz val="9"/>
            <color indexed="81"/>
            <rFont val="Tahoma"/>
            <family val="2"/>
          </rPr>
          <t>PC:</t>
        </r>
        <r>
          <rPr>
            <sz val="9"/>
            <color indexed="81"/>
            <rFont val="Tahoma"/>
            <family val="2"/>
          </rPr>
          <t xml:space="preserve">
1 EQUIPO Y ANUALIDAD 
EQUIPO $1,989.00 + IVA   $2,307.24
ANUALIDAD $3,300 + IVA  $3,828.00
TOTAL $6,135.24
INSTALACION 30-ENE-2021</t>
        </r>
      </text>
    </comment>
    <comment ref="C36" authorId="0" shapeId="0" xr:uid="{00000000-0006-0000-0B00-00002C000000}">
      <text>
        <r>
          <rPr>
            <b/>
            <sz val="9"/>
            <color indexed="81"/>
            <rFont val="Tahoma"/>
            <family val="2"/>
          </rPr>
          <t>PC:</t>
        </r>
        <r>
          <rPr>
            <sz val="9"/>
            <color indexed="81"/>
            <rFont val="Tahoma"/>
            <family val="2"/>
          </rPr>
          <t xml:space="preserve">
COTIZACION SE LE ENVIO EL 13-JUNIO-2023 Y PAGO EL 16-JUNIO-2023 
SE LE INSTALO EL 26-JUNIO-23
EQUIPO $1,850.00+IVA
MENSUALIDAD $249.00+IVA</t>
        </r>
      </text>
    </comment>
    <comment ref="C37" authorId="1" shapeId="0" xr:uid="{00000000-0006-0000-0B00-00002D000000}">
      <text>
        <r>
          <rPr>
            <b/>
            <sz val="9"/>
            <color indexed="81"/>
            <rFont val="Tahoma"/>
            <family val="2"/>
          </rPr>
          <t>Luffi:</t>
        </r>
        <r>
          <rPr>
            <sz val="9"/>
            <color indexed="81"/>
            <rFont val="Tahoma"/>
            <family val="2"/>
          </rPr>
          <t xml:space="preserve">
</t>
        </r>
        <r>
          <rPr>
            <b/>
            <sz val="9"/>
            <color indexed="81"/>
            <rFont val="Tahoma"/>
            <family val="2"/>
          </rPr>
          <t>BITACORA ELECTRONICA 
SIM EMPRENET GLOBAL 100 MB
$560.35 + IVA $650.00</t>
        </r>
        <r>
          <rPr>
            <sz val="9"/>
            <color indexed="81"/>
            <rFont val="Tahoma"/>
            <family val="2"/>
          </rPr>
          <t xml:space="preserve">
RE-INICIO DE SERVICIO 2-FEBRERO-2022
SE INGRESA A COBRANZA MARZO´2022 DE PROPORCIOANL DE FEBRERO Y MARZO</t>
        </r>
      </text>
    </comment>
    <comment ref="C38" authorId="0" shapeId="0" xr:uid="{00000000-0006-0000-0B00-00002E000000}">
      <text>
        <r>
          <rPr>
            <b/>
            <sz val="9"/>
            <color indexed="81"/>
            <rFont val="Tahoma"/>
            <family val="2"/>
          </rPr>
          <t>PC:</t>
        </r>
        <r>
          <rPr>
            <sz val="9"/>
            <color indexed="81"/>
            <rFont val="Tahoma"/>
            <family val="2"/>
          </rPr>
          <t xml:space="preserve">
INICIA EL 06-SEPTIEMBRE-2023
EQUIPO $2,099.00+IVA
MENSUALIDAD $300.0+IVA</t>
        </r>
      </text>
    </comment>
    <comment ref="C39" authorId="0" shapeId="0" xr:uid="{00000000-0006-0000-0B00-00002F000000}">
      <text>
        <r>
          <rPr>
            <b/>
            <sz val="9"/>
            <color indexed="81"/>
            <rFont val="Tahoma"/>
            <family val="2"/>
          </rPr>
          <t>PC:</t>
        </r>
        <r>
          <rPr>
            <sz val="9"/>
            <color indexed="81"/>
            <rFont val="Tahoma"/>
            <family val="2"/>
          </rPr>
          <t xml:space="preserve">
CLIENTE DE PREPAGO MIGRADO A PLAN EL 12-SEP-23
MENSUALIDAD $250.00</t>
        </r>
      </text>
    </comment>
    <comment ref="C40" authorId="0" shapeId="0" xr:uid="{00000000-0006-0000-0B00-000030000000}">
      <text>
        <r>
          <rPr>
            <b/>
            <sz val="9"/>
            <color indexed="81"/>
            <rFont val="Tahoma"/>
            <family val="2"/>
          </rPr>
          <t>PC:</t>
        </r>
        <r>
          <rPr>
            <sz val="9"/>
            <color indexed="81"/>
            <rFont val="Tahoma"/>
            <family val="2"/>
          </rPr>
          <t xml:space="preserve">
INICIA EL 28-FEBRERO-2023 
SE LE COBRA HASTA MARZO
MENSUALIDAD $250.00</t>
        </r>
      </text>
    </comment>
    <comment ref="B41" authorId="1" shapeId="0" xr:uid="{00000000-0006-0000-0B00-000031000000}">
      <text>
        <r>
          <rPr>
            <b/>
            <sz val="9"/>
            <color indexed="81"/>
            <rFont val="Tahoma"/>
            <family val="2"/>
          </rPr>
          <t>Luffi:</t>
        </r>
        <r>
          <rPr>
            <sz val="9"/>
            <color indexed="81"/>
            <rFont val="Tahoma"/>
            <family val="2"/>
          </rPr>
          <t xml:space="preserve">
NO 811 484 8456 </t>
        </r>
      </text>
    </comment>
    <comment ref="C41" authorId="1" shapeId="0" xr:uid="{00000000-0006-0000-0B00-000032000000}">
      <text>
        <r>
          <rPr>
            <b/>
            <sz val="9"/>
            <color indexed="81"/>
            <rFont val="Tahoma"/>
            <family val="2"/>
          </rPr>
          <t>Luffi:</t>
        </r>
        <r>
          <rPr>
            <sz val="9"/>
            <color indexed="81"/>
            <rFont val="Tahoma"/>
            <family val="2"/>
          </rPr>
          <t xml:space="preserve">
</t>
        </r>
        <r>
          <rPr>
            <sz val="10"/>
            <color indexed="81"/>
            <rFont val="Tahoma"/>
            <family val="2"/>
          </rPr>
          <t>1  RENTA $300.00</t>
        </r>
      </text>
    </comment>
    <comment ref="C42" authorId="0" shapeId="0" xr:uid="{00000000-0006-0000-0B00-000033000000}">
      <text>
        <r>
          <rPr>
            <b/>
            <sz val="9"/>
            <color indexed="81"/>
            <rFont val="Tahoma"/>
            <family val="2"/>
          </rPr>
          <t>PC:</t>
        </r>
        <r>
          <rPr>
            <sz val="9"/>
            <color indexed="81"/>
            <rFont val="Tahoma"/>
            <family val="2"/>
          </rPr>
          <t xml:space="preserve">
INICA EL 24-MARZO-2023 
EQUIPO $1,800.00
MENSUALIDAD $250.00 </t>
        </r>
      </text>
    </comment>
    <comment ref="C43" authorId="2" shapeId="0" xr:uid="{00000000-0006-0000-0B00-000034000000}">
      <text>
        <r>
          <rPr>
            <b/>
            <sz val="9"/>
            <color indexed="81"/>
            <rFont val="Tahoma"/>
            <family val="2"/>
          </rPr>
          <t>Usuario de Windows:</t>
        </r>
        <r>
          <rPr>
            <sz val="9"/>
            <color indexed="81"/>
            <rFont val="Tahoma"/>
            <family val="2"/>
          </rPr>
          <t xml:space="preserve">
</t>
        </r>
        <r>
          <rPr>
            <b/>
            <sz val="10"/>
            <color indexed="81"/>
            <rFont val="Tahoma"/>
            <family val="2"/>
          </rPr>
          <t>INSTALACION 26-ABRIL-2022</t>
        </r>
        <r>
          <rPr>
            <sz val="10"/>
            <color indexed="81"/>
            <rFont val="Tahoma"/>
            <family val="2"/>
          </rPr>
          <t xml:space="preserve">
EQUIPO $1,800 + IVA
MENSUALIDAD $250 + IVA </t>
        </r>
      </text>
    </comment>
    <comment ref="C44" authorId="0" shapeId="0" xr:uid="{00000000-0006-0000-0B00-000035000000}">
      <text>
        <r>
          <rPr>
            <b/>
            <sz val="9"/>
            <color indexed="81"/>
            <rFont val="Tahoma"/>
            <family val="2"/>
          </rPr>
          <t>PC:</t>
        </r>
        <r>
          <rPr>
            <sz val="9"/>
            <color indexed="81"/>
            <rFont val="Tahoma"/>
            <family val="2"/>
          </rPr>
          <t xml:space="preserve">
INICIA EL 27-DICIEMBRE-2023
EQUIPO $2,000.00
MENSUALIDAD $250.00
MIGRADO DE ALENY</t>
        </r>
      </text>
    </comment>
    <comment ref="C45" authorId="0" shapeId="0" xr:uid="{00000000-0006-0000-0B00-000036000000}">
      <text>
        <r>
          <rPr>
            <b/>
            <sz val="9"/>
            <color indexed="81"/>
            <rFont val="Tahoma"/>
            <family val="2"/>
          </rPr>
          <t>PC:</t>
        </r>
        <r>
          <rPr>
            <sz val="9"/>
            <color indexed="81"/>
            <rFont val="Tahoma"/>
            <family val="2"/>
          </rPr>
          <t xml:space="preserve">
MIGRACIÓN DE PLAY MOTORS 10-MARZO-2023
EQUIPO $1,950.00
ANUALIDAD $3,000.00</t>
        </r>
      </text>
    </comment>
    <comment ref="C46" authorId="0" shapeId="0" xr:uid="{00000000-0006-0000-0B00-000037000000}">
      <text>
        <r>
          <rPr>
            <b/>
            <sz val="9"/>
            <color indexed="81"/>
            <rFont val="Tahoma"/>
            <family val="2"/>
          </rPr>
          <t>PC:</t>
        </r>
        <r>
          <rPr>
            <sz val="9"/>
            <color indexed="81"/>
            <rFont val="Tahoma"/>
            <family val="2"/>
          </rPr>
          <t xml:space="preserve">
FACTURA 1826 
14-FEB-2023
INSTALACIÓN DE EQUIPO $500.0+IVA=$580.00
MENSUALIDAD (EQUIPOS COMODATO): $289.00+IVA=$335.24</t>
        </r>
      </text>
    </comment>
    <comment ref="C47" authorId="0" shapeId="0" xr:uid="{00000000-0006-0000-0B00-000038000000}">
      <text>
        <r>
          <rPr>
            <b/>
            <sz val="9"/>
            <color indexed="81"/>
            <rFont val="Tahoma"/>
            <family val="2"/>
          </rPr>
          <t>PC:</t>
        </r>
        <r>
          <rPr>
            <sz val="9"/>
            <color indexed="81"/>
            <rFont val="Tahoma"/>
            <family val="2"/>
          </rPr>
          <t xml:space="preserve">
EQUIPO $1,800 / $1,500
ANUALIDAD $3,000
INSTALACION 19-ABRIL-2022
*COBRANZA MAYO´2022*
PAGO $4,500.00
ANUALIDAD $3,000.00</t>
        </r>
      </text>
    </comment>
    <comment ref="C48" authorId="0" shapeId="0" xr:uid="{00000000-0006-0000-0B00-000039000000}">
      <text>
        <r>
          <rPr>
            <b/>
            <sz val="9"/>
            <color indexed="81"/>
            <rFont val="Tahoma"/>
            <family val="2"/>
          </rPr>
          <t>PC:</t>
        </r>
        <r>
          <rPr>
            <sz val="9"/>
            <color indexed="81"/>
            <rFont val="Tahoma"/>
            <family val="2"/>
          </rPr>
          <t xml:space="preserve">
RE-INCORPORACION  10-ENERO-2023 
MENSUALIDAD $280.00
UNIDADES CON ROAMING 
LICIENCIA DE CHOFER $750.00
</t>
        </r>
      </text>
    </comment>
    <comment ref="C49" authorId="0" shapeId="0" xr:uid="{00000000-0006-0000-0B00-00003A000000}">
      <text>
        <r>
          <rPr>
            <b/>
            <sz val="9"/>
            <color indexed="81"/>
            <rFont val="Tahoma"/>
            <family val="2"/>
          </rPr>
          <t>PC:</t>
        </r>
        <r>
          <rPr>
            <sz val="9"/>
            <color indexed="81"/>
            <rFont val="Tahoma"/>
            <family val="2"/>
          </rPr>
          <t xml:space="preserve">
INICIA EL 19-SEP-23
COMODATO 
INSTALACION  $650.00+IVA=$754.00         MENSUALIDAD $289.00+IVA=$335.24</t>
        </r>
      </text>
    </comment>
    <comment ref="C50" authorId="1" shapeId="0" xr:uid="{00000000-0006-0000-0B00-00003B000000}">
      <text>
        <r>
          <rPr>
            <b/>
            <sz val="9"/>
            <color indexed="81"/>
            <rFont val="Tahoma"/>
            <family val="2"/>
          </rPr>
          <t>Luffi:</t>
        </r>
        <r>
          <rPr>
            <sz val="9"/>
            <color indexed="81"/>
            <rFont val="Tahoma"/>
            <family val="2"/>
          </rPr>
          <t xml:space="preserve">
EQUIPO $1,800
MENSUALIDAD $250
INICIA SERVICIO 8-FEB-2022
</t>
        </r>
        <r>
          <rPr>
            <b/>
            <sz val="9"/>
            <color indexed="81"/>
            <rFont val="Tahoma"/>
            <family val="2"/>
          </rPr>
          <t>*SE AGREGA A COBRANZA MARZO´2022*</t>
        </r>
      </text>
    </comment>
    <comment ref="C51" authorId="0" shapeId="0" xr:uid="{00000000-0006-0000-0B00-00003C000000}">
      <text>
        <r>
          <rPr>
            <b/>
            <sz val="9"/>
            <color indexed="81"/>
            <rFont val="Tahoma"/>
            <family val="2"/>
          </rPr>
          <t>PC:</t>
        </r>
        <r>
          <rPr>
            <sz val="9"/>
            <color indexed="81"/>
            <rFont val="Tahoma"/>
            <family val="2"/>
          </rPr>
          <t xml:space="preserve">
INICIA EL 14-ABRIL-2023 
EQUIPO E INSTALACION $1,999.00+IVA=$2,318.84
MENSUALIDAD $300.00+IVA=$348.00</t>
        </r>
      </text>
    </comment>
    <comment ref="C52" authorId="0" shapeId="0" xr:uid="{00000000-0006-0000-0B00-00003D000000}">
      <text>
        <r>
          <rPr>
            <b/>
            <sz val="9"/>
            <color indexed="81"/>
            <rFont val="Tahoma"/>
            <family val="2"/>
          </rPr>
          <t>PC:</t>
        </r>
        <r>
          <rPr>
            <sz val="9"/>
            <color indexed="81"/>
            <rFont val="Tahoma"/>
            <family val="2"/>
          </rPr>
          <t xml:space="preserve">
INGRESA EL 27-FEBRERO-2024
EQUIPO $2,800.00
MESNUALIDAD $280.00</t>
        </r>
      </text>
    </comment>
    <comment ref="C54" authorId="1" shapeId="0" xr:uid="{00000000-0006-0000-0B00-00003E000000}">
      <text>
        <r>
          <rPr>
            <b/>
            <sz val="9"/>
            <color indexed="81"/>
            <rFont val="Tahoma"/>
            <family val="2"/>
          </rPr>
          <t>Luffi:</t>
        </r>
        <r>
          <rPr>
            <sz val="9"/>
            <color indexed="81"/>
            <rFont val="Tahoma"/>
            <family val="2"/>
          </rPr>
          <t xml:space="preserve">
</t>
        </r>
        <r>
          <rPr>
            <sz val="10"/>
            <color indexed="81"/>
            <rFont val="Tahoma"/>
            <family val="2"/>
          </rPr>
          <t>RENTA $300.00</t>
        </r>
      </text>
    </comment>
    <comment ref="B55" authorId="0" shapeId="0" xr:uid="{00000000-0006-0000-0B00-00003F000000}">
      <text>
        <r>
          <rPr>
            <b/>
            <sz val="9"/>
            <color indexed="81"/>
            <rFont val="Tahoma"/>
            <family val="2"/>
          </rPr>
          <t>PC:</t>
        </r>
        <r>
          <rPr>
            <sz val="9"/>
            <color indexed="81"/>
            <rFont val="Tahoma"/>
            <family val="2"/>
          </rPr>
          <t xml:space="preserve">
Nombre de la Empresa: VISIÓN MÉDICA INTEGRAL S.A. DE C.V.
RFC. VMI080423R39 CFDI : Comunicaciones Satelitales      Forma de Pago: Transferencia          Teléfono: 818 342 4071 / 811 484 0780
Contacto: Roberto Saucedo
Email: r.saucedo@vmi.com.mx </t>
        </r>
      </text>
    </comment>
    <comment ref="C55" authorId="1" shapeId="0" xr:uid="{00000000-0006-0000-0B00-000040000000}">
      <text>
        <r>
          <rPr>
            <b/>
            <sz val="9"/>
            <color indexed="81"/>
            <rFont val="Tahoma"/>
            <family val="2"/>
          </rPr>
          <t>Luffi:</t>
        </r>
        <r>
          <rPr>
            <sz val="9"/>
            <color indexed="81"/>
            <rFont val="Tahoma"/>
            <family val="2"/>
          </rPr>
          <t xml:space="preserve">
1 RENTA $350.00 + IVA </t>
        </r>
      </text>
    </comment>
    <comment ref="C56" authorId="0" shapeId="0" xr:uid="{00000000-0006-0000-0B00-000041000000}">
      <text>
        <r>
          <rPr>
            <b/>
            <sz val="9"/>
            <color indexed="81"/>
            <rFont val="Tahoma"/>
            <family val="2"/>
          </rPr>
          <t>PC:</t>
        </r>
        <r>
          <rPr>
            <sz val="9"/>
            <color indexed="81"/>
            <rFont val="Tahoma"/>
            <family val="2"/>
          </rPr>
          <t xml:space="preserve">
INICIA EL 19-JUNIO-2023
EQUIPO $1,500.00
MENSUALIDAD $250.00
CAMBIA A ESQUEMA DE ANUALIDAD 04-AGOSTO-2023
RENOVACION EN AGOSTO 2024
ANUALIDAD $2,500.00+IVA=$2,900.00</t>
        </r>
      </text>
    </comment>
    <comment ref="C57" authorId="1" shapeId="0" xr:uid="{00000000-0006-0000-0B00-000042000000}">
      <text>
        <r>
          <rPr>
            <b/>
            <sz val="9"/>
            <color indexed="81"/>
            <rFont val="Tahoma"/>
            <family val="2"/>
          </rPr>
          <t>Luffi:</t>
        </r>
        <r>
          <rPr>
            <sz val="9"/>
            <color indexed="81"/>
            <rFont val="Tahoma"/>
            <family val="2"/>
          </rPr>
          <t xml:space="preserve">
EQUIPO $1,800
MENSUALIDAD $300
INSTALACIONES $1,900.00
INSTALAO EL 31-AGOSTO-2021</t>
        </r>
      </text>
    </comment>
    <comment ref="C58" authorId="0" shapeId="0" xr:uid="{00000000-0006-0000-0B00-000043000000}">
      <text>
        <r>
          <rPr>
            <b/>
            <sz val="9"/>
            <color indexed="81"/>
            <rFont val="Tahoma"/>
            <family val="2"/>
          </rPr>
          <t>PC:</t>
        </r>
        <r>
          <rPr>
            <sz val="9"/>
            <color indexed="81"/>
            <rFont val="Tahoma"/>
            <family val="2"/>
          </rPr>
          <t xml:space="preserve">
INGRESA E INSTALA EL 08-AGOSTO-2024
ESQUEMA MENSUAL CON MICROFONO
EQUIPO $1,800.00
MENSUALIDAD $250.00</t>
        </r>
      </text>
    </comment>
    <comment ref="B59" authorId="0" shapeId="0" xr:uid="{00000000-0006-0000-0B00-000044000000}">
      <text>
        <r>
          <rPr>
            <b/>
            <sz val="9"/>
            <color indexed="81"/>
            <rFont val="Tahoma"/>
            <family val="2"/>
          </rPr>
          <t>PC:</t>
        </r>
        <r>
          <rPr>
            <sz val="9"/>
            <color indexed="81"/>
            <rFont val="Tahoma"/>
            <family val="2"/>
          </rPr>
          <t xml:space="preserve">
Nombre de la Empresa: ROMAN GARZA GONZALEZ
RFC. GAGR9207227X4 CFDI: Gastos en general
Contacto: Román Garza González  Teléfono: 824 102 3441
Email:  r1_express@hotmail.com </t>
        </r>
      </text>
    </comment>
    <comment ref="C59" authorId="1" shapeId="0" xr:uid="{00000000-0006-0000-0B00-000045000000}">
      <text>
        <r>
          <rPr>
            <b/>
            <sz val="9"/>
            <color indexed="81"/>
            <rFont val="Tahoma"/>
            <family val="2"/>
          </rPr>
          <t>Luffi:</t>
        </r>
        <r>
          <rPr>
            <sz val="9"/>
            <color indexed="81"/>
            <rFont val="Tahoma"/>
            <family val="2"/>
          </rPr>
          <t xml:space="preserve">
VENTA $1,900 + IVA $2,204.00
RENTA $300 + IVA $348.00</t>
        </r>
      </text>
    </comment>
    <comment ref="B60" authorId="0" shapeId="0" xr:uid="{00000000-0006-0000-0B00-000046000000}">
      <text>
        <r>
          <rPr>
            <b/>
            <sz val="9"/>
            <color indexed="81"/>
            <rFont val="Tahoma"/>
            <family val="2"/>
          </rPr>
          <t>PC:</t>
        </r>
        <r>
          <rPr>
            <sz val="9"/>
            <color indexed="81"/>
            <rFont val="Tahoma"/>
            <family val="2"/>
          </rPr>
          <t xml:space="preserve">
Nombre de la Empresa: DESARROLO DE SISTEMAS DE COMERCIO EXTERIOR S.A. DE C.V.
RFC. DSC0006298H5 CFDI: Comunicaciones satelitales                                                             Forma de Pago: Transferencia         Teléfono: 811 905 9806 / 81 8100 9114
Contacto: Cinthya San Miguel / Ana Laura Severiano 
Email: tesoreria@gazole.com.mx; ccastro@gazole.com.mx ;a.severiano@gazole.com.mx; </t>
        </r>
      </text>
    </comment>
    <comment ref="C60" authorId="1" shapeId="0" xr:uid="{00000000-0006-0000-0B00-000047000000}">
      <text>
        <r>
          <rPr>
            <b/>
            <sz val="9"/>
            <color indexed="81"/>
            <rFont val="Tahoma"/>
            <family val="2"/>
          </rPr>
          <t>Luffi:</t>
        </r>
        <r>
          <rPr>
            <sz val="9"/>
            <color indexed="81"/>
            <rFont val="Tahoma"/>
            <family val="2"/>
          </rPr>
          <t xml:space="preserve">
ESQUEMA COMODATO 
TOTAL 42 UNIDADES
TRACTOCAMIONES  15
REMOLQUES           27
INSTALADAS 27 UNIDADES 
Mensualidad $339.00 + IVA 
TOTAL $393.24 X UNIDAD
</t>
        </r>
        <r>
          <rPr>
            <b/>
            <sz val="9"/>
            <color indexed="81"/>
            <rFont val="Tahoma"/>
            <family val="2"/>
          </rPr>
          <t>BAJA PROVISIONAL 10 UNIDADES 
POR RENOVASION
Tractos: 147, 813, 826 y 822
Tanques: 19-2, 30-1, 22-2, 31-1, 22-1 y 19-1
NO SE DES-INSTALAN SOLO SE DAN DE BAJA DE CUENTA (EQUIPOS EN RESGUARDO DE CLIENTE)</t>
        </r>
      </text>
    </comment>
    <comment ref="C61" authorId="0" shapeId="0" xr:uid="{00000000-0006-0000-0B00-000048000000}">
      <text>
        <r>
          <rPr>
            <b/>
            <sz val="9"/>
            <color indexed="81"/>
            <rFont val="Tahoma"/>
            <family val="2"/>
          </rPr>
          <t>PC:</t>
        </r>
        <r>
          <rPr>
            <sz val="9"/>
            <color indexed="81"/>
            <rFont val="Tahoma"/>
            <family val="2"/>
          </rPr>
          <t xml:space="preserve">
INGRESA EL 05-JULIO-2024
EQUIPO $1,800.00
RENTA $250.00</t>
        </r>
      </text>
    </comment>
    <comment ref="E61" authorId="0" shapeId="0" xr:uid="{00000000-0006-0000-0B00-000049000000}">
      <text>
        <r>
          <rPr>
            <b/>
            <sz val="9"/>
            <color indexed="81"/>
            <rFont val="Tahoma"/>
            <family val="2"/>
          </rPr>
          <t>PC:</t>
        </r>
        <r>
          <rPr>
            <sz val="9"/>
            <color indexed="81"/>
            <rFont val="Tahoma"/>
            <family val="2"/>
          </rPr>
          <t xml:space="preserve">
REINGRESA EL 24-SEPTIEMBRE-2024
</t>
        </r>
      </text>
    </comment>
    <comment ref="C62" authorId="0" shapeId="0" xr:uid="{00000000-0006-0000-0B00-00004A000000}">
      <text>
        <r>
          <rPr>
            <b/>
            <sz val="9"/>
            <color indexed="81"/>
            <rFont val="Tahoma"/>
            <family val="2"/>
          </rPr>
          <t>PC:</t>
        </r>
        <r>
          <rPr>
            <sz val="9"/>
            <color indexed="81"/>
            <rFont val="Tahoma"/>
            <family val="2"/>
          </rPr>
          <t xml:space="preserve">
INGRESA EL 27-FEBRERO-2024
EQUIPO $2,800.00
MENSUALIDAD $280.00</t>
        </r>
      </text>
    </comment>
    <comment ref="C63" authorId="0" shapeId="0" xr:uid="{00000000-0006-0000-0B00-00004B000000}">
      <text>
        <r>
          <rPr>
            <b/>
            <sz val="9"/>
            <color indexed="81"/>
            <rFont val="Tahoma"/>
            <family val="2"/>
          </rPr>
          <t>PC:</t>
        </r>
        <r>
          <rPr>
            <sz val="9"/>
            <color indexed="81"/>
            <rFont val="Tahoma"/>
            <family val="2"/>
          </rPr>
          <t xml:space="preserve">
2DA REINCORPORACION 
15-JUNIO-2024
RE-INCORPORACION  10-ENERO-2023 
MENSUALIDAD $280.00
UNIDADES CON ROAMING 
LICIENCIA DE CHOFER $750.00
</t>
        </r>
      </text>
    </comment>
    <comment ref="C64" authorId="0" shapeId="0" xr:uid="{00000000-0006-0000-0B00-00004C000000}">
      <text>
        <r>
          <rPr>
            <b/>
            <sz val="9"/>
            <color indexed="81"/>
            <rFont val="Tahoma"/>
            <family val="2"/>
          </rPr>
          <t>PC:</t>
        </r>
        <r>
          <rPr>
            <sz val="9"/>
            <color indexed="81"/>
            <rFont val="Tahoma"/>
            <family val="2"/>
          </rPr>
          <t xml:space="preserve">
INGRESA EL 03-MAYO-2024
EQUIPO $1,200.00
MENSUALIDAD $250.00
INSTALACION CON MICROFONO</t>
        </r>
      </text>
    </comment>
    <comment ref="C65" authorId="0" shapeId="0" xr:uid="{00000000-0006-0000-0B00-00004D000000}">
      <text>
        <r>
          <rPr>
            <b/>
            <sz val="9"/>
            <color indexed="81"/>
            <rFont val="Tahoma"/>
            <family val="2"/>
          </rPr>
          <t>PC:</t>
        </r>
        <r>
          <rPr>
            <sz val="9"/>
            <color indexed="81"/>
            <rFont val="Tahoma"/>
            <family val="2"/>
          </rPr>
          <t xml:space="preserve">
INGRESA EL 31-MAYO-2024
EQUIPO TRACTO $2,250.00+IVA
EQUIPO PORTATIL CON BATERIA DE LARGA DURACION $3,600.00+IVA
MENSUALIDAD $250.0+IVA
</t>
        </r>
      </text>
    </comment>
    <comment ref="C66" authorId="0" shapeId="0" xr:uid="{00000000-0006-0000-0B00-00004E000000}">
      <text>
        <r>
          <rPr>
            <b/>
            <sz val="9"/>
            <color indexed="81"/>
            <rFont val="Tahoma"/>
            <family val="2"/>
          </rPr>
          <t>PC:</t>
        </r>
        <r>
          <rPr>
            <sz val="9"/>
            <color indexed="81"/>
            <rFont val="Tahoma"/>
            <family val="2"/>
          </rPr>
          <t xml:space="preserve">
INICIA EL 27-FEBRERO-2023
EQUIPO $1,000.00
MENSUALIDAD $300.00 
1 UNIDAD HILUX GRIS
 </t>
        </r>
      </text>
    </comment>
    <comment ref="C67" authorId="1" shapeId="0" xr:uid="{00000000-0006-0000-0B00-00004F000000}">
      <text>
        <r>
          <rPr>
            <b/>
            <sz val="9"/>
            <color indexed="81"/>
            <rFont val="Tahoma"/>
            <family val="2"/>
          </rPr>
          <t>Luffi:
INICIO DE SERVICIO 7-ABR-2021</t>
        </r>
        <r>
          <rPr>
            <sz val="9"/>
            <color indexed="81"/>
            <rFont val="Tahoma"/>
            <family val="2"/>
          </rPr>
          <t xml:space="preserve">
INSTALACION 7-ABRIL-2021
EQUIPO $1,724
MENSUALIDAD $150</t>
        </r>
      </text>
    </comment>
    <comment ref="C68" authorId="0" shapeId="0" xr:uid="{00000000-0006-0000-0B00-000050000000}">
      <text>
        <r>
          <rPr>
            <b/>
            <sz val="9"/>
            <color indexed="81"/>
            <rFont val="Tahoma"/>
            <family val="2"/>
          </rPr>
          <t>PC:</t>
        </r>
        <r>
          <rPr>
            <sz val="9"/>
            <color indexed="81"/>
            <rFont val="Tahoma"/>
            <family val="2"/>
          </rPr>
          <t xml:space="preserve">
INGRESA EL 25 DE OCTUBRE 2022 
MENSUALIDAD $300.00
EQUIPO $2,300.00
COBRANZA NOV SE COBRA PROPORCIONALIDAD MENSUAL 
</t>
        </r>
      </text>
    </comment>
    <comment ref="C69" authorId="1" shapeId="0" xr:uid="{00000000-0006-0000-0B00-000051000000}">
      <text>
        <r>
          <rPr>
            <b/>
            <sz val="9"/>
            <color indexed="81"/>
            <rFont val="Tahoma"/>
            <family val="2"/>
          </rPr>
          <t>Luffi:</t>
        </r>
        <r>
          <rPr>
            <sz val="9"/>
            <color indexed="81"/>
            <rFont val="Tahoma"/>
            <family val="2"/>
          </rPr>
          <t xml:space="preserve">
</t>
        </r>
        <r>
          <rPr>
            <sz val="10"/>
            <color indexed="81"/>
            <rFont val="Tahoma"/>
            <family val="2"/>
          </rPr>
          <t>MENSUALIDAD $100.00
PLATAFORMA WOX RASTREO
INICIA 3 INSTALACIONES SEP´2020 
RE-INSTALACION$650.00</t>
        </r>
      </text>
    </comment>
    <comment ref="C70" authorId="0" shapeId="0" xr:uid="{00000000-0006-0000-0B00-000052000000}">
      <text>
        <r>
          <rPr>
            <b/>
            <sz val="9"/>
            <color indexed="81"/>
            <rFont val="Tahoma"/>
            <family val="2"/>
          </rPr>
          <t>PC:</t>
        </r>
        <r>
          <rPr>
            <sz val="9"/>
            <color indexed="81"/>
            <rFont val="Tahoma"/>
            <family val="2"/>
          </rPr>
          <t xml:space="preserve">
INICA EL 15-JUNIO-2024
EQUIPO $2,800.00
MENSUALIDAD $300.00</t>
        </r>
      </text>
    </comment>
    <comment ref="C71" authorId="0" shapeId="0" xr:uid="{00000000-0006-0000-0B00-000053000000}">
      <text>
        <r>
          <rPr>
            <b/>
            <sz val="9"/>
            <color indexed="81"/>
            <rFont val="Tahoma"/>
            <family val="2"/>
          </rPr>
          <t>PC:</t>
        </r>
        <r>
          <rPr>
            <sz val="9"/>
            <color indexed="81"/>
            <rFont val="Tahoma"/>
            <family val="2"/>
          </rPr>
          <t xml:space="preserve">
CUENTA SEPARADA DE DEX MATERIALES 06-SEPTIEMBRE-2024
PAGO TRIMESTRAL 
MENSUALIDAD $300.00+IVA 
3 MESES $900.00+IVA
1 Equipo $2,500 + IVA $2,900 
1 MESES $250 + IVA $290
ANUALIDAD $3,000 + IVA C/U
RE-INSTALAICION $650  + IVA $754
MENSUALIDAD $300.00+IVA
SUBTOTAL $3,400.00
IVA           $   736.00
TOTAL      $3,944.00
AGREGA 1 UNIDAD 19 ABRIL´2022
UNIDAD VW Delivery blanco PZ-7700-A
EQUIPO $2,500 + IVA
PROPORCIONAL ANUALIDAD $1,250 + IVA</t>
        </r>
      </text>
    </comment>
    <comment ref="C72" authorId="0" shapeId="0" xr:uid="{00000000-0006-0000-0B00-000054000000}">
      <text>
        <r>
          <rPr>
            <b/>
            <sz val="9"/>
            <color indexed="81"/>
            <rFont val="Tahoma"/>
            <family val="2"/>
          </rPr>
          <t>PC:</t>
        </r>
        <r>
          <rPr>
            <sz val="9"/>
            <color indexed="81"/>
            <rFont val="Tahoma"/>
            <family val="2"/>
          </rPr>
          <t xml:space="preserve">
INGRESA E INCIA EL 04-JULIO-2023
EQUIPO $1,850.00+IVA
MENSUALIDAD $250.00+IVA</t>
        </r>
      </text>
    </comment>
    <comment ref="C73" authorId="0" shapeId="0" xr:uid="{00000000-0006-0000-0B00-000055000000}">
      <text>
        <r>
          <rPr>
            <b/>
            <sz val="9"/>
            <color indexed="81"/>
            <rFont val="Tahoma"/>
            <family val="2"/>
          </rPr>
          <t>PC:</t>
        </r>
        <r>
          <rPr>
            <sz val="9"/>
            <color indexed="81"/>
            <rFont val="Tahoma"/>
            <family val="2"/>
          </rPr>
          <t xml:space="preserve">
CLIENTE MIGRADO DEL SR. JUAN JAVIER CABRIALES AL SR. JONATHAN ARTURO ARANDA EL 19-JULIO-2024 
EQUIPO $1,850.00+IVA
MIGRACIÓN $550.00+IVA
MENSUALIDAD $300.00+IVA
UNIDAD MIGRADA: DODGE RAM 4000 59AK6H</t>
        </r>
      </text>
    </comment>
    <comment ref="C74" authorId="0" shapeId="0" xr:uid="{00000000-0006-0000-0B00-000056000000}">
      <text>
        <r>
          <rPr>
            <b/>
            <sz val="9"/>
            <color indexed="81"/>
            <rFont val="Tahoma"/>
            <family val="2"/>
          </rPr>
          <t>PC:</t>
        </r>
        <r>
          <rPr>
            <sz val="9"/>
            <color indexed="81"/>
            <rFont val="Tahoma"/>
            <family val="2"/>
          </rPr>
          <t xml:space="preserve">
CONTACTO DE BDB 
SE AGREGA A LA COBRANZA EL 14-JUNIO-2024
EQUIPO $1,850.00
MENSUALIDAD $250.00</t>
        </r>
      </text>
    </comment>
    <comment ref="C75" authorId="0" shapeId="0" xr:uid="{00000000-0006-0000-0B00-000057000000}">
      <text>
        <r>
          <rPr>
            <b/>
            <sz val="9"/>
            <color indexed="81"/>
            <rFont val="Tahoma"/>
            <family val="2"/>
          </rPr>
          <t>PC:</t>
        </r>
        <r>
          <rPr>
            <sz val="9"/>
            <color indexed="81"/>
            <rFont val="Tahoma"/>
            <family val="2"/>
          </rPr>
          <t xml:space="preserve">
INGRESA EL 11-OCTUBRE-2024
COMODATO
INSTALACIÓN $549.00+IVA
MENSUALIDAD $300.00+IVA</t>
        </r>
      </text>
    </comment>
    <comment ref="C76" authorId="0" shapeId="0" xr:uid="{00000000-0006-0000-0B00-000058000000}">
      <text>
        <r>
          <rPr>
            <b/>
            <sz val="9"/>
            <color indexed="81"/>
            <rFont val="Tahoma"/>
            <family val="2"/>
          </rPr>
          <t>PC:</t>
        </r>
        <r>
          <rPr>
            <sz val="9"/>
            <color indexed="81"/>
            <rFont val="Tahoma"/>
            <family val="2"/>
          </rPr>
          <t xml:space="preserve">
INICIA EL 18-ENERO-2024.EQUIPO $2,200.00
MENSUALIDAD $300.00
CANAL DE VOZ $50.00</t>
        </r>
      </text>
    </comment>
    <comment ref="B77" authorId="1" shapeId="0" xr:uid="{00000000-0006-0000-0B00-000059000000}">
      <text>
        <r>
          <rPr>
            <b/>
            <sz val="9"/>
            <color indexed="81"/>
            <rFont val="Tahoma"/>
            <family val="2"/>
          </rPr>
          <t>Luffi:</t>
        </r>
        <r>
          <rPr>
            <sz val="9"/>
            <color indexed="81"/>
            <rFont val="Tahoma"/>
            <family val="2"/>
          </rPr>
          <t xml:space="preserve">
Srta. Fernanda 444-257-8489</t>
        </r>
      </text>
    </comment>
    <comment ref="C77" authorId="1" shapeId="0" xr:uid="{00000000-0006-0000-0B00-00005A000000}">
      <text>
        <r>
          <rPr>
            <b/>
            <sz val="9"/>
            <color indexed="81"/>
            <rFont val="Tahoma"/>
            <family val="2"/>
          </rPr>
          <t xml:space="preserve">Luffi:
AJUSTE SOBRE RENTA JUNIO´2021
DE $450.00 A $390.00
</t>
        </r>
        <r>
          <rPr>
            <sz val="9"/>
            <color indexed="81"/>
            <rFont val="Tahoma"/>
            <family val="2"/>
          </rPr>
          <t xml:space="preserve">
22 </t>
        </r>
        <r>
          <rPr>
            <sz val="10"/>
            <color indexed="81"/>
            <rFont val="Tahoma"/>
            <family val="2"/>
          </rPr>
          <t xml:space="preserve"> RENTA $450.00</t>
        </r>
      </text>
    </comment>
    <comment ref="C78" authorId="0" shapeId="0" xr:uid="{00000000-0006-0000-0B00-00005B000000}">
      <text>
        <r>
          <rPr>
            <b/>
            <sz val="9"/>
            <color indexed="81"/>
            <rFont val="Tahoma"/>
            <family val="2"/>
          </rPr>
          <t>PC:</t>
        </r>
        <r>
          <rPr>
            <sz val="9"/>
            <color indexed="81"/>
            <rFont val="Tahoma"/>
            <family val="2"/>
          </rPr>
          <t xml:space="preserve">
INSTALACION 29-OCT-2020
ANUALIDAD $3,000.00
EQUIPO $1,600.00
ANUALIDAD
$3,000.00</t>
        </r>
      </text>
    </comment>
    <comment ref="C79" authorId="0" shapeId="0" xr:uid="{00000000-0006-0000-0B00-00005C000000}">
      <text>
        <r>
          <rPr>
            <b/>
            <sz val="9"/>
            <color indexed="81"/>
            <rFont val="Tahoma"/>
            <family val="2"/>
          </rPr>
          <t>PC:</t>
        </r>
        <r>
          <rPr>
            <sz val="9"/>
            <color indexed="81"/>
            <rFont val="Tahoma"/>
            <family val="2"/>
          </rPr>
          <t xml:space="preserve">
INGRESA EL 20-AGOSTO-2024
EQUIPO $1,850.00+IVA
MENSUALIDAD $300.00+IVA</t>
        </r>
      </text>
    </comment>
    <comment ref="C80" authorId="1" shapeId="0" xr:uid="{00000000-0006-0000-0B00-00005D000000}">
      <text>
        <r>
          <rPr>
            <b/>
            <sz val="9"/>
            <color indexed="81"/>
            <rFont val="Tahoma"/>
            <family val="2"/>
          </rPr>
          <t>Luffi:</t>
        </r>
        <r>
          <rPr>
            <sz val="9"/>
            <color indexed="81"/>
            <rFont val="Tahoma"/>
            <family val="2"/>
          </rPr>
          <t xml:space="preserve">
</t>
        </r>
        <r>
          <rPr>
            <sz val="10"/>
            <color indexed="81"/>
            <rFont val="Tahoma"/>
            <family val="2"/>
          </rPr>
          <t xml:space="preserve">EQUIPO $1,850 + IVA
RENTA $299 + IVA
</t>
        </r>
        <r>
          <rPr>
            <b/>
            <sz val="10"/>
            <color indexed="81"/>
            <rFont val="Tahoma"/>
            <family val="2"/>
          </rPr>
          <t>INSTALACIÓN SABADO 
13-FEB-2021</t>
        </r>
      </text>
    </comment>
    <comment ref="C81" authorId="0" shapeId="0" xr:uid="{00000000-0006-0000-0B00-00005E000000}">
      <text>
        <r>
          <rPr>
            <b/>
            <sz val="9"/>
            <color indexed="81"/>
            <rFont val="Tahoma"/>
            <family val="2"/>
          </rPr>
          <t>PC:</t>
        </r>
        <r>
          <rPr>
            <sz val="9"/>
            <color indexed="81"/>
            <rFont val="Tahoma"/>
            <family val="2"/>
          </rPr>
          <t xml:space="preserve">
INICA EL 12-JUNIO-2023
INSTALACION $650.00
MENSUALIDAD $300.00
INST. PDTES.
</t>
        </r>
      </text>
    </comment>
    <comment ref="C82" authorId="0" shapeId="0" xr:uid="{00000000-0006-0000-0B00-00005F000000}">
      <text>
        <r>
          <rPr>
            <b/>
            <sz val="9"/>
            <color indexed="81"/>
            <rFont val="Tahoma"/>
            <family val="2"/>
          </rPr>
          <t>PC:</t>
        </r>
        <r>
          <rPr>
            <sz val="9"/>
            <color indexed="81"/>
            <rFont val="Tahoma"/>
            <family val="2"/>
          </rPr>
          <t xml:space="preserve">
INGRESA EL 05-JULIO-2024
BAJA 05-SEPTIEMBRE-2024
RE-INGRESO 24-SEPTIEMBRE-2024
EQUIPO $1,800.00
RENTA $250.00</t>
        </r>
      </text>
    </comment>
    <comment ref="E82" authorId="0" shapeId="0" xr:uid="{00000000-0006-0000-0B00-000060000000}">
      <text>
        <r>
          <rPr>
            <b/>
            <sz val="9"/>
            <color indexed="81"/>
            <rFont val="Tahoma"/>
            <family val="2"/>
          </rPr>
          <t>PC:</t>
        </r>
        <r>
          <rPr>
            <sz val="9"/>
            <color indexed="81"/>
            <rFont val="Tahoma"/>
            <family val="2"/>
          </rPr>
          <t xml:space="preserve">
RE-INGRESA EL 10-ABRIL-2025</t>
        </r>
      </text>
    </comment>
    <comment ref="H82" authorId="0" shapeId="0" xr:uid="{00000000-0006-0000-0B00-000061000000}">
      <text>
        <r>
          <rPr>
            <b/>
            <sz val="9"/>
            <color indexed="81"/>
            <rFont val="Tahoma"/>
            <family val="2"/>
          </rPr>
          <t>PC:</t>
        </r>
        <r>
          <rPr>
            <sz val="9"/>
            <color indexed="81"/>
            <rFont val="Tahoma"/>
            <family val="2"/>
          </rPr>
          <t xml:space="preserve">
DICIEMBRE 2024 Y ENERO 2025</t>
        </r>
      </text>
    </comment>
    <comment ref="C83" authorId="0" shapeId="0" xr:uid="{00000000-0006-0000-0B00-000062000000}">
      <text>
        <r>
          <rPr>
            <b/>
            <sz val="9"/>
            <color indexed="81"/>
            <rFont val="Tahoma"/>
            <family val="2"/>
          </rPr>
          <t>PC:</t>
        </r>
        <r>
          <rPr>
            <sz val="9"/>
            <color indexed="81"/>
            <rFont val="Tahoma"/>
            <family val="2"/>
          </rPr>
          <t xml:space="preserve">
INGRESA EL 05-NOVIEMBRE-2024
EQUIPO $1,850.00+IVA
MENSUALIDAD $300.00+IVA</t>
        </r>
      </text>
    </comment>
    <comment ref="C84" authorId="0" shapeId="0" xr:uid="{00000000-0006-0000-0B00-000063000000}">
      <text>
        <r>
          <rPr>
            <b/>
            <sz val="9"/>
            <color indexed="81"/>
            <rFont val="Tahoma"/>
            <family val="2"/>
          </rPr>
          <t>PC:</t>
        </r>
        <r>
          <rPr>
            <sz val="9"/>
            <color indexed="81"/>
            <rFont val="Tahoma"/>
            <family val="2"/>
          </rPr>
          <t xml:space="preserve">
INGRESA EL 31-ENERO-2024
EQUIPOS SE FACTURA $3,000.00+IVA
MENSUALIDAD REMISIONADA $300.00 SIN IVA </t>
        </r>
      </text>
    </comment>
    <comment ref="C85" authorId="0" shapeId="0" xr:uid="{00000000-0006-0000-0B00-000064000000}">
      <text>
        <r>
          <rPr>
            <b/>
            <sz val="9"/>
            <color indexed="81"/>
            <rFont val="Tahoma"/>
            <family val="2"/>
          </rPr>
          <t>PC:</t>
        </r>
        <r>
          <rPr>
            <sz val="9"/>
            <color indexed="81"/>
            <rFont val="Tahoma"/>
            <family val="2"/>
          </rPr>
          <t xml:space="preserve">
INGRESA EL 25-NOVIEMBRE-2024
MIGRACION $650.00
MENSUALIDAD $300.00</t>
        </r>
      </text>
    </comment>
    <comment ref="C86" authorId="1" shapeId="0" xr:uid="{00000000-0006-0000-0B00-000065000000}">
      <text>
        <r>
          <rPr>
            <b/>
            <sz val="9"/>
            <color indexed="81"/>
            <rFont val="Tahoma"/>
            <family val="2"/>
          </rPr>
          <t>Luffi:</t>
        </r>
        <r>
          <rPr>
            <sz val="9"/>
            <color indexed="81"/>
            <rFont val="Tahoma"/>
            <family val="2"/>
          </rPr>
          <t xml:space="preserve">
EQUIPO $2,000.00
RENTA $270.00
SENSOR DE COMBUSTUBLE $5,600.00+IVA
MENSUALIDAD CON SENSOR DE COMBUSTIBLE $320.00+IVA
INSTALACION 25-NOV-2021
</t>
        </r>
        <r>
          <rPr>
            <b/>
            <sz val="9"/>
            <color indexed="81"/>
            <rFont val="Tahoma"/>
            <family val="2"/>
          </rPr>
          <t>*SE EMPIEZA A COBRA MENSUALIDAD EN ENERO´2022*</t>
        </r>
      </text>
    </comment>
    <comment ref="C87" authorId="0" shapeId="0" xr:uid="{00000000-0006-0000-0B00-000066000000}">
      <text>
        <r>
          <rPr>
            <b/>
            <sz val="9"/>
            <color indexed="81"/>
            <rFont val="Tahoma"/>
            <family val="2"/>
          </rPr>
          <t>PC:</t>
        </r>
        <r>
          <rPr>
            <sz val="9"/>
            <color indexed="81"/>
            <rFont val="Tahoma"/>
            <family val="2"/>
          </rPr>
          <t xml:space="preserve">
INICIA EL 18-OCTUBRE-2023
EQUIPO $2,100.00
MENSUALIDAD $300.00</t>
        </r>
      </text>
    </comment>
    <comment ref="C88" authorId="0" shapeId="0" xr:uid="{00000000-0006-0000-0B00-000067000000}">
      <text>
        <r>
          <rPr>
            <b/>
            <sz val="9"/>
            <color indexed="81"/>
            <rFont val="Tahoma"/>
            <family val="2"/>
          </rPr>
          <t>PC:</t>
        </r>
        <r>
          <rPr>
            <sz val="9"/>
            <color indexed="81"/>
            <rFont val="Tahoma"/>
            <family val="2"/>
          </rPr>
          <t xml:space="preserve">
INGRESA EL 31-MAYO-2024
REACTIVACION DE CUENTA 10-FEBRERO-2025 
EQUIPO TRACTO $2,250.00+IVA
EQUIPO PORTATIL CON BATERIA DE LARGA DURACION $3,600.00+IVA
MENSUALIDAD $250.0+IVA
</t>
        </r>
      </text>
    </comment>
    <comment ref="C89" authorId="0" shapeId="0" xr:uid="{00000000-0006-0000-0B00-000068000000}">
      <text>
        <r>
          <rPr>
            <b/>
            <sz val="9"/>
            <color indexed="81"/>
            <rFont val="Tahoma"/>
            <family val="2"/>
          </rPr>
          <t>PC:</t>
        </r>
        <r>
          <rPr>
            <sz val="9"/>
            <color indexed="81"/>
            <rFont val="Tahoma"/>
            <family val="2"/>
          </rPr>
          <t xml:space="preserve">
ALTA 14-MARZO-2025
EQUIPO $1,700.00+IVA
MENSUALIDAD $300.00+IVA</t>
        </r>
      </text>
    </comment>
    <comment ref="C90" authorId="0" shapeId="0" xr:uid="{00000000-0006-0000-0B00-000069000000}">
      <text>
        <r>
          <rPr>
            <b/>
            <sz val="9"/>
            <color indexed="81"/>
            <rFont val="Tahoma"/>
            <family val="2"/>
          </rPr>
          <t>PC:</t>
        </r>
        <r>
          <rPr>
            <sz val="9"/>
            <color indexed="81"/>
            <rFont val="Tahoma"/>
            <family val="2"/>
          </rPr>
          <t xml:space="preserve">
MIGRACIÓN 07-FEBRERO-2025  DEL SR. GUILLERMO REHLAENDER 
 MENSUALIDAD $300.00 
MIGRACIÓN CLIENTE DE ANUALIDAD 
JAIR MARTINEZ LE VENDIO LA UNIDAD
EL SR. GUILLERMO REHLAENDER SE QUEDO CON EL SERVICIO EN FORMA MENSUAL 
MENSUALIDAD $280.00+IVA
ANUALIDAD $3,000.00+IVA
Baja Cta. Jair Martinez (Migracion de Play Motors)
Correo jairmartinez208@gmail.com
Contacto 8135611076
Esquema - Migracion Venta de equipo con Anualidad 
Equipo $1,950
Anualidad $3,600 (Bonificacion $600) - Neto $3,000 
Total $ 5,742</t>
        </r>
      </text>
    </comment>
    <comment ref="C91" authorId="0" shapeId="0" xr:uid="{00000000-0006-0000-0B00-00006A000000}">
      <text>
        <r>
          <rPr>
            <b/>
            <sz val="9"/>
            <color indexed="81"/>
            <rFont val="Tahoma"/>
            <family val="2"/>
          </rPr>
          <t>PC:</t>
        </r>
        <r>
          <rPr>
            <sz val="9"/>
            <color indexed="81"/>
            <rFont val="Tahoma"/>
            <family val="2"/>
          </rPr>
          <t xml:space="preserve">
INGRESA EL 11-JUNIO-2024
PRIMO DE JOSE LUIS 
$250.00</t>
        </r>
      </text>
    </comment>
    <comment ref="C92" authorId="0" shapeId="0" xr:uid="{00000000-0006-0000-0B00-00006B000000}">
      <text>
        <r>
          <rPr>
            <b/>
            <sz val="9"/>
            <color indexed="81"/>
            <rFont val="Tahoma"/>
            <family val="2"/>
          </rPr>
          <t>PC:</t>
        </r>
        <r>
          <rPr>
            <sz val="9"/>
            <color indexed="81"/>
            <rFont val="Tahoma"/>
            <family val="2"/>
          </rPr>
          <t xml:space="preserve">
INGRESO 12-JUNIO-2023 PDTES. INST. 
MIGRACION DE LINEA $450.00+IVA
MENSUALIDAD $249.00+IVA
EQUIPO $1,999.00+IVA
NOTA: A 1 INSTALACION SE LE REBAJO EL COSTO DE MIGRACION EN EL EQUIPO, PORQUE ELLOS PENSABAN QUE SI TENIA, FUERON A REVISAR Y LA UNIDAD NO CONTABA CON GPS </t>
        </r>
      </text>
    </comment>
  </commentList>
</comments>
</file>

<file path=xl/sharedStrings.xml><?xml version="1.0" encoding="utf-8"?>
<sst xmlns="http://schemas.openxmlformats.org/spreadsheetml/2006/main" count="14556" uniqueCount="3060">
  <si>
    <t xml:space="preserve">Total Recuperado </t>
  </si>
  <si>
    <t>Por Recuperar</t>
  </si>
  <si>
    <t xml:space="preserve">NO. </t>
  </si>
  <si>
    <t xml:space="preserve">CLIENTE </t>
  </si>
  <si>
    <t xml:space="preserve">DATOS FISCALES </t>
  </si>
  <si>
    <t xml:space="preserve">CONTACTO </t>
  </si>
  <si>
    <t>UNI</t>
  </si>
  <si>
    <t>VENTA</t>
  </si>
  <si>
    <t>SERV. 
EXTRAS</t>
  </si>
  <si>
    <t>DES %</t>
  </si>
  <si>
    <t>SALDOS PENDIENTES</t>
  </si>
  <si>
    <t>COMENTARIOS</t>
  </si>
  <si>
    <t xml:space="preserve">ESTATUS PROMESA DE PAGO </t>
  </si>
  <si>
    <t>ENE</t>
  </si>
  <si>
    <t>FEB</t>
  </si>
  <si>
    <t>MAR</t>
  </si>
  <si>
    <t>ABR</t>
  </si>
  <si>
    <t>MAY</t>
  </si>
  <si>
    <t>JUN</t>
  </si>
  <si>
    <t>JUL</t>
  </si>
  <si>
    <t>AGO</t>
  </si>
  <si>
    <t xml:space="preserve">SEP </t>
  </si>
  <si>
    <t>OCT</t>
  </si>
  <si>
    <t>J</t>
  </si>
  <si>
    <t>V</t>
  </si>
  <si>
    <t>S</t>
  </si>
  <si>
    <t>D</t>
  </si>
  <si>
    <t>L</t>
  </si>
  <si>
    <t>M</t>
  </si>
  <si>
    <r>
      <t xml:space="preserve">Nombre de la Empresa: </t>
    </r>
    <r>
      <rPr>
        <b/>
        <sz val="10"/>
        <color theme="1"/>
        <rFont val="Calibri"/>
        <family val="2"/>
        <scheme val="minor"/>
      </rPr>
      <t>SILVIA NERI SALAZAR</t>
    </r>
    <r>
      <rPr>
        <sz val="10"/>
        <color theme="1"/>
        <rFont val="Calibri"/>
        <family val="2"/>
        <scheme val="minor"/>
      </rPr>
      <t xml:space="preserve">
RFC.: </t>
    </r>
    <r>
      <rPr>
        <b/>
        <sz val="10"/>
        <color theme="1"/>
        <rFont val="Calibri"/>
        <family val="2"/>
        <scheme val="minor"/>
      </rPr>
      <t xml:space="preserve">NESS6001221GA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 xml:space="preserve">                                                             Forma de Pago: </t>
    </r>
    <r>
      <rPr>
        <b/>
        <sz val="10"/>
        <color theme="1"/>
        <rFont val="Calibri"/>
        <family val="2"/>
        <scheme val="minor"/>
      </rPr>
      <t xml:space="preserve">Transferencia                     </t>
    </r>
    <r>
      <rPr>
        <sz val="10"/>
        <color theme="1"/>
        <rFont val="Calibri"/>
        <family val="2"/>
        <scheme val="minor"/>
      </rPr>
      <t>Teléfono:</t>
    </r>
    <r>
      <rPr>
        <b/>
        <sz val="10"/>
        <color theme="3"/>
        <rFont val="Calibri"/>
        <family val="2"/>
        <scheme val="minor"/>
      </rPr>
      <t xml:space="preserve"> </t>
    </r>
    <r>
      <rPr>
        <b/>
        <sz val="10"/>
        <color theme="4" tint="-0.249977111117893"/>
        <rFont val="Calibri"/>
        <family val="2"/>
        <scheme val="minor"/>
      </rPr>
      <t>811 521 3582 / 811 044 7961</t>
    </r>
    <r>
      <rPr>
        <sz val="10"/>
        <color theme="1"/>
        <rFont val="Calibri"/>
        <family val="2"/>
        <scheme val="minor"/>
      </rPr>
      <t xml:space="preserve">
Contacto: </t>
    </r>
    <r>
      <rPr>
        <b/>
        <sz val="10"/>
        <color theme="1"/>
        <rFont val="Calibri"/>
        <family val="2"/>
        <scheme val="minor"/>
      </rPr>
      <t xml:space="preserve">Arturo Sifuentes / Silvia Neri Salazar </t>
    </r>
    <r>
      <rPr>
        <sz val="10"/>
        <color theme="1"/>
        <rFont val="Calibri"/>
        <family val="2"/>
        <scheme val="minor"/>
      </rPr>
      <t xml:space="preserve">
Email: </t>
    </r>
    <r>
      <rPr>
        <b/>
        <sz val="10"/>
        <color theme="1"/>
        <rFont val="Calibri"/>
        <family val="2"/>
        <scheme val="minor"/>
      </rPr>
      <t xml:space="preserve">ventas@acertrans.com.mx; logisticasifal@hotmail.com; 
Silvia-neri@hotmail.com; </t>
    </r>
    <r>
      <rPr>
        <sz val="10"/>
        <color theme="1"/>
        <rFont val="Calibri"/>
        <family val="2"/>
        <scheme val="minor"/>
      </rPr>
      <t xml:space="preserve">
</t>
    </r>
  </si>
  <si>
    <t>JOSE LUIS</t>
  </si>
  <si>
    <r>
      <rPr>
        <b/>
        <sz val="10"/>
        <color theme="1"/>
        <rFont val="Calibri"/>
        <family val="2"/>
        <scheme val="minor"/>
      </rPr>
      <t>CARPACK</t>
    </r>
    <r>
      <rPr>
        <sz val="10"/>
        <color theme="1"/>
        <rFont val="Calibri"/>
        <family val="2"/>
        <scheme val="minor"/>
      </rPr>
      <t xml:space="preserve">, S.A. DE C.V.    </t>
    </r>
  </si>
  <si>
    <r>
      <t xml:space="preserve">Nombre de la Empresa: </t>
    </r>
    <r>
      <rPr>
        <b/>
        <sz val="10"/>
        <color theme="1"/>
        <rFont val="Calibri"/>
        <family val="2"/>
        <scheme val="minor"/>
      </rPr>
      <t>CLAUDIA LUNA GUTIERREZ</t>
    </r>
    <r>
      <rPr>
        <sz val="10"/>
        <color theme="1"/>
        <rFont val="Calibri"/>
        <family val="2"/>
        <scheme val="minor"/>
      </rPr>
      <t xml:space="preserve">
RFC.</t>
    </r>
    <r>
      <rPr>
        <b/>
        <sz val="10"/>
        <color theme="1"/>
        <rFont val="Calibri"/>
        <family val="2"/>
        <scheme val="minor"/>
      </rPr>
      <t xml:space="preserve"> LUGC700301TKA                                                  </t>
    </r>
    <r>
      <rPr>
        <sz val="10"/>
        <color theme="1"/>
        <rFont val="Calibri"/>
        <family val="2"/>
        <scheme val="minor"/>
      </rPr>
      <t xml:space="preserve">CFDI: </t>
    </r>
    <r>
      <rPr>
        <b/>
        <sz val="10"/>
        <color theme="1"/>
        <rFont val="Calibri"/>
        <family val="2"/>
        <scheme val="minor"/>
      </rPr>
      <t xml:space="preserve">Comunicaciones satelitales      </t>
    </r>
    <r>
      <rPr>
        <sz val="10"/>
        <color theme="1"/>
        <rFont val="Calibri"/>
        <family val="2"/>
        <scheme val="minor"/>
      </rPr>
      <t xml:space="preserve">                                                   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811 155 5054 / 8183646871</t>
    </r>
    <r>
      <rPr>
        <sz val="10"/>
        <color theme="1"/>
        <rFont val="Calibri"/>
        <family val="2"/>
        <scheme val="minor"/>
      </rPr>
      <t xml:space="preserve">
Contacto: </t>
    </r>
    <r>
      <rPr>
        <b/>
        <sz val="10"/>
        <color theme="1"/>
        <rFont val="Calibri"/>
        <family val="2"/>
        <scheme val="minor"/>
      </rPr>
      <t xml:space="preserve">Sergio Leal / Jazmín </t>
    </r>
    <r>
      <rPr>
        <sz val="10"/>
        <color theme="1"/>
        <rFont val="Calibri"/>
        <family val="2"/>
        <scheme val="minor"/>
      </rPr>
      <t xml:space="preserve">
Email: </t>
    </r>
    <r>
      <rPr>
        <b/>
        <sz val="10"/>
        <color theme="1"/>
        <rFont val="Calibri"/>
        <family val="2"/>
        <scheme val="minor"/>
      </rPr>
      <t xml:space="preserve">bazoon_300@hotmail.com; clg.lgc@hotmail.com; transportesmarsel@hotmail.com; </t>
    </r>
    <r>
      <rPr>
        <sz val="10"/>
        <color theme="1"/>
        <rFont val="Calibri"/>
        <family val="2"/>
        <scheme val="minor"/>
      </rPr>
      <t xml:space="preserve"> 
</t>
    </r>
  </si>
  <si>
    <t>DANIEL ESTRADA</t>
  </si>
  <si>
    <t xml:space="preserve">ELIEZER MARTÍNEZ </t>
  </si>
  <si>
    <t>MARIO ULISES</t>
  </si>
  <si>
    <r>
      <rPr>
        <b/>
        <sz val="10"/>
        <color theme="1"/>
        <rFont val="Calibri"/>
        <family val="2"/>
        <scheme val="minor"/>
      </rPr>
      <t>ELIZABETH RENTERIA</t>
    </r>
    <r>
      <rPr>
        <sz val="10"/>
        <color theme="1"/>
        <rFont val="Calibri"/>
        <family val="2"/>
        <scheme val="minor"/>
      </rPr>
      <t xml:space="preserve"> REVILLA </t>
    </r>
  </si>
  <si>
    <r>
      <t xml:space="preserve">Nombre de la Empresa: </t>
    </r>
    <r>
      <rPr>
        <b/>
        <sz val="10"/>
        <color theme="1"/>
        <rFont val="Calibri"/>
        <family val="2"/>
        <scheme val="minor"/>
      </rPr>
      <t>ELIZABETH RENTERÍA REVILLA</t>
    </r>
    <r>
      <rPr>
        <sz val="10"/>
        <color theme="1"/>
        <rFont val="Calibri"/>
        <family val="2"/>
        <scheme val="minor"/>
      </rPr>
      <t xml:space="preserve">
RFC.</t>
    </r>
    <r>
      <rPr>
        <b/>
        <sz val="10"/>
        <color theme="1"/>
        <rFont val="Calibri"/>
        <family val="2"/>
        <scheme val="minor"/>
      </rPr>
      <t xml:space="preserve"> RERE760807SX9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 xml:space="preserve">Forma de Pago: </t>
    </r>
    <r>
      <rPr>
        <b/>
        <sz val="10"/>
        <color theme="1"/>
        <rFont val="Calibri"/>
        <family val="2"/>
        <scheme val="minor"/>
      </rPr>
      <t>Transferencia</t>
    </r>
    <r>
      <rPr>
        <sz val="10"/>
        <color theme="1"/>
        <rFont val="Calibri"/>
        <family val="2"/>
        <scheme val="minor"/>
      </rPr>
      <t>Teléfono:</t>
    </r>
    <r>
      <rPr>
        <sz val="10"/>
        <color theme="4" tint="-0.249977111117893"/>
        <rFont val="Calibri"/>
        <family val="2"/>
        <scheme val="minor"/>
      </rPr>
      <t xml:space="preserve"> </t>
    </r>
    <r>
      <rPr>
        <b/>
        <sz val="10"/>
        <color theme="4" tint="-0.249977111117893"/>
        <rFont val="Calibri"/>
        <family val="2"/>
        <scheme val="minor"/>
      </rPr>
      <t>811 810 0155</t>
    </r>
    <r>
      <rPr>
        <sz val="10"/>
        <color theme="1"/>
        <rFont val="Calibri"/>
        <family val="2"/>
        <scheme val="minor"/>
      </rPr>
      <t xml:space="preserve">
Contacto: </t>
    </r>
    <r>
      <rPr>
        <b/>
        <sz val="10"/>
        <color theme="1"/>
        <rFont val="Calibri"/>
        <family val="2"/>
        <scheme val="minor"/>
      </rPr>
      <t>Elizabeth Rentería</t>
    </r>
    <r>
      <rPr>
        <sz val="10"/>
        <color theme="1"/>
        <rFont val="Calibri"/>
        <family val="2"/>
        <scheme val="minor"/>
      </rPr>
      <t xml:space="preserve">
Email: </t>
    </r>
    <r>
      <rPr>
        <b/>
        <sz val="10"/>
        <color theme="1"/>
        <rFont val="Calibri"/>
        <family val="2"/>
        <scheme val="minor"/>
      </rPr>
      <t xml:space="preserve">e.lic@live.com.mx  </t>
    </r>
    <r>
      <rPr>
        <sz val="10"/>
        <color theme="1"/>
        <rFont val="Calibri"/>
        <family val="2"/>
        <scheme val="minor"/>
      </rPr>
      <t xml:space="preserve">
</t>
    </r>
  </si>
  <si>
    <r>
      <t xml:space="preserve">Nombre de la Empresa: </t>
    </r>
    <r>
      <rPr>
        <b/>
        <sz val="10"/>
        <color theme="1"/>
        <rFont val="Calibri"/>
        <family val="2"/>
        <scheme val="minor"/>
      </rPr>
      <t>TRANSPORTES STA ELENA GRAL ZUAZUA NL CARGA Y PERSONAL S.A. DE C.V.</t>
    </r>
    <r>
      <rPr>
        <sz val="10"/>
        <color theme="1"/>
        <rFont val="Calibri"/>
        <family val="2"/>
        <scheme val="minor"/>
      </rPr>
      <t xml:space="preserve"> 
RFC.</t>
    </r>
    <r>
      <rPr>
        <b/>
        <sz val="10"/>
        <color theme="1"/>
        <rFont val="Calibri"/>
        <family val="2"/>
        <scheme val="minor"/>
      </rPr>
      <t xml:space="preserve"> TSE210312P9A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sz val="10"/>
        <color theme="4" tint="-0.249977111117893"/>
        <rFont val="Calibri"/>
        <family val="2"/>
        <scheme val="minor"/>
      </rPr>
      <t xml:space="preserve"> </t>
    </r>
    <r>
      <rPr>
        <b/>
        <sz val="10"/>
        <color theme="4" tint="-0.249977111117893"/>
        <rFont val="Calibri"/>
        <family val="2"/>
        <scheme val="minor"/>
      </rPr>
      <t>811 244 6019</t>
    </r>
    <r>
      <rPr>
        <sz val="10"/>
        <color theme="1"/>
        <rFont val="Calibri"/>
        <family val="2"/>
        <scheme val="minor"/>
      </rPr>
      <t xml:space="preserve">
Contacto: </t>
    </r>
    <r>
      <rPr>
        <b/>
        <sz val="10"/>
        <color theme="1"/>
        <rFont val="Calibri"/>
        <family val="2"/>
        <scheme val="minor"/>
      </rPr>
      <t xml:space="preserve">Argelio Arrambide </t>
    </r>
    <r>
      <rPr>
        <sz val="10"/>
        <color theme="1"/>
        <rFont val="Calibri"/>
        <family val="2"/>
        <scheme val="minor"/>
      </rPr>
      <t xml:space="preserve">
Email: </t>
    </r>
    <r>
      <rPr>
        <b/>
        <sz val="10"/>
        <color theme="1"/>
        <rFont val="Calibri"/>
        <family val="2"/>
        <scheme val="minor"/>
      </rPr>
      <t>santaelenasadecv2021@gmail.com</t>
    </r>
    <r>
      <rPr>
        <sz val="10"/>
        <color theme="1"/>
        <rFont val="Calibri"/>
        <family val="2"/>
        <scheme val="minor"/>
      </rPr>
      <t xml:space="preserve">
</t>
    </r>
  </si>
  <si>
    <r>
      <rPr>
        <sz val="10"/>
        <color theme="1"/>
        <rFont val="Calibri"/>
        <family val="2"/>
        <scheme val="minor"/>
      </rPr>
      <t>Nombre de la Empresa:</t>
    </r>
    <r>
      <rPr>
        <b/>
        <sz val="10"/>
        <color theme="1"/>
        <rFont val="Calibri"/>
        <family val="2"/>
        <scheme val="minor"/>
      </rPr>
      <t xml:space="preserve"> BAWOMA CONTROL TOTAL S.A. DE C.V.  
</t>
    </r>
    <r>
      <rPr>
        <sz val="10"/>
        <color theme="1"/>
        <rFont val="Calibri"/>
        <family val="2"/>
        <scheme val="minor"/>
      </rPr>
      <t>RFC.:</t>
    </r>
    <r>
      <rPr>
        <b/>
        <sz val="10"/>
        <color theme="1"/>
        <rFont val="Calibri"/>
        <family val="2"/>
        <scheme val="minor"/>
      </rPr>
      <t xml:space="preserve"> BCT100310834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81 1811 0645</t>
    </r>
    <r>
      <rPr>
        <b/>
        <sz val="10"/>
        <color theme="1"/>
        <rFont val="Calibri"/>
        <family val="2"/>
        <scheme val="minor"/>
      </rPr>
      <t xml:space="preserve">
</t>
    </r>
    <r>
      <rPr>
        <sz val="10"/>
        <color theme="1"/>
        <rFont val="Calibri"/>
        <family val="2"/>
        <scheme val="minor"/>
      </rPr>
      <t>Contacto:</t>
    </r>
    <r>
      <rPr>
        <b/>
        <sz val="10"/>
        <color theme="1"/>
        <rFont val="Calibri"/>
        <family val="2"/>
        <scheme val="minor"/>
      </rPr>
      <t xml:space="preserve"> Manuel Rico 
</t>
    </r>
    <r>
      <rPr>
        <sz val="10"/>
        <color theme="1"/>
        <rFont val="Calibri"/>
        <family val="2"/>
        <scheme val="minor"/>
      </rPr>
      <t>Email:</t>
    </r>
    <r>
      <rPr>
        <b/>
        <sz val="10"/>
        <color theme="1"/>
        <rFont val="Calibri"/>
        <family val="2"/>
        <scheme val="minor"/>
      </rPr>
      <t xml:space="preserve"> supervisorfumigaz@outlook.com
</t>
    </r>
  </si>
  <si>
    <r>
      <t xml:space="preserve">GRUPO AMBIENTAL Y RESIDUOS INDUSTRIALES S.A. DE C. V. </t>
    </r>
    <r>
      <rPr>
        <b/>
        <sz val="10"/>
        <color theme="1"/>
        <rFont val="Calibri"/>
        <family val="2"/>
        <scheme val="minor"/>
      </rPr>
      <t>(GARISA)</t>
    </r>
    <r>
      <rPr>
        <sz val="10"/>
        <color theme="1"/>
        <rFont val="Calibri"/>
        <family val="2"/>
        <scheme val="minor"/>
      </rPr>
      <t xml:space="preserve"> </t>
    </r>
  </si>
  <si>
    <r>
      <t xml:space="preserve">Nombre de la Empresa: </t>
    </r>
    <r>
      <rPr>
        <b/>
        <sz val="10"/>
        <color theme="1"/>
        <rFont val="Calibri"/>
        <family val="2"/>
        <scheme val="minor"/>
      </rPr>
      <t>GRUPO AMBIENTAL Y RESIDUOS INDUSTRIALES S.A. DE C.V.</t>
    </r>
    <r>
      <rPr>
        <sz val="10"/>
        <color theme="1"/>
        <rFont val="Calibri"/>
        <family val="2"/>
        <scheme val="minor"/>
      </rPr>
      <t xml:space="preserve"> 
RFC.: </t>
    </r>
    <r>
      <rPr>
        <b/>
        <sz val="10"/>
        <color theme="1"/>
        <rFont val="Calibri"/>
        <family val="2"/>
        <scheme val="minor"/>
      </rPr>
      <t xml:space="preserve">GAR1503063C1               </t>
    </r>
    <r>
      <rPr>
        <sz val="10"/>
        <color theme="1"/>
        <rFont val="Calibri"/>
        <family val="2"/>
        <scheme val="minor"/>
      </rPr>
      <t xml:space="preserve">  CFDI:</t>
    </r>
    <r>
      <rPr>
        <b/>
        <sz val="10"/>
        <color theme="1"/>
        <rFont val="Calibri"/>
        <family val="2"/>
        <scheme val="minor"/>
      </rPr>
      <t xml:space="preserve"> Gastos en General.</t>
    </r>
    <r>
      <rPr>
        <sz val="10"/>
        <color theme="1"/>
        <rFont val="Calibri"/>
        <family val="2"/>
        <scheme val="minor"/>
      </rPr>
      <t xml:space="preserve">
Forma de Pago: </t>
    </r>
    <r>
      <rPr>
        <b/>
        <sz val="10"/>
        <color theme="1"/>
        <rFont val="Calibri"/>
        <family val="2"/>
        <scheme val="minor"/>
      </rPr>
      <t xml:space="preserve">Transferencia Electrónica </t>
    </r>
    <r>
      <rPr>
        <sz val="10"/>
        <color theme="1"/>
        <rFont val="Calibri"/>
        <family val="2"/>
        <scheme val="minor"/>
      </rPr>
      <t xml:space="preserve">
Contacto: </t>
    </r>
    <r>
      <rPr>
        <b/>
        <sz val="10"/>
        <color theme="1"/>
        <rFont val="Calibri"/>
        <family val="2"/>
        <scheme val="minor"/>
      </rPr>
      <t xml:space="preserve">Verónica Coronado           </t>
    </r>
    <r>
      <rPr>
        <sz val="10"/>
        <color theme="1"/>
        <rFont val="Calibri"/>
        <family val="2"/>
        <scheme val="minor"/>
      </rPr>
      <t xml:space="preserve">Teléfono: </t>
    </r>
    <r>
      <rPr>
        <b/>
        <sz val="10"/>
        <color theme="4" tint="-0.249977111117893"/>
        <rFont val="Calibri"/>
        <family val="2"/>
        <scheme val="minor"/>
      </rPr>
      <t>812 165 1133 / 8119575404</t>
    </r>
    <r>
      <rPr>
        <sz val="10"/>
        <color theme="1"/>
        <rFont val="Calibri"/>
        <family val="2"/>
        <scheme val="minor"/>
      </rPr>
      <t xml:space="preserve">
Email: </t>
    </r>
    <r>
      <rPr>
        <b/>
        <sz val="10"/>
        <color theme="1"/>
        <rFont val="Calibri"/>
        <family val="2"/>
        <scheme val="minor"/>
      </rPr>
      <t>garisav@hotmail.com</t>
    </r>
    <r>
      <rPr>
        <sz val="10"/>
        <color theme="1"/>
        <rFont val="Calibri"/>
        <family val="2"/>
        <scheme val="minor"/>
      </rPr>
      <t xml:space="preserve">
</t>
    </r>
  </si>
  <si>
    <r>
      <t xml:space="preserve">GEORGINA MELISSA GOMEZ RODELA - </t>
    </r>
    <r>
      <rPr>
        <b/>
        <sz val="10"/>
        <color theme="1"/>
        <rFont val="Calibri"/>
        <family val="2"/>
        <scheme val="minor"/>
      </rPr>
      <t>PETROVACTOR</t>
    </r>
  </si>
  <si>
    <r>
      <rPr>
        <b/>
        <sz val="10"/>
        <color theme="1"/>
        <rFont val="Calibri"/>
        <family val="2"/>
        <scheme val="minor"/>
      </rPr>
      <t xml:space="preserve">GRUPO CASTOR </t>
    </r>
    <r>
      <rPr>
        <sz val="10"/>
        <color theme="1"/>
        <rFont val="Calibri"/>
        <family val="2"/>
        <scheme val="minor"/>
      </rPr>
      <t xml:space="preserve">
</t>
    </r>
    <r>
      <rPr>
        <b/>
        <sz val="10"/>
        <color theme="1"/>
        <rFont val="Calibri"/>
        <family val="2"/>
        <scheme val="minor"/>
      </rPr>
      <t>ACERTIVA CONSTRUCCIONES</t>
    </r>
    <r>
      <rPr>
        <sz val="10"/>
        <color theme="1"/>
        <rFont val="Calibri"/>
        <family val="2"/>
        <scheme val="minor"/>
      </rPr>
      <t xml:space="preserve">, S.A. DE C.V. 
(CASTOR) </t>
    </r>
  </si>
  <si>
    <r>
      <t xml:space="preserve">Nombre de la Empresa: </t>
    </r>
    <r>
      <rPr>
        <b/>
        <sz val="10"/>
        <color theme="1"/>
        <rFont val="Calibri"/>
        <family val="2"/>
        <scheme val="minor"/>
      </rPr>
      <t xml:space="preserve">ACERTIVA CONTRUCCIONES S.A. DE C.V. </t>
    </r>
    <r>
      <rPr>
        <sz val="10"/>
        <color theme="1"/>
        <rFont val="Calibri"/>
        <family val="2"/>
        <scheme val="minor"/>
      </rPr>
      <t xml:space="preserve"> 
RFC. </t>
    </r>
    <r>
      <rPr>
        <b/>
        <sz val="10"/>
        <color theme="1"/>
        <rFont val="Calibri"/>
        <family val="2"/>
        <scheme val="minor"/>
      </rPr>
      <t xml:space="preserve">ACO9605025G2 </t>
    </r>
    <r>
      <rPr>
        <sz val="10"/>
        <color theme="1"/>
        <rFont val="Calibri"/>
        <family val="2"/>
        <scheme val="minor"/>
      </rPr>
      <t>CFDI:</t>
    </r>
    <r>
      <rPr>
        <b/>
        <sz val="10"/>
        <color theme="1"/>
        <rFont val="Calibri"/>
        <family val="2"/>
        <scheme val="minor"/>
      </rPr>
      <t xml:space="preserve"> Comunicaciones Satelitales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818 347 7712 / 13 ext. 106</t>
    </r>
    <r>
      <rPr>
        <sz val="10"/>
        <color theme="1"/>
        <rFont val="Calibri"/>
        <family val="2"/>
        <scheme val="minor"/>
      </rPr>
      <t xml:space="preserve">
Contacto: </t>
    </r>
    <r>
      <rPr>
        <b/>
        <sz val="10"/>
        <color theme="1"/>
        <rFont val="Calibri"/>
        <family val="2"/>
        <scheme val="minor"/>
      </rPr>
      <t xml:space="preserve">Sr. Santos / Srta.(s) Janeth Villa /  Karla Guerra / Fabiola García  </t>
    </r>
    <r>
      <rPr>
        <sz val="10"/>
        <color theme="1"/>
        <rFont val="Calibri"/>
        <family val="2"/>
        <scheme val="minor"/>
      </rPr>
      <t xml:space="preserve">
Email: </t>
    </r>
    <r>
      <rPr>
        <b/>
        <sz val="10"/>
        <color theme="1"/>
        <rFont val="Calibri"/>
        <family val="2"/>
        <scheme val="minor"/>
      </rPr>
      <t xml:space="preserve">fabiola.garcia@lsadministracion.com                                </t>
    </r>
    <r>
      <rPr>
        <sz val="10"/>
        <color theme="1"/>
        <rFont val="Calibri"/>
        <family val="2"/>
        <scheme val="minor"/>
      </rPr>
      <t xml:space="preserve">
</t>
    </r>
  </si>
  <si>
    <r>
      <t xml:space="preserve">GRUPO CASTOR 
</t>
    </r>
    <r>
      <rPr>
        <b/>
        <sz val="10"/>
        <color theme="1"/>
        <rFont val="Calibri"/>
        <family val="2"/>
        <scheme val="minor"/>
      </rPr>
      <t>ORGANIZACIÓN CASTOR AG</t>
    </r>
    <r>
      <rPr>
        <sz val="10"/>
        <color theme="1"/>
        <rFont val="Calibri"/>
        <family val="2"/>
        <scheme val="minor"/>
      </rPr>
      <t xml:space="preserve">, S.A. DE C.V.  </t>
    </r>
  </si>
  <si>
    <r>
      <t>Nombre de la Empresa:</t>
    </r>
    <r>
      <rPr>
        <b/>
        <sz val="10"/>
        <color theme="1"/>
        <rFont val="Calibri"/>
        <family val="2"/>
        <scheme val="minor"/>
      </rPr>
      <t xml:space="preserve"> ORGANIZACIÓN CASTOR S. A. DE C. V. </t>
    </r>
    <r>
      <rPr>
        <sz val="10"/>
        <color theme="1"/>
        <rFont val="Calibri"/>
        <family val="2"/>
        <scheme val="minor"/>
      </rPr>
      <t xml:space="preserve">
RFC. </t>
    </r>
    <r>
      <rPr>
        <b/>
        <sz val="10"/>
        <color theme="1"/>
        <rFont val="Calibri"/>
        <family val="2"/>
        <scheme val="minor"/>
      </rPr>
      <t xml:space="preserve">OCA121001RX9  </t>
    </r>
    <r>
      <rPr>
        <sz val="10"/>
        <color theme="1"/>
        <rFont val="Calibri"/>
        <family val="2"/>
        <scheme val="minor"/>
      </rPr>
      <t xml:space="preserve">CFDI: </t>
    </r>
    <r>
      <rPr>
        <b/>
        <sz val="10"/>
        <color theme="1"/>
        <rFont val="Calibri"/>
        <family val="2"/>
        <scheme val="minor"/>
      </rPr>
      <t xml:space="preserve">Comunicaciones Satelitales      </t>
    </r>
    <r>
      <rPr>
        <sz val="10"/>
        <color theme="1"/>
        <rFont val="Calibri"/>
        <family val="2"/>
        <scheme val="minor"/>
      </rPr>
      <t xml:space="preserve">                                                      Forma de Pago: </t>
    </r>
    <r>
      <rPr>
        <b/>
        <sz val="10"/>
        <color theme="1"/>
        <rFont val="Calibri"/>
        <family val="2"/>
        <scheme val="minor"/>
      </rPr>
      <t xml:space="preserve">Transferencia          </t>
    </r>
    <r>
      <rPr>
        <sz val="10"/>
        <color theme="1"/>
        <rFont val="Calibri"/>
        <family val="2"/>
        <scheme val="minor"/>
      </rPr>
      <t xml:space="preserve"> Teléfono: </t>
    </r>
    <r>
      <rPr>
        <b/>
        <sz val="10"/>
        <color theme="4" tint="-0.249977111117893"/>
        <rFont val="Calibri"/>
        <family val="2"/>
        <scheme val="minor"/>
      </rPr>
      <t>818 347 7712 / 13 ext. 106</t>
    </r>
    <r>
      <rPr>
        <sz val="10"/>
        <color theme="1"/>
        <rFont val="Calibri"/>
        <family val="2"/>
        <scheme val="minor"/>
      </rPr>
      <t xml:space="preserve">
Contacto: </t>
    </r>
    <r>
      <rPr>
        <b/>
        <sz val="10"/>
        <color theme="1"/>
        <rFont val="Calibri"/>
        <family val="2"/>
        <scheme val="minor"/>
      </rPr>
      <t xml:space="preserve">Sr. Santos / Srta.(s) Janeth Villa /  Karla Guerra / Fabiola García  </t>
    </r>
    <r>
      <rPr>
        <sz val="10"/>
        <color theme="1"/>
        <rFont val="Calibri"/>
        <family val="2"/>
        <scheme val="minor"/>
      </rPr>
      <t xml:space="preserve">
Email: </t>
    </r>
    <r>
      <rPr>
        <b/>
        <sz val="10"/>
        <color theme="1"/>
        <rFont val="Calibri"/>
        <family val="2"/>
        <scheme val="minor"/>
      </rPr>
      <t xml:space="preserve">fabiola.garcia@lsadministracion.com </t>
    </r>
    <r>
      <rPr>
        <sz val="10"/>
        <color theme="1"/>
        <rFont val="Calibri"/>
        <family val="2"/>
        <scheme val="minor"/>
      </rPr>
      <t xml:space="preserve">                                  </t>
    </r>
  </si>
  <si>
    <t xml:space="preserve">ISMAEL ALEJANDRO ESCAREÑO </t>
  </si>
  <si>
    <r>
      <rPr>
        <b/>
        <sz val="10"/>
        <color theme="1"/>
        <rFont val="Calibri"/>
        <family val="2"/>
        <scheme val="minor"/>
      </rPr>
      <t>JAVIER</t>
    </r>
    <r>
      <rPr>
        <sz val="10"/>
        <color theme="1"/>
        <rFont val="Calibri"/>
        <family val="2"/>
        <scheme val="minor"/>
      </rPr>
      <t xml:space="preserve"> ANGEL </t>
    </r>
    <r>
      <rPr>
        <b/>
        <sz val="10"/>
        <color theme="1"/>
        <rFont val="Calibri"/>
        <family val="2"/>
        <scheme val="minor"/>
      </rPr>
      <t>VELAZQUEZ</t>
    </r>
    <r>
      <rPr>
        <sz val="10"/>
        <color theme="1"/>
        <rFont val="Calibri"/>
        <family val="2"/>
        <scheme val="minor"/>
      </rPr>
      <t xml:space="preserve"> SANCHEZ  </t>
    </r>
  </si>
  <si>
    <r>
      <t>Nombre de la Empresa:</t>
    </r>
    <r>
      <rPr>
        <b/>
        <sz val="10"/>
        <color theme="1"/>
        <rFont val="Calibri"/>
        <family val="2"/>
        <scheme val="minor"/>
      </rPr>
      <t xml:space="preserve"> JAVIER ANGEL VELAZQUEZ SANCHEZ</t>
    </r>
    <r>
      <rPr>
        <sz val="10"/>
        <color theme="1"/>
        <rFont val="Calibri"/>
        <family val="2"/>
        <scheme val="minor"/>
      </rPr>
      <t xml:space="preserve">
RFC. </t>
    </r>
    <r>
      <rPr>
        <b/>
        <sz val="10"/>
        <color theme="1"/>
        <rFont val="Calibri"/>
        <family val="2"/>
        <scheme val="minor"/>
      </rPr>
      <t xml:space="preserve">VESJ4910026E3 </t>
    </r>
    <r>
      <rPr>
        <sz val="10"/>
        <color theme="1"/>
        <rFont val="Calibri"/>
        <family val="2"/>
        <scheme val="minor"/>
      </rPr>
      <t>CFDI:</t>
    </r>
    <r>
      <rPr>
        <b/>
        <sz val="10"/>
        <color theme="1"/>
        <rFont val="Calibri"/>
        <family val="2"/>
        <scheme val="minor"/>
      </rPr>
      <t xml:space="preserve"> Comunicaciones satelitales          </t>
    </r>
    <r>
      <rPr>
        <sz val="10"/>
        <color theme="1"/>
        <rFont val="Calibri"/>
        <family val="2"/>
        <scheme val="minor"/>
      </rPr>
      <t xml:space="preserve"> Forma de Pago:</t>
    </r>
    <r>
      <rPr>
        <b/>
        <sz val="10"/>
        <color theme="1"/>
        <rFont val="Calibri"/>
        <family val="2"/>
        <scheme val="minor"/>
      </rPr>
      <t xml:space="preserve"> Transferencia          </t>
    </r>
    <r>
      <rPr>
        <sz val="10"/>
        <color theme="1"/>
        <rFont val="Calibri"/>
        <family val="2"/>
        <scheme val="minor"/>
      </rPr>
      <t xml:space="preserve">Teléfono: </t>
    </r>
    <r>
      <rPr>
        <b/>
        <sz val="10"/>
        <color theme="4" tint="-0.249977111117893"/>
        <rFont val="Calibri"/>
        <family val="2"/>
        <scheme val="minor"/>
      </rPr>
      <t>812 032 0493</t>
    </r>
    <r>
      <rPr>
        <sz val="10"/>
        <color theme="1"/>
        <rFont val="Calibri"/>
        <family val="2"/>
        <scheme val="minor"/>
      </rPr>
      <t xml:space="preserve">
Contacto:</t>
    </r>
    <r>
      <rPr>
        <b/>
        <sz val="10"/>
        <color theme="1"/>
        <rFont val="Calibri"/>
        <family val="2"/>
        <scheme val="minor"/>
      </rPr>
      <t xml:space="preserve"> Javier Ángel Velázquez Sánchez (FLETES ANGEL VELAZQUEZ)</t>
    </r>
    <r>
      <rPr>
        <sz val="10"/>
        <color theme="1"/>
        <rFont val="Calibri"/>
        <family val="2"/>
        <scheme val="minor"/>
      </rPr>
      <t xml:space="preserve">
Email:</t>
    </r>
    <r>
      <rPr>
        <b/>
        <sz val="10"/>
        <color theme="1"/>
        <rFont val="Calibri"/>
        <family val="2"/>
        <scheme val="minor"/>
      </rPr>
      <t xml:space="preserve"> fletesangelvelazquez@gmail.com </t>
    </r>
  </si>
  <si>
    <r>
      <rPr>
        <b/>
        <sz val="10"/>
        <color theme="1"/>
        <rFont val="Calibri"/>
        <family val="2"/>
        <scheme val="minor"/>
      </rPr>
      <t>LUIS</t>
    </r>
    <r>
      <rPr>
        <sz val="10"/>
        <color theme="1"/>
        <rFont val="Calibri"/>
        <family val="2"/>
        <scheme val="minor"/>
      </rPr>
      <t xml:space="preserve"> ALBERTO </t>
    </r>
    <r>
      <rPr>
        <b/>
        <sz val="10"/>
        <color theme="1"/>
        <rFont val="Calibri"/>
        <family val="2"/>
        <scheme val="minor"/>
      </rPr>
      <t xml:space="preserve">DAVILA </t>
    </r>
    <r>
      <rPr>
        <sz val="10"/>
        <color theme="1"/>
        <rFont val="Calibri"/>
        <family val="2"/>
        <scheme val="minor"/>
      </rPr>
      <t xml:space="preserve">SALAZAR </t>
    </r>
  </si>
  <si>
    <r>
      <t>Nombre de la Empresa:</t>
    </r>
    <r>
      <rPr>
        <b/>
        <sz val="10"/>
        <color theme="1"/>
        <rFont val="Calibri"/>
        <family val="2"/>
        <scheme val="minor"/>
      </rPr>
      <t xml:space="preserve"> LUIS ALBERTO DÁVILA SALAZAR</t>
    </r>
    <r>
      <rPr>
        <sz val="10"/>
        <color theme="1"/>
        <rFont val="Calibri"/>
        <family val="2"/>
        <scheme val="minor"/>
      </rPr>
      <t xml:space="preserve">
RFC. </t>
    </r>
    <r>
      <rPr>
        <b/>
        <sz val="10"/>
        <color theme="1"/>
        <rFont val="Calibri"/>
        <family val="2"/>
        <scheme val="minor"/>
      </rPr>
      <t xml:space="preserve">DASL701219TM3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 xml:space="preserve">  Teléfono:</t>
    </r>
    <r>
      <rPr>
        <b/>
        <sz val="10"/>
        <color theme="1"/>
        <rFont val="Calibri"/>
        <family val="2"/>
        <scheme val="minor"/>
      </rPr>
      <t xml:space="preserve"> </t>
    </r>
    <r>
      <rPr>
        <b/>
        <sz val="10"/>
        <color theme="3"/>
        <rFont val="Calibri"/>
        <family val="2"/>
        <scheme val="minor"/>
      </rPr>
      <t xml:space="preserve"> </t>
    </r>
    <r>
      <rPr>
        <b/>
        <sz val="10"/>
        <color theme="4" tint="-0.249977111117893"/>
        <rFont val="Calibri"/>
        <family val="2"/>
        <scheme val="minor"/>
      </rPr>
      <t>813 074 5638</t>
    </r>
    <r>
      <rPr>
        <sz val="10"/>
        <color theme="1"/>
        <rFont val="Calibri"/>
        <family val="2"/>
        <scheme val="minor"/>
      </rPr>
      <t xml:space="preserve">
Contacto: </t>
    </r>
    <r>
      <rPr>
        <b/>
        <sz val="10"/>
        <color theme="1"/>
        <rFont val="Calibri"/>
        <family val="2"/>
        <scheme val="minor"/>
      </rPr>
      <t xml:space="preserve">Luis Dávila </t>
    </r>
    <r>
      <rPr>
        <sz val="10"/>
        <color theme="1"/>
        <rFont val="Calibri"/>
        <family val="2"/>
        <scheme val="minor"/>
      </rPr>
      <t xml:space="preserve">
Email: </t>
    </r>
    <r>
      <rPr>
        <b/>
        <sz val="10"/>
        <color theme="1"/>
        <rFont val="Calibri"/>
        <family val="2"/>
        <scheme val="minor"/>
      </rPr>
      <t xml:space="preserve"> luisdavila1970@gmail.com; luis.davila@alsglobal.com </t>
    </r>
    <r>
      <rPr>
        <sz val="10"/>
        <color theme="1"/>
        <rFont val="Calibri"/>
        <family val="2"/>
        <scheme val="minor"/>
      </rPr>
      <t xml:space="preserve">
</t>
    </r>
  </si>
  <si>
    <r>
      <rPr>
        <sz val="10"/>
        <color theme="1"/>
        <rFont val="Calibri"/>
        <family val="2"/>
        <scheme val="minor"/>
      </rPr>
      <t xml:space="preserve">Nombre de la Empresa: </t>
    </r>
    <r>
      <rPr>
        <b/>
        <sz val="10"/>
        <color theme="1"/>
        <rFont val="Calibri"/>
        <family val="2"/>
        <scheme val="minor"/>
      </rPr>
      <t xml:space="preserve">LUIS GERARDO BOLAÑOS GARCIA
</t>
    </r>
    <r>
      <rPr>
        <sz val="10"/>
        <color theme="1"/>
        <rFont val="Calibri"/>
        <family val="2"/>
        <scheme val="minor"/>
      </rPr>
      <t>RFC.</t>
    </r>
    <r>
      <rPr>
        <b/>
        <sz val="10"/>
        <color theme="1"/>
        <rFont val="Calibri"/>
        <family val="2"/>
        <scheme val="minor"/>
      </rPr>
      <t xml:space="preserve"> BOGL8702094H5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811 027 0226</t>
    </r>
    <r>
      <rPr>
        <b/>
        <sz val="10"/>
        <color theme="1"/>
        <rFont val="Calibri"/>
        <family val="2"/>
        <scheme val="minor"/>
      </rPr>
      <t xml:space="preserve">
</t>
    </r>
    <r>
      <rPr>
        <sz val="10"/>
        <color theme="1"/>
        <rFont val="Calibri"/>
        <family val="2"/>
        <scheme val="minor"/>
      </rPr>
      <t>Contacto:</t>
    </r>
    <r>
      <rPr>
        <b/>
        <sz val="10"/>
        <color theme="1"/>
        <rFont val="Calibri"/>
        <family val="2"/>
        <scheme val="minor"/>
      </rPr>
      <t xml:space="preserve"> Luis Gerardo Bolaños García
</t>
    </r>
    <r>
      <rPr>
        <sz val="10"/>
        <color theme="1"/>
        <rFont val="Calibri"/>
        <family val="2"/>
        <scheme val="minor"/>
      </rPr>
      <t xml:space="preserve">Email: </t>
    </r>
    <r>
      <rPr>
        <b/>
        <sz val="10"/>
        <color theme="1"/>
        <rFont val="Calibri"/>
        <family val="2"/>
        <scheme val="minor"/>
      </rPr>
      <t xml:space="preserve">luismty0902@gmail.com;  
</t>
    </r>
    <r>
      <rPr>
        <sz val="9"/>
        <color theme="1"/>
        <rFont val="Calibri"/>
        <family val="2"/>
        <scheme val="minor"/>
      </rPr>
      <t/>
    </r>
  </si>
  <si>
    <t xml:space="preserve">LUIS JAVIER GONZALEZ PEREZ </t>
  </si>
  <si>
    <r>
      <rPr>
        <sz val="10"/>
        <color theme="1"/>
        <rFont val="Calibri"/>
        <family val="2"/>
        <scheme val="minor"/>
      </rPr>
      <t xml:space="preserve">Nombre de la Empresa: </t>
    </r>
    <r>
      <rPr>
        <b/>
        <sz val="10"/>
        <color theme="1"/>
        <rFont val="Calibri"/>
        <family val="2"/>
        <scheme val="minor"/>
      </rPr>
      <t xml:space="preserve">LUIS JAVIER GONZALEZ PEREZ 
</t>
    </r>
    <r>
      <rPr>
        <sz val="10"/>
        <color theme="1"/>
        <rFont val="Calibri"/>
        <family val="2"/>
        <scheme val="minor"/>
      </rPr>
      <t>RFC</t>
    </r>
    <r>
      <rPr>
        <b/>
        <sz val="10"/>
        <color theme="1"/>
        <rFont val="Calibri"/>
        <family val="2"/>
        <scheme val="minor"/>
      </rPr>
      <t xml:space="preserve">. GOPL9105308A6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 xml:space="preserve">811 907 9148 </t>
    </r>
    <r>
      <rPr>
        <b/>
        <sz val="10"/>
        <color theme="1"/>
        <rFont val="Calibri"/>
        <family val="2"/>
        <scheme val="minor"/>
      </rPr>
      <t xml:space="preserve">
</t>
    </r>
    <r>
      <rPr>
        <sz val="10"/>
        <color theme="1"/>
        <rFont val="Calibri"/>
        <family val="2"/>
        <scheme val="minor"/>
      </rPr>
      <t>Contacto</t>
    </r>
    <r>
      <rPr>
        <b/>
        <sz val="10"/>
        <color theme="1"/>
        <rFont val="Calibri"/>
        <family val="2"/>
        <scheme val="minor"/>
      </rPr>
      <t xml:space="preserve">: Luis Javier Gonzalez 
</t>
    </r>
    <r>
      <rPr>
        <sz val="10"/>
        <color theme="1"/>
        <rFont val="Calibri"/>
        <family val="2"/>
        <scheme val="minor"/>
      </rPr>
      <t>Email</t>
    </r>
    <r>
      <rPr>
        <b/>
        <sz val="10"/>
        <color theme="1"/>
        <rFont val="Calibri"/>
        <family val="2"/>
        <scheme val="minor"/>
      </rPr>
      <t>: ljgonzalez3591@gmail.com</t>
    </r>
    <r>
      <rPr>
        <sz val="9"/>
        <color theme="1"/>
        <rFont val="Calibri"/>
        <family val="2"/>
        <scheme val="minor"/>
      </rPr>
      <t/>
    </r>
  </si>
  <si>
    <r>
      <rPr>
        <sz val="10"/>
        <color theme="1"/>
        <rFont val="Calibri"/>
        <family val="2"/>
        <scheme val="minor"/>
      </rPr>
      <t xml:space="preserve">Nombre de la Empresa: </t>
    </r>
    <r>
      <rPr>
        <b/>
        <sz val="10"/>
        <color theme="1"/>
        <rFont val="Calibri"/>
        <family val="2"/>
        <scheme val="minor"/>
      </rPr>
      <t xml:space="preserve">MIGUEL EDUARDO CASAS ARIZMENDI
</t>
    </r>
    <r>
      <rPr>
        <sz val="10"/>
        <color theme="1"/>
        <rFont val="Calibri"/>
        <family val="2"/>
        <scheme val="minor"/>
      </rPr>
      <t>RFC.:</t>
    </r>
    <r>
      <rPr>
        <b/>
        <sz val="10"/>
        <color theme="1"/>
        <rFont val="Calibri"/>
        <family val="2"/>
        <scheme val="minor"/>
      </rPr>
      <t xml:space="preserve"> CAAM980824PA1           </t>
    </r>
    <r>
      <rPr>
        <sz val="10"/>
        <color theme="1"/>
        <rFont val="Calibri"/>
        <family val="2"/>
        <scheme val="minor"/>
      </rPr>
      <t>CFDI:</t>
    </r>
    <r>
      <rPr>
        <b/>
        <sz val="10"/>
        <color theme="1"/>
        <rFont val="Calibri"/>
        <family val="2"/>
        <scheme val="minor"/>
      </rPr>
      <t xml:space="preserve"> Por Definir                                                                               </t>
    </r>
    <r>
      <rPr>
        <sz val="10"/>
        <color theme="1"/>
        <rFont val="Calibri"/>
        <family val="2"/>
        <scheme val="minor"/>
      </rPr>
      <t>Forma de Pago:</t>
    </r>
    <r>
      <rPr>
        <b/>
        <sz val="10"/>
        <color theme="1"/>
        <rFont val="Calibri"/>
        <family val="2"/>
        <scheme val="minor"/>
      </rPr>
      <t xml:space="preserve"> Transferencia</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811 418 8880</t>
    </r>
    <r>
      <rPr>
        <b/>
        <sz val="10"/>
        <color theme="1"/>
        <rFont val="Calibri"/>
        <family val="2"/>
        <scheme val="minor"/>
      </rPr>
      <t xml:space="preserve">
</t>
    </r>
    <r>
      <rPr>
        <sz val="10"/>
        <color theme="1"/>
        <rFont val="Calibri"/>
        <family val="2"/>
        <scheme val="minor"/>
      </rPr>
      <t>Contacto:</t>
    </r>
    <r>
      <rPr>
        <b/>
        <sz val="10"/>
        <color theme="1"/>
        <rFont val="Calibri"/>
        <family val="2"/>
        <scheme val="minor"/>
      </rPr>
      <t xml:space="preserve"> Nidia Arizmendi
</t>
    </r>
    <r>
      <rPr>
        <sz val="10"/>
        <color theme="1"/>
        <rFont val="Calibri"/>
        <family val="2"/>
        <scheme val="minor"/>
      </rPr>
      <t xml:space="preserve">Email: </t>
    </r>
    <r>
      <rPr>
        <b/>
        <sz val="10"/>
        <color theme="1"/>
        <rFont val="Calibri"/>
        <family val="2"/>
        <scheme val="minor"/>
      </rPr>
      <t>mactransportacion@gmail.com</t>
    </r>
    <r>
      <rPr>
        <sz val="9"/>
        <color theme="1"/>
        <rFont val="Calibri"/>
        <family val="2"/>
        <scheme val="minor"/>
      </rPr>
      <t/>
    </r>
  </si>
  <si>
    <r>
      <rPr>
        <b/>
        <sz val="10"/>
        <color theme="1"/>
        <rFont val="Calibri"/>
        <family val="2"/>
        <scheme val="minor"/>
      </rPr>
      <t>MYA TRANSPORTES</t>
    </r>
    <r>
      <rPr>
        <sz val="10"/>
        <color theme="1"/>
        <rFont val="Calibri"/>
        <family val="2"/>
        <scheme val="minor"/>
      </rPr>
      <t>, S.A. DE C.V. 
(MOLIENDAS Y ALIMENTOS)</t>
    </r>
  </si>
  <si>
    <r>
      <t xml:space="preserve">Nombre de la Empresa: </t>
    </r>
    <r>
      <rPr>
        <b/>
        <sz val="10"/>
        <color theme="1"/>
        <rFont val="Calibri"/>
        <family val="2"/>
        <scheme val="minor"/>
      </rPr>
      <t xml:space="preserve">MYA TRANSPORTES S.A. DE C.V. </t>
    </r>
    <r>
      <rPr>
        <sz val="10"/>
        <color theme="1"/>
        <rFont val="Calibri"/>
        <family val="2"/>
        <scheme val="minor"/>
      </rPr>
      <t xml:space="preserve">
RFC. </t>
    </r>
    <r>
      <rPr>
        <b/>
        <sz val="10"/>
        <color theme="1"/>
        <rFont val="Calibri"/>
        <family val="2"/>
        <scheme val="minor"/>
      </rPr>
      <t xml:space="preserve">MTR0705245M3              </t>
    </r>
    <r>
      <rPr>
        <sz val="10"/>
        <color theme="1"/>
        <rFont val="Calibri"/>
        <family val="2"/>
        <scheme val="minor"/>
      </rPr>
      <t xml:space="preserve">CFDI: </t>
    </r>
    <r>
      <rPr>
        <b/>
        <sz val="10"/>
        <color theme="1"/>
        <rFont val="Calibri"/>
        <family val="2"/>
        <scheme val="minor"/>
      </rPr>
      <t>Por definir</t>
    </r>
    <r>
      <rPr>
        <sz val="10"/>
        <color theme="1"/>
        <rFont val="Calibri"/>
        <family val="2"/>
        <scheme val="minor"/>
      </rPr>
      <t xml:space="preserve">                                                                              Forma de Pago:</t>
    </r>
    <r>
      <rPr>
        <b/>
        <sz val="10"/>
        <color theme="1"/>
        <rFont val="Calibri"/>
        <family val="2"/>
        <scheme val="minor"/>
      </rPr>
      <t xml:space="preserve"> Cheque Bancario   </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81 8351 8283</t>
    </r>
    <r>
      <rPr>
        <sz val="10"/>
        <color theme="1"/>
        <rFont val="Calibri"/>
        <family val="2"/>
        <scheme val="minor"/>
      </rPr>
      <t xml:space="preserve">
Contacto: </t>
    </r>
    <r>
      <rPr>
        <b/>
        <sz val="10"/>
        <color theme="1"/>
        <rFont val="Calibri"/>
        <family val="2"/>
        <scheme val="minor"/>
      </rPr>
      <t>Srta. Elizabeth Garza / Sr. (s) Eduardo Garza / Emeterio Vargas.</t>
    </r>
    <r>
      <rPr>
        <sz val="10"/>
        <color theme="1"/>
        <rFont val="Calibri"/>
        <family val="2"/>
        <scheme val="minor"/>
      </rPr>
      <t xml:space="preserve">
Email: </t>
    </r>
    <r>
      <rPr>
        <b/>
        <sz val="10"/>
        <color theme="1"/>
        <rFont val="Calibri"/>
        <family val="2"/>
        <scheme val="minor"/>
      </rPr>
      <t xml:space="preserve">administracion@myatsa.com; evargas@moliendas.com; egarza@moliendas.com; garzacavazos@hotmail.com,   </t>
    </r>
    <r>
      <rPr>
        <sz val="10"/>
        <color theme="1"/>
        <rFont val="Calibri"/>
        <family val="2"/>
        <scheme val="minor"/>
      </rPr>
      <t xml:space="preserve">
</t>
    </r>
  </si>
  <si>
    <t xml:space="preserve">OEM SUPPLY </t>
  </si>
  <si>
    <r>
      <t>Nombre de la Empresa:</t>
    </r>
    <r>
      <rPr>
        <b/>
        <sz val="10"/>
        <color theme="1"/>
        <rFont val="Calibri"/>
        <family val="2"/>
        <scheme val="minor"/>
      </rPr>
      <t xml:space="preserve"> PACKET CAR DE MONTERREY S.A. DE C.V.</t>
    </r>
    <r>
      <rPr>
        <sz val="10"/>
        <color theme="1"/>
        <rFont val="Calibri"/>
        <family val="2"/>
        <scheme val="minor"/>
      </rPr>
      <t xml:space="preserve">
RFC. </t>
    </r>
    <r>
      <rPr>
        <b/>
        <sz val="10"/>
        <color theme="1"/>
        <rFont val="Calibri"/>
        <family val="2"/>
        <scheme val="minor"/>
      </rPr>
      <t xml:space="preserve">PCM200703M63               </t>
    </r>
    <r>
      <rPr>
        <sz val="10"/>
        <color theme="1"/>
        <rFont val="Calibri"/>
        <family val="2"/>
        <scheme val="minor"/>
      </rPr>
      <t>CFDI:</t>
    </r>
    <r>
      <rPr>
        <b/>
        <sz val="10"/>
        <color theme="1"/>
        <rFont val="Calibri"/>
        <family val="2"/>
        <scheme val="minor"/>
      </rPr>
      <t xml:space="preserve"> Por definir                                                                                        </t>
    </r>
    <r>
      <rPr>
        <sz val="10"/>
        <color theme="1"/>
        <rFont val="Calibri"/>
        <family val="2"/>
        <scheme val="minor"/>
      </rPr>
      <t xml:space="preserve"> 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811 722 2636</t>
    </r>
    <r>
      <rPr>
        <sz val="10"/>
        <color theme="1"/>
        <rFont val="Calibri"/>
        <family val="2"/>
        <scheme val="minor"/>
      </rPr>
      <t xml:space="preserve">
Contacto: </t>
    </r>
    <r>
      <rPr>
        <b/>
        <sz val="10"/>
        <color theme="1"/>
        <rFont val="Calibri"/>
        <family val="2"/>
        <scheme val="minor"/>
      </rPr>
      <t>Pablo Ernesto Cadena Acevedo</t>
    </r>
    <r>
      <rPr>
        <sz val="10"/>
        <color theme="1"/>
        <rFont val="Calibri"/>
        <family val="2"/>
        <scheme val="minor"/>
      </rPr>
      <t xml:space="preserve">
Email: </t>
    </r>
    <r>
      <rPr>
        <b/>
        <sz val="10"/>
        <color theme="1"/>
        <rFont val="Calibri"/>
        <family val="2"/>
        <scheme val="minor"/>
      </rPr>
      <t>docrem@hotmail.com</t>
    </r>
  </si>
  <si>
    <t xml:space="preserve">ROMAN GARZA GONZALEZ </t>
  </si>
  <si>
    <r>
      <t xml:space="preserve">Nombre de la Empresa: </t>
    </r>
    <r>
      <rPr>
        <b/>
        <sz val="10"/>
        <color theme="1"/>
        <rFont val="Calibri"/>
        <family val="2"/>
        <scheme val="minor"/>
      </rPr>
      <t xml:space="preserve">JUAN ANTONIO DE JESUS GARCIA RAMIREZ </t>
    </r>
    <r>
      <rPr>
        <sz val="10"/>
        <color theme="1"/>
        <rFont val="Calibri"/>
        <family val="2"/>
        <scheme val="minor"/>
      </rPr>
      <t xml:space="preserve">
RFC. </t>
    </r>
    <r>
      <rPr>
        <b/>
        <sz val="10"/>
        <color theme="1"/>
        <rFont val="Calibri"/>
        <family val="2"/>
        <scheme val="minor"/>
      </rPr>
      <t xml:space="preserve">GARJ810921FM4  </t>
    </r>
    <r>
      <rPr>
        <sz val="10"/>
        <color theme="1"/>
        <rFont val="Calibri"/>
        <family val="2"/>
        <scheme val="minor"/>
      </rPr>
      <t xml:space="preserve">CFDI : </t>
    </r>
    <r>
      <rPr>
        <b/>
        <sz val="10"/>
        <color theme="1"/>
        <rFont val="Calibri"/>
        <family val="2"/>
        <scheme val="minor"/>
      </rPr>
      <t>Por Definir</t>
    </r>
    <r>
      <rPr>
        <sz val="10"/>
        <color theme="1"/>
        <rFont val="Calibri"/>
        <family val="2"/>
        <scheme val="minor"/>
      </rPr>
      <t xml:space="preserve"> </t>
    </r>
    <r>
      <rPr>
        <b/>
        <sz val="10"/>
        <color theme="1"/>
        <rFont val="Calibri"/>
        <family val="2"/>
        <scheme val="minor"/>
      </rPr>
      <t xml:space="preserve">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3"/>
        <rFont val="Calibri"/>
        <family val="2"/>
        <scheme val="minor"/>
      </rPr>
      <t xml:space="preserve"> 811 155 2769</t>
    </r>
    <r>
      <rPr>
        <sz val="10"/>
        <color theme="1"/>
        <rFont val="Calibri"/>
        <family val="2"/>
        <scheme val="minor"/>
      </rPr>
      <t xml:space="preserve">
Contacto: </t>
    </r>
    <r>
      <rPr>
        <b/>
        <sz val="10"/>
        <color theme="1"/>
        <rFont val="Calibri"/>
        <family val="2"/>
        <scheme val="minor"/>
      </rPr>
      <t xml:space="preserve">Antonio García </t>
    </r>
    <r>
      <rPr>
        <sz val="10"/>
        <color theme="1"/>
        <rFont val="Calibri"/>
        <family val="2"/>
        <scheme val="minor"/>
      </rPr>
      <t xml:space="preserve">
Email:</t>
    </r>
    <r>
      <rPr>
        <b/>
        <sz val="10"/>
        <color theme="1"/>
        <rFont val="Calibri"/>
        <family val="2"/>
        <scheme val="minor"/>
      </rPr>
      <t xml:space="preserve"> antoniotransgar@hotmail.es</t>
    </r>
    <r>
      <rPr>
        <sz val="10"/>
        <color theme="1"/>
        <rFont val="Calibri"/>
        <family val="2"/>
        <scheme val="minor"/>
      </rPr>
      <t xml:space="preserve">
</t>
    </r>
  </si>
  <si>
    <r>
      <rPr>
        <b/>
        <sz val="10"/>
        <color theme="1"/>
        <rFont val="Calibri"/>
        <family val="2"/>
        <scheme val="minor"/>
      </rPr>
      <t>ABEL DE LA GARZA</t>
    </r>
    <r>
      <rPr>
        <sz val="10"/>
        <color theme="1"/>
        <rFont val="Calibri"/>
        <family val="2"/>
        <scheme val="minor"/>
      </rPr>
      <t xml:space="preserve"> GONZALEZ </t>
    </r>
  </si>
  <si>
    <r>
      <t xml:space="preserve">Nombre de la Empresa: </t>
    </r>
    <r>
      <rPr>
        <b/>
        <sz val="10"/>
        <color theme="1"/>
        <rFont val="Calibri"/>
        <family val="2"/>
        <scheme val="minor"/>
      </rPr>
      <t xml:space="preserve">ABEL DE LA GARZA GONZALEZ </t>
    </r>
    <r>
      <rPr>
        <sz val="10"/>
        <color theme="1"/>
        <rFont val="Calibri"/>
        <family val="2"/>
        <scheme val="minor"/>
      </rPr>
      <t xml:space="preserve">
RFC. </t>
    </r>
    <r>
      <rPr>
        <b/>
        <sz val="10"/>
        <color theme="1"/>
        <rFont val="Calibri"/>
        <family val="2"/>
        <scheme val="minor"/>
      </rPr>
      <t xml:space="preserve">GAGA450912PX9             </t>
    </r>
    <r>
      <rPr>
        <sz val="10"/>
        <color theme="1"/>
        <rFont val="Calibri"/>
        <family val="2"/>
        <scheme val="minor"/>
      </rPr>
      <t xml:space="preserve">CFDI: </t>
    </r>
    <r>
      <rPr>
        <b/>
        <sz val="10"/>
        <color theme="1"/>
        <rFont val="Calibri"/>
        <family val="2"/>
        <scheme val="minor"/>
      </rPr>
      <t xml:space="preserve">Por definir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b/>
        <sz val="10"/>
        <color theme="3"/>
        <rFont val="Calibri"/>
        <family val="2"/>
        <scheme val="minor"/>
      </rPr>
      <t xml:space="preserve"> 811 276 5083 / 81 8355 8859</t>
    </r>
    <r>
      <rPr>
        <sz val="10"/>
        <color theme="1"/>
        <rFont val="Calibri"/>
        <family val="2"/>
        <scheme val="minor"/>
      </rPr>
      <t xml:space="preserve">
Contacto:</t>
    </r>
    <r>
      <rPr>
        <b/>
        <sz val="10"/>
        <color theme="1"/>
        <rFont val="Calibri"/>
        <family val="2"/>
        <scheme val="minor"/>
      </rPr>
      <t xml:space="preserve"> Valeria de la Garza </t>
    </r>
    <r>
      <rPr>
        <sz val="10"/>
        <color theme="1"/>
        <rFont val="Calibri"/>
        <family val="2"/>
        <scheme val="minor"/>
      </rPr>
      <t xml:space="preserve">
Email: </t>
    </r>
    <r>
      <rPr>
        <b/>
        <sz val="10"/>
        <color theme="1"/>
        <rFont val="Calibri"/>
        <family val="2"/>
        <scheme val="minor"/>
      </rPr>
      <t>administracion@liftdepot.mx</t>
    </r>
    <r>
      <rPr>
        <sz val="10"/>
        <color theme="1"/>
        <rFont val="Calibri"/>
        <family val="2"/>
        <scheme val="minor"/>
      </rPr>
      <t xml:space="preserve">   
</t>
    </r>
  </si>
  <si>
    <r>
      <rPr>
        <b/>
        <sz val="10"/>
        <color theme="1"/>
        <rFont val="Calibri"/>
        <family val="2"/>
        <scheme val="minor"/>
      </rPr>
      <t>APFEL CAPITAL</t>
    </r>
    <r>
      <rPr>
        <sz val="10"/>
        <color theme="1"/>
        <rFont val="Calibri"/>
        <family val="2"/>
        <scheme val="minor"/>
      </rPr>
      <t>, S.A. DE C.V. 
(Sr. MARCO)</t>
    </r>
  </si>
  <si>
    <r>
      <t xml:space="preserve">Nombre de la Empresa: </t>
    </r>
    <r>
      <rPr>
        <b/>
        <sz val="10"/>
        <color theme="1"/>
        <rFont val="Calibri"/>
        <family val="2"/>
        <scheme val="minor"/>
      </rPr>
      <t xml:space="preserve">APFEL CAPITAL SAPI S.A. DE C.V. </t>
    </r>
    <r>
      <rPr>
        <sz val="10"/>
        <color theme="1"/>
        <rFont val="Calibri"/>
        <family val="2"/>
        <scheme val="minor"/>
      </rPr>
      <t xml:space="preserve">
RFC.: </t>
    </r>
    <r>
      <rPr>
        <b/>
        <sz val="10"/>
        <color theme="1"/>
        <rFont val="Calibri"/>
        <family val="2"/>
        <scheme val="minor"/>
      </rPr>
      <t xml:space="preserve">ACA150601N42                               </t>
    </r>
    <r>
      <rPr>
        <sz val="10"/>
        <color theme="1"/>
        <rFont val="Calibri"/>
        <family val="2"/>
        <scheme val="minor"/>
      </rPr>
      <t xml:space="preserve">CFDI: </t>
    </r>
    <r>
      <rPr>
        <b/>
        <sz val="10"/>
        <color theme="1"/>
        <rFont val="Calibri"/>
        <family val="2"/>
        <scheme val="minor"/>
      </rPr>
      <t xml:space="preserve">Por definir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818 259 6045 / 811 208 8585</t>
    </r>
    <r>
      <rPr>
        <sz val="10"/>
        <color theme="1"/>
        <rFont val="Calibri"/>
        <family val="2"/>
        <scheme val="minor"/>
      </rPr>
      <t xml:space="preserve">
Contacto: </t>
    </r>
    <r>
      <rPr>
        <b/>
        <sz val="10"/>
        <color theme="1"/>
        <rFont val="Calibri"/>
        <family val="2"/>
        <scheme val="minor"/>
      </rPr>
      <t xml:space="preserve">Aurora Banda / Mario del Ángel </t>
    </r>
    <r>
      <rPr>
        <sz val="10"/>
        <color theme="1"/>
        <rFont val="Calibri"/>
        <family val="2"/>
        <scheme val="minor"/>
      </rPr>
      <t xml:space="preserve">
Email: </t>
    </r>
    <r>
      <rPr>
        <b/>
        <sz val="10"/>
        <color theme="1"/>
        <rFont val="Calibri"/>
        <family val="2"/>
        <scheme val="minor"/>
      </rPr>
      <t>abanda@apfel.com.mx; mdelangel@apfel.com.mx:</t>
    </r>
    <r>
      <rPr>
        <sz val="10"/>
        <color theme="1"/>
        <rFont val="Calibri"/>
        <family val="2"/>
        <scheme val="minor"/>
      </rPr>
      <t xml:space="preserve">   
</t>
    </r>
  </si>
  <si>
    <r>
      <rPr>
        <b/>
        <sz val="10"/>
        <color theme="1"/>
        <rFont val="Calibri"/>
        <family val="2"/>
        <scheme val="minor"/>
      </rPr>
      <t>AUTO LINEAS MERCURIO</t>
    </r>
    <r>
      <rPr>
        <sz val="10"/>
        <color theme="1"/>
        <rFont val="Calibri"/>
        <family val="2"/>
        <scheme val="minor"/>
      </rPr>
      <t>, S.A. DE C.V.</t>
    </r>
  </si>
  <si>
    <r>
      <t xml:space="preserve">Nombre de la Empresa: </t>
    </r>
    <r>
      <rPr>
        <b/>
        <sz val="10"/>
        <color theme="1"/>
        <rFont val="Calibri"/>
        <family val="2"/>
        <scheme val="minor"/>
      </rPr>
      <t>AUTO LINEAS MERCURIO S.A. DE C.V.</t>
    </r>
    <r>
      <rPr>
        <sz val="10"/>
        <color theme="1"/>
        <rFont val="Calibri"/>
        <family val="2"/>
        <scheme val="minor"/>
      </rPr>
      <t xml:space="preserve">
RFC. </t>
    </r>
    <r>
      <rPr>
        <b/>
        <sz val="10"/>
        <color theme="1"/>
        <rFont val="Calibri"/>
        <family val="2"/>
        <scheme val="minor"/>
      </rPr>
      <t>ALM150204CV3</t>
    </r>
    <r>
      <rPr>
        <sz val="10"/>
        <color theme="1"/>
        <rFont val="Calibri"/>
        <family val="2"/>
        <scheme val="minor"/>
      </rPr>
      <t xml:space="preserve">      CFDI: </t>
    </r>
    <r>
      <rPr>
        <b/>
        <sz val="10"/>
        <color theme="1"/>
        <rFont val="Calibri"/>
        <family val="2"/>
        <scheme val="minor"/>
      </rPr>
      <t xml:space="preserve">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811 370  8479</t>
    </r>
    <r>
      <rPr>
        <sz val="10"/>
        <color theme="1"/>
        <rFont val="Calibri"/>
        <family val="2"/>
        <scheme val="minor"/>
      </rPr>
      <t xml:space="preserve">
Contacto: </t>
    </r>
    <r>
      <rPr>
        <b/>
        <sz val="10"/>
        <color theme="1"/>
        <rFont val="Calibri"/>
        <family val="2"/>
        <scheme val="minor"/>
      </rPr>
      <t xml:space="preserve">Javier Montemayor </t>
    </r>
    <r>
      <rPr>
        <sz val="10"/>
        <color theme="1"/>
        <rFont val="Calibri"/>
        <family val="2"/>
        <scheme val="minor"/>
      </rPr>
      <t xml:space="preserve">
Email:</t>
    </r>
    <r>
      <rPr>
        <b/>
        <sz val="10"/>
        <color theme="1"/>
        <rFont val="Calibri"/>
        <family val="2"/>
        <scheme val="minor"/>
      </rPr>
      <t xml:space="preserve"> javiermv@grupomercurio.com    </t>
    </r>
    <r>
      <rPr>
        <sz val="10"/>
        <color theme="1"/>
        <rFont val="Calibri"/>
        <family val="2"/>
        <scheme val="minor"/>
      </rPr>
      <t xml:space="preserve">
</t>
    </r>
  </si>
  <si>
    <r>
      <t>BROTHERS DOING BUSINESS &amp; SERVICES, S.A. DE C.V.
(</t>
    </r>
    <r>
      <rPr>
        <b/>
        <sz val="10"/>
        <color theme="1"/>
        <rFont val="Calibri"/>
        <family val="2"/>
        <scheme val="minor"/>
      </rPr>
      <t>B. D. B.</t>
    </r>
    <r>
      <rPr>
        <sz val="10"/>
        <color theme="1"/>
        <rFont val="Calibri"/>
        <family val="2"/>
        <scheme val="minor"/>
      </rPr>
      <t xml:space="preserve"> COMPANY)</t>
    </r>
  </si>
  <si>
    <r>
      <t>Nombre de la Empresa:</t>
    </r>
    <r>
      <rPr>
        <b/>
        <sz val="10"/>
        <color theme="1"/>
        <rFont val="Calibri"/>
        <family val="2"/>
        <scheme val="minor"/>
      </rPr>
      <t xml:space="preserve"> BROTHERS DOING BUSINESS &amp; SERVICES S.A. DE C.V.</t>
    </r>
    <r>
      <rPr>
        <sz val="10"/>
        <color theme="1"/>
        <rFont val="Calibri"/>
        <family val="2"/>
        <scheme val="minor"/>
      </rPr>
      <t xml:space="preserve">
RFC. </t>
    </r>
    <r>
      <rPr>
        <b/>
        <sz val="10"/>
        <color theme="1"/>
        <rFont val="Calibri"/>
        <family val="2"/>
        <scheme val="minor"/>
      </rPr>
      <t xml:space="preserve">BDB180810B92    </t>
    </r>
    <r>
      <rPr>
        <sz val="10"/>
        <color theme="1"/>
        <rFont val="Calibri"/>
        <family val="2"/>
        <scheme val="minor"/>
      </rPr>
      <t xml:space="preserve">CFDI : </t>
    </r>
    <r>
      <rPr>
        <b/>
        <sz val="10"/>
        <color theme="1"/>
        <rFont val="Calibri"/>
        <family val="2"/>
        <scheme val="minor"/>
      </rPr>
      <t xml:space="preserve">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 xml:space="preserve">Teléfono: </t>
    </r>
    <r>
      <rPr>
        <b/>
        <sz val="10"/>
        <color theme="3"/>
        <rFont val="Calibri"/>
        <family val="2"/>
        <scheme val="minor"/>
      </rPr>
      <t>813 538 0343 / 811 600 8738</t>
    </r>
    <r>
      <rPr>
        <sz val="10"/>
        <color theme="1"/>
        <rFont val="Calibri"/>
        <family val="2"/>
        <scheme val="minor"/>
      </rPr>
      <t xml:space="preserve">
Contacto: </t>
    </r>
    <r>
      <rPr>
        <b/>
        <sz val="10"/>
        <color theme="1"/>
        <rFont val="Calibri"/>
        <family val="2"/>
        <scheme val="minor"/>
      </rPr>
      <t xml:space="preserve">José Hernández / </t>
    </r>
    <r>
      <rPr>
        <b/>
        <sz val="10"/>
        <color rgb="FFFF0000"/>
        <rFont val="Calibri"/>
        <family val="2"/>
        <scheme val="minor"/>
      </rPr>
      <t xml:space="preserve">Rocío Caballero </t>
    </r>
    <r>
      <rPr>
        <sz val="10"/>
        <color rgb="FFFF0000"/>
        <rFont val="Calibri"/>
        <family val="2"/>
        <scheme val="minor"/>
      </rPr>
      <t xml:space="preserve"> 8116008738</t>
    </r>
    <r>
      <rPr>
        <sz val="10"/>
        <color theme="1"/>
        <rFont val="Calibri"/>
        <family val="2"/>
        <scheme val="minor"/>
      </rPr>
      <t xml:space="preserve">
Email: </t>
    </r>
    <r>
      <rPr>
        <b/>
        <sz val="10"/>
        <color theme="1"/>
        <rFont val="Calibri"/>
        <family val="2"/>
        <scheme val="minor"/>
      </rPr>
      <t xml:space="preserve">crocio@bdbcompany.com; jhernandez@bdbcompany.com; </t>
    </r>
    <r>
      <rPr>
        <sz val="10"/>
        <color theme="1"/>
        <rFont val="Calibri"/>
        <family val="2"/>
        <scheme val="minor"/>
      </rPr>
      <t xml:space="preserve">
</t>
    </r>
  </si>
  <si>
    <t xml:space="preserve">CONDOMINIO MOLL DEL VALLE </t>
  </si>
  <si>
    <r>
      <rPr>
        <sz val="10"/>
        <color theme="1"/>
        <rFont val="Calibri"/>
        <family val="2"/>
        <scheme val="minor"/>
      </rPr>
      <t>Nombre de la Empresa:</t>
    </r>
    <r>
      <rPr>
        <b/>
        <sz val="10"/>
        <color theme="1"/>
        <rFont val="Calibri"/>
        <family val="2"/>
        <scheme val="minor"/>
      </rPr>
      <t xml:space="preserve"> MOLL DEL VALLE
</t>
    </r>
    <r>
      <rPr>
        <sz val="10"/>
        <color theme="1"/>
        <rFont val="Calibri"/>
        <family val="2"/>
        <scheme val="minor"/>
      </rPr>
      <t xml:space="preserve">RFC. </t>
    </r>
    <r>
      <rPr>
        <b/>
        <sz val="10"/>
        <color theme="1"/>
        <rFont val="Calibri"/>
        <family val="2"/>
        <scheme val="minor"/>
      </rPr>
      <t xml:space="preserve">CMV841219N26  </t>
    </r>
    <r>
      <rPr>
        <sz val="10"/>
        <color theme="1"/>
        <rFont val="Calibri"/>
        <family val="2"/>
        <scheme val="minor"/>
      </rPr>
      <t>CFDI:</t>
    </r>
    <r>
      <rPr>
        <b/>
        <sz val="10"/>
        <color theme="1"/>
        <rFont val="Calibri"/>
        <family val="2"/>
        <scheme val="minor"/>
      </rPr>
      <t xml:space="preserve"> Comunicaciones satelitales
</t>
    </r>
    <r>
      <rPr>
        <sz val="10"/>
        <color theme="1"/>
        <rFont val="Calibri"/>
        <family val="2"/>
        <scheme val="minor"/>
      </rPr>
      <t>Contacto:</t>
    </r>
    <r>
      <rPr>
        <b/>
        <sz val="10"/>
        <color theme="1"/>
        <rFont val="Calibri"/>
        <family val="2"/>
        <scheme val="minor"/>
      </rPr>
      <t xml:space="preserve"> Janeth Correa / Víctor Torres / Jesús Cortes 
</t>
    </r>
    <r>
      <rPr>
        <sz val="10"/>
        <color theme="1"/>
        <rFont val="Calibri"/>
        <family val="2"/>
        <scheme val="minor"/>
      </rPr>
      <t>Email</t>
    </r>
    <r>
      <rPr>
        <b/>
        <sz val="10"/>
        <color theme="1"/>
        <rFont val="Calibri"/>
        <family val="2"/>
        <scheme val="minor"/>
      </rPr>
      <t xml:space="preserve">: pagos@molldelvalle.com; compras@molldelvalle.com;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811 814 9656 / 811 497 7586 / 811 911 1248</t>
    </r>
    <r>
      <rPr>
        <b/>
        <sz val="10"/>
        <color theme="1"/>
        <rFont val="Calibri"/>
        <family val="2"/>
        <scheme val="minor"/>
      </rPr>
      <t xml:space="preserve">
</t>
    </r>
  </si>
  <si>
    <r>
      <rPr>
        <b/>
        <sz val="10"/>
        <color theme="1"/>
        <rFont val="Calibri"/>
        <family val="2"/>
        <scheme val="minor"/>
      </rPr>
      <t>ELEMOC</t>
    </r>
    <r>
      <rPr>
        <sz val="10"/>
        <color theme="1"/>
        <rFont val="Calibri"/>
        <family val="2"/>
        <scheme val="minor"/>
      </rPr>
      <t xml:space="preserve"> Integral Services, S.A. de C.V. </t>
    </r>
  </si>
  <si>
    <r>
      <t xml:space="preserve">Nombre de la Empresa: </t>
    </r>
    <r>
      <rPr>
        <b/>
        <sz val="10"/>
        <color theme="1"/>
        <rFont val="Calibri"/>
        <family val="2"/>
        <scheme val="minor"/>
      </rPr>
      <t xml:space="preserve">ELEMOC INTEGRAL SERVICES S.A. DE C.V. </t>
    </r>
    <r>
      <rPr>
        <sz val="10"/>
        <color theme="1"/>
        <rFont val="Calibri"/>
        <family val="2"/>
        <scheme val="minor"/>
      </rPr>
      <t xml:space="preserve">
RFC. </t>
    </r>
    <r>
      <rPr>
        <b/>
        <sz val="10"/>
        <color theme="1"/>
        <rFont val="Calibri"/>
        <family val="2"/>
        <scheme val="minor"/>
      </rPr>
      <t xml:space="preserve">EIS1210046A9                 </t>
    </r>
    <r>
      <rPr>
        <sz val="10"/>
        <color theme="1"/>
        <rFont val="Calibri"/>
        <family val="2"/>
        <scheme val="minor"/>
      </rPr>
      <t>CFDI:</t>
    </r>
    <r>
      <rPr>
        <b/>
        <sz val="10"/>
        <color theme="1"/>
        <rFont val="Calibri"/>
        <family val="2"/>
        <scheme val="minor"/>
      </rPr>
      <t xml:space="preserve"> Por definir</t>
    </r>
    <r>
      <rPr>
        <sz val="10"/>
        <color theme="1"/>
        <rFont val="Calibri"/>
        <family val="2"/>
        <scheme val="minor"/>
      </rPr>
      <t xml:space="preserve">
Contacto: </t>
    </r>
    <r>
      <rPr>
        <b/>
        <sz val="10"/>
        <color theme="1"/>
        <rFont val="Calibri"/>
        <family val="2"/>
        <scheme val="minor"/>
      </rPr>
      <t>Jesús Ochoa / Srta. Mónica Quiroga</t>
    </r>
    <r>
      <rPr>
        <sz val="10"/>
        <color theme="1"/>
        <rFont val="Calibri"/>
        <family val="2"/>
        <scheme val="minor"/>
      </rPr>
      <t xml:space="preserve">
Email: </t>
    </r>
    <r>
      <rPr>
        <b/>
        <sz val="10"/>
        <color theme="1"/>
        <rFont val="Calibri"/>
        <family val="2"/>
        <scheme val="minor"/>
      </rPr>
      <t xml:space="preserve">monica.quiroga@integralservices.mx; facturacion@integralservices.mx; </t>
    </r>
    <r>
      <rPr>
        <sz val="10"/>
        <color theme="1"/>
        <rFont val="Calibri"/>
        <family val="2"/>
        <scheme val="minor"/>
      </rPr>
      <t xml:space="preserve">
Teléfono:</t>
    </r>
    <r>
      <rPr>
        <b/>
        <sz val="10"/>
        <color rgb="FF0070C0"/>
        <rFont val="Calibri"/>
        <family val="2"/>
        <scheme val="minor"/>
      </rPr>
      <t xml:space="preserve"> </t>
    </r>
    <r>
      <rPr>
        <b/>
        <sz val="10"/>
        <color theme="4" tint="-0.249977111117893"/>
        <rFont val="Calibri"/>
        <family val="2"/>
        <scheme val="minor"/>
      </rPr>
      <t>818 656 2103 / 811 350 8746</t>
    </r>
  </si>
  <si>
    <r>
      <rPr>
        <b/>
        <sz val="10"/>
        <color theme="1"/>
        <rFont val="Calibri"/>
        <family val="2"/>
        <scheme val="minor"/>
      </rPr>
      <t xml:space="preserve">ERESOM </t>
    </r>
    <r>
      <rPr>
        <sz val="10"/>
        <color theme="1"/>
        <rFont val="Calibri"/>
        <family val="2"/>
        <scheme val="minor"/>
      </rPr>
      <t xml:space="preserve">LATINOAMERICA, S.A. DE C.V.  (CAFÉ) </t>
    </r>
  </si>
  <si>
    <r>
      <t xml:space="preserve">Nombre de la Empresa: </t>
    </r>
    <r>
      <rPr>
        <b/>
        <sz val="10"/>
        <color theme="1"/>
        <rFont val="Calibri"/>
        <family val="2"/>
        <scheme val="minor"/>
      </rPr>
      <t>ERESOM LATINOAMERICA S.A. DE C.V</t>
    </r>
    <r>
      <rPr>
        <sz val="10"/>
        <color theme="1"/>
        <rFont val="Calibri"/>
        <family val="2"/>
        <scheme val="minor"/>
      </rPr>
      <t xml:space="preserve">. 
RFC. </t>
    </r>
    <r>
      <rPr>
        <b/>
        <sz val="10"/>
        <color theme="1"/>
        <rFont val="Calibri"/>
        <family val="2"/>
        <scheme val="minor"/>
      </rPr>
      <t xml:space="preserve">ELA170427C87     </t>
    </r>
    <r>
      <rPr>
        <sz val="10"/>
        <color theme="1"/>
        <rFont val="Calibri"/>
        <family val="2"/>
        <scheme val="minor"/>
      </rPr>
      <t xml:space="preserve">CFDI: </t>
    </r>
    <r>
      <rPr>
        <b/>
        <sz val="10"/>
        <color theme="1"/>
        <rFont val="Calibri"/>
        <family val="2"/>
        <scheme val="minor"/>
      </rPr>
      <t>Gastos en general</t>
    </r>
    <r>
      <rPr>
        <sz val="10"/>
        <color theme="1"/>
        <rFont val="Calibri"/>
        <family val="2"/>
        <scheme val="minor"/>
      </rPr>
      <t xml:space="preserve">
Contacto: </t>
    </r>
    <r>
      <rPr>
        <b/>
        <sz val="10"/>
        <color theme="1"/>
        <rFont val="Calibri"/>
        <family val="2"/>
        <scheme val="minor"/>
      </rPr>
      <t>Karla Castillo /  Andrés Martínez</t>
    </r>
    <r>
      <rPr>
        <sz val="10"/>
        <color theme="1"/>
        <rFont val="Calibri"/>
        <family val="2"/>
        <scheme val="minor"/>
      </rPr>
      <t xml:space="preserve">
Email: </t>
    </r>
    <r>
      <rPr>
        <b/>
        <sz val="10"/>
        <color theme="1"/>
        <rFont val="Calibri"/>
        <family val="2"/>
        <scheme val="minor"/>
      </rPr>
      <t xml:space="preserve">karla.castillo@grupocensere.com; andres.martinez@grupomosere.com; </t>
    </r>
    <r>
      <rPr>
        <sz val="10"/>
        <color theme="1"/>
        <rFont val="Calibri"/>
        <family val="2"/>
        <scheme val="minor"/>
      </rPr>
      <t xml:space="preserve">
Teléfono:</t>
    </r>
    <r>
      <rPr>
        <sz val="10"/>
        <color theme="4" tint="-0.249977111117893"/>
        <rFont val="Calibri"/>
        <family val="2"/>
        <scheme val="minor"/>
      </rPr>
      <t xml:space="preserve"> </t>
    </r>
    <r>
      <rPr>
        <b/>
        <sz val="10"/>
        <color theme="4" tint="-0.249977111117893"/>
        <rFont val="Calibri"/>
        <family val="2"/>
        <scheme val="minor"/>
      </rPr>
      <t>811 465 0255 / 811 301 5807</t>
    </r>
  </si>
  <si>
    <t xml:space="preserve">GRUPO TTM </t>
  </si>
  <si>
    <r>
      <rPr>
        <sz val="10"/>
        <color theme="1"/>
        <rFont val="Calibri"/>
        <family val="2"/>
        <scheme val="minor"/>
      </rPr>
      <t>Nombre de la Empresa:</t>
    </r>
    <r>
      <rPr>
        <b/>
        <sz val="10"/>
        <color theme="1"/>
        <rFont val="Calibri"/>
        <family val="2"/>
        <scheme val="minor"/>
      </rPr>
      <t xml:space="preserve"> GRUPO LOGISTICO TTM S.A. DE C.V. 
</t>
    </r>
    <r>
      <rPr>
        <sz val="10"/>
        <color theme="1"/>
        <rFont val="Calibri"/>
        <family val="2"/>
        <scheme val="minor"/>
      </rPr>
      <t>RFC.:</t>
    </r>
    <r>
      <rPr>
        <b/>
        <sz val="10"/>
        <color theme="1"/>
        <rFont val="Calibri"/>
        <family val="2"/>
        <scheme val="minor"/>
      </rPr>
      <t xml:space="preserve"> GLT181025NA5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Contacto</t>
    </r>
    <r>
      <rPr>
        <b/>
        <sz val="10"/>
        <color theme="1"/>
        <rFont val="Calibri"/>
        <family val="2"/>
        <scheme val="minor"/>
      </rPr>
      <t xml:space="preserve">: Luis López / Daniel         </t>
    </r>
    <r>
      <rPr>
        <sz val="10"/>
        <color theme="1"/>
        <rFont val="Calibri"/>
        <family val="2"/>
        <scheme val="minor"/>
      </rPr>
      <t>Teléfono:</t>
    </r>
    <r>
      <rPr>
        <b/>
        <sz val="10"/>
        <color theme="4" tint="-0.249977111117893"/>
        <rFont val="Calibri"/>
        <family val="2"/>
        <scheme val="minor"/>
      </rPr>
      <t xml:space="preserve"> 818 287 8631 / 818 078 0410</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llopez@ttmonterrey.mx; facturas@ttmonterrey.mx; 
</t>
    </r>
  </si>
  <si>
    <t>HUMBERTO CARLOS CASTRO AGUILAR</t>
  </si>
  <si>
    <r>
      <rPr>
        <sz val="10"/>
        <color theme="1"/>
        <rFont val="Calibri"/>
        <family val="2"/>
        <scheme val="minor"/>
      </rPr>
      <t xml:space="preserve">Nombre de la Empresa: </t>
    </r>
    <r>
      <rPr>
        <b/>
        <sz val="10"/>
        <color theme="1"/>
        <rFont val="Calibri"/>
        <family val="2"/>
        <scheme val="minor"/>
      </rPr>
      <t xml:space="preserve">HUMBERTO CARLOS CASTRO AGUILAR 
</t>
    </r>
    <r>
      <rPr>
        <sz val="10"/>
        <color theme="1"/>
        <rFont val="Calibri"/>
        <family val="2"/>
        <scheme val="minor"/>
      </rPr>
      <t>R.F.C. :</t>
    </r>
    <r>
      <rPr>
        <b/>
        <sz val="10"/>
        <color theme="1"/>
        <rFont val="Calibri"/>
        <family val="2"/>
        <scheme val="minor"/>
      </rPr>
      <t xml:space="preserve"> CAAH9004017W7      </t>
    </r>
    <r>
      <rPr>
        <sz val="10"/>
        <color theme="1"/>
        <rFont val="Calibri"/>
        <family val="2"/>
        <scheme val="minor"/>
      </rPr>
      <t xml:space="preserve">CFDI: </t>
    </r>
    <r>
      <rPr>
        <b/>
        <sz val="10"/>
        <color theme="1"/>
        <rFont val="Calibri"/>
        <family val="2"/>
        <scheme val="minor"/>
      </rPr>
      <t xml:space="preserve">Por definir
</t>
    </r>
    <r>
      <rPr>
        <sz val="10"/>
        <color theme="1"/>
        <rFont val="Calibri"/>
        <family val="2"/>
        <scheme val="minor"/>
      </rPr>
      <t>Contacto:</t>
    </r>
    <r>
      <rPr>
        <b/>
        <sz val="10"/>
        <color theme="1"/>
        <rFont val="Calibri"/>
        <family val="2"/>
        <scheme val="minor"/>
      </rPr>
      <t xml:space="preserve"> Humberto Carlos Castro Aguilar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811 208 9017</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humbertocastroaguilar@hotmail.com   
</t>
    </r>
  </si>
  <si>
    <r>
      <rPr>
        <b/>
        <sz val="10"/>
        <color theme="1"/>
        <rFont val="Calibri"/>
        <family val="2"/>
        <scheme val="minor"/>
      </rPr>
      <t>JOSE ADRIAN TREVIÑO ROCHA</t>
    </r>
    <r>
      <rPr>
        <sz val="10"/>
        <color theme="1"/>
        <rFont val="Calibri"/>
        <family val="2"/>
        <scheme val="minor"/>
      </rPr>
      <t xml:space="preserve">
(Fernando Serrano)</t>
    </r>
  </si>
  <si>
    <r>
      <t xml:space="preserve">Nombre de la Empresa: </t>
    </r>
    <r>
      <rPr>
        <b/>
        <sz val="10"/>
        <color theme="1"/>
        <rFont val="Calibri"/>
        <family val="2"/>
        <scheme val="minor"/>
      </rPr>
      <t>JOSE ADRIAN TREVIÑO ROCHA</t>
    </r>
    <r>
      <rPr>
        <sz val="10"/>
        <color theme="1"/>
        <rFont val="Calibri"/>
        <family val="2"/>
        <scheme val="minor"/>
      </rPr>
      <t xml:space="preserve">
RFC. </t>
    </r>
    <r>
      <rPr>
        <b/>
        <sz val="10"/>
        <color theme="1"/>
        <rFont val="Calibri"/>
        <family val="2"/>
        <scheme val="minor"/>
      </rPr>
      <t xml:space="preserve">TERA9101235J8  </t>
    </r>
    <r>
      <rPr>
        <sz val="10"/>
        <color theme="1"/>
        <rFont val="Calibri"/>
        <family val="2"/>
        <scheme val="minor"/>
      </rPr>
      <t xml:space="preserve">CFDI: </t>
    </r>
    <r>
      <rPr>
        <b/>
        <sz val="10"/>
        <color theme="1"/>
        <rFont val="Calibri"/>
        <family val="2"/>
        <scheme val="minor"/>
      </rPr>
      <t>Gastos en general</t>
    </r>
    <r>
      <rPr>
        <sz val="10"/>
        <color theme="1"/>
        <rFont val="Calibri"/>
        <family val="2"/>
        <scheme val="minor"/>
      </rPr>
      <t xml:space="preserve">
Contacto: </t>
    </r>
    <r>
      <rPr>
        <b/>
        <sz val="10"/>
        <color theme="1"/>
        <rFont val="Calibri"/>
        <family val="2"/>
        <scheme val="minor"/>
      </rPr>
      <t xml:space="preserve">José Adrián Treviño Rocha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811 977 6190</t>
    </r>
    <r>
      <rPr>
        <sz val="10"/>
        <color theme="1"/>
        <rFont val="Calibri"/>
        <family val="2"/>
        <scheme val="minor"/>
      </rPr>
      <t xml:space="preserve">
Email: </t>
    </r>
    <r>
      <rPr>
        <b/>
        <sz val="10"/>
        <color theme="1"/>
        <rFont val="Calibri"/>
        <family val="2"/>
        <scheme val="minor"/>
      </rPr>
      <t xml:space="preserve">jose.trevr@gmail.com   </t>
    </r>
  </si>
  <si>
    <r>
      <t>JOSE LUIS ALMAGUER GONZALEZ
(</t>
    </r>
    <r>
      <rPr>
        <b/>
        <sz val="10"/>
        <color theme="1"/>
        <rFont val="Calibri"/>
        <family val="2"/>
        <scheme val="minor"/>
      </rPr>
      <t>TRANSPORTES ALMAGUER</t>
    </r>
    <r>
      <rPr>
        <sz val="10"/>
        <color theme="1"/>
        <rFont val="Calibri"/>
        <family val="2"/>
        <scheme val="minor"/>
      </rPr>
      <t>)</t>
    </r>
  </si>
  <si>
    <r>
      <t xml:space="preserve">Nombre de la Empresa: </t>
    </r>
    <r>
      <rPr>
        <b/>
        <sz val="10"/>
        <color theme="1"/>
        <rFont val="Calibri"/>
        <family val="2"/>
        <scheme val="minor"/>
      </rPr>
      <t>JOSE LUIS ALMAGUER GONZALEZ</t>
    </r>
    <r>
      <rPr>
        <sz val="10"/>
        <color theme="1"/>
        <rFont val="Calibri"/>
        <family val="2"/>
        <scheme val="minor"/>
      </rPr>
      <t xml:space="preserve">
RFC. </t>
    </r>
    <r>
      <rPr>
        <b/>
        <sz val="10"/>
        <color theme="1"/>
        <rFont val="Calibri"/>
        <family val="2"/>
        <scheme val="minor"/>
      </rPr>
      <t xml:space="preserve">AAGL831231LB3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 xml:space="preserve">
Contacto: </t>
    </r>
    <r>
      <rPr>
        <b/>
        <sz val="10"/>
        <color theme="1"/>
        <rFont val="Calibri"/>
        <family val="2"/>
        <scheme val="minor"/>
      </rPr>
      <t xml:space="preserve">José Luis Almaguer González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811 185 5133</t>
    </r>
    <r>
      <rPr>
        <sz val="10"/>
        <color theme="1"/>
        <rFont val="Calibri"/>
        <family val="2"/>
        <scheme val="minor"/>
      </rPr>
      <t xml:space="preserve">
Email: </t>
    </r>
    <r>
      <rPr>
        <b/>
        <sz val="10"/>
        <color theme="1"/>
        <rFont val="Calibri"/>
        <family val="2"/>
        <scheme val="minor"/>
      </rPr>
      <t xml:space="preserve">traileroalmaguer@gmail.com;  </t>
    </r>
  </si>
  <si>
    <r>
      <rPr>
        <sz val="10"/>
        <color theme="1"/>
        <rFont val="Calibri"/>
        <family val="2"/>
        <scheme val="minor"/>
      </rPr>
      <t>Nombre de la Empresa:</t>
    </r>
    <r>
      <rPr>
        <b/>
        <sz val="10"/>
        <color theme="1"/>
        <rFont val="Calibri"/>
        <family val="2"/>
        <scheme val="minor"/>
      </rPr>
      <t xml:space="preserve"> LUIS CARLOS CABELLO MARROQUIN
</t>
    </r>
    <r>
      <rPr>
        <sz val="10"/>
        <color theme="1"/>
        <rFont val="Calibri"/>
        <family val="2"/>
        <scheme val="minor"/>
      </rPr>
      <t>RFC.:</t>
    </r>
    <r>
      <rPr>
        <b/>
        <sz val="10"/>
        <color theme="1"/>
        <rFont val="Calibri"/>
        <family val="2"/>
        <scheme val="minor"/>
      </rPr>
      <t xml:space="preserve"> CAML680426629       </t>
    </r>
    <r>
      <rPr>
        <sz val="10"/>
        <color theme="1"/>
        <rFont val="Calibri"/>
        <family val="2"/>
        <scheme val="minor"/>
      </rPr>
      <t xml:space="preserve">CFDI: </t>
    </r>
    <r>
      <rPr>
        <b/>
        <sz val="10"/>
        <color theme="1"/>
        <rFont val="Calibri"/>
        <family val="2"/>
        <scheme val="minor"/>
      </rPr>
      <t xml:space="preserve">Por Definir
</t>
    </r>
    <r>
      <rPr>
        <sz val="10"/>
        <color theme="1"/>
        <rFont val="Calibri"/>
        <family val="2"/>
        <scheme val="minor"/>
      </rPr>
      <t>Contacto:</t>
    </r>
    <r>
      <rPr>
        <b/>
        <sz val="10"/>
        <color theme="1"/>
        <rFont val="Calibri"/>
        <family val="2"/>
        <scheme val="minor"/>
      </rPr>
      <t xml:space="preserve"> Luis Carlos Cabello Marroquín               </t>
    </r>
    <r>
      <rPr>
        <sz val="10"/>
        <color theme="1"/>
        <rFont val="Calibri"/>
        <family val="2"/>
        <scheme val="minor"/>
      </rPr>
      <t>Teléfono:</t>
    </r>
    <r>
      <rPr>
        <b/>
        <sz val="10"/>
        <color theme="4"/>
        <rFont val="Calibri"/>
        <family val="2"/>
        <scheme val="minor"/>
      </rPr>
      <t xml:space="preserve"> </t>
    </r>
    <r>
      <rPr>
        <b/>
        <sz val="10"/>
        <color theme="4" tint="-0.249977111117893"/>
        <rFont val="Calibri"/>
        <family val="2"/>
        <scheme val="minor"/>
      </rPr>
      <t>818 162 3142</t>
    </r>
    <r>
      <rPr>
        <b/>
        <sz val="10"/>
        <color theme="1"/>
        <rFont val="Calibri"/>
        <family val="2"/>
        <scheme val="minor"/>
      </rPr>
      <t xml:space="preserve">
</t>
    </r>
    <r>
      <rPr>
        <sz val="10"/>
        <color theme="1"/>
        <rFont val="Calibri"/>
        <family val="2"/>
        <scheme val="minor"/>
      </rPr>
      <t xml:space="preserve">Email: </t>
    </r>
    <r>
      <rPr>
        <b/>
        <sz val="10"/>
        <color theme="1"/>
        <rFont val="Calibri"/>
        <family val="2"/>
        <scheme val="minor"/>
      </rPr>
      <t xml:space="preserve">verónica_flores2003@Hotmail.com 
</t>
    </r>
  </si>
  <si>
    <r>
      <rPr>
        <b/>
        <sz val="10"/>
        <color theme="1"/>
        <rFont val="Calibri"/>
        <family val="2"/>
        <scheme val="minor"/>
      </rPr>
      <t>PICAZO ARQUITECTOS</t>
    </r>
    <r>
      <rPr>
        <sz val="10"/>
        <color theme="1"/>
        <rFont val="Calibri"/>
        <family val="2"/>
        <scheme val="minor"/>
      </rPr>
      <t>, S.A. DE C.V.</t>
    </r>
  </si>
  <si>
    <r>
      <t xml:space="preserve">Nombre de la Empresa: </t>
    </r>
    <r>
      <rPr>
        <b/>
        <sz val="10"/>
        <color theme="1"/>
        <rFont val="Calibri"/>
        <family val="2"/>
        <scheme val="minor"/>
      </rPr>
      <t>PICAZO ARQUITECTOS S.A. DE C.V.</t>
    </r>
    <r>
      <rPr>
        <sz val="10"/>
        <color theme="1"/>
        <rFont val="Calibri"/>
        <family val="2"/>
        <scheme val="minor"/>
      </rPr>
      <t xml:space="preserve">
RFC. </t>
    </r>
    <r>
      <rPr>
        <b/>
        <sz val="10"/>
        <color theme="1"/>
        <rFont val="Calibri"/>
        <family val="2"/>
        <scheme val="minor"/>
      </rPr>
      <t xml:space="preserve">PAR980331F17    </t>
    </r>
    <r>
      <rPr>
        <sz val="10"/>
        <color theme="1"/>
        <rFont val="Calibri"/>
        <family val="2"/>
        <scheme val="minor"/>
      </rPr>
      <t xml:space="preserve">CFDI: </t>
    </r>
    <r>
      <rPr>
        <b/>
        <sz val="10"/>
        <color theme="1"/>
        <rFont val="Calibri"/>
        <family val="2"/>
        <scheme val="minor"/>
      </rPr>
      <t>Gastos en general</t>
    </r>
    <r>
      <rPr>
        <sz val="10"/>
        <color theme="1"/>
        <rFont val="Calibri"/>
        <family val="2"/>
        <scheme val="minor"/>
      </rPr>
      <t xml:space="preserve">
Contacto: </t>
    </r>
    <r>
      <rPr>
        <b/>
        <sz val="10"/>
        <color theme="1"/>
        <rFont val="Calibri"/>
        <family val="2"/>
        <scheme val="minor"/>
      </rPr>
      <t xml:space="preserve">Julio Picazo                   </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812 120 2564 / 81 1093 0071</t>
    </r>
    <r>
      <rPr>
        <sz val="10"/>
        <color theme="1"/>
        <rFont val="Calibri"/>
        <family val="2"/>
        <scheme val="minor"/>
      </rPr>
      <t xml:space="preserve">
Email:</t>
    </r>
    <r>
      <rPr>
        <b/>
        <sz val="10"/>
        <color theme="1"/>
        <rFont val="Calibri"/>
        <family val="2"/>
        <scheme val="minor"/>
      </rPr>
      <t xml:space="preserve"> jcp-deleon@hotmail.com </t>
    </r>
    <r>
      <rPr>
        <sz val="10"/>
        <color theme="1"/>
        <rFont val="Calibri"/>
        <family val="2"/>
        <scheme val="minor"/>
      </rPr>
      <t xml:space="preserve">
</t>
    </r>
  </si>
  <si>
    <r>
      <t xml:space="preserve">Nombre de la Empresa: </t>
    </r>
    <r>
      <rPr>
        <b/>
        <sz val="10"/>
        <color theme="1"/>
        <rFont val="Calibri"/>
        <family val="2"/>
        <scheme val="minor"/>
      </rPr>
      <t xml:space="preserve">REMOLQUES MOVILES S.A. DE C.V. </t>
    </r>
    <r>
      <rPr>
        <sz val="10"/>
        <color theme="1"/>
        <rFont val="Calibri"/>
        <family val="2"/>
        <scheme val="minor"/>
      </rPr>
      <t xml:space="preserve">
RFC. </t>
    </r>
    <r>
      <rPr>
        <b/>
        <sz val="10"/>
        <color theme="1"/>
        <rFont val="Calibri"/>
        <family val="2"/>
        <scheme val="minor"/>
      </rPr>
      <t xml:space="preserve">RMO1905238I5              </t>
    </r>
    <r>
      <rPr>
        <sz val="10"/>
        <color theme="1"/>
        <rFont val="Calibri"/>
        <family val="2"/>
        <scheme val="minor"/>
      </rPr>
      <t>CFDI:</t>
    </r>
    <r>
      <rPr>
        <b/>
        <sz val="10"/>
        <color theme="1"/>
        <rFont val="Calibri"/>
        <family val="2"/>
        <scheme val="minor"/>
      </rPr>
      <t xml:space="preserve"> Por definir</t>
    </r>
    <r>
      <rPr>
        <sz val="10"/>
        <color theme="1"/>
        <rFont val="Calibri"/>
        <family val="2"/>
        <scheme val="minor"/>
      </rPr>
      <t xml:space="preserve">
Contacto: </t>
    </r>
    <r>
      <rPr>
        <b/>
        <sz val="10"/>
        <color theme="1"/>
        <rFont val="Calibri"/>
        <family val="2"/>
        <scheme val="minor"/>
      </rPr>
      <t xml:space="preserve">Daniel Montemayor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811 205 9083</t>
    </r>
    <r>
      <rPr>
        <sz val="10"/>
        <color theme="1"/>
        <rFont val="Calibri"/>
        <family val="2"/>
        <scheme val="minor"/>
      </rPr>
      <t xml:space="preserve">
Email: </t>
    </r>
    <r>
      <rPr>
        <b/>
        <sz val="10"/>
        <color theme="1"/>
        <rFont val="Calibri"/>
        <family val="2"/>
        <scheme val="minor"/>
      </rPr>
      <t xml:space="preserve">danielmv89@gmail.com  </t>
    </r>
    <r>
      <rPr>
        <sz val="10"/>
        <color theme="1"/>
        <rFont val="Calibri"/>
        <family val="2"/>
        <scheme val="minor"/>
      </rPr>
      <t xml:space="preserve">
</t>
    </r>
  </si>
  <si>
    <r>
      <rPr>
        <b/>
        <sz val="10"/>
        <color theme="1"/>
        <rFont val="Calibri"/>
        <family val="2"/>
        <scheme val="minor"/>
      </rPr>
      <t>VASTI ESQUIVE</t>
    </r>
    <r>
      <rPr>
        <sz val="10"/>
        <color theme="1"/>
        <rFont val="Calibri"/>
        <family val="2"/>
        <scheme val="minor"/>
      </rPr>
      <t xml:space="preserve">L RODRIGUEZ  </t>
    </r>
  </si>
  <si>
    <r>
      <t>Nombre de la Empresa: V</t>
    </r>
    <r>
      <rPr>
        <b/>
        <sz val="10"/>
        <color theme="1"/>
        <rFont val="Calibri"/>
        <family val="2"/>
        <scheme val="minor"/>
      </rPr>
      <t xml:space="preserve">ASTI ESQUIVEL RODRIGUEZ </t>
    </r>
    <r>
      <rPr>
        <sz val="10"/>
        <color theme="1"/>
        <rFont val="Calibri"/>
        <family val="2"/>
        <scheme val="minor"/>
      </rPr>
      <t xml:space="preserve">
RFC. : </t>
    </r>
    <r>
      <rPr>
        <b/>
        <sz val="10"/>
        <color theme="1"/>
        <rFont val="Calibri"/>
        <family val="2"/>
        <scheme val="minor"/>
      </rPr>
      <t xml:space="preserve">EURV7609065L2 </t>
    </r>
    <r>
      <rPr>
        <sz val="10"/>
        <color theme="1"/>
        <rFont val="Calibri"/>
        <family val="2"/>
        <scheme val="minor"/>
      </rPr>
      <t xml:space="preserve">CFDI: </t>
    </r>
    <r>
      <rPr>
        <b/>
        <sz val="10"/>
        <color theme="1"/>
        <rFont val="Calibri"/>
        <family val="2"/>
        <scheme val="minor"/>
      </rPr>
      <t>Gastos en general</t>
    </r>
    <r>
      <rPr>
        <sz val="10"/>
        <color theme="1"/>
        <rFont val="Calibri"/>
        <family val="2"/>
        <scheme val="minor"/>
      </rPr>
      <t xml:space="preserve">
Contacto: </t>
    </r>
    <r>
      <rPr>
        <b/>
        <sz val="10"/>
        <color theme="1"/>
        <rFont val="Calibri"/>
        <family val="2"/>
        <scheme val="minor"/>
      </rPr>
      <t xml:space="preserve">Horacio Martínez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812 690 4043</t>
    </r>
    <r>
      <rPr>
        <sz val="10"/>
        <color theme="1"/>
        <rFont val="Calibri"/>
        <family val="2"/>
        <scheme val="minor"/>
      </rPr>
      <t xml:space="preserve">
Email: </t>
    </r>
    <r>
      <rPr>
        <b/>
        <sz val="10"/>
        <color theme="1"/>
        <rFont val="Calibri"/>
        <family val="2"/>
        <scheme val="minor"/>
      </rPr>
      <t xml:space="preserve">cargomares@gmail.com; ventas@marescargo.com;
administracion@marescargo.com;
operaciones@marescargo.com; </t>
    </r>
    <r>
      <rPr>
        <sz val="10"/>
        <color theme="1"/>
        <rFont val="Calibri"/>
        <family val="2"/>
        <scheme val="minor"/>
      </rPr>
      <t xml:space="preserve">
</t>
    </r>
  </si>
  <si>
    <t>ANUALIDAD</t>
  </si>
  <si>
    <r>
      <rPr>
        <b/>
        <sz val="10"/>
        <color theme="1"/>
        <rFont val="Calibri"/>
        <family val="2"/>
        <scheme val="minor"/>
      </rPr>
      <t>AGUSTIN CARLOS</t>
    </r>
    <r>
      <rPr>
        <sz val="10"/>
        <color theme="1"/>
        <rFont val="Calibri"/>
        <family val="2"/>
        <scheme val="minor"/>
      </rPr>
      <t xml:space="preserve"> SANDOVAL SALAZAR 
(</t>
    </r>
    <r>
      <rPr>
        <b/>
        <sz val="10"/>
        <color theme="1"/>
        <rFont val="Calibri"/>
        <family val="2"/>
        <scheme val="minor"/>
      </rPr>
      <t>PLAY MOTORS) - OLID</t>
    </r>
  </si>
  <si>
    <r>
      <t>Nombre de la empresa:</t>
    </r>
    <r>
      <rPr>
        <b/>
        <sz val="10"/>
        <color theme="1"/>
        <rFont val="Calibri"/>
        <family val="2"/>
        <scheme val="minor"/>
      </rPr>
      <t xml:space="preserve"> PLAY MOTORS </t>
    </r>
    <r>
      <rPr>
        <sz val="10"/>
        <color theme="1"/>
        <rFont val="Calibri"/>
        <family val="2"/>
        <scheme val="minor"/>
      </rPr>
      <t xml:space="preserve">     
Contacto:</t>
    </r>
    <r>
      <rPr>
        <b/>
        <sz val="10"/>
        <color theme="1"/>
        <rFont val="Calibri"/>
        <family val="2"/>
        <scheme val="minor"/>
      </rPr>
      <t xml:space="preserve"> Agustín Carlos Sandoval S. / Arturo García</t>
    </r>
    <r>
      <rPr>
        <sz val="10"/>
        <color theme="1"/>
        <rFont val="Calibri"/>
        <family val="2"/>
        <scheme val="minor"/>
      </rPr>
      <t xml:space="preserve">
Teléfono: </t>
    </r>
    <r>
      <rPr>
        <b/>
        <sz val="10"/>
        <color theme="4" tint="-0.249977111117893"/>
        <rFont val="Calibri"/>
        <family val="2"/>
        <scheme val="minor"/>
      </rPr>
      <t>818 074 1936 / 81 2150 6618</t>
    </r>
    <r>
      <rPr>
        <sz val="10"/>
        <color theme="1"/>
        <rFont val="Calibri"/>
        <family val="2"/>
        <scheme val="minor"/>
      </rPr>
      <t xml:space="preserve">
Email: </t>
    </r>
    <r>
      <rPr>
        <b/>
        <sz val="10"/>
        <color theme="1"/>
        <rFont val="Calibri"/>
        <family val="2"/>
        <scheme val="minor"/>
      </rPr>
      <t>admonpm@hotmail.com  carsan990@hotmail.com</t>
    </r>
    <r>
      <rPr>
        <sz val="10"/>
        <color theme="1"/>
        <rFont val="Calibri"/>
        <family val="2"/>
        <scheme val="minor"/>
      </rPr>
      <t xml:space="preserve"> 
</t>
    </r>
  </si>
  <si>
    <t xml:space="preserve">ALBERTO CORDOVA </t>
  </si>
  <si>
    <r>
      <rPr>
        <sz val="10"/>
        <color theme="1"/>
        <rFont val="Calibri"/>
        <family val="2"/>
        <scheme val="minor"/>
      </rPr>
      <t xml:space="preserve">Contacto: </t>
    </r>
    <r>
      <rPr>
        <b/>
        <sz val="10"/>
        <color theme="1"/>
        <rFont val="Calibri"/>
        <family val="2"/>
        <scheme val="minor"/>
      </rPr>
      <t xml:space="preserve">ALBERTO CORDOVA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818 020 2311</t>
    </r>
    <r>
      <rPr>
        <b/>
        <sz val="10"/>
        <color theme="1"/>
        <rFont val="Calibri"/>
        <family val="2"/>
        <scheme val="minor"/>
      </rPr>
      <t xml:space="preserve">
</t>
    </r>
    <r>
      <rPr>
        <sz val="10"/>
        <color theme="1"/>
        <rFont val="Calibri"/>
        <family val="2"/>
        <scheme val="minor"/>
      </rPr>
      <t xml:space="preserve">Email: </t>
    </r>
    <r>
      <rPr>
        <b/>
        <sz val="10"/>
        <color theme="1"/>
        <rFont val="Calibri"/>
        <family val="2"/>
        <scheme val="minor"/>
      </rPr>
      <t xml:space="preserve">corsam3@prodigy.net.mx </t>
    </r>
    <r>
      <rPr>
        <sz val="9"/>
        <color theme="1"/>
        <rFont val="Calibri"/>
        <family val="2"/>
        <scheme val="minor"/>
      </rPr>
      <t/>
    </r>
  </si>
  <si>
    <t xml:space="preserve">ALBERTO PEREZ </t>
  </si>
  <si>
    <r>
      <t xml:space="preserve">Contacto : </t>
    </r>
    <r>
      <rPr>
        <b/>
        <sz val="10"/>
        <color theme="1"/>
        <rFont val="Calibri"/>
        <family val="2"/>
        <scheme val="minor"/>
      </rPr>
      <t xml:space="preserve">ALBERTO PEREZ </t>
    </r>
    <r>
      <rPr>
        <sz val="10"/>
        <color theme="1"/>
        <rFont val="Calibri"/>
        <family val="2"/>
        <scheme val="minor"/>
      </rPr>
      <t xml:space="preserve">              Teléfono: </t>
    </r>
    <r>
      <rPr>
        <b/>
        <sz val="10"/>
        <color theme="1"/>
        <rFont val="Calibri"/>
        <family val="2"/>
        <scheme val="minor"/>
      </rPr>
      <t xml:space="preserve"> </t>
    </r>
    <r>
      <rPr>
        <b/>
        <sz val="10"/>
        <color theme="4" tint="-0.249977111117893"/>
        <rFont val="Calibri"/>
        <family val="2"/>
        <scheme val="minor"/>
      </rPr>
      <t xml:space="preserve">818 118 2389       </t>
    </r>
    <r>
      <rPr>
        <b/>
        <sz val="10"/>
        <color theme="1"/>
        <rFont val="Calibri"/>
        <family val="2"/>
        <scheme val="minor"/>
      </rPr>
      <t xml:space="preserve">                                                             </t>
    </r>
    <r>
      <rPr>
        <sz val="10"/>
        <color theme="1"/>
        <rFont val="Calibri"/>
        <family val="2"/>
        <scheme val="minor"/>
      </rPr>
      <t xml:space="preserve">Email: </t>
    </r>
    <r>
      <rPr>
        <b/>
        <sz val="10"/>
        <rFont val="Calibri"/>
        <family val="2"/>
        <scheme val="minor"/>
      </rPr>
      <t xml:space="preserve">ayabriga@hotmail.com </t>
    </r>
  </si>
  <si>
    <t xml:space="preserve">CARLOS CABELLO </t>
  </si>
  <si>
    <r>
      <rPr>
        <b/>
        <sz val="10"/>
        <color theme="1"/>
        <rFont val="Calibri"/>
        <family val="2"/>
        <scheme val="minor"/>
      </rPr>
      <t xml:space="preserve">CESAR TAMEZ </t>
    </r>
    <r>
      <rPr>
        <sz val="10"/>
        <color theme="1"/>
        <rFont val="Calibri"/>
        <family val="2"/>
        <scheme val="minor"/>
      </rPr>
      <t xml:space="preserve">GUZMAN </t>
    </r>
  </si>
  <si>
    <r>
      <t xml:space="preserve">Nombre de la Empresa: </t>
    </r>
    <r>
      <rPr>
        <b/>
        <sz val="10"/>
        <color theme="1"/>
        <rFont val="Calibri"/>
        <family val="2"/>
        <scheme val="minor"/>
      </rPr>
      <t xml:space="preserve">CESAR TAMEZ GUZMAN </t>
    </r>
    <r>
      <rPr>
        <sz val="10"/>
        <color theme="1"/>
        <rFont val="Calibri"/>
        <family val="2"/>
        <scheme val="minor"/>
      </rPr>
      <t xml:space="preserve">
Contacto:</t>
    </r>
    <r>
      <rPr>
        <b/>
        <sz val="10"/>
        <color theme="1"/>
        <rFont val="Calibri"/>
        <family val="2"/>
        <scheme val="minor"/>
      </rPr>
      <t xml:space="preserve"> Cesar Tamez                   </t>
    </r>
    <r>
      <rPr>
        <sz val="10"/>
        <color theme="1"/>
        <rFont val="Calibri"/>
        <family val="2"/>
        <scheme val="minor"/>
      </rPr>
      <t xml:space="preserve">Teléfono: </t>
    </r>
    <r>
      <rPr>
        <b/>
        <sz val="10"/>
        <color theme="3"/>
        <rFont val="Calibri"/>
        <family val="2"/>
        <scheme val="minor"/>
      </rPr>
      <t>818 092 7624</t>
    </r>
    <r>
      <rPr>
        <sz val="10"/>
        <color theme="1"/>
        <rFont val="Calibri"/>
        <family val="2"/>
        <scheme val="minor"/>
      </rPr>
      <t xml:space="preserve">
Email: </t>
    </r>
    <r>
      <rPr>
        <b/>
        <sz val="10"/>
        <color theme="1"/>
        <rFont val="Calibri"/>
        <family val="2"/>
        <scheme val="minor"/>
      </rPr>
      <t>Tamezguzmancesar@gmail.com</t>
    </r>
    <r>
      <rPr>
        <sz val="10"/>
        <color theme="1"/>
        <rFont val="Calibri"/>
        <family val="2"/>
        <scheme val="minor"/>
      </rPr>
      <t xml:space="preserve">
</t>
    </r>
  </si>
  <si>
    <t xml:space="preserve">OSCAR ALEJANDRO </t>
  </si>
  <si>
    <r>
      <rPr>
        <b/>
        <sz val="10"/>
        <color theme="1"/>
        <rFont val="Calibri"/>
        <family val="2"/>
        <scheme val="minor"/>
      </rPr>
      <t>DEL NORTE LOGISTC</t>
    </r>
    <r>
      <rPr>
        <sz val="10"/>
        <color theme="1"/>
        <rFont val="Calibri"/>
        <family val="2"/>
        <scheme val="minor"/>
      </rPr>
      <t xml:space="preserve">
(PEDRO RENDON)</t>
    </r>
  </si>
  <si>
    <r>
      <t xml:space="preserve">Nombre de la Empresa: </t>
    </r>
    <r>
      <rPr>
        <b/>
        <sz val="10"/>
        <color theme="1"/>
        <rFont val="Calibri"/>
        <family val="2"/>
        <scheme val="minor"/>
      </rPr>
      <t xml:space="preserve">DEL NORTE LOGISTICS </t>
    </r>
    <r>
      <rPr>
        <sz val="10"/>
        <color theme="1"/>
        <rFont val="Calibri"/>
        <family val="2"/>
        <scheme val="minor"/>
      </rPr>
      <t xml:space="preserve">
Contacto:</t>
    </r>
    <r>
      <rPr>
        <b/>
        <sz val="10"/>
        <color theme="1"/>
        <rFont val="Calibri"/>
        <family val="2"/>
        <scheme val="minor"/>
      </rPr>
      <t xml:space="preserve"> Pedro Rendón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811 175 0500</t>
    </r>
    <r>
      <rPr>
        <sz val="10"/>
        <color theme="1"/>
        <rFont val="Calibri"/>
        <family val="2"/>
        <scheme val="minor"/>
      </rPr>
      <t xml:space="preserve">
Email:</t>
    </r>
    <r>
      <rPr>
        <b/>
        <sz val="10"/>
        <color theme="1"/>
        <rFont val="Calibri"/>
        <family val="2"/>
        <scheme val="minor"/>
      </rPr>
      <t xml:space="preserve"> contacto@delnortelogistic.com; </t>
    </r>
    <r>
      <rPr>
        <sz val="10"/>
        <color theme="1"/>
        <rFont val="Calibri"/>
        <family val="2"/>
        <scheme val="minor"/>
      </rPr>
      <t xml:space="preserve">
</t>
    </r>
  </si>
  <si>
    <r>
      <rPr>
        <b/>
        <sz val="10"/>
        <color theme="1"/>
        <rFont val="Calibri"/>
        <family val="2"/>
        <scheme val="minor"/>
      </rPr>
      <t>EDUARDO CORTEZ</t>
    </r>
    <r>
      <rPr>
        <sz val="10"/>
        <color theme="1"/>
        <rFont val="Calibri"/>
        <family val="2"/>
        <scheme val="minor"/>
      </rPr>
      <t xml:space="preserve"> 
(</t>
    </r>
    <r>
      <rPr>
        <b/>
        <sz val="10"/>
        <color theme="1"/>
        <rFont val="Calibri"/>
        <family val="2"/>
        <scheme val="minor"/>
      </rPr>
      <t>PLAY MOTORS</t>
    </r>
    <r>
      <rPr>
        <sz val="10"/>
        <color theme="1"/>
        <rFont val="Calibri"/>
        <family val="2"/>
        <scheme val="minor"/>
      </rPr>
      <t>)</t>
    </r>
  </si>
  <si>
    <r>
      <t>Nombre de la Empresa:</t>
    </r>
    <r>
      <rPr>
        <b/>
        <sz val="10"/>
        <color theme="1"/>
        <rFont val="Calibri"/>
        <family val="2"/>
        <scheme val="minor"/>
      </rPr>
      <t xml:space="preserve"> EDUARDO CORTEZ  </t>
    </r>
    <r>
      <rPr>
        <sz val="10"/>
        <color theme="1"/>
        <rFont val="Calibri"/>
        <family val="2"/>
        <scheme val="minor"/>
      </rPr>
      <t xml:space="preserve">
Contacto:  </t>
    </r>
    <r>
      <rPr>
        <b/>
        <sz val="10"/>
        <color theme="1"/>
        <rFont val="Calibri"/>
        <family val="2"/>
        <scheme val="minor"/>
      </rPr>
      <t xml:space="preserve">Eduardo Cortez              </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812 077 1535</t>
    </r>
    <r>
      <rPr>
        <sz val="10"/>
        <color theme="1"/>
        <rFont val="Calibri"/>
        <family val="2"/>
        <scheme val="minor"/>
      </rPr>
      <t xml:space="preserve">
Email: </t>
    </r>
    <r>
      <rPr>
        <b/>
        <sz val="10"/>
        <color theme="1"/>
        <rFont val="Calibri"/>
        <family val="2"/>
        <scheme val="minor"/>
      </rPr>
      <t xml:space="preserve">facemva@hotmail.com </t>
    </r>
    <r>
      <rPr>
        <sz val="10"/>
        <color theme="1"/>
        <rFont val="Calibri"/>
        <family val="2"/>
        <scheme val="minor"/>
      </rPr>
      <t xml:space="preserve">
</t>
    </r>
  </si>
  <si>
    <t xml:space="preserve">ELEAZAR ALFARO (TYFE) </t>
  </si>
  <si>
    <r>
      <rPr>
        <sz val="10"/>
        <color theme="1"/>
        <rFont val="Calibri"/>
        <family val="2"/>
        <scheme val="minor"/>
      </rPr>
      <t xml:space="preserve">Nombre de la Empresa: </t>
    </r>
    <r>
      <rPr>
        <b/>
        <sz val="10"/>
        <color theme="1"/>
        <rFont val="Calibri"/>
        <family val="2"/>
        <scheme val="minor"/>
      </rPr>
      <t xml:space="preserve">TYFE TRANSPORTES Y FLETES 
</t>
    </r>
    <r>
      <rPr>
        <sz val="10"/>
        <color theme="1"/>
        <rFont val="Calibri"/>
        <family val="2"/>
        <scheme val="minor"/>
      </rPr>
      <t>Contacto</t>
    </r>
    <r>
      <rPr>
        <b/>
        <sz val="10"/>
        <color theme="1"/>
        <rFont val="Calibri"/>
        <family val="2"/>
        <scheme val="minor"/>
      </rPr>
      <t xml:space="preserve">: Eleazar Alfaro                 </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811 811 5684</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transportesyfletes@live.com;
</t>
    </r>
  </si>
  <si>
    <r>
      <rPr>
        <b/>
        <sz val="10"/>
        <color theme="1"/>
        <rFont val="Calibri"/>
        <family val="2"/>
        <scheme val="minor"/>
      </rPr>
      <t>ELENA MORALES</t>
    </r>
    <r>
      <rPr>
        <sz val="10"/>
        <color theme="1"/>
        <rFont val="Calibri"/>
        <family val="2"/>
        <scheme val="minor"/>
      </rPr>
      <t xml:space="preserve"> VALENCIA
(</t>
    </r>
    <r>
      <rPr>
        <b/>
        <sz val="10"/>
        <color theme="1"/>
        <rFont val="Calibri"/>
        <family val="2"/>
        <scheme val="minor"/>
      </rPr>
      <t>PRESTACOCHE</t>
    </r>
    <r>
      <rPr>
        <sz val="10"/>
        <color theme="1"/>
        <rFont val="Calibri"/>
        <family val="2"/>
        <scheme val="minor"/>
      </rPr>
      <t>)</t>
    </r>
  </si>
  <si>
    <r>
      <t>Nombre de la Empresa:</t>
    </r>
    <r>
      <rPr>
        <b/>
        <sz val="10"/>
        <color theme="1"/>
        <rFont val="Calibri"/>
        <family val="2"/>
        <scheme val="minor"/>
      </rPr>
      <t xml:space="preserve"> ELENA MORALES VALENCIA </t>
    </r>
    <r>
      <rPr>
        <sz val="10"/>
        <color theme="1"/>
        <rFont val="Calibri"/>
        <family val="2"/>
        <scheme val="minor"/>
      </rPr>
      <t xml:space="preserve">
Contacto: </t>
    </r>
    <r>
      <rPr>
        <b/>
        <sz val="10"/>
        <color theme="1"/>
        <rFont val="Calibri"/>
        <family val="2"/>
        <scheme val="minor"/>
      </rPr>
      <t xml:space="preserve">Elena Morales Valencia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811 004 8906</t>
    </r>
    <r>
      <rPr>
        <sz val="10"/>
        <color theme="1"/>
        <rFont val="Calibri"/>
        <family val="2"/>
        <scheme val="minor"/>
      </rPr>
      <t xml:space="preserve">
Email:</t>
    </r>
    <r>
      <rPr>
        <b/>
        <sz val="10"/>
        <color theme="1"/>
        <rFont val="Calibri"/>
        <family val="2"/>
        <scheme val="minor"/>
      </rPr>
      <t xml:space="preserve"> elenajr2020@gmail.com;  </t>
    </r>
    <r>
      <rPr>
        <sz val="10"/>
        <color theme="1"/>
        <rFont val="Calibri"/>
        <family val="2"/>
        <scheme val="minor"/>
      </rPr>
      <t xml:space="preserve">
</t>
    </r>
  </si>
  <si>
    <t xml:space="preserve">GABRIELA JUAREZ </t>
  </si>
  <si>
    <t xml:space="preserve">GABRIELA TORRES </t>
  </si>
  <si>
    <r>
      <t>Contacto:</t>
    </r>
    <r>
      <rPr>
        <b/>
        <sz val="10"/>
        <color theme="1"/>
        <rFont val="Calibri"/>
        <family val="2"/>
        <scheme val="minor"/>
      </rPr>
      <t xml:space="preserve"> GABRIELA TORRES</t>
    </r>
    <r>
      <rPr>
        <sz val="10"/>
        <color theme="1"/>
        <rFont val="Calibri"/>
        <family val="2"/>
        <scheme val="minor"/>
      </rPr>
      <t xml:space="preserve">            Teléfono:  </t>
    </r>
    <r>
      <rPr>
        <b/>
        <sz val="10"/>
        <color theme="3"/>
        <rFont val="Calibri"/>
        <family val="2"/>
        <scheme val="minor"/>
      </rPr>
      <t>811 281 1923</t>
    </r>
    <r>
      <rPr>
        <sz val="10"/>
        <color theme="3"/>
        <rFont val="Calibri"/>
        <family val="2"/>
        <scheme val="minor"/>
      </rPr>
      <t xml:space="preserve">     </t>
    </r>
    <r>
      <rPr>
        <sz val="10"/>
        <color theme="1"/>
        <rFont val="Calibri"/>
        <family val="2"/>
        <scheme val="minor"/>
      </rPr>
      <t xml:space="preserve">                                                                                              Email: </t>
    </r>
    <r>
      <rPr>
        <b/>
        <sz val="10"/>
        <color theme="1"/>
        <rFont val="Calibri"/>
        <family val="2"/>
        <scheme val="minor"/>
      </rPr>
      <t xml:space="preserve">gabyzh18@icloud.com </t>
    </r>
  </si>
  <si>
    <r>
      <rPr>
        <b/>
        <sz val="10"/>
        <color theme="1"/>
        <rFont val="Calibri"/>
        <family val="2"/>
        <scheme val="minor"/>
      </rPr>
      <t>JESUS AGUSTIN GUTIERREZ</t>
    </r>
    <r>
      <rPr>
        <sz val="10"/>
        <color theme="1"/>
        <rFont val="Calibri"/>
        <family val="2"/>
        <scheme val="minor"/>
      </rPr>
      <t xml:space="preserve"> NOLAN</t>
    </r>
  </si>
  <si>
    <r>
      <t>Nombre  de la Empresa:</t>
    </r>
    <r>
      <rPr>
        <b/>
        <sz val="10"/>
        <color theme="1"/>
        <rFont val="Calibri"/>
        <family val="2"/>
        <scheme val="minor"/>
      </rPr>
      <t xml:space="preserve"> JESUS AGUSTÍN GUTIERREZ NOLAN</t>
    </r>
    <r>
      <rPr>
        <sz val="10"/>
        <color theme="1"/>
        <rFont val="Calibri"/>
        <family val="2"/>
        <scheme val="minor"/>
      </rPr>
      <t xml:space="preserve">
Contacto:</t>
    </r>
    <r>
      <rPr>
        <b/>
        <sz val="10"/>
        <color theme="1"/>
        <rFont val="Calibri"/>
        <family val="2"/>
        <scheme val="minor"/>
      </rPr>
      <t xml:space="preserve"> Jesús Agustín Gutiérrez Nolan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811 240 3428</t>
    </r>
    <r>
      <rPr>
        <sz val="10"/>
        <color theme="1"/>
        <rFont val="Calibri"/>
        <family val="2"/>
        <scheme val="minor"/>
      </rPr>
      <t xml:space="preserve">
Email: </t>
    </r>
    <r>
      <rPr>
        <b/>
        <sz val="10"/>
        <color theme="1"/>
        <rFont val="Calibri"/>
        <family val="2"/>
        <scheme val="minor"/>
      </rPr>
      <t>jesus_nolan20@hotmail.com</t>
    </r>
    <r>
      <rPr>
        <sz val="10"/>
        <color theme="1"/>
        <rFont val="Calibri"/>
        <family val="2"/>
        <scheme val="minor"/>
      </rPr>
      <t xml:space="preserve">                        </t>
    </r>
  </si>
  <si>
    <t xml:space="preserve">RICARDO GONZALEZ </t>
  </si>
  <si>
    <t xml:space="preserve">SERVICIO MORENO </t>
  </si>
  <si>
    <r>
      <rPr>
        <b/>
        <sz val="10"/>
        <color theme="1"/>
        <rFont val="Calibri"/>
        <family val="2"/>
        <scheme val="minor"/>
      </rPr>
      <t>JUAN CARLOS COVARRUBIAS</t>
    </r>
    <r>
      <rPr>
        <sz val="10"/>
        <color theme="1"/>
        <rFont val="Calibri"/>
        <family val="2"/>
        <scheme val="minor"/>
      </rPr>
      <t xml:space="preserve"> SALAS
</t>
    </r>
    <r>
      <rPr>
        <sz val="8"/>
        <color rgb="FFFF0000"/>
        <rFont val="Calibri"/>
        <family val="2"/>
        <scheme val="minor"/>
      </rPr>
      <t>(MONICA BECERRA / RODRIGO MORENO)</t>
    </r>
  </si>
  <si>
    <r>
      <t>Nombre de la Empresa:</t>
    </r>
    <r>
      <rPr>
        <b/>
        <sz val="10"/>
        <color theme="1"/>
        <rFont val="Calibri"/>
        <family val="2"/>
        <scheme val="minor"/>
      </rPr>
      <t xml:space="preserve"> JUAN CARLOS COVARRUBIAS SALAS</t>
    </r>
    <r>
      <rPr>
        <sz val="10"/>
        <color theme="1"/>
        <rFont val="Calibri"/>
        <family val="2"/>
        <scheme val="minor"/>
      </rPr>
      <t xml:space="preserve">
Contacto: </t>
    </r>
    <r>
      <rPr>
        <b/>
        <sz val="10"/>
        <color theme="1"/>
        <rFont val="Calibri"/>
        <family val="2"/>
        <scheme val="minor"/>
      </rPr>
      <t xml:space="preserve">Juan Carlos Covarrubias Salas / Mónica Becerra </t>
    </r>
    <r>
      <rPr>
        <sz val="10"/>
        <color theme="1"/>
        <rFont val="Calibri"/>
        <family val="2"/>
        <scheme val="minor"/>
      </rPr>
      <t xml:space="preserve">
Email: </t>
    </r>
    <r>
      <rPr>
        <b/>
        <sz val="10"/>
        <color theme="1"/>
        <rFont val="Calibri"/>
        <family val="2"/>
        <scheme val="minor"/>
      </rPr>
      <t xml:space="preserve">covarrubiasjuank@gmail.com; covasurf@hotmail.com;    </t>
    </r>
    <r>
      <rPr>
        <sz val="10"/>
        <color theme="1"/>
        <rFont val="Calibri"/>
        <family val="2"/>
        <scheme val="minor"/>
      </rPr>
      <t xml:space="preserve">                                          Teléfono: </t>
    </r>
    <r>
      <rPr>
        <b/>
        <sz val="10"/>
        <color theme="4"/>
        <rFont val="Calibri"/>
        <family val="2"/>
        <scheme val="minor"/>
      </rPr>
      <t>871 225 3884</t>
    </r>
    <r>
      <rPr>
        <sz val="10"/>
        <color theme="1"/>
        <rFont val="Calibri"/>
        <family val="2"/>
        <scheme val="minor"/>
      </rPr>
      <t xml:space="preserve">
</t>
    </r>
  </si>
  <si>
    <t>TRANSPORTES DE AGUA VIRGO</t>
  </si>
  <si>
    <r>
      <rPr>
        <sz val="10"/>
        <color theme="1"/>
        <rFont val="Calibri"/>
        <family val="2"/>
        <scheme val="minor"/>
      </rPr>
      <t>Nombre de la Empresa:</t>
    </r>
    <r>
      <rPr>
        <b/>
        <sz val="10"/>
        <color theme="1"/>
        <rFont val="Calibri"/>
        <family val="2"/>
        <scheme val="minor"/>
      </rPr>
      <t xml:space="preserve"> TRANSPORTES DE AGUA VIRGO
</t>
    </r>
    <r>
      <rPr>
        <sz val="10"/>
        <color theme="1"/>
        <rFont val="Calibri"/>
        <family val="2"/>
        <scheme val="minor"/>
      </rPr>
      <t>Contacto:</t>
    </r>
    <r>
      <rPr>
        <b/>
        <sz val="10"/>
        <color theme="1"/>
        <rFont val="Calibri"/>
        <family val="2"/>
        <scheme val="minor"/>
      </rPr>
      <t xml:space="preserve"> Leonel Alemán Marroquín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828 105 2178</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leon.aleman@hotmail.com  
</t>
    </r>
  </si>
  <si>
    <r>
      <rPr>
        <b/>
        <sz val="10"/>
        <color theme="1"/>
        <rFont val="Calibri"/>
        <family val="2"/>
        <scheme val="minor"/>
      </rPr>
      <t xml:space="preserve">MONICA BECERRA </t>
    </r>
    <r>
      <rPr>
        <sz val="10"/>
        <color theme="1"/>
        <rFont val="Calibri"/>
        <family val="2"/>
        <scheme val="minor"/>
      </rPr>
      <t xml:space="preserve">
(RODRIGO MORENO V.)</t>
    </r>
  </si>
  <si>
    <r>
      <t>Nombre de la Empresa:</t>
    </r>
    <r>
      <rPr>
        <b/>
        <sz val="10"/>
        <color theme="1"/>
        <rFont val="Calibri"/>
        <family val="2"/>
        <scheme val="minor"/>
      </rPr>
      <t xml:space="preserve"> MONICA BECERRA</t>
    </r>
    <r>
      <rPr>
        <sz val="10"/>
        <color theme="1"/>
        <rFont val="Calibri"/>
        <family val="2"/>
        <scheme val="minor"/>
      </rPr>
      <t xml:space="preserve">
Contacto:</t>
    </r>
    <r>
      <rPr>
        <b/>
        <sz val="10"/>
        <color theme="1"/>
        <rFont val="Calibri"/>
        <family val="2"/>
        <scheme val="minor"/>
      </rPr>
      <t xml:space="preserve"> Mónica Becerra / Rodrigo Moreno Villarrea</t>
    </r>
    <r>
      <rPr>
        <sz val="10"/>
        <color theme="1"/>
        <rFont val="Calibri"/>
        <family val="2"/>
        <scheme val="minor"/>
      </rPr>
      <t xml:space="preserve">l
Email: </t>
    </r>
    <r>
      <rPr>
        <b/>
        <sz val="10"/>
        <color theme="1"/>
        <rFont val="Calibri"/>
        <family val="2"/>
        <scheme val="minor"/>
      </rPr>
      <t xml:space="preserve">mony_gpe25@hotmail.com </t>
    </r>
    <r>
      <rPr>
        <sz val="10"/>
        <color theme="1"/>
        <rFont val="Calibri"/>
        <family val="2"/>
        <scheme val="minor"/>
      </rPr>
      <t xml:space="preserve">              
Teléfono: </t>
    </r>
    <r>
      <rPr>
        <b/>
        <sz val="10"/>
        <color theme="4" tint="-0.249977111117893"/>
        <rFont val="Calibri"/>
        <family val="2"/>
        <scheme val="minor"/>
      </rPr>
      <t>811 358 5339</t>
    </r>
    <r>
      <rPr>
        <b/>
        <sz val="10"/>
        <color rgb="FF0070C0"/>
        <rFont val="Calibri"/>
        <family val="2"/>
        <scheme val="minor"/>
      </rPr>
      <t xml:space="preserve">
</t>
    </r>
  </si>
  <si>
    <t>OSCAR HERNANDEZ</t>
  </si>
  <si>
    <r>
      <t>Nombre de la Empresa:</t>
    </r>
    <r>
      <rPr>
        <b/>
        <sz val="10"/>
        <color theme="1"/>
        <rFont val="Calibri"/>
        <family val="2"/>
        <scheme val="minor"/>
      </rPr>
      <t xml:space="preserve"> PRESTACOCHE</t>
    </r>
    <r>
      <rPr>
        <sz val="10"/>
        <color theme="1"/>
        <rFont val="Calibri"/>
        <family val="2"/>
        <scheme val="minor"/>
      </rPr>
      <t xml:space="preserve">                  
Contacto</t>
    </r>
    <r>
      <rPr>
        <b/>
        <sz val="10"/>
        <color theme="1"/>
        <rFont val="Calibri"/>
        <family val="2"/>
        <scheme val="minor"/>
      </rPr>
      <t>: Rosy / Talía Carrizales</t>
    </r>
    <r>
      <rPr>
        <sz val="10"/>
        <color theme="1"/>
        <rFont val="Calibri"/>
        <family val="2"/>
        <scheme val="minor"/>
      </rPr>
      <t xml:space="preserve">
Email: </t>
    </r>
    <r>
      <rPr>
        <b/>
        <sz val="10"/>
        <color theme="1"/>
        <rFont val="Calibri"/>
        <family val="2"/>
        <scheme val="minor"/>
      </rPr>
      <t xml:space="preserve">rosa.sr@quinexus.mx; talia.ci@quinexus.mx; </t>
    </r>
    <r>
      <rPr>
        <sz val="10"/>
        <color theme="1"/>
        <rFont val="Calibri"/>
        <family val="2"/>
        <scheme val="minor"/>
      </rPr>
      <t xml:space="preserve">                                          
Teléfono: </t>
    </r>
    <r>
      <rPr>
        <b/>
        <sz val="10"/>
        <color theme="4" tint="-0.249977111117893"/>
        <rFont val="Calibri"/>
        <family val="2"/>
        <scheme val="minor"/>
      </rPr>
      <t>811 499 1431 /  812 147 3082</t>
    </r>
    <r>
      <rPr>
        <sz val="10"/>
        <color theme="1"/>
        <rFont val="Calibri"/>
        <family val="2"/>
        <scheme val="minor"/>
      </rPr>
      <t xml:space="preserve">
</t>
    </r>
  </si>
  <si>
    <t>RAYMUNDO JIMENEZ BECERRA
(OLID)</t>
  </si>
  <si>
    <r>
      <rPr>
        <sz val="10"/>
        <color theme="1"/>
        <rFont val="Calibri"/>
        <family val="2"/>
        <scheme val="minor"/>
      </rPr>
      <t xml:space="preserve">Nombre de la Empresa: </t>
    </r>
    <r>
      <rPr>
        <b/>
        <sz val="10"/>
        <color theme="1"/>
        <rFont val="Calibri"/>
        <family val="2"/>
        <scheme val="minor"/>
      </rPr>
      <t xml:space="preserve">RAYMUNDO JIMENEZ BECERRA
</t>
    </r>
    <r>
      <rPr>
        <sz val="10"/>
        <color theme="1"/>
        <rFont val="Calibri"/>
        <family val="2"/>
        <scheme val="minor"/>
      </rPr>
      <t>Contacto</t>
    </r>
    <r>
      <rPr>
        <b/>
        <sz val="10"/>
        <color theme="1"/>
        <rFont val="Calibri"/>
        <family val="2"/>
        <scheme val="minor"/>
      </rPr>
      <t xml:space="preserve">: Raymundo Jiménez Becerra                    </t>
    </r>
    <r>
      <rPr>
        <sz val="10"/>
        <color theme="1"/>
        <rFont val="Calibri"/>
        <family val="2"/>
        <scheme val="minor"/>
      </rPr>
      <t>Teléfono:</t>
    </r>
    <r>
      <rPr>
        <b/>
        <sz val="10"/>
        <color theme="4" tint="-0.249977111117893"/>
        <rFont val="Calibri"/>
        <family val="2"/>
        <scheme val="minor"/>
      </rPr>
      <t xml:space="preserve"> 818 161 4611</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tractomundomty@gmail.com 
</t>
    </r>
  </si>
  <si>
    <t>SERGIO ANTONIO</t>
  </si>
  <si>
    <r>
      <rPr>
        <sz val="10"/>
        <color theme="1"/>
        <rFont val="Calibri"/>
        <family val="2"/>
        <scheme val="minor"/>
      </rPr>
      <t xml:space="preserve">Nombre de la Empresa: </t>
    </r>
    <r>
      <rPr>
        <b/>
        <sz val="10"/>
        <color theme="1"/>
        <rFont val="Calibri"/>
        <family val="2"/>
        <scheme val="minor"/>
      </rPr>
      <t xml:space="preserve">TDL TRANSPORTES
</t>
    </r>
    <r>
      <rPr>
        <sz val="10"/>
        <color theme="1"/>
        <rFont val="Calibri"/>
        <family val="2"/>
        <scheme val="minor"/>
      </rPr>
      <t>Contacto:</t>
    </r>
    <r>
      <rPr>
        <b/>
        <sz val="10"/>
        <color theme="1"/>
        <rFont val="Calibri"/>
        <family val="2"/>
        <scheme val="minor"/>
      </rPr>
      <t xml:space="preserve"> Roberto Cervantes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811 910 8849 / 811 255 1586</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tdl.yohana@hotmail.com                          
</t>
    </r>
  </si>
  <si>
    <r>
      <rPr>
        <sz val="10"/>
        <color theme="1"/>
        <rFont val="Calibri"/>
        <family val="2"/>
        <scheme val="minor"/>
      </rPr>
      <t xml:space="preserve">Nombre de la Empresa: </t>
    </r>
    <r>
      <rPr>
        <b/>
        <sz val="10"/>
        <color theme="1"/>
        <rFont val="Calibri"/>
        <family val="2"/>
        <scheme val="minor"/>
      </rPr>
      <t>TRANSPORTES 2M                              C</t>
    </r>
    <r>
      <rPr>
        <sz val="10"/>
        <color theme="1"/>
        <rFont val="Calibri"/>
        <family val="2"/>
        <scheme val="minor"/>
      </rPr>
      <t>ontacto</t>
    </r>
    <r>
      <rPr>
        <b/>
        <sz val="10"/>
        <color theme="1"/>
        <rFont val="Calibri"/>
        <family val="2"/>
        <scheme val="minor"/>
      </rPr>
      <t xml:space="preserve">: José Ángel Méndez Arriaga                          </t>
    </r>
    <r>
      <rPr>
        <sz val="10"/>
        <color theme="1"/>
        <rFont val="Calibri"/>
        <family val="2"/>
        <scheme val="minor"/>
      </rPr>
      <t>Teléfono:</t>
    </r>
    <r>
      <rPr>
        <b/>
        <sz val="10"/>
        <color theme="4" tint="-0.249977111117893"/>
        <rFont val="Calibri"/>
        <family val="2"/>
        <scheme val="minor"/>
      </rPr>
      <t xml:space="preserve"> 812 600 8976</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jama_ca@hotmail.com </t>
    </r>
    <r>
      <rPr>
        <sz val="9"/>
        <color theme="1"/>
        <rFont val="Calibri"/>
        <family val="2"/>
        <scheme val="minor"/>
      </rPr>
      <t/>
    </r>
  </si>
  <si>
    <t>TRANSPORTES CARRERA</t>
  </si>
  <si>
    <r>
      <rPr>
        <sz val="10"/>
        <color theme="1"/>
        <rFont val="Calibri"/>
        <family val="2"/>
        <scheme val="minor"/>
      </rPr>
      <t>Nombre de la Empresa:</t>
    </r>
    <r>
      <rPr>
        <b/>
        <sz val="10"/>
        <color theme="1"/>
        <rFont val="Calibri"/>
        <family val="2"/>
        <scheme val="minor"/>
      </rPr>
      <t xml:space="preserve"> TRANSPORTES CARRERA 
</t>
    </r>
    <r>
      <rPr>
        <sz val="10"/>
        <color theme="1"/>
        <rFont val="Calibri"/>
        <family val="2"/>
        <scheme val="minor"/>
      </rPr>
      <t>Contacto</t>
    </r>
    <r>
      <rPr>
        <b/>
        <sz val="10"/>
        <color theme="1"/>
        <rFont val="Calibri"/>
        <family val="2"/>
        <scheme val="minor"/>
      </rPr>
      <t xml:space="preserve">: Carolina Arellano/Cesar Carrera           
</t>
    </r>
    <r>
      <rPr>
        <sz val="10"/>
        <color theme="1"/>
        <rFont val="Calibri"/>
        <family val="2"/>
        <scheme val="minor"/>
      </rPr>
      <t>Email:</t>
    </r>
    <r>
      <rPr>
        <b/>
        <sz val="10"/>
        <color theme="1"/>
        <rFont val="Calibri"/>
        <family val="2"/>
        <scheme val="minor"/>
      </rPr>
      <t xml:space="preserve"> cuentasporpagar@grupocarrera.mx 
</t>
    </r>
    <r>
      <rPr>
        <sz val="10"/>
        <color theme="1"/>
        <rFont val="Calibri"/>
        <family val="2"/>
        <scheme val="minor"/>
      </rPr>
      <t>Teléfono</t>
    </r>
    <r>
      <rPr>
        <b/>
        <sz val="10"/>
        <color theme="1"/>
        <rFont val="Calibri"/>
        <family val="2"/>
        <scheme val="minor"/>
      </rPr>
      <t>:</t>
    </r>
    <r>
      <rPr>
        <b/>
        <sz val="10"/>
        <color theme="4" tint="-0.249977111117893"/>
        <rFont val="Calibri"/>
        <family val="2"/>
        <scheme val="minor"/>
      </rPr>
      <t xml:space="preserve"> 444-850-6697, 44-257-8489 ó 444-256-1035</t>
    </r>
    <r>
      <rPr>
        <b/>
        <sz val="10"/>
        <color theme="1"/>
        <rFont val="Calibri"/>
        <family val="2"/>
        <scheme val="minor"/>
      </rPr>
      <t xml:space="preserve">
</t>
    </r>
  </si>
  <si>
    <t>ALEJANDRO MARMOLEJO</t>
  </si>
  <si>
    <r>
      <t xml:space="preserve">Contacto: Alejandra - 812 567 9540
Diana - 812 026 1912
Gabriela - 812 415 0728
</t>
    </r>
    <r>
      <rPr>
        <b/>
        <u/>
        <sz val="10"/>
        <color rgb="FF0070C0"/>
        <rFont val="Calibri"/>
        <family val="2"/>
        <scheme val="minor"/>
      </rPr>
      <t xml:space="preserve">WHATSAPP </t>
    </r>
  </si>
  <si>
    <r>
      <t xml:space="preserve">Nombre de la Empresa: </t>
    </r>
    <r>
      <rPr>
        <b/>
        <sz val="10"/>
        <color theme="1"/>
        <rFont val="Calibri"/>
        <family val="2"/>
        <scheme val="minor"/>
      </rPr>
      <t xml:space="preserve">ALIMENTOS GUPER S.A. DE C.V. </t>
    </r>
    <r>
      <rPr>
        <sz val="10"/>
        <color theme="1"/>
        <rFont val="Calibri"/>
        <family val="2"/>
        <scheme val="minor"/>
      </rPr>
      <t xml:space="preserve">
Contacto: </t>
    </r>
    <r>
      <rPr>
        <b/>
        <sz val="10"/>
        <color theme="1"/>
        <rFont val="Calibri"/>
        <family val="2"/>
        <scheme val="minor"/>
      </rPr>
      <t xml:space="preserve">Nancy Paola Perales </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811 801 4266</t>
    </r>
    <r>
      <rPr>
        <sz val="10"/>
        <color theme="1"/>
        <rFont val="Calibri"/>
        <family val="2"/>
        <scheme val="minor"/>
      </rPr>
      <t xml:space="preserve">
Email: </t>
    </r>
    <r>
      <rPr>
        <b/>
        <sz val="10"/>
        <color theme="1"/>
        <rFont val="Calibri"/>
        <family val="2"/>
        <scheme val="minor"/>
      </rPr>
      <t xml:space="preserve">alimentosgupersacv@gmail.com  </t>
    </r>
    <r>
      <rPr>
        <sz val="10"/>
        <color theme="1"/>
        <rFont val="Calibri"/>
        <family val="2"/>
        <scheme val="minor"/>
      </rPr>
      <t xml:space="preserve">
</t>
    </r>
  </si>
  <si>
    <r>
      <t xml:space="preserve">Contacto: </t>
    </r>
    <r>
      <rPr>
        <b/>
        <sz val="10"/>
        <color theme="1"/>
        <rFont val="Calibri"/>
        <family val="2"/>
        <scheme val="minor"/>
      </rPr>
      <t xml:space="preserve">YADIRA MARMOLEJO   </t>
    </r>
    <r>
      <rPr>
        <sz val="10"/>
        <color theme="1"/>
        <rFont val="Calibri"/>
        <family val="2"/>
        <scheme val="minor"/>
      </rPr>
      <t xml:space="preserve">Teléfono: </t>
    </r>
    <r>
      <rPr>
        <b/>
        <sz val="10"/>
        <color theme="4" tint="-0.249977111117893"/>
        <rFont val="Calibri"/>
        <family val="2"/>
        <scheme val="minor"/>
      </rPr>
      <t>813 239 9723</t>
    </r>
    <r>
      <rPr>
        <sz val="10"/>
        <color theme="1"/>
        <rFont val="Calibri"/>
        <family val="2"/>
        <scheme val="minor"/>
      </rPr>
      <t xml:space="preserve">
Email: </t>
    </r>
    <r>
      <rPr>
        <b/>
        <sz val="10"/>
        <rFont val="Calibri"/>
        <family val="2"/>
        <scheme val="minor"/>
      </rPr>
      <t xml:space="preserve">mgautos.satelite@hotmail.com </t>
    </r>
  </si>
  <si>
    <r>
      <rPr>
        <b/>
        <sz val="10"/>
        <color theme="1"/>
        <rFont val="Calibri"/>
        <family val="2"/>
        <scheme val="minor"/>
      </rPr>
      <t>EDGAR CORONADO</t>
    </r>
    <r>
      <rPr>
        <sz val="10"/>
        <color theme="1"/>
        <rFont val="Calibri"/>
        <family val="2"/>
        <scheme val="minor"/>
      </rPr>
      <t xml:space="preserve">
LOTE SAN NICOLAS</t>
    </r>
  </si>
  <si>
    <r>
      <t xml:space="preserve">Contacto: </t>
    </r>
    <r>
      <rPr>
        <b/>
        <sz val="10"/>
        <color theme="1"/>
        <rFont val="Calibri"/>
        <family val="2"/>
        <scheme val="minor"/>
      </rPr>
      <t>EDGAR CORONADO</t>
    </r>
    <r>
      <rPr>
        <sz val="10"/>
        <color theme="1"/>
        <rFont val="Calibri"/>
        <family val="2"/>
        <scheme val="minor"/>
      </rPr>
      <t xml:space="preserve">         Teléfono:</t>
    </r>
    <r>
      <rPr>
        <b/>
        <sz val="10"/>
        <color theme="1"/>
        <rFont val="Calibri"/>
        <family val="2"/>
        <scheme val="minor"/>
      </rPr>
      <t xml:space="preserve"> </t>
    </r>
    <r>
      <rPr>
        <b/>
        <sz val="10"/>
        <color theme="4" tint="-0.249977111117893"/>
        <rFont val="Calibri"/>
        <family val="2"/>
        <scheme val="minor"/>
      </rPr>
      <t xml:space="preserve">812 860 9998 </t>
    </r>
    <r>
      <rPr>
        <sz val="10"/>
        <color theme="1"/>
        <rFont val="Calibri"/>
        <family val="2"/>
        <scheme val="minor"/>
      </rPr>
      <t xml:space="preserve">
Email: </t>
    </r>
    <r>
      <rPr>
        <b/>
        <sz val="10"/>
        <rFont val="Calibri"/>
        <family val="2"/>
        <scheme val="minor"/>
      </rPr>
      <t xml:space="preserve">edgar.start52@gmail.com </t>
    </r>
  </si>
  <si>
    <r>
      <t>EUGENIO (</t>
    </r>
    <r>
      <rPr>
        <b/>
        <sz val="10"/>
        <color theme="1"/>
        <rFont val="Calibri"/>
        <family val="2"/>
        <scheme val="minor"/>
      </rPr>
      <t>FAST CRED</t>
    </r>
    <r>
      <rPr>
        <sz val="10"/>
        <color theme="1"/>
        <rFont val="Calibri"/>
        <family val="2"/>
        <scheme val="minor"/>
      </rPr>
      <t>)</t>
    </r>
  </si>
  <si>
    <r>
      <t xml:space="preserve">Nombre de la Empresa: </t>
    </r>
    <r>
      <rPr>
        <b/>
        <sz val="10"/>
        <color theme="1"/>
        <rFont val="Calibri"/>
        <family val="2"/>
        <scheme val="minor"/>
      </rPr>
      <t>FAST CRED</t>
    </r>
    <r>
      <rPr>
        <sz val="10"/>
        <color theme="1"/>
        <rFont val="Calibri"/>
        <family val="2"/>
        <scheme val="minor"/>
      </rPr>
      <t xml:space="preserve">
Contacto: </t>
    </r>
    <r>
      <rPr>
        <b/>
        <sz val="10"/>
        <color theme="1"/>
        <rFont val="Calibri"/>
        <family val="2"/>
        <scheme val="minor"/>
      </rPr>
      <t xml:space="preserve">Eugenio                             </t>
    </r>
    <r>
      <rPr>
        <sz val="10"/>
        <color theme="1"/>
        <rFont val="Calibri"/>
        <family val="2"/>
        <scheme val="minor"/>
      </rPr>
      <t xml:space="preserve">Teléfono: </t>
    </r>
    <r>
      <rPr>
        <b/>
        <sz val="10"/>
        <color theme="4" tint="-0.249977111117893"/>
        <rFont val="Calibri"/>
        <family val="2"/>
        <scheme val="minor"/>
      </rPr>
      <t>818 120 9816</t>
    </r>
    <r>
      <rPr>
        <sz val="10"/>
        <color theme="1"/>
        <rFont val="Calibri"/>
        <family val="2"/>
        <scheme val="minor"/>
      </rPr>
      <t xml:space="preserve">
Email:</t>
    </r>
    <r>
      <rPr>
        <b/>
        <sz val="10"/>
        <color theme="1"/>
        <rFont val="Calibri"/>
        <family val="2"/>
        <scheme val="minor"/>
      </rPr>
      <t xml:space="preserve"> eugenio.296@hotmail.com </t>
    </r>
    <r>
      <rPr>
        <sz val="10"/>
        <color theme="1"/>
        <rFont val="Calibri"/>
        <family val="2"/>
        <scheme val="minor"/>
      </rPr>
      <t xml:space="preserve">
</t>
    </r>
  </si>
  <si>
    <t xml:space="preserve">ISRAEL (MUDANZAS) </t>
  </si>
  <si>
    <t>JESUS DAVALOS</t>
  </si>
  <si>
    <r>
      <rPr>
        <sz val="10"/>
        <color theme="1"/>
        <rFont val="Calibri"/>
        <family val="2"/>
        <scheme val="minor"/>
      </rPr>
      <t xml:space="preserve">Nombre de la Empresa: </t>
    </r>
    <r>
      <rPr>
        <b/>
        <sz val="10"/>
        <color theme="1"/>
        <rFont val="Calibri"/>
        <family val="2"/>
        <scheme val="minor"/>
      </rPr>
      <t xml:space="preserve">JESUS DAVALOS
</t>
    </r>
    <r>
      <rPr>
        <sz val="10"/>
        <color theme="1"/>
        <rFont val="Calibri"/>
        <family val="2"/>
        <scheme val="minor"/>
      </rPr>
      <t xml:space="preserve">Contacto: </t>
    </r>
    <r>
      <rPr>
        <b/>
        <sz val="10"/>
        <color theme="1"/>
        <rFont val="Calibri"/>
        <family val="2"/>
        <scheme val="minor"/>
      </rPr>
      <t xml:space="preserve">Jesús Dávalos                  </t>
    </r>
    <r>
      <rPr>
        <sz val="10"/>
        <color theme="1"/>
        <rFont val="Calibri"/>
        <family val="2"/>
        <scheme val="minor"/>
      </rPr>
      <t>Teléfono:</t>
    </r>
    <r>
      <rPr>
        <b/>
        <sz val="10"/>
        <color theme="4" tint="-0.249977111117893"/>
        <rFont val="Calibri"/>
        <family val="2"/>
        <scheme val="minor"/>
      </rPr>
      <t xml:space="preserve"> 811 270 1560</t>
    </r>
    <r>
      <rPr>
        <b/>
        <sz val="10"/>
        <color theme="1"/>
        <rFont val="Calibri"/>
        <family val="2"/>
        <scheme val="minor"/>
      </rPr>
      <t xml:space="preserve">
</t>
    </r>
    <r>
      <rPr>
        <sz val="10"/>
        <color theme="1"/>
        <rFont val="Calibri"/>
        <family val="2"/>
        <scheme val="minor"/>
      </rPr>
      <t>Email:</t>
    </r>
    <r>
      <rPr>
        <b/>
        <sz val="10"/>
        <color theme="1"/>
        <rFont val="Calibri"/>
        <family val="2"/>
        <scheme val="minor"/>
      </rPr>
      <t xml:space="preserve"> jj.davalos@hotmail.com 
</t>
    </r>
  </si>
  <si>
    <r>
      <rPr>
        <b/>
        <sz val="10"/>
        <color theme="1"/>
        <rFont val="Calibri"/>
        <family val="2"/>
        <scheme val="minor"/>
      </rPr>
      <t xml:space="preserve">MOVEO </t>
    </r>
    <r>
      <rPr>
        <sz val="10"/>
        <color theme="1"/>
        <rFont val="Calibri"/>
        <family val="2"/>
        <scheme val="minor"/>
      </rPr>
      <t>RENTA DE AUTOS 
(EDGAR GUAJARDO)</t>
    </r>
  </si>
  <si>
    <r>
      <t>Nombre de la Empresa:</t>
    </r>
    <r>
      <rPr>
        <b/>
        <sz val="10"/>
        <color theme="1"/>
        <rFont val="Calibri"/>
        <family val="2"/>
        <scheme val="minor"/>
      </rPr>
      <t xml:space="preserve"> MOVEO RENTA DE AUTOS</t>
    </r>
    <r>
      <rPr>
        <sz val="10"/>
        <color theme="1"/>
        <rFont val="Calibri"/>
        <family val="2"/>
        <scheme val="minor"/>
      </rPr>
      <t xml:space="preserve">
Contacto: </t>
    </r>
    <r>
      <rPr>
        <b/>
        <sz val="10"/>
        <color theme="1"/>
        <rFont val="Calibri"/>
        <family val="2"/>
        <scheme val="minor"/>
      </rPr>
      <t xml:space="preserve">Edgar Guajardo                </t>
    </r>
    <r>
      <rPr>
        <sz val="10"/>
        <color theme="1"/>
        <rFont val="Calibri"/>
        <family val="2"/>
        <scheme val="minor"/>
      </rPr>
      <t>Teléfono:</t>
    </r>
    <r>
      <rPr>
        <b/>
        <sz val="10"/>
        <color theme="4" tint="-0.249977111117893"/>
        <rFont val="Calibri"/>
        <family val="2"/>
        <scheme val="minor"/>
      </rPr>
      <t xml:space="preserve"> 811 938 6704</t>
    </r>
    <r>
      <rPr>
        <sz val="10"/>
        <color theme="1"/>
        <rFont val="Calibri"/>
        <family val="2"/>
        <scheme val="minor"/>
      </rPr>
      <t xml:space="preserve">
Email: </t>
    </r>
    <r>
      <rPr>
        <b/>
        <sz val="10"/>
        <color theme="1"/>
        <rFont val="Calibri"/>
        <family val="2"/>
        <scheme val="minor"/>
      </rPr>
      <t xml:space="preserve">Edgar_holanda@hotmail.com; </t>
    </r>
    <r>
      <rPr>
        <sz val="10"/>
        <color theme="1"/>
        <rFont val="Calibri"/>
        <family val="2"/>
        <scheme val="minor"/>
      </rPr>
      <t xml:space="preserve">
</t>
    </r>
  </si>
  <si>
    <t>PEFILES CHAPA</t>
  </si>
  <si>
    <r>
      <rPr>
        <sz val="10"/>
        <color theme="1"/>
        <rFont val="Calibri"/>
        <family val="2"/>
        <scheme val="minor"/>
      </rPr>
      <t xml:space="preserve">Nombre de la Empresa: </t>
    </r>
    <r>
      <rPr>
        <b/>
        <sz val="10"/>
        <color theme="1"/>
        <rFont val="Calibri"/>
        <family val="2"/>
        <scheme val="minor"/>
      </rPr>
      <t xml:space="preserve">PERFILES CHAPA 
</t>
    </r>
    <r>
      <rPr>
        <sz val="10"/>
        <color theme="1"/>
        <rFont val="Calibri"/>
        <family val="2"/>
        <scheme val="minor"/>
      </rPr>
      <t>Contacto:</t>
    </r>
    <r>
      <rPr>
        <b/>
        <sz val="10"/>
        <color theme="1"/>
        <rFont val="Calibri"/>
        <family val="2"/>
        <scheme val="minor"/>
      </rPr>
      <t xml:space="preserve"> José Alberto Chapa Canales / Tania Torres Ferre / Carlos Sandoval de la Cruz
</t>
    </r>
    <r>
      <rPr>
        <sz val="10"/>
        <color theme="1"/>
        <rFont val="Calibri"/>
        <family val="2"/>
        <scheme val="minor"/>
      </rPr>
      <t>Email:</t>
    </r>
    <r>
      <rPr>
        <b/>
        <sz val="10"/>
        <color theme="1"/>
        <rFont val="Calibri"/>
        <family val="2"/>
        <scheme val="minor"/>
      </rPr>
      <t xml:space="preserve"> josealberto_chapa@outlook.com 
</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811 526 2957 / 818 686 0821</t>
    </r>
    <r>
      <rPr>
        <b/>
        <sz val="10"/>
        <color rgb="FF0070C0"/>
        <rFont val="Calibri"/>
        <family val="2"/>
        <scheme val="minor"/>
      </rPr>
      <t xml:space="preserve">
</t>
    </r>
  </si>
  <si>
    <t>RODRIGO SOTO</t>
  </si>
  <si>
    <r>
      <rPr>
        <sz val="10"/>
        <color theme="1"/>
        <rFont val="Calibri"/>
        <family val="2"/>
        <scheme val="minor"/>
      </rPr>
      <t>Nombre de la Empresa:</t>
    </r>
    <r>
      <rPr>
        <b/>
        <sz val="10"/>
        <color theme="1"/>
        <rFont val="Calibri"/>
        <family val="2"/>
        <scheme val="minor"/>
      </rPr>
      <t xml:space="preserve"> RODRIGO SOTO (LOTE SAN NICOLAS)
</t>
    </r>
    <r>
      <rPr>
        <sz val="10"/>
        <color theme="1"/>
        <rFont val="Calibri"/>
        <family val="2"/>
        <scheme val="minor"/>
      </rPr>
      <t>Contacto:</t>
    </r>
    <r>
      <rPr>
        <b/>
        <sz val="10"/>
        <color theme="1"/>
        <rFont val="Calibri"/>
        <family val="2"/>
        <scheme val="minor"/>
      </rPr>
      <t xml:space="preserve"> Rodrigo Soto                  </t>
    </r>
    <r>
      <rPr>
        <sz val="10"/>
        <color theme="1"/>
        <rFont val="Calibri"/>
        <family val="2"/>
        <scheme val="minor"/>
      </rPr>
      <t>Teléfono:</t>
    </r>
    <r>
      <rPr>
        <sz val="10"/>
        <color theme="4" tint="-0.249977111117893"/>
        <rFont val="Calibri"/>
        <family val="2"/>
        <scheme val="minor"/>
      </rPr>
      <t xml:space="preserve"> </t>
    </r>
    <r>
      <rPr>
        <b/>
        <sz val="10"/>
        <color theme="4" tint="-0.249977111117893"/>
        <rFont val="Calibri"/>
        <family val="2"/>
        <scheme val="minor"/>
      </rPr>
      <t>812 690 0903</t>
    </r>
    <r>
      <rPr>
        <b/>
        <sz val="10"/>
        <color theme="1"/>
        <rFont val="Calibri"/>
        <family val="2"/>
        <scheme val="minor"/>
      </rPr>
      <t xml:space="preserve">
</t>
    </r>
    <r>
      <rPr>
        <sz val="10"/>
        <color theme="1"/>
        <rFont val="Calibri"/>
        <family val="2"/>
        <scheme val="minor"/>
      </rPr>
      <t>Correo:</t>
    </r>
    <r>
      <rPr>
        <b/>
        <sz val="10"/>
        <color theme="1"/>
        <rFont val="Calibri"/>
        <family val="2"/>
        <scheme val="minor"/>
      </rPr>
      <t xml:space="preserve"> rodrigosf92@gmail.com;  </t>
    </r>
    <r>
      <rPr>
        <sz val="9"/>
        <color theme="1"/>
        <rFont val="Calibri"/>
        <family val="2"/>
        <scheme val="minor"/>
      </rPr>
      <t/>
    </r>
  </si>
  <si>
    <t>POR RECUPERAR</t>
  </si>
  <si>
    <t>Total de Arrastre:</t>
  </si>
  <si>
    <t>NOV</t>
  </si>
  <si>
    <t>CLIENTE O RAZON SOCIAL</t>
  </si>
  <si>
    <t>RFC</t>
  </si>
  <si>
    <t xml:space="preserve">FOLIO FISCAL </t>
  </si>
  <si>
    <t xml:space="preserve">DÍA </t>
  </si>
  <si>
    <t>#</t>
  </si>
  <si>
    <t xml:space="preserve">MES </t>
  </si>
  <si>
    <t>CFDI</t>
  </si>
  <si>
    <t xml:space="preserve">FACTURA </t>
  </si>
  <si>
    <t xml:space="preserve">SUBTOTAL </t>
  </si>
  <si>
    <t>IVA</t>
  </si>
  <si>
    <t xml:space="preserve">TOTAL </t>
  </si>
  <si>
    <t xml:space="preserve">FECHA DE PAGO </t>
  </si>
  <si>
    <t xml:space="preserve">ESTATUS </t>
  </si>
  <si>
    <t>ENERO</t>
  </si>
  <si>
    <t>CLIENTE</t>
  </si>
  <si>
    <t>MONTO</t>
  </si>
  <si>
    <t>MES</t>
  </si>
  <si>
    <t>CONTACTO</t>
  </si>
  <si>
    <t>CANT</t>
  </si>
  <si>
    <t xml:space="preserve">UNIDAD </t>
  </si>
  <si>
    <t xml:space="preserve">SIM </t>
  </si>
  <si>
    <t xml:space="preserve">VENTA </t>
  </si>
  <si>
    <t xml:space="preserve">COSTO </t>
  </si>
  <si>
    <t xml:space="preserve">COMENTARIOS </t>
  </si>
  <si>
    <t>FECHA</t>
  </si>
  <si>
    <t>REALIZÓ</t>
  </si>
  <si>
    <t>PLACAS</t>
  </si>
  <si>
    <t>UNIDADES</t>
  </si>
  <si>
    <t>F/R</t>
  </si>
  <si>
    <t>SUBTOTAL</t>
  </si>
  <si>
    <t>TOTAL</t>
  </si>
  <si>
    <t xml:space="preserve">FECHA DE INICIO </t>
  </si>
  <si>
    <t xml:space="preserve">FECHA DE BAJA </t>
  </si>
  <si>
    <t xml:space="preserve">MOTIVO </t>
  </si>
  <si>
    <t xml:space="preserve">SALDO PENDIENTE </t>
  </si>
  <si>
    <t xml:space="preserve">DATOS DE CONTACTO </t>
  </si>
  <si>
    <t>FACTURA/REMISION</t>
  </si>
  <si>
    <t xml:space="preserve">Juan Sierra - 81 1155 5608 </t>
  </si>
  <si>
    <t>FACTURA</t>
  </si>
  <si>
    <t>NOVIEMBRE'23</t>
  </si>
  <si>
    <t>REFERENCIA</t>
  </si>
  <si>
    <t xml:space="preserve">SILVIA NERI SALAZAR </t>
  </si>
  <si>
    <t>NESS6001221GA</t>
  </si>
  <si>
    <t xml:space="preserve">CARPACK S.A. DE C.V. </t>
  </si>
  <si>
    <t>CAR070302UU2</t>
  </si>
  <si>
    <t>ELIZABETH RENTERIA REVILLA</t>
  </si>
  <si>
    <t>RERE760807SX9</t>
  </si>
  <si>
    <t xml:space="preserve">BAWOMA CONTROL TOTAL S.A. DE C.V. </t>
  </si>
  <si>
    <t>BCT100310834</t>
  </si>
  <si>
    <t xml:space="preserve">GRUPO AMBIENTAL Y RESIDUOS INDUSTRIALES S.A. DE C.V. </t>
  </si>
  <si>
    <t>GAR1503063C1</t>
  </si>
  <si>
    <t xml:space="preserve">TRANSPORTES STA ELENA GRAL ZUAZUA NL CARGA Y PERSONAL S.A. DE C.V. </t>
  </si>
  <si>
    <t>TSE210312P9A</t>
  </si>
  <si>
    <t xml:space="preserve">GEORGINA MELISSA GOMEZ RODELA </t>
  </si>
  <si>
    <t xml:space="preserve">GORG8204295H5  </t>
  </si>
  <si>
    <t>ACERTIVA CONTRUCCIONES S.A. DE C.V.</t>
  </si>
  <si>
    <t>ACO9605025G2</t>
  </si>
  <si>
    <t>OCA121001RX9</t>
  </si>
  <si>
    <t>JAVIER ANGEL VELAZQUEZ SANCHEZ</t>
  </si>
  <si>
    <t>VESJ4910026E3</t>
  </si>
  <si>
    <t>DASL701219TM3</t>
  </si>
  <si>
    <t>GOPL9105308A6</t>
  </si>
  <si>
    <t>MIGUEL EDUARDO CASAS ARIZMENDI</t>
  </si>
  <si>
    <t>CAAM980824PA1</t>
  </si>
  <si>
    <t>MYA TRANSPORTES S.A. DE C.V.</t>
  </si>
  <si>
    <t>MTR0705245M3</t>
  </si>
  <si>
    <t>PACKET CAR DE MONTERREY S.A. DE C.V.</t>
  </si>
  <si>
    <t>PCM200703M63</t>
  </si>
  <si>
    <t>SIS1703089V6</t>
  </si>
  <si>
    <t xml:space="preserve">JUAN ANTONIO DE JESUS GARCIA RAMIREZ </t>
  </si>
  <si>
    <t>GARJ810921FM4</t>
  </si>
  <si>
    <t>POWERTRUCK MONTERREY, S.A. DE C.V.</t>
  </si>
  <si>
    <t>PMO1502053V2</t>
  </si>
  <si>
    <t>AUTO LINEAS MERCURIO S.A. DE C.V.</t>
  </si>
  <si>
    <t>ALM150204CV3</t>
  </si>
  <si>
    <t>CMV841219N26</t>
  </si>
  <si>
    <t>ELEMOC INTEGRAL SERVICES S.A. DE C.V.</t>
  </si>
  <si>
    <t>EIS1210046A9</t>
  </si>
  <si>
    <t>ERESOM LATINOAMERICA S.A. DE C.V.</t>
  </si>
  <si>
    <t>ELA170427C87</t>
  </si>
  <si>
    <t>JOSE ADRIAN TREVIÑO ROCHA</t>
  </si>
  <si>
    <t>TERA9101235J8</t>
  </si>
  <si>
    <t>JOSE LUIS ALMAGUER GONZALEZ</t>
  </si>
  <si>
    <t>AAGL831231LB3</t>
  </si>
  <si>
    <t>PICAZO ARQUITECTOS S.A. DE C.V.</t>
  </si>
  <si>
    <t>PAR980331F17</t>
  </si>
  <si>
    <t>RMO1905238I5</t>
  </si>
  <si>
    <t xml:space="preserve">VASTI ESQUIVEL RODRIGUEZ </t>
  </si>
  <si>
    <t>EURV7609065L2</t>
  </si>
  <si>
    <t>G03</t>
  </si>
  <si>
    <t>I07</t>
  </si>
  <si>
    <t>FACTURAS</t>
  </si>
  <si>
    <t>LIQUIDADA</t>
  </si>
  <si>
    <t xml:space="preserve">NO PAGABA NI SE REPORTABA </t>
  </si>
  <si>
    <t>INDUSTRIAL DE CARBON Y GRAFITO, S.A. DE C.V.</t>
  </si>
  <si>
    <r>
      <t>Nombre de la Empresa:</t>
    </r>
    <r>
      <rPr>
        <b/>
        <sz val="10"/>
        <color theme="1"/>
        <rFont val="Calibri"/>
        <family val="2"/>
        <scheme val="minor"/>
      </rPr>
      <t xml:space="preserve"> INDUSTRIAL DE CARBON Y GRAFITO, S.A. DE C.V.</t>
    </r>
    <r>
      <rPr>
        <sz val="10"/>
        <color theme="1"/>
        <rFont val="Calibri"/>
        <family val="2"/>
        <scheme val="minor"/>
      </rPr>
      <t xml:space="preserve">
RFC: </t>
    </r>
    <r>
      <rPr>
        <b/>
        <sz val="10"/>
        <color theme="1"/>
        <rFont val="Calibri"/>
        <family val="2"/>
        <scheme val="minor"/>
      </rPr>
      <t xml:space="preserve"> ICG 100106 UR0 </t>
    </r>
    <r>
      <rPr>
        <sz val="10"/>
        <color theme="1"/>
        <rFont val="Calibri"/>
        <family val="2"/>
        <scheme val="minor"/>
      </rPr>
      <t xml:space="preserve">CFDI: </t>
    </r>
    <r>
      <rPr>
        <b/>
        <sz val="10"/>
        <color theme="1"/>
        <rFont val="Calibri"/>
        <family val="2"/>
        <scheme val="minor"/>
      </rPr>
      <t>Gastos en general</t>
    </r>
    <r>
      <rPr>
        <sz val="10"/>
        <color theme="1"/>
        <rFont val="Calibri"/>
        <family val="2"/>
        <scheme val="minor"/>
      </rPr>
      <t xml:space="preserve">
TEL: </t>
    </r>
    <r>
      <rPr>
        <b/>
        <sz val="10"/>
        <color theme="1"/>
        <rFont val="Calibri"/>
        <family val="2"/>
        <scheme val="minor"/>
      </rPr>
      <t xml:space="preserve">16 42 2004                                          </t>
    </r>
    <r>
      <rPr>
        <sz val="10"/>
        <color theme="1"/>
        <rFont val="Calibri"/>
        <family val="2"/>
        <scheme val="minor"/>
      </rPr>
      <t xml:space="preserve">Contacto: </t>
    </r>
    <r>
      <rPr>
        <b/>
        <sz val="10"/>
        <color theme="1"/>
        <rFont val="Calibri"/>
        <family val="2"/>
        <scheme val="minor"/>
      </rPr>
      <t xml:space="preserve">Pablo Rodriguez </t>
    </r>
    <r>
      <rPr>
        <sz val="10"/>
        <color theme="1"/>
        <rFont val="Calibri"/>
        <family val="2"/>
        <scheme val="minor"/>
      </rPr>
      <t xml:space="preserve">
Email:</t>
    </r>
    <r>
      <rPr>
        <b/>
        <sz val="10"/>
        <color theme="1"/>
        <rFont val="Calibri"/>
        <family val="2"/>
        <scheme val="minor"/>
      </rPr>
      <t xml:space="preserve"> Elda@carbograf.com</t>
    </r>
  </si>
  <si>
    <t>ICG100106UR0</t>
  </si>
  <si>
    <t xml:space="preserve">CESAR TAMEZ GUZMAN </t>
  </si>
  <si>
    <t>JESUS AGUSTIN GUTIERREZ NOLAN</t>
  </si>
  <si>
    <t>EUGENIO (FAST CRED)</t>
  </si>
  <si>
    <t xml:space="preserve">OSCAR OROZCO </t>
  </si>
  <si>
    <r>
      <rPr>
        <sz val="10"/>
        <color theme="1"/>
        <rFont val="Calibri"/>
        <family val="2"/>
        <scheme val="minor"/>
      </rPr>
      <t>Nombre de la Empresa:</t>
    </r>
    <r>
      <rPr>
        <b/>
        <sz val="10"/>
        <color theme="1"/>
        <rFont val="Calibri"/>
        <family val="2"/>
        <scheme val="minor"/>
      </rPr>
      <t xml:space="preserve"> GOMO SERVICES  </t>
    </r>
    <r>
      <rPr>
        <sz val="10"/>
        <color theme="1"/>
        <rFont val="Calibri"/>
        <family val="2"/>
        <scheme val="minor"/>
      </rPr>
      <t>Contacto:</t>
    </r>
    <r>
      <rPr>
        <b/>
        <sz val="10"/>
        <color theme="1"/>
        <rFont val="Calibri"/>
        <family val="2"/>
        <scheme val="minor"/>
      </rPr>
      <t xml:space="preserve"> FERNANDO DISATEL                                      </t>
    </r>
    <r>
      <rPr>
        <sz val="10"/>
        <color theme="1"/>
        <rFont val="Calibri"/>
        <family val="2"/>
        <scheme val="minor"/>
      </rPr>
      <t xml:space="preserve">Email: </t>
    </r>
    <r>
      <rPr>
        <b/>
        <sz val="10"/>
        <color theme="1"/>
        <rFont val="Calibri"/>
        <family val="2"/>
        <scheme val="minor"/>
      </rPr>
      <t xml:space="preserve">frgm_76@hotmail.com  </t>
    </r>
    <r>
      <rPr>
        <b/>
        <sz val="10"/>
        <color theme="4" tint="-0.249977111117893"/>
        <rFont val="Calibri"/>
        <family val="2"/>
        <scheme val="minor"/>
      </rPr>
      <t xml:space="preserve"> Remisiones con IVA </t>
    </r>
  </si>
  <si>
    <r>
      <t>Nombre de la Empresa:</t>
    </r>
    <r>
      <rPr>
        <b/>
        <sz val="10"/>
        <color theme="1"/>
        <rFont val="Calibri"/>
        <family val="2"/>
        <scheme val="minor"/>
      </rPr>
      <t xml:space="preserve"> GEORGINA MELISSA GOMEZ RODELA</t>
    </r>
    <r>
      <rPr>
        <sz val="10"/>
        <color theme="1"/>
        <rFont val="Calibri"/>
        <family val="2"/>
        <scheme val="minor"/>
      </rPr>
      <t xml:space="preserve">
RFC.: </t>
    </r>
    <r>
      <rPr>
        <b/>
        <sz val="10"/>
        <color theme="1"/>
        <rFont val="Calibri"/>
        <family val="2"/>
        <scheme val="minor"/>
      </rPr>
      <t xml:space="preserve">GORG8204295H5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4" tint="-0.249977111117893"/>
        <rFont val="Calibri"/>
        <family val="2"/>
        <scheme val="minor"/>
      </rPr>
      <t xml:space="preserve"> 833 104 3672 </t>
    </r>
    <r>
      <rPr>
        <b/>
        <sz val="10"/>
        <color rgb="FFFF0000"/>
        <rFont val="Calibri"/>
        <family val="2"/>
        <scheme val="minor"/>
      </rPr>
      <t>Gisela Suarez - 81 1049 7882</t>
    </r>
    <r>
      <rPr>
        <sz val="10"/>
        <color theme="1"/>
        <rFont val="Calibri"/>
        <family val="2"/>
        <scheme val="minor"/>
      </rPr>
      <t xml:space="preserve">
Contacto: </t>
    </r>
    <r>
      <rPr>
        <b/>
        <sz val="10"/>
        <color theme="1"/>
        <rFont val="Calibri"/>
        <family val="2"/>
        <scheme val="minor"/>
      </rPr>
      <t>Griselda Suarez (Petrovactor)</t>
    </r>
    <r>
      <rPr>
        <sz val="10"/>
        <color theme="1"/>
        <rFont val="Calibri"/>
        <family val="2"/>
        <scheme val="minor"/>
      </rPr>
      <t xml:space="preserve">
Email:</t>
    </r>
    <r>
      <rPr>
        <b/>
        <sz val="10"/>
        <color theme="1"/>
        <rFont val="Calibri"/>
        <family val="2"/>
        <scheme val="minor"/>
      </rPr>
      <t xml:space="preserve"> griselda@petrovactor.com; facturagmgr@gmail.com; </t>
    </r>
    <r>
      <rPr>
        <sz val="10"/>
        <color theme="1"/>
        <rFont val="Calibri"/>
        <family val="2"/>
        <scheme val="minor"/>
      </rPr>
      <t xml:space="preserve">
</t>
    </r>
  </si>
  <si>
    <t>DEL NORTE LOGISTC (PEDRO RENDON)</t>
  </si>
  <si>
    <t>EDUARDO CORTEZ (PLAY MOTORS)</t>
  </si>
  <si>
    <t>ELENA MORALES VALENCIA (PRESTACOCHE)</t>
  </si>
  <si>
    <t>MONICA BECERRA (RODRIGO MORENO V.)</t>
  </si>
  <si>
    <t>RAYMUNDO JIMENEZ BECERRA (OLID)</t>
  </si>
  <si>
    <t>CARLOS MARMOLEJO AUTOS MG (MARMOLEJO)</t>
  </si>
  <si>
    <t>EDGAR CORONADO LOTE SAN NICOLAS</t>
  </si>
  <si>
    <t>CARLOS LOPEZ</t>
  </si>
  <si>
    <t>CARLOS LOPEZ - 8186697047</t>
  </si>
  <si>
    <t>RETRO AMARILLA</t>
  </si>
  <si>
    <t>S/R</t>
  </si>
  <si>
    <t xml:space="preserve">JESUS GALVAN </t>
  </si>
  <si>
    <t>DAVID GOMEZ</t>
  </si>
  <si>
    <t xml:space="preserve">NO PAGABA, NO SE REPORTABA, MENCIONABA QUE VENDIO LA UNIDAD Y SE NEGABA  APAGAR, SE LE CORTO LA DEUDA HASTA MARZO 2022 </t>
  </si>
  <si>
    <t>REMISION</t>
  </si>
  <si>
    <t>JOSE ALANIS</t>
  </si>
  <si>
    <t>ACA150601N42</t>
  </si>
  <si>
    <t>JOSE TORRES</t>
  </si>
  <si>
    <t>JASON SALAZAR</t>
  </si>
  <si>
    <t>ADRIAN RIVERA</t>
  </si>
  <si>
    <t>COMERCIALIZADORA AGROPECUARIA ICK S.A. DE C.V.</t>
  </si>
  <si>
    <t>CAI220330VD7</t>
  </si>
  <si>
    <t>ILEANA QUINTANILLA</t>
  </si>
  <si>
    <t>JOSE TORRES - 8112123340</t>
  </si>
  <si>
    <t>STW-89-09</t>
  </si>
  <si>
    <t>-</t>
  </si>
  <si>
    <t>NISSAN SENTRA GRIS</t>
  </si>
  <si>
    <t>*SERVICIO DE REVISIÓN</t>
  </si>
  <si>
    <t>CHEVROLET SPARK BLANCO</t>
  </si>
  <si>
    <t>PZ-9347-B</t>
  </si>
  <si>
    <t>PAGO EL 18-ENE-2023 POR TRANSFERENCIA</t>
  </si>
  <si>
    <t>PAGO EL 25-ENE-2023 EN EFECTIVO</t>
  </si>
  <si>
    <t>PAGO EL 09-ENE-2023 POR TRANSFERENCIA</t>
  </si>
  <si>
    <r>
      <t xml:space="preserve">Nombre de la Empresa: </t>
    </r>
    <r>
      <rPr>
        <b/>
        <sz val="10"/>
        <color theme="1"/>
        <rFont val="Calibri"/>
        <family val="2"/>
        <scheme val="minor"/>
      </rPr>
      <t xml:space="preserve">CARPACK S.A. DE C.V. </t>
    </r>
    <r>
      <rPr>
        <sz val="10"/>
        <color theme="1"/>
        <rFont val="Calibri"/>
        <family val="2"/>
        <scheme val="minor"/>
      </rPr>
      <t xml:space="preserve">
RFC.: </t>
    </r>
    <r>
      <rPr>
        <b/>
        <sz val="10"/>
        <color theme="1"/>
        <rFont val="Calibri"/>
        <family val="2"/>
        <scheme val="minor"/>
      </rPr>
      <t xml:space="preserve">CAR070302UU2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Forma de Pago:</t>
    </r>
    <r>
      <rPr>
        <b/>
        <sz val="10"/>
        <color theme="1"/>
        <rFont val="Calibri"/>
        <family val="2"/>
        <scheme val="minor"/>
      </rPr>
      <t xml:space="preserve"> Transferencia</t>
    </r>
    <r>
      <rPr>
        <sz val="10"/>
        <color theme="1"/>
        <rFont val="Calibri"/>
        <family val="2"/>
        <scheme val="minor"/>
      </rPr>
      <t>Teléfono:</t>
    </r>
    <r>
      <rPr>
        <b/>
        <sz val="10"/>
        <color theme="1"/>
        <rFont val="Calibri"/>
        <family val="2"/>
        <scheme val="minor"/>
      </rPr>
      <t xml:space="preserve"> </t>
    </r>
    <r>
      <rPr>
        <b/>
        <sz val="10"/>
        <color theme="4" tint="-0.249977111117893"/>
        <rFont val="Calibri"/>
        <family val="2"/>
        <scheme val="minor"/>
      </rPr>
      <t>811 277 9070</t>
    </r>
    <r>
      <rPr>
        <sz val="10"/>
        <color theme="1"/>
        <rFont val="Calibri"/>
        <family val="2"/>
        <scheme val="minor"/>
      </rPr>
      <t xml:space="preserve">
Contacto: </t>
    </r>
    <r>
      <rPr>
        <b/>
        <sz val="10"/>
        <color theme="1"/>
        <rFont val="Calibri"/>
        <family val="2"/>
        <scheme val="minor"/>
      </rPr>
      <t xml:space="preserve">Kelly Mayorga </t>
    </r>
    <r>
      <rPr>
        <sz val="10"/>
        <color theme="1"/>
        <rFont val="Calibri"/>
        <family val="2"/>
        <scheme val="minor"/>
      </rPr>
      <t xml:space="preserve">
Email: </t>
    </r>
    <r>
      <rPr>
        <b/>
        <sz val="10"/>
        <color theme="1"/>
        <rFont val="Calibri"/>
        <family val="2"/>
        <scheme val="minor"/>
      </rPr>
      <t xml:space="preserve">compras@carpack.com.mx; antonioespinosa@carpack.com.mx; 
elizabeth@carpack.com.mx; </t>
    </r>
    <r>
      <rPr>
        <sz val="10"/>
        <color theme="1"/>
        <rFont val="Calibri"/>
        <family val="2"/>
        <scheme val="minor"/>
      </rPr>
      <t xml:space="preserve">
</t>
    </r>
  </si>
  <si>
    <t>JUAN SIERRA (SIERRA LOGISTICS)</t>
  </si>
  <si>
    <t>DANIEL GONZALEZ CARDENAS (ANUALIDAD)</t>
  </si>
  <si>
    <t>FEBRERO</t>
  </si>
  <si>
    <r>
      <rPr>
        <b/>
        <sz val="10"/>
        <color theme="1"/>
        <rFont val="Calibri"/>
        <family val="2"/>
        <scheme val="minor"/>
      </rPr>
      <t xml:space="preserve">ENDER INDUSTRIAL </t>
    </r>
    <r>
      <rPr>
        <sz val="10"/>
        <color theme="1"/>
        <rFont val="Calibri"/>
        <family val="2"/>
        <scheme val="minor"/>
      </rPr>
      <t xml:space="preserve"> 
(EMMANUEL VAZQUEZ - SINERGIX )</t>
    </r>
  </si>
  <si>
    <r>
      <t xml:space="preserve">Nombre de la Empresa: </t>
    </r>
    <r>
      <rPr>
        <b/>
        <sz val="10"/>
        <color theme="1"/>
        <rFont val="Calibri"/>
        <family val="2"/>
        <scheme val="minor"/>
      </rPr>
      <t xml:space="preserve">ENDER INDUSTRIAL S.A. DE C.V. </t>
    </r>
    <r>
      <rPr>
        <sz val="10"/>
        <color theme="1"/>
        <rFont val="Calibri"/>
        <family val="2"/>
        <scheme val="minor"/>
      </rPr>
      <t xml:space="preserve">
RFC.: </t>
    </r>
    <r>
      <rPr>
        <b/>
        <sz val="10"/>
        <color theme="1"/>
        <rFont val="Calibri"/>
        <family val="2"/>
        <scheme val="minor"/>
      </rPr>
      <t xml:space="preserve">SIS1703089V6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Teléfono:</t>
    </r>
    <r>
      <rPr>
        <b/>
        <sz val="10"/>
        <color theme="1"/>
        <rFont val="Calibri"/>
        <family val="2"/>
        <scheme val="minor"/>
      </rPr>
      <t xml:space="preserve"> </t>
    </r>
    <r>
      <rPr>
        <b/>
        <sz val="10"/>
        <color theme="3"/>
        <rFont val="Calibri"/>
        <family val="2"/>
        <scheme val="minor"/>
      </rPr>
      <t>813 055 7409 / 81) 2141 0506</t>
    </r>
    <r>
      <rPr>
        <sz val="10"/>
        <color theme="1"/>
        <rFont val="Calibri"/>
        <family val="2"/>
        <scheme val="minor"/>
      </rPr>
      <t xml:space="preserve">
Contacto: </t>
    </r>
    <r>
      <rPr>
        <b/>
        <sz val="10"/>
        <color theme="1"/>
        <rFont val="Calibri"/>
        <family val="2"/>
        <scheme val="minor"/>
      </rPr>
      <t>Emmanuel Vázquez / Sonia Lugo</t>
    </r>
    <r>
      <rPr>
        <sz val="10"/>
        <color theme="1"/>
        <rFont val="Calibri"/>
        <family val="2"/>
        <scheme val="minor"/>
      </rPr>
      <t xml:space="preserve">
Email: </t>
    </r>
    <r>
      <rPr>
        <b/>
        <sz val="10"/>
        <color theme="1"/>
        <rFont val="Calibri"/>
        <family val="2"/>
        <scheme val="minor"/>
      </rPr>
      <t>emmanuel@sinergix.net; sonia@sinergix.net;</t>
    </r>
    <r>
      <rPr>
        <sz val="10"/>
        <color theme="1"/>
        <rFont val="Calibri"/>
        <family val="2"/>
        <scheme val="minor"/>
      </rPr>
      <t xml:space="preserve"> 
</t>
    </r>
  </si>
  <si>
    <t xml:space="preserve">AGUSTIN CARLOS SANDOVAL SALAZAR (PLAY MOTORS) </t>
  </si>
  <si>
    <r>
      <t xml:space="preserve">JUAN CARLOS COVARRUBIAS SALAS </t>
    </r>
    <r>
      <rPr>
        <b/>
        <sz val="11"/>
        <rFont val="Calibri"/>
        <family val="2"/>
        <scheme val="minor"/>
      </rPr>
      <t>(MONICA BECERRA / RODRIGO MORENO)</t>
    </r>
  </si>
  <si>
    <t>MOVEO RENTA DE AUTOS (EDGAR GUAJARDO)</t>
  </si>
  <si>
    <t>CUANTO PAGO</t>
  </si>
  <si>
    <t xml:space="preserve">CUANTO DEBE </t>
  </si>
  <si>
    <t>FEBRERO'24</t>
  </si>
  <si>
    <t xml:space="preserve">360 LOGISTICS S.A. DE C.V. </t>
  </si>
  <si>
    <t>COBRO POR:</t>
  </si>
  <si>
    <t xml:space="preserve">DEPORTIVO ALPINO CHIPINQUE, A.C. </t>
  </si>
  <si>
    <t xml:space="preserve">COBRO EXTRA DE WEB SERVICE </t>
  </si>
  <si>
    <t>ORTOPEDIA MONTERREY</t>
  </si>
  <si>
    <t>LYDIA GAMEZ</t>
  </si>
  <si>
    <t>DIEGO RODRIGUEZ - 8119885802</t>
  </si>
  <si>
    <t>4X4 CAFÉ</t>
  </si>
  <si>
    <t>5PH-04</t>
  </si>
  <si>
    <t xml:space="preserve">PAGO EL 09-FEB-2023 EN EFECTIVO A JOSE LUIS </t>
  </si>
  <si>
    <t>RETRO ESCAVADORA AMARILLO, MAQUINA AMARILLA</t>
  </si>
  <si>
    <t>8119851280, 8119866455</t>
  </si>
  <si>
    <t>PAGO EL 10-FEB-2023 POR TRANSFERENCIA</t>
  </si>
  <si>
    <t>TRANSPORTES MAJAVI - VICTOR BRAYAN (DANIELA MORENO)</t>
  </si>
  <si>
    <t>PABLO GAMEZ - 8117614131</t>
  </si>
  <si>
    <t xml:space="preserve">*SERVICIO DE VISITA EN FALSO </t>
  </si>
  <si>
    <t xml:space="preserve">NO PABABA NI SE REPORTABA JOSE LUIS AUTORIZA LA BAJA  </t>
  </si>
  <si>
    <r>
      <rPr>
        <b/>
        <sz val="11"/>
        <color theme="1"/>
        <rFont val="Calibri"/>
        <family val="2"/>
        <scheme val="minor"/>
      </rPr>
      <t xml:space="preserve">
COMERCIALIZADORA Y DISTRIBUIDORA RAPE</t>
    </r>
    <r>
      <rPr>
        <sz val="11"/>
        <color theme="1"/>
        <rFont val="Calibri"/>
        <family val="2"/>
        <scheme val="minor"/>
      </rPr>
      <t xml:space="preserve"> MONTERREY, S.A. DE C.V. 
</t>
    </r>
  </si>
  <si>
    <t xml:space="preserve">NO PAGABA NI SE REPORTABA, NO CONTESTABA LLAMADAS </t>
  </si>
  <si>
    <t>MARZO</t>
  </si>
  <si>
    <t>MARIO GARCIA</t>
  </si>
  <si>
    <t>HARO'S TRUCKING</t>
  </si>
  <si>
    <t>CARLOS ZEPEDA</t>
  </si>
  <si>
    <t>AUTOTRANSPORTES GAMI</t>
  </si>
  <si>
    <t>LEMURA VIVIENDA</t>
  </si>
  <si>
    <r>
      <t>Nombre de la Empresa:</t>
    </r>
    <r>
      <rPr>
        <b/>
        <sz val="10"/>
        <color theme="1"/>
        <rFont val="Calibri"/>
        <family val="2"/>
        <scheme val="minor"/>
      </rPr>
      <t xml:space="preserve"> LEMURA VIVIENDA S.A. DE C.V. </t>
    </r>
    <r>
      <rPr>
        <sz val="10"/>
        <color theme="1"/>
        <rFont val="Calibri"/>
        <family val="2"/>
        <scheme val="minor"/>
      </rPr>
      <t xml:space="preserve">
RFC. </t>
    </r>
    <r>
      <rPr>
        <b/>
        <sz val="10"/>
        <color theme="1"/>
        <rFont val="Calibri"/>
        <family val="2"/>
        <scheme val="minor"/>
      </rPr>
      <t xml:space="preserve">LVI170630MEA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 xml:space="preserve"> Forma de Pago:</t>
    </r>
    <r>
      <rPr>
        <b/>
        <sz val="10"/>
        <color theme="1"/>
        <rFont val="Calibri"/>
        <family val="2"/>
        <scheme val="minor"/>
      </rPr>
      <t xml:space="preserve"> Transferencia </t>
    </r>
    <r>
      <rPr>
        <sz val="10"/>
        <color theme="1"/>
        <rFont val="Calibri"/>
        <family val="2"/>
        <scheme val="minor"/>
      </rPr>
      <t>Teléfono: 81 1624 4288
Contacto:</t>
    </r>
    <r>
      <rPr>
        <b/>
        <sz val="10"/>
        <color theme="1"/>
        <rFont val="Calibri"/>
        <family val="2"/>
        <scheme val="minor"/>
      </rPr>
      <t xml:space="preserve"> Ignacio Gaxiola</t>
    </r>
    <r>
      <rPr>
        <sz val="10"/>
        <color theme="1"/>
        <rFont val="Calibri"/>
        <family val="2"/>
        <scheme val="minor"/>
      </rPr>
      <t xml:space="preserve">
Email:</t>
    </r>
    <r>
      <rPr>
        <b/>
        <sz val="10"/>
        <color theme="1"/>
        <rFont val="Calibri"/>
        <family val="2"/>
        <scheme val="minor"/>
      </rPr>
      <t xml:space="preserve"> igaxiola@lemura.com.mx</t>
    </r>
  </si>
  <si>
    <t>ALBERTO JAUREGUI</t>
  </si>
  <si>
    <t>CARLOS ZEPEDA - 8444557538</t>
  </si>
  <si>
    <t>TEC</t>
  </si>
  <si>
    <t>IMEI</t>
  </si>
  <si>
    <t>CHEVROLET BLANCO</t>
  </si>
  <si>
    <t xml:space="preserve">868166053312369, 868166053041307 </t>
  </si>
  <si>
    <t>PAGO EL 20-FEB-2023 POR TRANSFERENCIA</t>
  </si>
  <si>
    <t>PAGO MISMO DÍA</t>
  </si>
  <si>
    <t>NISSAN VERSA BLANCO</t>
  </si>
  <si>
    <t>RYL-133-B</t>
  </si>
  <si>
    <t xml:space="preserve">OSCAR OLIVA </t>
  </si>
  <si>
    <t>PAGO EL 07-MAR-2023 POR TRANSFERENCIA</t>
  </si>
  <si>
    <t xml:space="preserve">FECHA </t>
  </si>
  <si>
    <t>NOMBRE DEL CLIENTE</t>
  </si>
  <si>
    <t>CANTIDAD</t>
  </si>
  <si>
    <t xml:space="preserve">COSTOS </t>
  </si>
  <si>
    <t>CARBOGRAF</t>
  </si>
  <si>
    <t>PABLO RODRIGUEZ  81 2010 3744</t>
  </si>
  <si>
    <t>T-22</t>
  </si>
  <si>
    <t>INSTALACIÓN $650.00+IVA= $754.00                   MENSUALIDAD $300.00+IVA= $348.00</t>
  </si>
  <si>
    <t xml:space="preserve">JASON SALAZAR           81 2699 0331 </t>
  </si>
  <si>
    <t>NISSAN XTRAIL AZUL D88-AZF</t>
  </si>
  <si>
    <t>EQUIPO $1,800.00                                                    MENSUALIDAD $350.00</t>
  </si>
  <si>
    <t xml:space="preserve">TRANSPORTES MAJAVI </t>
  </si>
  <si>
    <t>EQUIPO E INSTALACIÓN $2,149.00+IVA= $2,492.84 MENSUALIDAD $349.00+IVA= $404.84                           SENSOR COMBUSTIBLE DE VARILLA CALIBRACIÓN 20 LTS. $5,450.00+IVA= $6,322.00</t>
  </si>
  <si>
    <t>INSTALACIÓN $500.00+IVA = $580.00                   MENSUALIDAD $289.00+IVA= $335.24</t>
  </si>
  <si>
    <t xml:space="preserve">MARIO GARCIA        81 1260 1382 </t>
  </si>
  <si>
    <t>HILUX GRIS ET-2477-B</t>
  </si>
  <si>
    <t>EQUIPO $1,000.00                                           MENSUALIDAD $300.00</t>
  </si>
  <si>
    <t>KW BLANCO 82-AS-4W</t>
  </si>
  <si>
    <t>MENSUALIDAD $250.00</t>
  </si>
  <si>
    <t>EQUIPO E INSTALACIÓN $1,850.00+IVA= $2,146.00 MENSUALIDAD $299.00+IVA= $346.84                       SENSOR DE ENGANCHE Y DESENGANCHE $1,199.00+IVA= $1,390.84</t>
  </si>
  <si>
    <t>KIA RIO GRIS TDB-327-A</t>
  </si>
  <si>
    <t>EQUIPO E INSTALACIÓN $1,724.00+IVA= $1,999.84 MENSUALIDAD $249.00+IVA= $288.84</t>
  </si>
  <si>
    <t>ELEODORO AGUIRRE</t>
  </si>
  <si>
    <t>ECONÓMICO 114</t>
  </si>
  <si>
    <t>ELEODORO AGUIRRE 81 3660 0091</t>
  </si>
  <si>
    <t>ADRIAN RIVERA         81 2860 1814</t>
  </si>
  <si>
    <t xml:space="preserve">VICTOR CEPEDA           55 6488 2981 </t>
  </si>
  <si>
    <t>LESLY                               81 2658 5423</t>
  </si>
  <si>
    <t xml:space="preserve">SR. IVAN                      33 1222 5823 </t>
  </si>
  <si>
    <t>IGNACIO GAXIOLA      81 1624 4288</t>
  </si>
  <si>
    <t xml:space="preserve">TRACTO FREIGTHLINER AZUL </t>
  </si>
  <si>
    <t>EQUIPO $2,200.00                                        MENSUALIDAD $249.00</t>
  </si>
  <si>
    <t>MUDANZAS RODRIGUEZ</t>
  </si>
  <si>
    <t xml:space="preserve">MARZO'24 </t>
  </si>
  <si>
    <t>USO DE PLATAFORMA</t>
  </si>
  <si>
    <t>JESUS DURAN</t>
  </si>
  <si>
    <t xml:space="preserve"> MARZO</t>
  </si>
  <si>
    <t>GRUAS TEGMESA</t>
  </si>
  <si>
    <t>AUTOEXPRESS MATA</t>
  </si>
  <si>
    <t>JULIA GRACIELA GZZ 81 1908 2914</t>
  </si>
  <si>
    <t xml:space="preserve">COMODATO </t>
  </si>
  <si>
    <t>INSTALACIÓN $650.00+IVA= $754.00                   MENSUALIDAD $299.00+IVA= $346.84</t>
  </si>
  <si>
    <t>EDGAR GARZA                    81 1029 1017</t>
  </si>
  <si>
    <r>
      <t xml:space="preserve">Nombre de la Empresa: </t>
    </r>
    <r>
      <rPr>
        <b/>
        <sz val="10"/>
        <color theme="1"/>
        <rFont val="Calibri"/>
        <family val="2"/>
        <scheme val="minor"/>
      </rPr>
      <t xml:space="preserve">AUTOEXPRESS MATA S.A. DE C.V. </t>
    </r>
    <r>
      <rPr>
        <sz val="10"/>
        <color theme="1"/>
        <rFont val="Calibri"/>
        <family val="2"/>
        <scheme val="minor"/>
      </rPr>
      <t xml:space="preserve">
RFC. </t>
    </r>
    <r>
      <rPr>
        <b/>
        <sz val="10"/>
        <color theme="1"/>
        <rFont val="Calibri"/>
        <family val="2"/>
        <scheme val="minor"/>
      </rPr>
      <t>AMA040520BZ2</t>
    </r>
    <r>
      <rPr>
        <sz val="10"/>
        <color theme="1"/>
        <rFont val="Calibri"/>
        <family val="2"/>
        <scheme val="minor"/>
      </rPr>
      <t xml:space="preserve">  CFDI :                                          Forma de Pago: </t>
    </r>
    <r>
      <rPr>
        <b/>
        <sz val="10"/>
        <color theme="1"/>
        <rFont val="Calibri"/>
        <family val="2"/>
        <scheme val="minor"/>
      </rPr>
      <t xml:space="preserve">Transferencia    </t>
    </r>
    <r>
      <rPr>
        <sz val="10"/>
        <color theme="1"/>
        <rFont val="Calibri"/>
        <family val="2"/>
        <scheme val="minor"/>
      </rPr>
      <t xml:space="preserve">                                Teléfono:  </t>
    </r>
    <r>
      <rPr>
        <b/>
        <sz val="10"/>
        <color theme="1"/>
        <rFont val="Calibri"/>
        <family val="2"/>
        <scheme val="minor"/>
      </rPr>
      <t xml:space="preserve">81 1029 1017 </t>
    </r>
    <r>
      <rPr>
        <sz val="10"/>
        <color theme="1"/>
        <rFont val="Calibri"/>
        <family val="2"/>
        <scheme val="minor"/>
      </rPr>
      <t xml:space="preserve">
Contacto: </t>
    </r>
    <r>
      <rPr>
        <b/>
        <sz val="10"/>
        <color theme="1"/>
        <rFont val="Calibri"/>
        <family val="2"/>
        <scheme val="minor"/>
      </rPr>
      <t xml:space="preserve">Edgar Garza </t>
    </r>
    <r>
      <rPr>
        <sz val="10"/>
        <color theme="1"/>
        <rFont val="Calibri"/>
        <family val="2"/>
        <scheme val="minor"/>
      </rPr>
      <t xml:space="preserve">
Email:</t>
    </r>
  </si>
  <si>
    <r>
      <t xml:space="preserve">Nombre de la Empresa: </t>
    </r>
    <r>
      <rPr>
        <b/>
        <sz val="10"/>
        <color theme="1"/>
        <rFont val="Calibri"/>
        <family val="2"/>
        <scheme val="minor"/>
      </rPr>
      <t xml:space="preserve">GRUAS TEGMESA S.A. DE C.V. </t>
    </r>
    <r>
      <rPr>
        <sz val="10"/>
        <color theme="1"/>
        <rFont val="Calibri"/>
        <family val="2"/>
        <scheme val="minor"/>
      </rPr>
      <t xml:space="preserve">
RFC. </t>
    </r>
    <r>
      <rPr>
        <b/>
        <sz val="10"/>
        <color theme="1"/>
        <rFont val="Calibri"/>
        <family val="2"/>
        <scheme val="minor"/>
      </rPr>
      <t>GTE1602233N9</t>
    </r>
    <r>
      <rPr>
        <sz val="10"/>
        <color theme="1"/>
        <rFont val="Calibri"/>
        <family val="2"/>
        <scheme val="minor"/>
      </rPr>
      <t xml:space="preserve">  CFDI : </t>
    </r>
    <r>
      <rPr>
        <b/>
        <sz val="10"/>
        <color theme="1"/>
        <rFont val="Calibri"/>
        <family val="2"/>
        <scheme val="minor"/>
      </rPr>
      <t xml:space="preserve">Gastos en general    </t>
    </r>
    <r>
      <rPr>
        <sz val="10"/>
        <color theme="1"/>
        <rFont val="Calibri"/>
        <family val="2"/>
        <scheme val="minor"/>
      </rPr>
      <t xml:space="preserve">Forma de Pago: </t>
    </r>
    <r>
      <rPr>
        <b/>
        <sz val="10"/>
        <color theme="1"/>
        <rFont val="Calibri"/>
        <family val="2"/>
        <scheme val="minor"/>
      </rPr>
      <t xml:space="preserve">Transferencia  </t>
    </r>
    <r>
      <rPr>
        <sz val="10"/>
        <color theme="1"/>
        <rFont val="Calibri"/>
        <family val="2"/>
        <scheme val="minor"/>
      </rPr>
      <t xml:space="preserve">                                  Teléfono:  </t>
    </r>
    <r>
      <rPr>
        <b/>
        <sz val="10"/>
        <color theme="1"/>
        <rFont val="Calibri"/>
        <family val="2"/>
        <scheme val="minor"/>
      </rPr>
      <t>81 1908 2914</t>
    </r>
    <r>
      <rPr>
        <sz val="10"/>
        <color theme="1"/>
        <rFont val="Calibri"/>
        <family val="2"/>
        <scheme val="minor"/>
      </rPr>
      <t xml:space="preserve">
Contacto: </t>
    </r>
    <r>
      <rPr>
        <b/>
        <sz val="10"/>
        <color theme="1"/>
        <rFont val="Calibri"/>
        <family val="2"/>
        <scheme val="minor"/>
      </rPr>
      <t>Julia Gonzalez Sosa</t>
    </r>
    <r>
      <rPr>
        <sz val="10"/>
        <color theme="1"/>
        <rFont val="Calibri"/>
        <family val="2"/>
        <scheme val="minor"/>
      </rPr>
      <t xml:space="preserve">
Email: </t>
    </r>
    <r>
      <rPr>
        <b/>
        <sz val="10"/>
        <color theme="1"/>
        <rFont val="Calibri"/>
        <family val="2"/>
        <scheme val="minor"/>
      </rPr>
      <t>julia@construtecacero.com.mx</t>
    </r>
  </si>
  <si>
    <r>
      <t xml:space="preserve">Nombre de la Empresa: </t>
    </r>
    <r>
      <rPr>
        <b/>
        <sz val="10"/>
        <color theme="1"/>
        <rFont val="Calibri"/>
        <family val="2"/>
        <scheme val="minor"/>
      </rPr>
      <t xml:space="preserve">Eliezer Martínez </t>
    </r>
    <r>
      <rPr>
        <sz val="10"/>
        <color theme="1"/>
        <rFont val="Calibri"/>
        <family val="2"/>
        <scheme val="minor"/>
      </rPr>
      <t xml:space="preserve">
Contacto: </t>
    </r>
    <r>
      <rPr>
        <b/>
        <sz val="10"/>
        <color theme="1"/>
        <rFont val="Calibri"/>
        <family val="2"/>
        <scheme val="minor"/>
      </rPr>
      <t>Eliezer Martínez</t>
    </r>
    <r>
      <rPr>
        <sz val="10"/>
        <color theme="1"/>
        <rFont val="Calibri"/>
        <family val="2"/>
        <scheme val="minor"/>
      </rPr>
      <t xml:space="preserve"> Teléfono: </t>
    </r>
    <r>
      <rPr>
        <b/>
        <sz val="10"/>
        <color theme="1"/>
        <rFont val="Calibri"/>
        <family val="2"/>
        <scheme val="minor"/>
      </rPr>
      <t>81 8252 5473</t>
    </r>
    <r>
      <rPr>
        <sz val="10"/>
        <color theme="1"/>
        <rFont val="Calibri"/>
        <family val="2"/>
        <scheme val="minor"/>
      </rPr>
      <t xml:space="preserve"> 
Email: </t>
    </r>
    <r>
      <rPr>
        <b/>
        <sz val="10"/>
        <color theme="1"/>
        <rFont val="Calibri"/>
        <family val="2"/>
        <scheme val="minor"/>
      </rPr>
      <t>elterreno@prodigy.net.mx</t>
    </r>
  </si>
  <si>
    <r>
      <t xml:space="preserve">Nombre de la Empresa: </t>
    </r>
    <r>
      <rPr>
        <b/>
        <sz val="10"/>
        <color theme="1"/>
        <rFont val="Calibri"/>
        <family val="2"/>
        <scheme val="minor"/>
      </rPr>
      <t xml:space="preserve">ELEODORO AGUIRRE </t>
    </r>
    <r>
      <rPr>
        <sz val="10"/>
        <color theme="1"/>
        <rFont val="Calibri"/>
        <family val="2"/>
        <scheme val="minor"/>
      </rPr>
      <t xml:space="preserve">
Contacto: </t>
    </r>
    <r>
      <rPr>
        <b/>
        <sz val="10"/>
        <color theme="1"/>
        <rFont val="Calibri"/>
        <family val="2"/>
        <scheme val="minor"/>
      </rPr>
      <t xml:space="preserve">Eleodoro Aguirre </t>
    </r>
    <r>
      <rPr>
        <sz val="10"/>
        <color theme="1"/>
        <rFont val="Calibri"/>
        <family val="2"/>
        <scheme val="minor"/>
      </rPr>
      <t xml:space="preserve">Teléfono: </t>
    </r>
    <r>
      <rPr>
        <b/>
        <sz val="10"/>
        <color theme="1"/>
        <rFont val="Calibri"/>
        <family val="2"/>
        <scheme val="minor"/>
      </rPr>
      <t xml:space="preserve">81 3660 0091 </t>
    </r>
    <r>
      <rPr>
        <sz val="10"/>
        <color theme="1"/>
        <rFont val="Calibri"/>
        <family val="2"/>
        <scheme val="minor"/>
      </rPr>
      <t xml:space="preserve">
Email:</t>
    </r>
    <r>
      <rPr>
        <b/>
        <sz val="10"/>
        <color theme="1"/>
        <rFont val="Calibri"/>
        <family val="2"/>
        <scheme val="minor"/>
      </rPr>
      <t xml:space="preserve"> eleodoro.av@gmail.com</t>
    </r>
  </si>
  <si>
    <t>ADOLFO ANTONIO BEYER PEÑA</t>
  </si>
  <si>
    <t>ADOLFO PEÑA            81 1810 4597</t>
  </si>
  <si>
    <t>GMC AMARILLO A-15377-R</t>
  </si>
  <si>
    <t>EQUIPO $2,200.00                                                                                                    MENSUALIDAD $300.00</t>
  </si>
  <si>
    <t>SH TRANSPORTACIONES</t>
  </si>
  <si>
    <t xml:space="preserve">FRANCISCO SANCHEZ 81 1421 3083 </t>
  </si>
  <si>
    <t>GUSTAVO CAVAZOS</t>
  </si>
  <si>
    <t>AÑO 2019</t>
  </si>
  <si>
    <t>JOSE DIAZ TORRES</t>
  </si>
  <si>
    <t xml:space="preserve">YA NO REQUERIA MAS EL SERVICIO JOSE LUIS AUTORIZA BAJA </t>
  </si>
  <si>
    <t>NYDIA ALVAREZ</t>
  </si>
  <si>
    <t>PEUGEOT PARTNER BLANCA</t>
  </si>
  <si>
    <t>SER-281-B</t>
  </si>
  <si>
    <t>NYDIA ALVAREZ - 8129181539</t>
  </si>
  <si>
    <t>RETRO ESCAVADORA AMARILLO</t>
  </si>
  <si>
    <t>PAGO EL 28-MAR-2023 POR TRANSFERENCIA</t>
  </si>
  <si>
    <t>PAGO EL 13-MAR-2023 POR TRANSFERENCIA</t>
  </si>
  <si>
    <t>PABLO GAMEZ</t>
  </si>
  <si>
    <t>RETRO ROJO</t>
  </si>
  <si>
    <t>ABRIL</t>
  </si>
  <si>
    <t>EQUIPO NUEVO</t>
  </si>
  <si>
    <t xml:space="preserve">GRUPO ALYGER, S.A. DE C.V. </t>
  </si>
  <si>
    <t xml:space="preserve">JOSE DIAZ                               81 3137 4803 </t>
  </si>
  <si>
    <t>EQUIPO $1,800.00                                                    MENSUALIDAD $250.00</t>
  </si>
  <si>
    <t>GMC PLATA PL-8447-B</t>
  </si>
  <si>
    <t>SH TRANSPORTACIONES DRP TRANSPORTES</t>
  </si>
  <si>
    <t>SH TRANSPORTACIONES JUAN FRANCISCO SANCHEZ CONTRERAS</t>
  </si>
  <si>
    <r>
      <t xml:space="preserve">Nombre de la Empresa: </t>
    </r>
    <r>
      <rPr>
        <b/>
        <sz val="10"/>
        <color theme="1"/>
        <rFont val="Calibri"/>
        <family val="2"/>
        <scheme val="minor"/>
      </rPr>
      <t>JUAN FRANCISCO SANCHEZ CONTRERAS</t>
    </r>
    <r>
      <rPr>
        <sz val="10"/>
        <color theme="1"/>
        <rFont val="Calibri"/>
        <family val="2"/>
        <scheme val="minor"/>
      </rPr>
      <t xml:space="preserve">
RFC.: </t>
    </r>
    <r>
      <rPr>
        <b/>
        <sz val="10"/>
        <color theme="1"/>
        <rFont val="Calibri"/>
        <family val="2"/>
        <scheme val="minor"/>
      </rPr>
      <t>SACJ7811022UA</t>
    </r>
    <r>
      <rPr>
        <sz val="10"/>
        <color theme="1"/>
        <rFont val="Calibri"/>
        <family val="2"/>
        <scheme val="minor"/>
      </rPr>
      <t xml:space="preserve">  CFDI : G03                                   Forma de Pago: </t>
    </r>
    <r>
      <rPr>
        <b/>
        <sz val="10"/>
        <color theme="1"/>
        <rFont val="Calibri"/>
        <family val="2"/>
        <scheme val="minor"/>
      </rPr>
      <t xml:space="preserve">Transferencia      </t>
    </r>
    <r>
      <rPr>
        <sz val="10"/>
        <color theme="1"/>
        <rFont val="Calibri"/>
        <family val="2"/>
        <scheme val="minor"/>
      </rPr>
      <t xml:space="preserve">                            Teléfono: </t>
    </r>
    <r>
      <rPr>
        <b/>
        <sz val="10"/>
        <color theme="3"/>
        <rFont val="Calibri"/>
        <family val="2"/>
        <scheme val="minor"/>
      </rPr>
      <t xml:space="preserve">81 1421 3083 </t>
    </r>
    <r>
      <rPr>
        <sz val="10"/>
        <color theme="1"/>
        <rFont val="Calibri"/>
        <family val="2"/>
        <scheme val="minor"/>
      </rPr>
      <t xml:space="preserve">
Contacto:</t>
    </r>
    <r>
      <rPr>
        <b/>
        <sz val="10"/>
        <color theme="1"/>
        <rFont val="Calibri"/>
        <family val="2"/>
        <scheme val="minor"/>
      </rPr>
      <t xml:space="preserve"> Francisco Sanchez</t>
    </r>
    <r>
      <rPr>
        <sz val="10"/>
        <color theme="1"/>
        <rFont val="Calibri"/>
        <family val="2"/>
        <scheme val="minor"/>
      </rPr>
      <t xml:space="preserve">
Email: </t>
    </r>
    <r>
      <rPr>
        <b/>
        <sz val="10"/>
        <color theme="1"/>
        <rFont val="Calibri"/>
        <family val="2"/>
        <scheme val="minor"/>
      </rPr>
      <t>fsancheznoreste@hotmail.es</t>
    </r>
  </si>
  <si>
    <r>
      <t xml:space="preserve">Nombre de la Empresa: </t>
    </r>
    <r>
      <rPr>
        <b/>
        <sz val="10"/>
        <color theme="1"/>
        <rFont val="Calibri"/>
        <family val="2"/>
        <scheme val="minor"/>
      </rPr>
      <t xml:space="preserve">DRP TRANSPORTES S. DE R. L. DE C.V. </t>
    </r>
    <r>
      <rPr>
        <sz val="10"/>
        <color theme="1"/>
        <rFont val="Calibri"/>
        <family val="2"/>
        <scheme val="minor"/>
      </rPr>
      <t xml:space="preserve">
RFC.: </t>
    </r>
    <r>
      <rPr>
        <b/>
        <sz val="10"/>
        <color theme="1"/>
        <rFont val="Calibri"/>
        <family val="2"/>
        <scheme val="minor"/>
      </rPr>
      <t xml:space="preserve">DTR210720A25  </t>
    </r>
    <r>
      <rPr>
        <sz val="10"/>
        <color theme="1"/>
        <rFont val="Calibri"/>
        <family val="2"/>
        <scheme val="minor"/>
      </rPr>
      <t xml:space="preserve">CFDI : </t>
    </r>
    <r>
      <rPr>
        <b/>
        <sz val="10"/>
        <color theme="1"/>
        <rFont val="Calibri"/>
        <family val="2"/>
        <scheme val="minor"/>
      </rPr>
      <t xml:space="preserve">G03                        </t>
    </r>
    <r>
      <rPr>
        <sz val="10"/>
        <color theme="1"/>
        <rFont val="Calibri"/>
        <family val="2"/>
        <scheme val="minor"/>
      </rPr>
      <t>Forma de Pago:</t>
    </r>
    <r>
      <rPr>
        <b/>
        <sz val="10"/>
        <color theme="1"/>
        <rFont val="Calibri"/>
        <family val="2"/>
        <scheme val="minor"/>
      </rPr>
      <t xml:space="preserve"> Transferencia                            </t>
    </r>
    <r>
      <rPr>
        <sz val="10"/>
        <color theme="1"/>
        <rFont val="Calibri"/>
        <family val="2"/>
        <scheme val="minor"/>
      </rPr>
      <t>Teléfono:</t>
    </r>
    <r>
      <rPr>
        <b/>
        <sz val="10"/>
        <color theme="3"/>
        <rFont val="Calibri"/>
        <family val="2"/>
        <scheme val="minor"/>
      </rPr>
      <t xml:space="preserve"> 81 1421 3083 </t>
    </r>
    <r>
      <rPr>
        <sz val="10"/>
        <color theme="1"/>
        <rFont val="Calibri"/>
        <family val="2"/>
        <scheme val="minor"/>
      </rPr>
      <t xml:space="preserve">
Contacto: </t>
    </r>
    <r>
      <rPr>
        <b/>
        <sz val="10"/>
        <color theme="1"/>
        <rFont val="Calibri"/>
        <family val="2"/>
        <scheme val="minor"/>
      </rPr>
      <t>Francisco Sanchez</t>
    </r>
    <r>
      <rPr>
        <sz val="10"/>
        <color theme="1"/>
        <rFont val="Calibri"/>
        <family val="2"/>
        <scheme val="minor"/>
      </rPr>
      <t xml:space="preserve">
Email: </t>
    </r>
    <r>
      <rPr>
        <b/>
        <sz val="10"/>
        <color theme="1"/>
        <rFont val="Calibri"/>
        <family val="2"/>
        <scheme val="minor"/>
      </rPr>
      <t xml:space="preserve">fsancheznoreste@hotmail.es                                                                                                                                                                                                                                                  </t>
    </r>
  </si>
  <si>
    <t>FERNANDO ARAIZA</t>
  </si>
  <si>
    <t>ABRIL'24</t>
  </si>
  <si>
    <t>HERRAMIENTAS MECANICAS UNIVERSALES, S.A. DE C.V.</t>
  </si>
  <si>
    <t>JUANA MARIA</t>
  </si>
  <si>
    <t>EMPACADORA LA FAMA</t>
  </si>
  <si>
    <t>ANUALIDAD DE SIMS</t>
  </si>
  <si>
    <t>DICIEMBRE'23</t>
  </si>
  <si>
    <t>MOTO</t>
  </si>
  <si>
    <t>GRUPO LOGISTICO TTM</t>
  </si>
  <si>
    <r>
      <t>AUTO LINEAS HR, S.A. DE C.V. 
(</t>
    </r>
    <r>
      <rPr>
        <b/>
        <sz val="11"/>
        <color theme="1"/>
        <rFont val="Calibri"/>
        <family val="2"/>
        <scheme val="minor"/>
      </rPr>
      <t>ENRIQUE RUIZ</t>
    </r>
    <r>
      <rPr>
        <sz val="11"/>
        <color theme="1"/>
        <rFont val="Calibri"/>
        <family val="2"/>
        <scheme val="minor"/>
      </rPr>
      <t xml:space="preserve">) </t>
    </r>
  </si>
  <si>
    <t>INICIA SERVICIOS DICIEMBRE 2021 INICIA COBRANZA FEBRERO 2022</t>
  </si>
  <si>
    <t>YA NO REQUIRIO SERVICIO</t>
  </si>
  <si>
    <r>
      <rPr>
        <b/>
        <sz val="11"/>
        <color theme="1"/>
        <rFont val="Calibri"/>
        <family val="2"/>
        <scheme val="minor"/>
      </rPr>
      <t>ALAN RODRIGUEZ</t>
    </r>
    <r>
      <rPr>
        <sz val="11"/>
        <color theme="1"/>
        <rFont val="Calibri"/>
        <family val="2"/>
        <scheme val="minor"/>
      </rPr>
      <t xml:space="preserve"> (GRUPO SAR)</t>
    </r>
  </si>
  <si>
    <t xml:space="preserve">DISGUSTADO POR EL SERVICIO YA NO RESPONDIO LLAMADAS NI QUISO PAGAR, JOSE LUSI AUTORIZA BAJA </t>
  </si>
  <si>
    <t>AÑO 2021 MAYO</t>
  </si>
  <si>
    <t>FINPAIS</t>
  </si>
  <si>
    <r>
      <t xml:space="preserve">Nombre de la Empresa: </t>
    </r>
    <r>
      <rPr>
        <b/>
        <sz val="10"/>
        <color theme="1"/>
        <rFont val="Calibri"/>
        <family val="2"/>
        <scheme val="minor"/>
      </rPr>
      <t xml:space="preserve">FINPAIS S.A. DE C.V. </t>
    </r>
    <r>
      <rPr>
        <sz val="10"/>
        <color theme="1"/>
        <rFont val="Calibri"/>
        <family val="2"/>
        <scheme val="minor"/>
      </rPr>
      <t xml:space="preserve">
RFC.</t>
    </r>
    <r>
      <rPr>
        <b/>
        <sz val="10"/>
        <color theme="1"/>
        <rFont val="Calibri"/>
        <family val="2"/>
        <scheme val="minor"/>
      </rPr>
      <t xml:space="preserve"> FCO130429629 </t>
    </r>
    <r>
      <rPr>
        <sz val="10"/>
        <color theme="1"/>
        <rFont val="Calibri"/>
        <family val="2"/>
        <scheme val="minor"/>
      </rPr>
      <t>CFDI:</t>
    </r>
    <r>
      <rPr>
        <b/>
        <sz val="10"/>
        <color theme="1"/>
        <rFont val="Calibri"/>
        <family val="2"/>
        <scheme val="minor"/>
      </rPr>
      <t xml:space="preserve"> Gastos en general                                                                  </t>
    </r>
    <r>
      <rPr>
        <sz val="10"/>
        <color theme="1"/>
        <rFont val="Calibri"/>
        <family val="2"/>
        <scheme val="minor"/>
      </rPr>
      <t xml:space="preserve">Forma de Pago: </t>
    </r>
    <r>
      <rPr>
        <b/>
        <sz val="10"/>
        <color theme="1"/>
        <rFont val="Calibri"/>
        <family val="2"/>
        <scheme val="minor"/>
      </rPr>
      <t>Transferencia</t>
    </r>
    <r>
      <rPr>
        <sz val="10"/>
        <color theme="1"/>
        <rFont val="Calibri"/>
        <family val="2"/>
        <scheme val="minor"/>
      </rPr>
      <t>Teléfono:</t>
    </r>
    <r>
      <rPr>
        <sz val="10"/>
        <color theme="4" tint="-0.249977111117893"/>
        <rFont val="Calibri"/>
        <family val="2"/>
        <scheme val="minor"/>
      </rPr>
      <t xml:space="preserve"> </t>
    </r>
    <r>
      <rPr>
        <b/>
        <sz val="10"/>
        <color theme="4" tint="-0.249977111117893"/>
        <rFont val="Calibri"/>
        <family val="2"/>
        <scheme val="minor"/>
      </rPr>
      <t>81 8208 7559</t>
    </r>
    <r>
      <rPr>
        <sz val="10"/>
        <color theme="1"/>
        <rFont val="Calibri"/>
        <family val="2"/>
        <scheme val="minor"/>
      </rPr>
      <t xml:space="preserve">
Contacto: </t>
    </r>
    <r>
      <rPr>
        <b/>
        <sz val="10"/>
        <color theme="1"/>
        <rFont val="Calibri"/>
        <family val="2"/>
        <scheme val="minor"/>
      </rPr>
      <t>Katty</t>
    </r>
    <r>
      <rPr>
        <sz val="10"/>
        <color theme="1"/>
        <rFont val="Calibri"/>
        <family val="2"/>
        <scheme val="minor"/>
      </rPr>
      <t xml:space="preserve">
Email: </t>
    </r>
    <r>
      <rPr>
        <b/>
        <sz val="10"/>
        <color theme="1"/>
        <rFont val="Calibri"/>
        <family val="2"/>
        <scheme val="minor"/>
      </rPr>
      <t>administracion@finpais.com.mx</t>
    </r>
    <r>
      <rPr>
        <sz val="10"/>
        <color theme="1"/>
        <rFont val="Calibri"/>
        <family val="2"/>
        <scheme val="minor"/>
      </rPr>
      <t xml:space="preserve">
</t>
    </r>
  </si>
  <si>
    <t xml:space="preserve">KATTY                            81 8208 7559 </t>
  </si>
  <si>
    <t>INSTALACIÓN $650.00+IVA=$754.00                     MENSUALIDAD $320.00+IVA=$371.20</t>
  </si>
  <si>
    <t>GRUPO ENTUSIASMO CONSTRUCTIVO (ROGELIO VIDAL)</t>
  </si>
  <si>
    <t>GRUPO ENTUSIASMO CONSTRUCTIVO</t>
  </si>
  <si>
    <t>EQUIPO E INSTALACIÓN $1,999.00+IVA=$2,318.84 MENSUALIDAD $300.00+IVA=$348.00</t>
  </si>
  <si>
    <t>LUCIA SALAS CERDA  81 1787 6573</t>
  </si>
  <si>
    <t>FORD BLANCO SEB-185-B</t>
  </si>
  <si>
    <t>SHG-096-B</t>
  </si>
  <si>
    <t>2 RETRO ESVADORAS</t>
  </si>
  <si>
    <t>8126126264, 143897627F</t>
  </si>
  <si>
    <t>868166053312369, S/R</t>
  </si>
  <si>
    <t xml:space="preserve">$450.00+IVA REEMPLAZO DE SIM $350.00+IVA MANIPULACIÓN DE EQUIPO </t>
  </si>
  <si>
    <t>MAYO</t>
  </si>
  <si>
    <t xml:space="preserve">AUTOTRANSPORTES GAMI </t>
  </si>
  <si>
    <t>YA NO REQUERIA EL SERVICIO</t>
  </si>
  <si>
    <t>TRANSPORTES REFRIGERADOS CABELLO</t>
  </si>
  <si>
    <t>FLOR GARZA                        81 1544 8419</t>
  </si>
  <si>
    <t>VICTOR DAMIAN ZAPATA NORIEGA</t>
  </si>
  <si>
    <t xml:space="preserve">VICTOR ZAPATA                   81 1214 6649 </t>
  </si>
  <si>
    <t>EQUIPO $1,850.00                                                     MENSUALIDAD $250.00</t>
  </si>
  <si>
    <t>EQUIPREST</t>
  </si>
  <si>
    <t>REGIMEN FISCAL</t>
  </si>
  <si>
    <t>C. P.</t>
  </si>
  <si>
    <t>TRANSPORTES REFRIGERADOS CABELLO - TRC</t>
  </si>
  <si>
    <t>KARLA CECILIA SAUCEDA GUAJARDO 
(AUTOS SALE JR´S)</t>
  </si>
  <si>
    <t>YA NO QUISO EL SERVICIO</t>
  </si>
  <si>
    <t>BAJA</t>
  </si>
  <si>
    <t>JUAN GUAJARDO MARTINEZ</t>
  </si>
  <si>
    <t xml:space="preserve">OSCAR HERRERA                81 20024556 </t>
  </si>
  <si>
    <t>JUAN GUAJARDO           34 6837 0002</t>
  </si>
  <si>
    <t>EQUIPO E INSTALACIÓN $2,241.38+IVA=$2,600.00 MENSUALIDAD $400.00+IVA=$464.00                      SENSOR DE COMBUTIBLE DE VARILLA $5,600.00+IVA=$6,496.00                                         SENSOR DE TEMPERATURA $899.00+IVA=$1,042.84</t>
  </si>
  <si>
    <t>EQUIPO $1,800.00+IVA=$2,088.00                  MENSUALIDAD $350.00+IVA=$406</t>
  </si>
  <si>
    <t>1- KW BLANCO 15-AR-1K UNIDAD 01                                                2- TRACTO BLANCO 93-UA-2B UNIDAD 25                                    3- TERMO BLANCO 453-XR-2 UNIDAD 09</t>
  </si>
  <si>
    <t>INTERNATIONAL BLANCO PS-3934-A</t>
  </si>
  <si>
    <t>SKF-246-B</t>
  </si>
  <si>
    <t>GMC SIERRA ROJO PJ-8405-B</t>
  </si>
  <si>
    <t>MAYO'24</t>
  </si>
  <si>
    <t>JUNIO'24</t>
  </si>
  <si>
    <t>RENOVACIÓN:</t>
  </si>
  <si>
    <t>SIM $58.00 POR MES ANUALIDAD DE $696.00</t>
  </si>
  <si>
    <r>
      <t xml:space="preserve">BIZZO VETERINARIA
</t>
    </r>
    <r>
      <rPr>
        <b/>
        <sz val="12"/>
        <color theme="1"/>
        <rFont val="Calibri"/>
        <family val="2"/>
        <scheme val="minor"/>
      </rPr>
      <t>ANUALIDAD</t>
    </r>
  </si>
  <si>
    <r>
      <t xml:space="preserve">Juana Maria - 8110091956
</t>
    </r>
    <r>
      <rPr>
        <b/>
        <u/>
        <sz val="10"/>
        <color rgb="FF0070C0"/>
        <rFont val="Calibri"/>
        <family val="2"/>
        <scheme val="minor"/>
      </rPr>
      <t>rcrdgonzalezcardenas86@gmail.com</t>
    </r>
  </si>
  <si>
    <r>
      <t xml:space="preserve">FLETES LOCALES SAN FRANCISCO, S.A DE C.V. 
(MAYRA DE LOS SANTOS)
</t>
    </r>
    <r>
      <rPr>
        <b/>
        <sz val="12"/>
        <color theme="1"/>
        <rFont val="Calibri"/>
        <family val="2"/>
        <scheme val="minor"/>
      </rPr>
      <t>ANUALIDAD</t>
    </r>
    <r>
      <rPr>
        <sz val="12"/>
        <color theme="1"/>
        <rFont val="Calibri"/>
        <family val="2"/>
        <scheme val="minor"/>
      </rPr>
      <t xml:space="preserve">
</t>
    </r>
    <r>
      <rPr>
        <b/>
        <sz val="12"/>
        <color theme="1"/>
        <rFont val="Calibri"/>
        <family val="2"/>
        <scheme val="minor"/>
      </rPr>
      <t xml:space="preserve">(JOSE LUIS) </t>
    </r>
  </si>
  <si>
    <r>
      <t xml:space="preserve">Mayra De Los Santos Ibarra -                      818 287 9491
</t>
    </r>
    <r>
      <rPr>
        <b/>
        <u/>
        <sz val="10"/>
        <color rgb="FF0070C0"/>
        <rFont val="Calibri"/>
        <family val="2"/>
        <scheme val="minor"/>
      </rPr>
      <t>mayradelossantosibarra@hotamil.com</t>
    </r>
  </si>
  <si>
    <r>
      <t xml:space="preserve">Daniel Gonzalez  Cardenas -                        818 017 3188                                                           811 909 5895
</t>
    </r>
    <r>
      <rPr>
        <b/>
        <u/>
        <sz val="10"/>
        <color rgb="FF0070C0"/>
        <rFont val="Calibri"/>
        <family val="2"/>
        <scheme val="minor"/>
      </rPr>
      <t>danielamg.dg@gmail.com</t>
    </r>
  </si>
  <si>
    <t>Jonathan Rodríguez - 81 1741 6886</t>
  </si>
  <si>
    <r>
      <t xml:space="preserve">Silvia Castillo - 811 157 3946 / 811 044 6807
</t>
    </r>
    <r>
      <rPr>
        <b/>
        <u/>
        <sz val="10"/>
        <color rgb="FF0070C0"/>
        <rFont val="Calibri"/>
        <family val="2"/>
        <scheme val="minor"/>
      </rPr>
      <t xml:space="preserve">powertruck.monterrey@gmail.com </t>
    </r>
  </si>
  <si>
    <r>
      <t xml:space="preserve">Ismael López - 811 777 8017
</t>
    </r>
    <r>
      <rPr>
        <b/>
        <u/>
        <sz val="10"/>
        <color rgb="FF0070C0"/>
        <rFont val="Calibri"/>
        <family val="2"/>
        <scheme val="minor"/>
      </rPr>
      <t>ilopez@360logistics.com.mx; 
rdelarosa</t>
    </r>
  </si>
  <si>
    <r>
      <t xml:space="preserve">Jorge Dávila (Compras)
Salvador Galvan (Pagos)  8115-0000 ext. 141
</t>
    </r>
    <r>
      <rPr>
        <b/>
        <u/>
        <sz val="10"/>
        <color rgb="FF0070C0"/>
        <rFont val="Calibri"/>
        <family val="2"/>
        <scheme val="minor"/>
      </rPr>
      <t>compras2@aplinochipinque.org.mx;
pagos@alpinochipinque.org.mx;
rrhh@alpinochipinque.mx;</t>
    </r>
  </si>
  <si>
    <r>
      <t xml:space="preserve">Alejandra (Mesa de control) - 81 1048 7327 Karla - 81 8014 9512 Alfredo Gonzalez - 818253 0789
</t>
    </r>
    <r>
      <rPr>
        <b/>
        <u/>
        <sz val="10"/>
        <color rgb="FF0070C0"/>
        <rFont val="Calibri"/>
        <family val="2"/>
        <scheme val="minor"/>
      </rPr>
      <t>Compras2@alyger.com; Mayra.bernal@alyger.com; embarques@alyger.com;</t>
    </r>
  </si>
  <si>
    <r>
      <t xml:space="preserve">Alejandra Grandson - 818 656 7487  ANUALIDAD </t>
    </r>
    <r>
      <rPr>
        <b/>
        <u/>
        <sz val="10"/>
        <color rgb="FF0070C0"/>
        <rFont val="Calibri"/>
        <family val="2"/>
        <scheme val="minor"/>
      </rPr>
      <t xml:space="preserve">administración@hemusa.com; Hemusa@hemusa.com; </t>
    </r>
  </si>
  <si>
    <r>
      <rPr>
        <sz val="10"/>
        <rFont val="Calibri"/>
        <family val="2"/>
        <scheme val="minor"/>
      </rPr>
      <t xml:space="preserve">Tel. 826 863 8300     </t>
    </r>
    <r>
      <rPr>
        <b/>
        <sz val="10"/>
        <rFont val="Calibri"/>
        <family val="2"/>
        <scheme val="minor"/>
      </rPr>
      <t xml:space="preserve">                </t>
    </r>
    <r>
      <rPr>
        <b/>
        <u/>
        <sz val="10"/>
        <color theme="4" tint="-0.249977111117893"/>
        <rFont val="Calibri"/>
        <family val="2"/>
        <scheme val="minor"/>
      </rPr>
      <t xml:space="preserve">               </t>
    </r>
    <r>
      <rPr>
        <b/>
        <u/>
        <sz val="10"/>
        <color rgb="FF0070C0"/>
        <rFont val="Calibri"/>
        <family val="2"/>
        <scheme val="minor"/>
      </rPr>
      <t>facturas@empacadoralafama.com</t>
    </r>
  </si>
  <si>
    <r>
      <t xml:space="preserve">Srta. Karina - 818 682 7299
</t>
    </r>
    <r>
      <rPr>
        <b/>
        <u/>
        <sz val="10"/>
        <color rgb="FF0070C0"/>
        <rFont val="Calibri"/>
        <family val="2"/>
        <scheme val="minor"/>
      </rPr>
      <t>mvzimagen_canina@hotmail.com;
hola@bizzoveterinaria.com</t>
    </r>
  </si>
  <si>
    <t>BIZZO VETERINARIA
ANUALIDAD</t>
  </si>
  <si>
    <r>
      <t xml:space="preserve">Nombre de la Empresa: </t>
    </r>
    <r>
      <rPr>
        <b/>
        <sz val="10"/>
        <color theme="1"/>
        <rFont val="Calibri"/>
        <family val="2"/>
        <scheme val="minor"/>
      </rPr>
      <t xml:space="preserve">COMERCIALIZADORA AGROPECUARIA ICK S.A. DE C.V. </t>
    </r>
    <r>
      <rPr>
        <sz val="10"/>
        <color theme="1"/>
        <rFont val="Calibri"/>
        <family val="2"/>
        <scheme val="minor"/>
      </rPr>
      <t xml:space="preserve">
RFC.: </t>
    </r>
    <r>
      <rPr>
        <b/>
        <sz val="10"/>
        <color theme="1"/>
        <rFont val="Calibri"/>
        <family val="2"/>
        <scheme val="minor"/>
      </rPr>
      <t xml:space="preserve">CAI220330VD7 </t>
    </r>
    <r>
      <rPr>
        <sz val="10"/>
        <color theme="1"/>
        <rFont val="Calibri"/>
        <family val="2"/>
        <scheme val="minor"/>
      </rPr>
      <t xml:space="preserve">CFDI: </t>
    </r>
    <r>
      <rPr>
        <b/>
        <sz val="10"/>
        <color theme="1"/>
        <rFont val="Calibri"/>
        <family val="2"/>
        <scheme val="minor"/>
      </rPr>
      <t xml:space="preserve">Gastos en general    </t>
    </r>
    <r>
      <rPr>
        <sz val="10"/>
        <color theme="1"/>
        <rFont val="Calibri"/>
        <family val="2"/>
        <scheme val="minor"/>
      </rPr>
      <t>Teléfono:</t>
    </r>
    <r>
      <rPr>
        <b/>
        <sz val="10"/>
        <color theme="3"/>
        <rFont val="Calibri"/>
        <family val="2"/>
        <scheme val="minor"/>
      </rPr>
      <t xml:space="preserve"> </t>
    </r>
    <r>
      <rPr>
        <b/>
        <sz val="10"/>
        <color theme="4" tint="-0.249977111117893"/>
        <rFont val="Calibri"/>
        <family val="2"/>
        <scheme val="minor"/>
      </rPr>
      <t xml:space="preserve">81 2860 1814 </t>
    </r>
    <r>
      <rPr>
        <sz val="10"/>
        <color theme="1"/>
        <rFont val="Calibri"/>
        <family val="2"/>
        <scheme val="minor"/>
      </rPr>
      <t xml:space="preserve">
Contacto: </t>
    </r>
    <r>
      <rPr>
        <b/>
        <sz val="10"/>
        <color theme="1"/>
        <rFont val="Calibri"/>
        <family val="2"/>
        <scheme val="minor"/>
      </rPr>
      <t xml:space="preserve">Adrian Rivera </t>
    </r>
    <r>
      <rPr>
        <sz val="10"/>
        <color theme="1"/>
        <rFont val="Calibri"/>
        <family val="2"/>
        <scheme val="minor"/>
      </rPr>
      <t xml:space="preserve">
Email:</t>
    </r>
    <r>
      <rPr>
        <b/>
        <sz val="10"/>
        <color theme="1"/>
        <rFont val="Calibri"/>
        <family val="2"/>
        <scheme val="minor"/>
      </rPr>
      <t xml:space="preserve"> adrian.rmoxica75@gmail.com</t>
    </r>
  </si>
  <si>
    <t>JUNIO</t>
  </si>
  <si>
    <t>FELIX DE LA CRUZ</t>
  </si>
  <si>
    <t>FELIX DE LA CRUZ              81 1539 0851</t>
  </si>
  <si>
    <t>EQUIPO $1600.00                                                   MENSUALIDAD $250.00</t>
  </si>
  <si>
    <t>TOYOTA AVANZA GRIS SKD-416-B</t>
  </si>
  <si>
    <t>PAGO EL 17-ABR-2023 POR TRANSFERENCIA</t>
  </si>
  <si>
    <t>RETROEXCAVADORA AMARILLO</t>
  </si>
  <si>
    <t>RICARDO GONZALEZ</t>
  </si>
  <si>
    <t>RICARDO GONZALEZ 81 8677 1352</t>
  </si>
  <si>
    <t>CAN AM NEGRO 94SBF9</t>
  </si>
  <si>
    <t>EQUIPO $1,600.00                                             MENSUALIDAD $250.00</t>
  </si>
  <si>
    <t>LAMBI</t>
  </si>
  <si>
    <t>LAMBI S.A. DE C.V.</t>
  </si>
  <si>
    <t xml:space="preserve">ERICKA ORTEGA               81 1908 0591 </t>
  </si>
  <si>
    <t xml:space="preserve">PERDIDA TOTAL DE LA UNIDAD SE REACTIVARA EL SERVICIO HASTA NUEVO AVISO </t>
  </si>
  <si>
    <t xml:space="preserve">PAGO EL 23-MAY-2023 POR TRANSFERENCIA </t>
  </si>
  <si>
    <t>CTE.PREPAGO</t>
  </si>
  <si>
    <t>SDM-679-A</t>
  </si>
  <si>
    <t>NISSAN TSURU BLANCO</t>
  </si>
  <si>
    <t>Mes de diciembre 2020</t>
  </si>
  <si>
    <t xml:space="preserve">NOTIFICO QUE SOLO PAGARIA MES DE MAYO PARA DAR DE BAJA, YA NO QUISIERON EL SERVICIO </t>
  </si>
  <si>
    <r>
      <rPr>
        <b/>
        <sz val="11"/>
        <color theme="1"/>
        <rFont val="Calibri"/>
        <family val="2"/>
        <scheme val="minor"/>
      </rPr>
      <t>COMERCIALIZADORA GARDUÑO</t>
    </r>
    <r>
      <rPr>
        <sz val="11"/>
        <color theme="1"/>
        <rFont val="Calibri"/>
        <family val="2"/>
        <scheme val="minor"/>
      </rPr>
      <t xml:space="preserve"> GUERRERO, S.A. DE C.V. (SEGAH)</t>
    </r>
  </si>
  <si>
    <t>NO SE ENCONTRABAN EN LA CIUDAD Y YA NO REQUIRIO SERVICIO</t>
  </si>
  <si>
    <t>Año 2022</t>
  </si>
  <si>
    <t>OMAR PABELLO</t>
  </si>
  <si>
    <t>MES MAYO 2023</t>
  </si>
  <si>
    <t>OVIDIO CANTU</t>
  </si>
  <si>
    <t>*SERVICIO ERA REVISION PERO SE REEMPLAZO EL EQUIPO PORQUE ESTABA DAÑADO POR AGUA (HUMEDO)</t>
  </si>
  <si>
    <t>CARLOS EMILIANO GONZALEZ BENAVIDES</t>
  </si>
  <si>
    <t xml:space="preserve">CARLOS GONZALEZ 81 1975 0467 </t>
  </si>
  <si>
    <t>EQUIPO $1,850.00                                                     MENSUALIDAD $300.00</t>
  </si>
  <si>
    <t>Mes abril 2019</t>
  </si>
  <si>
    <t>TENIA PROBLEMAS CON LA UNIDAD Y NO TENIA FECHA DE ARREGLO</t>
  </si>
  <si>
    <r>
      <rPr>
        <b/>
        <sz val="11"/>
        <color theme="1"/>
        <rFont val="Calibri"/>
        <family val="2"/>
        <scheme val="minor"/>
      </rPr>
      <t>CARLOS</t>
    </r>
    <r>
      <rPr>
        <sz val="11"/>
        <color theme="1"/>
        <rFont val="Calibri"/>
        <family val="2"/>
        <scheme val="minor"/>
      </rPr>
      <t xml:space="preserve"> RAUL </t>
    </r>
    <r>
      <rPr>
        <b/>
        <sz val="11"/>
        <color theme="1"/>
        <rFont val="Calibri"/>
        <family val="2"/>
        <scheme val="minor"/>
      </rPr>
      <t>BANDA</t>
    </r>
    <r>
      <rPr>
        <sz val="11"/>
        <color theme="1"/>
        <rFont val="Calibri"/>
        <family val="2"/>
        <scheme val="minor"/>
      </rPr>
      <t xml:space="preserve"> CASTRO</t>
    </r>
  </si>
  <si>
    <t>PAGO EL 05-JUN-23 POR TRANSFERENCIA</t>
  </si>
  <si>
    <t>KARLA VEAR</t>
  </si>
  <si>
    <t xml:space="preserve">KARLA VEAR               81 1800 0233 </t>
  </si>
  <si>
    <t>NISSAN NP300</t>
  </si>
  <si>
    <t>CARLOS BELTRAN</t>
  </si>
  <si>
    <t>ISRAEL BETANCOURT</t>
  </si>
  <si>
    <t>2 NISSAN BLANCO</t>
  </si>
  <si>
    <t xml:space="preserve">8129169442, 8119964608 </t>
  </si>
  <si>
    <t xml:space="preserve">868166053039285, 863844055052523 </t>
  </si>
  <si>
    <t>SIM NO FUNCIONABA</t>
  </si>
  <si>
    <t>RICARDO FG                 81 8287 6522</t>
  </si>
  <si>
    <t>INSTALACIÓN $650.00                              MENSUALIDAD $300.00</t>
  </si>
  <si>
    <t>RICARDO FERNANDEZ GONZALEZ</t>
  </si>
  <si>
    <t xml:space="preserve">$1,850.00 EQUIPO E INST.                      $450.00 INSTALACION 1 EQUIPO LO DIO EL </t>
  </si>
  <si>
    <t>KROHNE DE MEXICO</t>
  </si>
  <si>
    <t>RSC-550-B</t>
  </si>
  <si>
    <t>PAGO EL 05-JUN-2023 POR TRANSFERENCIA</t>
  </si>
  <si>
    <t>PAGO EL 12-JUN-2023 POR TRANSFERENCIA</t>
  </si>
  <si>
    <t>OVIDIO CANTU - 8117365029</t>
  </si>
  <si>
    <t>ISRAEL BETANCOUR - 8115444044</t>
  </si>
  <si>
    <t>OMAR PABELLO             81 1692 1022</t>
  </si>
  <si>
    <t xml:space="preserve">CARLOS BELTRAN </t>
  </si>
  <si>
    <t>360 LOGISTICS - MULTITRASLADOS INTERNACIONALES</t>
  </si>
  <si>
    <t>JOSE BRIONES</t>
  </si>
  <si>
    <t xml:space="preserve">JOSE BRIONES         444 153 9488 </t>
  </si>
  <si>
    <t>EQUIPO E INSTALACIÓN $1,850.00+IVA=$2,146.00 MENSUALIDAD $249.00+IVA=$288.84</t>
  </si>
  <si>
    <t>Veronica Leal -  81 8465 0844         vleal@mlti.com.mx</t>
  </si>
  <si>
    <t>SR. LUNA                          81 1179 6136</t>
  </si>
  <si>
    <t xml:space="preserve">(833) 217-3830 Ext. 101  </t>
  </si>
  <si>
    <t>RICARDO CORONADO LUNA</t>
  </si>
  <si>
    <t>FORD F-150 BLANCO S/R</t>
  </si>
  <si>
    <t>EQUIPO $1,500.00                                              MENSUALIDAD $300.00</t>
  </si>
  <si>
    <r>
      <t xml:space="preserve">Ricardo Coronado Luna - 81 1179 6136 </t>
    </r>
    <r>
      <rPr>
        <b/>
        <u/>
        <sz val="10"/>
        <color theme="4" tint="-0.249977111117893"/>
        <rFont val="Calibri"/>
        <family val="2"/>
        <scheme val="minor"/>
      </rPr>
      <t>colr721210@gmail.com</t>
    </r>
  </si>
  <si>
    <r>
      <t>ALFONSO MARTINEZ 
(</t>
    </r>
    <r>
      <rPr>
        <b/>
        <sz val="11"/>
        <color theme="1"/>
        <rFont val="Calibri"/>
        <family val="2"/>
        <scheme val="minor"/>
      </rPr>
      <t>MEXUSA</t>
    </r>
    <r>
      <rPr>
        <sz val="11"/>
        <color theme="1"/>
        <rFont val="Calibri"/>
        <family val="2"/>
        <scheme val="minor"/>
      </rPr>
      <t>)</t>
    </r>
  </si>
  <si>
    <t>Mes marzo 2019</t>
  </si>
  <si>
    <t>PERDIO RASTRO DE LA UNIDAD DESDE JULIO 2022 Y YA NO LA VOLVIO A RECUPERAR</t>
  </si>
  <si>
    <t>FITUA (ELIAS FINANCIERA)</t>
  </si>
  <si>
    <t xml:space="preserve">SALDO A FAVOR </t>
  </si>
  <si>
    <t>JOSE BRIONES - COMERCIALIZADORA DE MATERIALES MKN</t>
  </si>
  <si>
    <r>
      <t xml:space="preserve">Nombre de la Empresa: </t>
    </r>
    <r>
      <rPr>
        <b/>
        <sz val="10"/>
        <color theme="1"/>
        <rFont val="Calibri"/>
        <family val="2"/>
        <scheme val="minor"/>
      </rPr>
      <t xml:space="preserve">HACIENDO EQUIPO EN TU PROYECTO S.A. DE C.V. </t>
    </r>
    <r>
      <rPr>
        <sz val="10"/>
        <color theme="1"/>
        <rFont val="Calibri"/>
        <family val="2"/>
        <scheme val="minor"/>
      </rPr>
      <t xml:space="preserve">
RFC. </t>
    </r>
    <r>
      <rPr>
        <b/>
        <sz val="10"/>
        <color theme="1"/>
        <rFont val="Calibri"/>
        <family val="2"/>
        <scheme val="minor"/>
      </rPr>
      <t xml:space="preserve">EMO180713MC1 </t>
    </r>
    <r>
      <rPr>
        <sz val="10"/>
        <color theme="1"/>
        <rFont val="Calibri"/>
        <family val="2"/>
        <scheme val="minor"/>
      </rPr>
      <t xml:space="preserve">
CFDI : </t>
    </r>
    <r>
      <rPr>
        <b/>
        <sz val="10"/>
        <color theme="1"/>
        <rFont val="Calibri"/>
        <family val="2"/>
        <scheme val="minor"/>
      </rPr>
      <t xml:space="preserve">Gastos en General  </t>
    </r>
    <r>
      <rPr>
        <sz val="10"/>
        <color theme="1"/>
        <rFont val="Calibri"/>
        <family val="2"/>
        <scheme val="minor"/>
      </rPr>
      <t xml:space="preserve">    C.P.: </t>
    </r>
    <r>
      <rPr>
        <b/>
        <sz val="10"/>
        <color theme="1"/>
        <rFont val="Calibri"/>
        <family val="2"/>
        <scheme val="minor"/>
      </rPr>
      <t>64000</t>
    </r>
    <r>
      <rPr>
        <sz val="10"/>
        <color theme="1"/>
        <rFont val="Calibri"/>
        <family val="2"/>
        <scheme val="minor"/>
      </rPr>
      <t xml:space="preserve">
Regimen Fiscal: </t>
    </r>
    <r>
      <rPr>
        <b/>
        <sz val="10"/>
        <color theme="1"/>
        <rFont val="Calibri"/>
        <family val="2"/>
        <scheme val="minor"/>
      </rPr>
      <t>R SIMPLIFICADO DE CONFIANZA</t>
    </r>
    <r>
      <rPr>
        <sz val="10"/>
        <color theme="1"/>
        <rFont val="Calibri"/>
        <family val="2"/>
        <scheme val="minor"/>
      </rPr>
      <t xml:space="preserve">
Forma de Pago: </t>
    </r>
    <r>
      <rPr>
        <b/>
        <sz val="10"/>
        <color theme="1"/>
        <rFont val="Calibri"/>
        <family val="2"/>
        <scheme val="minor"/>
      </rPr>
      <t>Transferencia</t>
    </r>
    <r>
      <rPr>
        <sz val="10"/>
        <color theme="1"/>
        <rFont val="Calibri"/>
        <family val="2"/>
        <scheme val="minor"/>
      </rPr>
      <t xml:space="preserve">
Teléfono:</t>
    </r>
    <r>
      <rPr>
        <b/>
        <sz val="10"/>
        <color theme="1"/>
        <rFont val="Calibri"/>
        <family val="2"/>
        <scheme val="minor"/>
      </rPr>
      <t xml:space="preserve"> 81 2002 4556</t>
    </r>
    <r>
      <rPr>
        <sz val="10"/>
        <color theme="1"/>
        <rFont val="Calibri"/>
        <family val="2"/>
        <scheme val="minor"/>
      </rPr>
      <t xml:space="preserve"> Contacto: </t>
    </r>
    <r>
      <rPr>
        <b/>
        <sz val="10"/>
        <color theme="1"/>
        <rFont val="Calibri"/>
        <family val="2"/>
        <scheme val="minor"/>
      </rPr>
      <t>Oscar Herrera</t>
    </r>
    <r>
      <rPr>
        <sz val="10"/>
        <color theme="1"/>
        <rFont val="Calibri"/>
        <family val="2"/>
        <scheme val="minor"/>
      </rPr>
      <t xml:space="preserve">
Email:</t>
    </r>
    <r>
      <rPr>
        <b/>
        <sz val="10"/>
        <color theme="1"/>
        <rFont val="Calibri"/>
        <family val="2"/>
        <scheme val="minor"/>
      </rPr>
      <t>compras@equiprestmx.com</t>
    </r>
    <r>
      <rPr>
        <sz val="10"/>
        <color theme="1"/>
        <rFont val="Calibri"/>
        <family val="2"/>
        <scheme val="minor"/>
      </rPr>
      <t xml:space="preserve"> 1er Factura: </t>
    </r>
    <r>
      <rPr>
        <b/>
        <sz val="10"/>
        <color theme="1"/>
        <rFont val="Calibri"/>
        <family val="2"/>
        <scheme val="minor"/>
      </rPr>
      <t>1951</t>
    </r>
  </si>
  <si>
    <r>
      <t xml:space="preserve">Nombre de la Empresa: </t>
    </r>
    <r>
      <rPr>
        <b/>
        <sz val="10"/>
        <color theme="1"/>
        <rFont val="Calibri"/>
        <family val="2"/>
        <scheme val="minor"/>
      </rPr>
      <t>HECTOR ALVEAR AGUILAR</t>
    </r>
    <r>
      <rPr>
        <sz val="10"/>
        <color theme="1"/>
        <rFont val="Calibri"/>
        <family val="2"/>
        <scheme val="minor"/>
      </rPr>
      <t xml:space="preserve">
RFC. </t>
    </r>
    <r>
      <rPr>
        <b/>
        <sz val="10"/>
        <color theme="1"/>
        <rFont val="Calibri"/>
        <family val="2"/>
        <scheme val="minor"/>
      </rPr>
      <t>AEAH940117AV1</t>
    </r>
    <r>
      <rPr>
        <sz val="10"/>
        <color theme="1"/>
        <rFont val="Calibri"/>
        <family val="2"/>
        <scheme val="minor"/>
      </rPr>
      <t xml:space="preserve">
CFDI : </t>
    </r>
    <r>
      <rPr>
        <b/>
        <sz val="10"/>
        <color theme="1"/>
        <rFont val="Calibri"/>
        <family val="2"/>
        <scheme val="minor"/>
      </rPr>
      <t xml:space="preserve">Gastos en General  </t>
    </r>
    <r>
      <rPr>
        <sz val="10"/>
        <color theme="1"/>
        <rFont val="Calibri"/>
        <family val="2"/>
        <scheme val="minor"/>
      </rPr>
      <t xml:space="preserve">    C.P.:</t>
    </r>
    <r>
      <rPr>
        <b/>
        <sz val="10"/>
        <color theme="1"/>
        <rFont val="Calibri"/>
        <family val="2"/>
        <scheme val="minor"/>
      </rPr>
      <t>67250</t>
    </r>
    <r>
      <rPr>
        <sz val="10"/>
        <color theme="1"/>
        <rFont val="Calibri"/>
        <family val="2"/>
        <scheme val="minor"/>
      </rPr>
      <t xml:space="preserve">
Regimen Fiscal: </t>
    </r>
    <r>
      <rPr>
        <b/>
        <sz val="10"/>
        <color theme="1"/>
        <rFont val="Calibri"/>
        <family val="2"/>
        <scheme val="minor"/>
      </rPr>
      <t>R DE LAS PERSONAS FISICAS CON ACTIVIDADES EMPRESARIALES Y PROFESIONALES</t>
    </r>
    <r>
      <rPr>
        <sz val="10"/>
        <color theme="1"/>
        <rFont val="Calibri"/>
        <family val="2"/>
        <scheme val="minor"/>
      </rPr>
      <t xml:space="preserve"> 
Forma de Pago: </t>
    </r>
    <r>
      <rPr>
        <b/>
        <sz val="10"/>
        <color theme="1"/>
        <rFont val="Calibri"/>
        <family val="2"/>
        <scheme val="minor"/>
      </rPr>
      <t>Transferencia</t>
    </r>
    <r>
      <rPr>
        <sz val="10"/>
        <color theme="1"/>
        <rFont val="Calibri"/>
        <family val="2"/>
        <scheme val="minor"/>
      </rPr>
      <t xml:space="preserve">
Teléfono: </t>
    </r>
    <r>
      <rPr>
        <b/>
        <sz val="10"/>
        <color theme="1"/>
        <rFont val="Calibri"/>
        <family val="2"/>
        <scheme val="minor"/>
      </rPr>
      <t xml:space="preserve">81 8050 5722 </t>
    </r>
    <r>
      <rPr>
        <sz val="10"/>
        <color theme="1"/>
        <rFont val="Calibri"/>
        <family val="2"/>
        <scheme val="minor"/>
      </rPr>
      <t xml:space="preserve"> 
Contacto: </t>
    </r>
    <r>
      <rPr>
        <b/>
        <sz val="10"/>
        <color theme="1"/>
        <rFont val="Calibri"/>
        <family val="2"/>
        <scheme val="minor"/>
      </rPr>
      <t>Karla Vear</t>
    </r>
    <r>
      <rPr>
        <sz val="10"/>
        <color theme="1"/>
        <rFont val="Calibri"/>
        <family val="2"/>
        <scheme val="minor"/>
      </rPr>
      <t xml:space="preserve">
Email: </t>
    </r>
    <r>
      <rPr>
        <b/>
        <sz val="10"/>
        <color theme="1"/>
        <rFont val="Calibri"/>
        <family val="2"/>
        <scheme val="minor"/>
      </rPr>
      <t>Hec_alvear@hotmail.com</t>
    </r>
    <r>
      <rPr>
        <sz val="10"/>
        <color theme="1"/>
        <rFont val="Calibri"/>
        <family val="2"/>
        <scheme val="minor"/>
      </rPr>
      <t xml:space="preserve">
1er Factura: </t>
    </r>
    <r>
      <rPr>
        <b/>
        <sz val="10"/>
        <color theme="1"/>
        <rFont val="Calibri"/>
        <family val="2"/>
        <scheme val="minor"/>
      </rPr>
      <t>2068</t>
    </r>
  </si>
  <si>
    <r>
      <t xml:space="preserve">Nombre de la Empresa: </t>
    </r>
    <r>
      <rPr>
        <b/>
        <sz val="10"/>
        <color theme="1"/>
        <rFont val="Calibri"/>
        <family val="2"/>
        <scheme val="minor"/>
      </rPr>
      <t>KROHNE DE MEXICO</t>
    </r>
    <r>
      <rPr>
        <sz val="10"/>
        <color theme="1"/>
        <rFont val="Calibri"/>
        <family val="2"/>
        <scheme val="minor"/>
      </rPr>
      <t xml:space="preserve">
RFC. </t>
    </r>
    <r>
      <rPr>
        <b/>
        <sz val="10"/>
        <color theme="1"/>
        <rFont val="Calibri"/>
        <family val="2"/>
        <scheme val="minor"/>
      </rPr>
      <t>KME091130LY6</t>
    </r>
    <r>
      <rPr>
        <sz val="10"/>
        <color theme="1"/>
        <rFont val="Calibri"/>
        <family val="2"/>
        <scheme val="minor"/>
      </rPr>
      <t xml:space="preserve">
CFDI : </t>
    </r>
    <r>
      <rPr>
        <b/>
        <sz val="10"/>
        <color theme="1"/>
        <rFont val="Calibri"/>
        <family val="2"/>
        <scheme val="minor"/>
      </rPr>
      <t xml:space="preserve">Gastos en General   </t>
    </r>
    <r>
      <rPr>
        <sz val="10"/>
        <color theme="1"/>
        <rFont val="Calibri"/>
        <family val="2"/>
        <scheme val="minor"/>
      </rPr>
      <t xml:space="preserve">   C.P.</t>
    </r>
    <r>
      <rPr>
        <b/>
        <sz val="10"/>
        <color theme="1"/>
        <rFont val="Calibri"/>
        <family val="2"/>
        <scheme val="minor"/>
      </rPr>
      <t>89110</t>
    </r>
    <r>
      <rPr>
        <sz val="10"/>
        <color theme="1"/>
        <rFont val="Calibri"/>
        <family val="2"/>
        <scheme val="minor"/>
      </rPr>
      <t xml:space="preserve">
Regimen Fiscal: </t>
    </r>
    <r>
      <rPr>
        <b/>
        <sz val="10"/>
        <color theme="1"/>
        <rFont val="Calibri"/>
        <family val="2"/>
        <scheme val="minor"/>
      </rPr>
      <t xml:space="preserve">R GENERAL DE LEY PERSONAS MORALES </t>
    </r>
    <r>
      <rPr>
        <sz val="10"/>
        <color theme="1"/>
        <rFont val="Calibri"/>
        <family val="2"/>
        <scheme val="minor"/>
      </rPr>
      <t xml:space="preserve">
Forma de Pago: </t>
    </r>
    <r>
      <rPr>
        <b/>
        <sz val="10"/>
        <color theme="1"/>
        <rFont val="Calibri"/>
        <family val="2"/>
        <scheme val="minor"/>
      </rPr>
      <t>Transferencia</t>
    </r>
    <r>
      <rPr>
        <sz val="10"/>
        <color theme="1"/>
        <rFont val="Calibri"/>
        <family val="2"/>
        <scheme val="minor"/>
      </rPr>
      <t xml:space="preserve">
Teléfono: (833) 217-3830
Contacto:
Email:  </t>
    </r>
    <r>
      <rPr>
        <b/>
        <sz val="10"/>
        <color theme="1"/>
        <rFont val="Calibri"/>
        <family val="2"/>
        <scheme val="minor"/>
      </rPr>
      <t>Pamela@KROHNEMEXICO.com 'erika@krohnemexico.com'; 'israel@krohnemexico.com'; 'maricela@krohnemexico.com'</t>
    </r>
    <r>
      <rPr>
        <sz val="10"/>
        <color theme="1"/>
        <rFont val="Calibri"/>
        <family val="2"/>
        <scheme val="minor"/>
      </rPr>
      <t xml:space="preserve">
1er Factura: </t>
    </r>
    <r>
      <rPr>
        <b/>
        <sz val="10"/>
        <color theme="1"/>
        <rFont val="Calibri"/>
        <family val="2"/>
        <scheme val="minor"/>
      </rPr>
      <t>2070</t>
    </r>
  </si>
  <si>
    <r>
      <t xml:space="preserve">Nombre de la Empresa: </t>
    </r>
    <r>
      <rPr>
        <b/>
        <sz val="10"/>
        <color theme="1"/>
        <rFont val="Calibri"/>
        <family val="2"/>
        <scheme val="minor"/>
      </rPr>
      <t xml:space="preserve">LAMBI S.A. DE C.V. </t>
    </r>
    <r>
      <rPr>
        <sz val="10"/>
        <color theme="1"/>
        <rFont val="Calibri"/>
        <family val="2"/>
        <scheme val="minor"/>
      </rPr>
      <t xml:space="preserve">
RFC. </t>
    </r>
    <r>
      <rPr>
        <b/>
        <sz val="10"/>
        <color theme="1"/>
        <rFont val="Calibri"/>
        <family val="2"/>
        <scheme val="minor"/>
      </rPr>
      <t>LAM9109013H1</t>
    </r>
    <r>
      <rPr>
        <sz val="10"/>
        <color theme="1"/>
        <rFont val="Calibri"/>
        <family val="2"/>
        <scheme val="minor"/>
      </rPr>
      <t xml:space="preserve">
CFDI :</t>
    </r>
    <r>
      <rPr>
        <b/>
        <sz val="10"/>
        <color theme="1"/>
        <rFont val="Calibri"/>
        <family val="2"/>
        <scheme val="minor"/>
      </rPr>
      <t xml:space="preserve"> Gastos en General</t>
    </r>
    <r>
      <rPr>
        <sz val="10"/>
        <color theme="1"/>
        <rFont val="Calibri"/>
        <family val="2"/>
        <scheme val="minor"/>
      </rPr>
      <t xml:space="preserve">      C.P.</t>
    </r>
    <r>
      <rPr>
        <b/>
        <sz val="10"/>
        <color theme="1"/>
        <rFont val="Calibri"/>
        <family val="2"/>
        <scheme val="minor"/>
      </rPr>
      <t>66062</t>
    </r>
    <r>
      <rPr>
        <sz val="10"/>
        <color theme="1"/>
        <rFont val="Calibri"/>
        <family val="2"/>
        <scheme val="minor"/>
      </rPr>
      <t xml:space="preserve">
Regimen Fiscal:</t>
    </r>
    <r>
      <rPr>
        <b/>
        <sz val="10"/>
        <color theme="1"/>
        <rFont val="Calibri"/>
        <family val="2"/>
        <scheme val="minor"/>
      </rPr>
      <t xml:space="preserve"> R GENERAL DE LEY PERSONAS MORALES </t>
    </r>
    <r>
      <rPr>
        <sz val="10"/>
        <color theme="1"/>
        <rFont val="Calibri"/>
        <family val="2"/>
        <scheme val="minor"/>
      </rPr>
      <t xml:space="preserve">
Forma de Pago: </t>
    </r>
    <r>
      <rPr>
        <b/>
        <sz val="10"/>
        <color theme="1"/>
        <rFont val="Calibri"/>
        <family val="2"/>
        <scheme val="minor"/>
      </rPr>
      <t>Transferencia</t>
    </r>
    <r>
      <rPr>
        <sz val="10"/>
        <color theme="1"/>
        <rFont val="Calibri"/>
        <family val="2"/>
        <scheme val="minor"/>
      </rPr>
      <t xml:space="preserve">
Teléfono: </t>
    </r>
    <r>
      <rPr>
        <b/>
        <sz val="10"/>
        <color theme="1"/>
        <rFont val="Calibri"/>
        <family val="2"/>
        <scheme val="minor"/>
      </rPr>
      <t>81 1908 0591</t>
    </r>
    <r>
      <rPr>
        <sz val="10"/>
        <color theme="1"/>
        <rFont val="Calibri"/>
        <family val="2"/>
        <scheme val="minor"/>
      </rPr>
      <t xml:space="preserve"> 
Contacto: </t>
    </r>
    <r>
      <rPr>
        <b/>
        <sz val="10"/>
        <color theme="1"/>
        <rFont val="Calibri"/>
        <family val="2"/>
        <scheme val="minor"/>
      </rPr>
      <t>Ericka Ortega</t>
    </r>
    <r>
      <rPr>
        <sz val="10"/>
        <color theme="1"/>
        <rFont val="Calibri"/>
        <family val="2"/>
        <scheme val="minor"/>
      </rPr>
      <t xml:space="preserve">
Email: </t>
    </r>
    <r>
      <rPr>
        <b/>
        <sz val="10"/>
        <color theme="1"/>
        <rFont val="Calibri"/>
        <family val="2"/>
        <scheme val="minor"/>
      </rPr>
      <t xml:space="preserve"> eortega@lambi.com.mx</t>
    </r>
    <r>
      <rPr>
        <sz val="10"/>
        <color theme="1"/>
        <rFont val="Calibri"/>
        <family val="2"/>
        <scheme val="minor"/>
      </rPr>
      <t xml:space="preserve">
1er Factura: </t>
    </r>
    <r>
      <rPr>
        <b/>
        <sz val="10"/>
        <color theme="1"/>
        <rFont val="Calibri"/>
        <family val="2"/>
        <scheme val="minor"/>
      </rPr>
      <t>2008</t>
    </r>
  </si>
  <si>
    <t>ELIAS FINANCIERA 81 2172 4469</t>
  </si>
  <si>
    <t>S/N</t>
  </si>
  <si>
    <r>
      <t xml:space="preserve">Rodolfo López - 81 8033 1384 </t>
    </r>
    <r>
      <rPr>
        <b/>
        <u/>
        <sz val="10"/>
        <color rgb="FF0070C0"/>
        <rFont val="Calibri"/>
        <family val="2"/>
        <scheme val="minor"/>
      </rPr>
      <t xml:space="preserve">rodolfo@360logistics.com.mx </t>
    </r>
  </si>
  <si>
    <t>SERVICIO DE RE-INSTALACION</t>
  </si>
  <si>
    <t>JULIO</t>
  </si>
  <si>
    <t>PAGO A JOSE LUIS MISMO DIA</t>
  </si>
  <si>
    <t>RICARDO FERNANDEZ GONZALEZ - UNIDADES PDTES. 3 INST</t>
  </si>
  <si>
    <t>AARON MARTINEZ</t>
  </si>
  <si>
    <t xml:space="preserve">AARON MARTINEZ 81 1413 7946 </t>
  </si>
  <si>
    <t>KW BLANCO 83-AD-2Z</t>
  </si>
  <si>
    <t>EQUIPO $1,950.00+IVA=$2,262.00
MENSUALIDAD $300.00+IVA=$348.00</t>
  </si>
  <si>
    <t>2 RETROEXCAVADORAS</t>
  </si>
  <si>
    <t>8135906462, S/R</t>
  </si>
  <si>
    <t xml:space="preserve">869220040533048, 863844052851505 </t>
  </si>
  <si>
    <t>LUIS MAURICIO MARTINEZ GONZALEZ</t>
  </si>
  <si>
    <t>MAURICIO MTZ GZZ 956 282 8555</t>
  </si>
  <si>
    <t>PAGO EL 03-JUL-23 POR TRANSFERENCIA</t>
  </si>
  <si>
    <t>LUIS FRANCO</t>
  </si>
  <si>
    <t>LUIS FRANCO                   81 2571 7791</t>
  </si>
  <si>
    <t>CHEVROLET AVEP GUINDO SBC-015-A</t>
  </si>
  <si>
    <t>EQUIPO $2,200.00                                                         MENSUALIDAD $249.00</t>
  </si>
  <si>
    <t>KW AMARILLO 65-BA-6N</t>
  </si>
  <si>
    <t xml:space="preserve">1- DODGE RAM BLANCO </t>
  </si>
  <si>
    <t>JORGE CEDILLO</t>
  </si>
  <si>
    <t>PAGO EL 07-JUL-2023 POR TRANSFERENCIA</t>
  </si>
  <si>
    <r>
      <t xml:space="preserve">Tel. 826 863 8300 </t>
    </r>
    <r>
      <rPr>
        <b/>
        <u/>
        <sz val="10"/>
        <color theme="4" tint="-0.249977111117893"/>
        <rFont val="Calibri"/>
        <family val="2"/>
        <scheme val="minor"/>
      </rPr>
      <t>facturas@empacadoralafama.com 
carneseca@prodigy.net.mx;</t>
    </r>
  </si>
  <si>
    <t>JULIO'23</t>
  </si>
  <si>
    <t>JULIO'24</t>
  </si>
  <si>
    <t>JORGE CEDILLO (ANUALIDAD)</t>
  </si>
  <si>
    <t>MARIO CABALLERO</t>
  </si>
  <si>
    <t>MARIO CABALLERO 81 1213 3136</t>
  </si>
  <si>
    <t>EQUIPO $1,850.00                                                 MENSUALIDAD $250.00</t>
  </si>
  <si>
    <t>KW ROJO 71-AT-6B</t>
  </si>
  <si>
    <t xml:space="preserve">Mario Caballero - 81 1213 3136 </t>
  </si>
  <si>
    <t>*SERVICIO CAMBIO DE SIM</t>
  </si>
  <si>
    <t>VENDIO LA UNIDAD</t>
  </si>
  <si>
    <t>AGOSTO</t>
  </si>
  <si>
    <t>CAMION FORD BLANCO</t>
  </si>
  <si>
    <t>RF-4909-A</t>
  </si>
  <si>
    <t>8186697047, 8133844386</t>
  </si>
  <si>
    <t xml:space="preserve">*SERVICIO CAMBIO DE SIM </t>
  </si>
  <si>
    <t>EDUARDO VENTURA MENDOZA</t>
  </si>
  <si>
    <t xml:space="preserve">EDUARDO VENTURA 81 3090 4628 </t>
  </si>
  <si>
    <t>RE ACTIVACIÓN $350.00+IVA=$406.00 MENSUALIDAD $250.00+IVA=$290.00</t>
  </si>
  <si>
    <t>ALFONSO MARTINEZ</t>
  </si>
  <si>
    <t>SEPTIEMBRE'23</t>
  </si>
  <si>
    <t>DISTRIBUIDORA FERRELECTRICA Y MATERIALES EXPRESS, S.A. DE C.V.</t>
  </si>
  <si>
    <t>ALFONSO MARTINEZ - 8131740563</t>
  </si>
  <si>
    <t>NISSAN VERSA GRIS</t>
  </si>
  <si>
    <t>SKM-122-A</t>
  </si>
  <si>
    <t>PAGO EL 31-JUL-23 POR TRANSFERENCIA</t>
  </si>
  <si>
    <t>PAGO EL 28-JUL-23 POR TRANSFERENCIA</t>
  </si>
  <si>
    <t>SVC-893-4</t>
  </si>
  <si>
    <t>MARIO</t>
  </si>
  <si>
    <t>CTES. MARIO</t>
  </si>
  <si>
    <t>CLIENTE MARIO</t>
  </si>
  <si>
    <t>VICTOR PALOS GARCIA</t>
  </si>
  <si>
    <t>EQUIPO $2,200.00                                              MENSUALIDAD $300.00</t>
  </si>
  <si>
    <t>VICTOR P. GARCÍA 81 2321 1341</t>
  </si>
  <si>
    <t xml:space="preserve">Reyna Mercado - 81 1544 2989                              Luis Franco - 81 2571 7791 </t>
  </si>
  <si>
    <t>AGOSTO'24</t>
  </si>
  <si>
    <t>MOTO CONFORMADA CATERPILLAR</t>
  </si>
  <si>
    <t>REEMPLAZO DE EQUIPO</t>
  </si>
  <si>
    <t>PAGO EL 11-AGO-23 POR TRANSFERENCIA</t>
  </si>
  <si>
    <t>OMAR PABELLO (TRANSPORTES CEFA)</t>
  </si>
  <si>
    <t>M&amp;D CONSTRUCTORA</t>
  </si>
  <si>
    <r>
      <t xml:space="preserve">Jorge Cedillo- 8124047444 </t>
    </r>
    <r>
      <rPr>
        <b/>
        <u/>
        <sz val="10"/>
        <color theme="4" tint="-0.249977111117893"/>
        <rFont val="Calibri"/>
        <family val="2"/>
        <scheme val="minor"/>
      </rPr>
      <t>romeocedillo77@gmail.com</t>
    </r>
  </si>
  <si>
    <r>
      <t xml:space="preserve">Rolando Ziragem 811 077 1470
812 597 2700 / 812 332 3606
</t>
    </r>
    <r>
      <rPr>
        <b/>
        <u/>
        <sz val="10"/>
        <color rgb="FF0070C0"/>
        <rFont val="Calibri"/>
        <family val="2"/>
        <scheme val="minor"/>
      </rPr>
      <t xml:space="preserve">oficina@dexmateriales.com; rzgc@hotmail.com; rolando@dexmateriales.com; </t>
    </r>
  </si>
  <si>
    <r>
      <rPr>
        <sz val="10"/>
        <color theme="1"/>
        <rFont val="Calibri"/>
        <family val="2"/>
        <scheme val="minor"/>
      </rPr>
      <t xml:space="preserve">ANUALIDAD                                                         Enrique May - 811 077 0580                                                                                                                        Luis Guardia Moreno - 811 184 0376 </t>
    </r>
    <r>
      <rPr>
        <u/>
        <sz val="10"/>
        <color theme="10"/>
        <rFont val="Calibri"/>
        <family val="2"/>
        <scheme val="minor"/>
      </rPr>
      <t>enriquemay@hotmail.com</t>
    </r>
  </si>
  <si>
    <t>EY-4341-B</t>
  </si>
  <si>
    <t>DODGE RAM BLANCO</t>
  </si>
  <si>
    <t>SEPTIEMBRE</t>
  </si>
  <si>
    <t>LIZETH ALVAREZ</t>
  </si>
  <si>
    <t>EDUARDO SAENZ</t>
  </si>
  <si>
    <t>EDUARDO SAENZ        81 1798 7942</t>
  </si>
  <si>
    <t>PEUGEOT PANTHER BLANCO PZ-0270-A</t>
  </si>
  <si>
    <t xml:space="preserve">1- DODGE RAM RAPID PRO MASTER BLANCO PW-7317-A                                                                         2- DODGE RAM RAPID PRO MASTER BLANCO PW-2646-A                                                                          3- DODGE RAM RAPID PRO MASTER BLANCO PW-2445-A </t>
  </si>
  <si>
    <t>1- KW BLANCO 88-AF-9R                                                                    2- KW ROJO 955-DJ-9                                                                       3- KW AZUL 423-EU-9                                                                        4- CAMION CHEVROLET BLANCO RD-9212-A</t>
  </si>
  <si>
    <t xml:space="preserve">1- FOTON BLANCO S/R                                                                    2- DODGE RAM BLANCO S/R                                                             3- DODGE RAM BLANCO S/R </t>
  </si>
  <si>
    <t>1- INTERNATIONAL BLANCO RJ-63-329                                    2- NISSAN NP300 BLANCO RF-70-510                                           3- NISSAN NP300 BLANCO RH-21-838                                            4- STERLING BLANCO VB-68-612                                               5- INTERNATIONAL BLANCO RJ-74-162                                          6- VOLVO BLANCO RJ-93-778                                                          7- STERLING BLANCO VB-68-657</t>
  </si>
  <si>
    <t>1- FREIGHTLINER ROJO 64-AB-1G                                                    2- FREIGHTLINER VERDE 65-AD-2R                                                3- FREIGHTLINER ROJO 909-DM-4                                              4- FREIGHTLINER ROJO 914-DM-4                                        5- FREIGHTLINER ROJO 63-AB-1G                                                   6- FREIGHTLINER ROJO 913-DM-4</t>
  </si>
  <si>
    <t>1- TOYOTA HIACE BLANCO SSL-963-A                                               2- SPRINTER BLANCO 14-LBA-58                                                 3- SPRINTER BLANCO 15-LBA-18</t>
  </si>
  <si>
    <t>1- CHEVROLET BEAT GRIS S/R                                                           2- NISSAN SENTRA GRIS RRN-382-B                                                         3- NISSAN VERSA BLANCO SYN-697-A                                            4- CHEVROLET AVEO BLANCO STB-91-11                                  5- NISSAN VERSA GUINDO SSS-99-57</t>
  </si>
  <si>
    <t xml:space="preserve">1- CHEVROLET COLORADO BLANCO PM-5750-B                   2- NISSAN BLANCO PL-8436-B                                                        3- TOYOTA HIGOS ROJO SZK-105-A </t>
  </si>
  <si>
    <t>1- DODGE RAM BLANCO PT-6352-A                                               2- DODGE RAM BLANCO PT-6353-A</t>
  </si>
  <si>
    <t>1- NISSAN MARCH BLANCO RKY-628-B                                           2- NISSAN MARCH BLANCO PJ-1475-B</t>
  </si>
  <si>
    <t>1- JAC BLANCO SPW-733-B                                                          2- FORD MUSTANG AZUL XRF-776-B</t>
  </si>
  <si>
    <t>CANCELADAS</t>
  </si>
  <si>
    <t>EQUIPO $1,850.00                                             MENSUALIDAD $250.00</t>
  </si>
  <si>
    <t>LIZETH ALVAREZ - 8117903207</t>
  </si>
  <si>
    <t>PAGO EL 29-AGO-23 POR TRANSFERENCIA</t>
  </si>
  <si>
    <t>PAGO EL 26-AGO-23 POR TRANSFERENCIA</t>
  </si>
  <si>
    <t xml:space="preserve">ELIZABETH RENTERIA REVILLA </t>
  </si>
  <si>
    <t>GEORGINA MELISSA GOMEZ RODELA - PETROVACTOR</t>
  </si>
  <si>
    <t xml:space="preserve">JAVIER ANGEL VELAZQUEZ SANCHEZ  </t>
  </si>
  <si>
    <t xml:space="preserve">LUIS ALBERTO DAVILA SALAZAR </t>
  </si>
  <si>
    <t xml:space="preserve">ABEL DE LA GARZA GONZALEZ </t>
  </si>
  <si>
    <t xml:space="preserve">VASTI ESQUIVEL RODRIGUEZ  </t>
  </si>
  <si>
    <t>PABLO GARZA</t>
  </si>
  <si>
    <t>Pablo Garza - 81 8678 4554</t>
  </si>
  <si>
    <t>SEPTIEMBRE'24</t>
  </si>
  <si>
    <t xml:space="preserve">PABLO GARZA (ANUALIDAD) </t>
  </si>
  <si>
    <t>ALAN (ALLENDE)</t>
  </si>
  <si>
    <t>ALAN ALLENDE</t>
  </si>
  <si>
    <t>ALAN ALLENDE                 826 126 0557</t>
  </si>
  <si>
    <t>EQUIPO $2,099.00+IVA=$2,434.84                                          MENSUALIDAD $300.00+IVA=$348.00</t>
  </si>
  <si>
    <t>GERARDO FLORES</t>
  </si>
  <si>
    <t>FORD BLANCO,                                  PEUGEOT PARTNER</t>
  </si>
  <si>
    <t>TN-500-A, S/R</t>
  </si>
  <si>
    <t>8123639011, 8127810661</t>
  </si>
  <si>
    <t>869220041212451, 865011034396326</t>
  </si>
  <si>
    <t>PAGO EL MISMO DÍA</t>
  </si>
  <si>
    <t>1- FORD BLANCO TDN-500-A                                                   2- PEUGEOT PARTNER S/R</t>
  </si>
  <si>
    <t>EQUIPO $1,800.00</t>
  </si>
  <si>
    <t>CHEVROLET CHEVY GRIS</t>
  </si>
  <si>
    <t>SBR-048-B</t>
  </si>
  <si>
    <t>ANDAMIOS CELESTES</t>
  </si>
  <si>
    <t>JESUS CABALLERO</t>
  </si>
  <si>
    <t>PREPAGO</t>
  </si>
  <si>
    <t>PEDRO NAJERA                 81 8120 6608</t>
  </si>
  <si>
    <t>KW ROJO 30-AN-2U</t>
  </si>
  <si>
    <t>Jesus Caballero - 81 1018 4001</t>
  </si>
  <si>
    <t>JESUS CABALLERO            81 1018 4001</t>
  </si>
  <si>
    <t xml:space="preserve">JOHN DEERE 310SK </t>
  </si>
  <si>
    <t>NISSAN BLANCO PT-5483-A</t>
  </si>
  <si>
    <t>EQUIPO $2,199.00                                             MENSUALIDAD $250.00</t>
  </si>
  <si>
    <t>QUITAKILOS</t>
  </si>
  <si>
    <t xml:space="preserve">GLO SHIPPING &amp; SERVICES, S.A. DE C.V. 
(LEONARDO REYES) </t>
  </si>
  <si>
    <t>PAGO EL 19-SEP-23 POR TRANSFERENCIA</t>
  </si>
  <si>
    <t>K2 SOLUCIONES A LA INDUSTRIA MEXICANA</t>
  </si>
  <si>
    <t>ALEJANDRO SUAREZ 81 1047 7494</t>
  </si>
  <si>
    <t>K3 SOLUCIONES A LA INDUSTRIA ALIMENTICIA</t>
  </si>
  <si>
    <t>CARLOS NAVARRO GONZALEZ</t>
  </si>
  <si>
    <t>CARLOS NAVARRO 81 1569 2935</t>
  </si>
  <si>
    <t>EQUIPO $1,850.00</t>
  </si>
  <si>
    <t>1- RETROESCAVADORA AMARILLO                                             2- RETROESCAVADORA AMARILLO</t>
  </si>
  <si>
    <t>1- CHEVROLET AVEO BLANCO SHT-502-A                                         2- CHEVROLET SPARK PLATA SDW-706-A                                         3- CHEVROLET SPARK PLATA STW-53-86                                            4- VW GOLF GRIS RUV-746-A</t>
  </si>
  <si>
    <t xml:space="preserve">REVISION </t>
  </si>
  <si>
    <t>OCTUBRE</t>
  </si>
  <si>
    <t>CARLOS NAVARRO -  8115692935</t>
  </si>
  <si>
    <t>RETROEXCAVADORA AMARILLO, RETROEXCAVADORA AMARILLO</t>
  </si>
  <si>
    <t>310E, S/R</t>
  </si>
  <si>
    <t>8131130219, 8284579235</t>
  </si>
  <si>
    <t xml:space="preserve">868166056885023, 869220041212360 </t>
  </si>
  <si>
    <t>OSCAR Y TEC</t>
  </si>
  <si>
    <t xml:space="preserve">MIGRACION DE PLAY MOTORS </t>
  </si>
  <si>
    <t>DANIEL PEDRAZA</t>
  </si>
  <si>
    <t>Daniel Pedraza -  81 2298 3005</t>
  </si>
  <si>
    <t>COBRAR EN DICIEMBRE SOLO PROPORCIONAL DE ENERO A MARZO</t>
  </si>
  <si>
    <t>ROBO DE UNIDAD AL SIGUIENTE DIA DE INSTALACION</t>
  </si>
  <si>
    <t>JUAN JAVIER CABRIALES CEDILLO</t>
  </si>
  <si>
    <t>JUAN JAVIER CABRIALES CEDILLO (TRANSPORTES RCD)</t>
  </si>
  <si>
    <t>Fernado Araiza - 81 2658 8276</t>
  </si>
  <si>
    <t>LUIS CARLOS CABELLO MARROQUIN - MARTHA ISAMAR CABELLO GUTIERREZ</t>
  </si>
  <si>
    <t>SE EMPIEZA A FACTURAR A ESTA RAZON SOCIAL Y DIVIDIR LA CUENTA EN MAYO 2023</t>
  </si>
  <si>
    <t xml:space="preserve">CHOFER CHOCO Y FUE PERDIDA TOTAL DE LA UNIDAD </t>
  </si>
  <si>
    <t>daniela.ochoa@seiarquitectos.com</t>
  </si>
  <si>
    <t>DANIELA OCHOA</t>
  </si>
  <si>
    <t>EQUIPO E INSTALACIÓN $2,500.00+IVA=$2,900.00                         MENSUALIDAD $350.0+IVA=$406.00</t>
  </si>
  <si>
    <t>EQUIPO E INSTALACIÓN $1,590.00+IVA=$1,844.40                        MENSUALIDAD $250.00+IVA=$290.00</t>
  </si>
  <si>
    <t>EQUIPO E INSTALACIÓN $1,879.00+IVA=$2,179.64
MENSUALIDAD $249.00+IVA=$288.84</t>
  </si>
  <si>
    <t>EQUIPO E INSTALACIÓN $1,200.00+IVA=$1,392.00                                           MENSUALIDAD $300.00+IVA=$348.00</t>
  </si>
  <si>
    <t>EQUIPO E INSTALACIÓN $700.00+IVA=$812.00                   MENSUALIDAD $300.00+IVA=$3480.00</t>
  </si>
  <si>
    <t>EQUIPO E INSTALACIÓN $1,850.00+IVA=$2,146.00                      MENSUALIDAD $250.00+IVA=$290.00</t>
  </si>
  <si>
    <t>EQUIPO E INSTALACIÓN $2,100.00+IVA=$2,436.00               MENSUALIDAD $300.00+IVA=$348.00</t>
  </si>
  <si>
    <t>EQUIPO E INSTALACIÓN $2,249.00+IVA=$2,608.84         MENSUALIDAD $249.00+IVA=$288.84</t>
  </si>
  <si>
    <t>EQUIPO E INSTALACIÓN $2,000.00+IVA=$2,320.00 MENSUALIDAD $250.00+IVA=$290.00</t>
  </si>
  <si>
    <t xml:space="preserve">JUAN CABRIALES              81 2947 2650 </t>
  </si>
  <si>
    <t>EQUIPO E INSTALACIÓN $1,850.00+IVA=$2,146.00 MENSUALIDAD $300.00+IVA=$348.00</t>
  </si>
  <si>
    <t xml:space="preserve">1- DODGE RAM NEGRO RG-1095-A                                                    2- DODGE RAM BLANCO RB-5065-A </t>
  </si>
  <si>
    <t>1- VW ROBUST GRIS PT-8488-A                                                        2- DODGE RAM BLANCO PZ-6927-A                                                  3- DODGE RAM BLANCO 59-AK-6H</t>
  </si>
  <si>
    <t xml:space="preserve"> MACK TL4835G</t>
  </si>
  <si>
    <t>NO PODIA PAGAR, SE LE DESACTIVA CUENTA PERO SEGUIR COBRANDO</t>
  </si>
  <si>
    <t>BAJA OCTUBRE'23</t>
  </si>
  <si>
    <t>LARISSA GARZA</t>
  </si>
  <si>
    <t>JORGE GARZA</t>
  </si>
  <si>
    <t>PAGO EL 20-OCT-23 POR TRANSFERENCIA</t>
  </si>
  <si>
    <t>PAGO EL 21-OCT-23 POR TRANSFERENCIA</t>
  </si>
  <si>
    <t xml:space="preserve">MOTO CONFORMADA </t>
  </si>
  <si>
    <t>CHEVY MONZA DORADO</t>
  </si>
  <si>
    <t>SJY-229-B</t>
  </si>
  <si>
    <t>INTERNATIONAL BLANCO</t>
  </si>
  <si>
    <t>PT-6585-A</t>
  </si>
  <si>
    <t>NOVIEMBRE</t>
  </si>
  <si>
    <t>LARISSA GARZA              81 3470 5010</t>
  </si>
  <si>
    <t>LARISSA ESTEFANIA VILLARREAL GARZA</t>
  </si>
  <si>
    <t>NISSAN KICKS GRIS RUW-814-B</t>
  </si>
  <si>
    <t>EQUIPO $2,100.00                                              MENSUALIDAD $300.00</t>
  </si>
  <si>
    <t>AUTOREDES EL BAJIO</t>
  </si>
  <si>
    <t>FRANCISCO GUTIERREZ                        833 233 5258</t>
  </si>
  <si>
    <t xml:space="preserve">NO TENDRA POR UN TIEMPO LA UNIDAD A SU DISPOSICION </t>
  </si>
  <si>
    <r>
      <t>CINDY YARELI GOMEZ CASILLAS 
(</t>
    </r>
    <r>
      <rPr>
        <b/>
        <sz val="11"/>
        <color theme="1"/>
        <rFont val="Calibri"/>
        <family val="2"/>
        <scheme val="minor"/>
      </rPr>
      <t>DANIEL SAENZ</t>
    </r>
    <r>
      <rPr>
        <sz val="11"/>
        <color theme="1"/>
        <rFont val="Calibri"/>
        <family val="2"/>
        <scheme val="minor"/>
      </rPr>
      <t>)</t>
    </r>
  </si>
  <si>
    <t xml:space="preserve">NO RESPONDIA LLAMADAS NI MENSAJES, SIN RESPUESTA DEL CLIENTE </t>
  </si>
  <si>
    <t>INSTALACIÓN $500.00+IVA = $580.00                   MENSUALIDAD $270.00+IVA= $313.20</t>
  </si>
  <si>
    <t>MARIA HERMINA SALAZAR CARREÑO</t>
  </si>
  <si>
    <t>MA. HERMINA          81 38 80 6529</t>
  </si>
  <si>
    <t>NOVIEMBRE'24</t>
  </si>
  <si>
    <t>REPORTO LA BAJA A JOSE LUIS, SOLO SE LE DIO SERVICIO 1 MES</t>
  </si>
  <si>
    <t>BAJAS CLIENTES</t>
  </si>
  <si>
    <t>EVERARDO NUNCIO CUELLAR (MCJ CHILLER)</t>
  </si>
  <si>
    <t>ANUALIDAD                                                Genaro Elian - 81 1991 9110 ggenaro1999@hotmail.com</t>
  </si>
  <si>
    <t xml:space="preserve">EVERARDO NUNCIO 81 1823 3384 BRENDA OCAÑAS    81 1872 2728 </t>
  </si>
  <si>
    <t>GENARO ELIAN GOMEZ PUENTE (PERFILES Y HERRAJES ELOY CAVAZOS)</t>
  </si>
  <si>
    <t>JOSE TOLEDO</t>
  </si>
  <si>
    <t>POWERTRUCK MONTERREY (ANUALIDAD)</t>
  </si>
  <si>
    <t>JAIR MARTINEZ - GUILLERMO REHLAENDER</t>
  </si>
  <si>
    <t>Guillermo Rehlaender - 81 1516 3077 Jair Martínez - 81 3561 1076</t>
  </si>
  <si>
    <t>GENARO ELIAN GOMEZ PUENTE  (PERFILES Y HERRAJES ELOY CAVAZOS)</t>
  </si>
  <si>
    <t xml:space="preserve">JOSE TOLEDO                81 1015 9453 </t>
  </si>
  <si>
    <t>INSTALACIÓN $499.00+IVA=$578.84                   MENSUALIDAD $269.00+IVA=$312.04</t>
  </si>
  <si>
    <t>EQUIPO E INSTALACIÓN $2,100.00+IVA=$2,436.00 MENSUALIDAD $330.00+IVA=$382.80</t>
  </si>
  <si>
    <t>GENARO GOMEZ       81 1991 9110</t>
  </si>
  <si>
    <t>EQUIPO E INSTALACIÓN $650.00+IVA=$754.00 ANUALIDAD $2,500.00+IVA=$2,900.00</t>
  </si>
  <si>
    <t>1- JAC BLANCO WB-6481-B                                                               2- ISUZU BLANCO 07-AK-2K                                                               3- ISUZU BLANCO PP-2755-B                                                             4- ISUZU BLANCO S/R                                                                      5- ISUZU BLANCO RB-3720-A</t>
  </si>
  <si>
    <t>1- TOYOTA HILUX BLANCO PL-4341-B                                     2- TOYOTA HILUX BLANCO PL-4340-B                                            3- TOYOTA HILUX BLANCO RH-6827-A                                            4- TOYOTA COROLLA PLATA SGU-376-B                                            5- FORD F-150 BLANCO PL-4342-B</t>
  </si>
  <si>
    <t xml:space="preserve">1- TOYOTA VAN BLANCO RC-8156-A                                                2- NISSAN BLANCO PL-5694-B                                                          3- NISSAN BLANCO RE-03-312                                                           4- NISSAN ROJO PL-5693-B                                                                5- NISSAN BLANCO RJ-44-491 </t>
  </si>
  <si>
    <t>JUAN ANTONIO GONZALEZ</t>
  </si>
  <si>
    <t>BE ONE SYSTEMS</t>
  </si>
  <si>
    <t>GRUPO DIESEL HH</t>
  </si>
  <si>
    <t>KIA SORENTO AZUL RRT-938-B</t>
  </si>
  <si>
    <t>VW CRAFTER BLANCO S/R</t>
  </si>
  <si>
    <t>CARNES RIBHAUS</t>
  </si>
  <si>
    <t>DICIEMBRE</t>
  </si>
  <si>
    <t>GUILLERMO REHLAENDER - JAIR MARTINEZ</t>
  </si>
  <si>
    <t xml:space="preserve">SE LE COBRO ANUALIDAD PROPORCIONAL SOLO COBRAR PROPORCIONAL DE LAS SIMS DE OCTUBRE EN ABRIL, ENTREGO A JOSE LUIS EQUIPOS </t>
  </si>
  <si>
    <t>ENERO'24</t>
  </si>
  <si>
    <t>INSTALACION NUEVA</t>
  </si>
  <si>
    <t>MAYRA ALEJANTRA TORRES BRIONES</t>
  </si>
  <si>
    <t>DICIEMBRE'24</t>
  </si>
  <si>
    <r>
      <t xml:space="preserve">ANUALIDAD                                                       Mayra Torres  Briones - 81 8053 9930 </t>
    </r>
    <r>
      <rPr>
        <b/>
        <u/>
        <sz val="10"/>
        <color rgb="FF0070C0"/>
        <rFont val="Calibri"/>
        <family val="2"/>
        <scheme val="minor"/>
      </rPr>
      <t>alejandra.torresb02@gmail.com</t>
    </r>
    <r>
      <rPr>
        <sz val="10"/>
        <color theme="1"/>
        <rFont val="Calibri"/>
        <family val="2"/>
        <scheme val="minor"/>
      </rPr>
      <t xml:space="preserve"> </t>
    </r>
  </si>
  <si>
    <t xml:space="preserve">DANIEL GONZALEZ CARDENAS </t>
  </si>
  <si>
    <t>FORD LOBO BLANCO</t>
  </si>
  <si>
    <t>NO VISIBLE</t>
  </si>
  <si>
    <t xml:space="preserve">COBRANZA DE ANUALIDADES </t>
  </si>
  <si>
    <t>SE MIGRARA UNIDAD A CESAR RODRIGUEZ - ANTES GP MET LOGISTICS</t>
  </si>
  <si>
    <t>COMPAÑÍA MADERERIA CUAUHTEMOC</t>
  </si>
  <si>
    <t>DANIEL CARDENAS 81 2634 0402</t>
  </si>
  <si>
    <t xml:space="preserve">INSTALACIÓN $650.00+IVA=$754.00             MENSUALIDAD $250.00+IVA=$290.00                 ACCESORIO DE MICRÓFONO ESPÍA DE ALTA FIDELIDAD $399.00+IVA=$462.84                  MENSUALIDAD CON CANAL DE VOZ $300.00+IVA=$348.00 </t>
  </si>
  <si>
    <t>ATRASO</t>
  </si>
  <si>
    <t>EQUIPOS VENDIDOS EN PREPAGO</t>
  </si>
  <si>
    <r>
      <rPr>
        <b/>
        <sz val="10"/>
        <color theme="1"/>
        <rFont val="Calibri"/>
        <family val="2"/>
        <scheme val="minor"/>
      </rPr>
      <t xml:space="preserve">AUTOS MG CARLOS MARMOLEJO </t>
    </r>
    <r>
      <rPr>
        <sz val="10"/>
        <color theme="1"/>
        <rFont val="Calibri"/>
        <family val="2"/>
        <scheme val="minor"/>
      </rPr>
      <t xml:space="preserve"> (YADIRA MARMOLEJO)</t>
    </r>
  </si>
  <si>
    <t>COMERCIALIZADORA Y LOGISTICA SIFAL</t>
  </si>
  <si>
    <t>CLS140814MY5</t>
  </si>
  <si>
    <t>R GENERAL DE LEY PERSONAS MORALES</t>
  </si>
  <si>
    <t xml:space="preserve">R DE LAS PERSONAS FISICAS CON ACTIVIDADES EMPRESARIALES Y PROFESIONALES </t>
  </si>
  <si>
    <t xml:space="preserve">AUTOEXPRESS MATA S.A. DE C.V. </t>
  </si>
  <si>
    <t>AMA040520BZ2</t>
  </si>
  <si>
    <t>R DE LOS COORDINADOS</t>
  </si>
  <si>
    <t>ABA171130FVA</t>
  </si>
  <si>
    <t>BOS1005213F6</t>
  </si>
  <si>
    <t>CRI930929S11</t>
  </si>
  <si>
    <t>SEI ARQUITECTOS</t>
  </si>
  <si>
    <t>SAR170809TL7</t>
  </si>
  <si>
    <t xml:space="preserve">ENDER INDUSTRIAL S.A. DE C.V. </t>
  </si>
  <si>
    <t>HACIENDO EQUIPO EN TU PROYECTO S.A. DE C.V.</t>
  </si>
  <si>
    <t>EMO180713MC1</t>
  </si>
  <si>
    <t>R SIMPLIFICADO DE CONFIANZA</t>
  </si>
  <si>
    <t>MCJ CHILLER SERVICE</t>
  </si>
  <si>
    <t>MCS090914227</t>
  </si>
  <si>
    <t xml:space="preserve">FINPAIS S.A. DE C.V. </t>
  </si>
  <si>
    <t>FCO130429629</t>
  </si>
  <si>
    <t xml:space="preserve">ORGANIZACION CASTOR AG S. A. DE C. V. </t>
  </si>
  <si>
    <t xml:space="preserve">TEGMESA S.A. DE C.V. </t>
  </si>
  <si>
    <t>GTE1602233N9</t>
  </si>
  <si>
    <t>GDH160908PU7</t>
  </si>
  <si>
    <t>JOSE MELQUIADES TOLEDO GARCIA DE LEON</t>
  </si>
  <si>
    <t>TOGM8502023Q6</t>
  </si>
  <si>
    <t>CACJ720425LF1</t>
  </si>
  <si>
    <t>R INCORPORACION FISCAL</t>
  </si>
  <si>
    <t>K3 SOLUCIONES A LA INDUSTRIA ALIMENTICIA S.A. DE C.V.</t>
  </si>
  <si>
    <t>KSI100319QJ1</t>
  </si>
  <si>
    <t>HECTOR ALVEAR AGUILAR</t>
  </si>
  <si>
    <t>AEAH940117AV1</t>
  </si>
  <si>
    <t>KME091130LY6</t>
  </si>
  <si>
    <t xml:space="preserve">LAMBI S.A. DE C.V. </t>
  </si>
  <si>
    <t>LAM9109013H1</t>
  </si>
  <si>
    <t>LUIS ALBERTO DAVILA SALAZAR</t>
  </si>
  <si>
    <t>AUTO EXPRESS GERAL 21 S.A. DE C.V.</t>
  </si>
  <si>
    <t>AEG2204067H4</t>
  </si>
  <si>
    <t xml:space="preserve">QUITA KILOS S.A. DE C.V. </t>
  </si>
  <si>
    <t>QKI870305PM3</t>
  </si>
  <si>
    <t xml:space="preserve">DRP TRANSPORTES S. DE R. L. DE C.V. </t>
  </si>
  <si>
    <t>DTR210720A25</t>
  </si>
  <si>
    <t>JUAN FRANCISCO SANCHEZ CONTRERAS</t>
  </si>
  <si>
    <t>SACJ7811022UA</t>
  </si>
  <si>
    <t>R DE SUELDOS Y SALARIOS E INGRESOS ASIMILADOS A SALARIOS</t>
  </si>
  <si>
    <t>PAGOS</t>
  </si>
  <si>
    <t>ABEL GERARDO DE LA GARZA CUEVA</t>
  </si>
  <si>
    <t>GACA7103101G4</t>
  </si>
  <si>
    <t>CONDOMINIO MOLL DEL VALLE</t>
  </si>
  <si>
    <t>PERSONAS MORALES CON FINES NO LUCRATIVOS</t>
  </si>
  <si>
    <t xml:space="preserve">LCG REFRIGERADOS S. A. DE C.V. </t>
  </si>
  <si>
    <t>LRE210209SI8</t>
  </si>
  <si>
    <t xml:space="preserve">REMOLQUES MOVIL S.A. DE C.V. </t>
  </si>
  <si>
    <t xml:space="preserve">APFEL CAPITAL S.A. DE C.V. </t>
  </si>
  <si>
    <t>SERVICIO DE ALMACENAMIENTO Y TRANSPORTE RG II</t>
  </si>
  <si>
    <t>SAT191021HC3</t>
  </si>
  <si>
    <t>COMPA&amp;IA MADERERA CUAUHTEMOC</t>
  </si>
  <si>
    <t>MCU940217MD4</t>
  </si>
  <si>
    <t>JULIO GONZALEZ</t>
  </si>
  <si>
    <t>MASPER EXPRESS</t>
  </si>
  <si>
    <t>REYNA MERCADO (LUIS FRANCO)</t>
  </si>
  <si>
    <t>$1,000.00 SALDO A FAVOR PARA PROXIMA RENOVACION 2024 PAGO 04-ENE-2024 $6,000</t>
  </si>
  <si>
    <t>BDB LOGISTICA</t>
  </si>
  <si>
    <t>BLO221014NK0</t>
  </si>
  <si>
    <t>JULIO GONZALEZ          81 1023 1888</t>
  </si>
  <si>
    <t>EQUIPO $2,000.00                                              MENSUALIDAD $250.00</t>
  </si>
  <si>
    <t>RAYAS SERVICIOS Y DESARROLLOS INTEGRALES</t>
  </si>
  <si>
    <t>RSD160525IH3</t>
  </si>
  <si>
    <t>CARLOS ALBERTO RIVERA</t>
  </si>
  <si>
    <t>EQUIPO E INSTALACIÓN $2,250.00+IVA=$2,610.00 MENSUALIDAD $300.00+IVA=$348.00</t>
  </si>
  <si>
    <t>1- TOYOTA PLATA EWA-589-C                                                  2- TOYOTA HIACE BLANCO EWD-854-C</t>
  </si>
  <si>
    <t>ALFONSO                           81 3643 2962</t>
  </si>
  <si>
    <t>CARLOS RIVERA</t>
  </si>
  <si>
    <t>ENDO LASER MICROQUIRURGICO</t>
  </si>
  <si>
    <t>ELM870514UW3</t>
  </si>
  <si>
    <t>INSTITUTO VIDAURRI DE OJOS (DANIELA MEDELLIN)</t>
  </si>
  <si>
    <t>NISSAN V-DRIVE BLANCO</t>
  </si>
  <si>
    <t>STC-118-A</t>
  </si>
  <si>
    <t>ELIUD CAMARILLO</t>
  </si>
  <si>
    <t>NISSAN VERSA ROJO</t>
  </si>
  <si>
    <t>SJK-365-A</t>
  </si>
  <si>
    <t>SHH-669-A</t>
  </si>
  <si>
    <t>*SERVICIO DE REACTIVACION DE SIM</t>
  </si>
  <si>
    <t>PAGO MISMO DÍA POR TRANSFERENCIA</t>
  </si>
  <si>
    <t>DANIELA MEDELLIN 81 1588 8485</t>
  </si>
  <si>
    <t>EQUIPO E INSTALACIÓN $2,250.00+IVA=$2,610.00 MENSUALIDAD $249.00+IVA=$288.84</t>
  </si>
  <si>
    <t>ERA CUENTA DEMO, CLIENTE NO SE QUEDO CON EL SERVICIO</t>
  </si>
  <si>
    <t>Carlos Rivera - 81 1018 3378</t>
  </si>
  <si>
    <t>FERNANDO RAFAEL GONZALEZ MONTEMAYOR</t>
  </si>
  <si>
    <t>GOMF760220G40</t>
  </si>
  <si>
    <t>GABRIEL HERNALDO CASTELLANOS ARZOLA</t>
  </si>
  <si>
    <t>GABRIEL HERNALDO CASTELLANOZ ARZOLA</t>
  </si>
  <si>
    <t>ALEJANDRO BOCANEGRA             81 8683 3920</t>
  </si>
  <si>
    <t>CARLOS ALBERTO RIVERA GARZA</t>
  </si>
  <si>
    <t>RODRIGO ALANIS</t>
  </si>
  <si>
    <t>RODRIGO ALANIS            81 2861 1509</t>
  </si>
  <si>
    <t>EQUIPO E INSTALACIÓN $1,200.00+IVA=$1,392.00                                           MENSUALIDAD $250.00+IVA=$290.00</t>
  </si>
  <si>
    <t>FEBRERO'25</t>
  </si>
  <si>
    <t>R DE INGRESOS POR DIVIDENDOS</t>
  </si>
  <si>
    <r>
      <t xml:space="preserve">ANUALIDAD                                                              Emily Compras - 81 1418 1761                             Fatima tovar- 813 483 7305
</t>
    </r>
    <r>
      <rPr>
        <b/>
        <u/>
        <sz val="10"/>
        <color theme="4" tint="-0.249977111117893"/>
        <rFont val="Calibri"/>
        <family val="2"/>
        <scheme val="minor"/>
      </rPr>
      <t>compras@oemsupply.mx</t>
    </r>
  </si>
  <si>
    <t>ADRIANA ORANDAY DAVILA</t>
  </si>
  <si>
    <t>OADA880103528</t>
  </si>
  <si>
    <t>R DE LAS ACTIVIDADES EMPESARIALES CON INGRESOS A TRAVES DE PLATAFORMAS TECNOLOGICAS</t>
  </si>
  <si>
    <r>
      <t xml:space="preserve">Jorge Dávila (Compras)
Salvador Galvan (Pagos)  8115-0000 ext. 141
</t>
    </r>
    <r>
      <rPr>
        <b/>
        <u/>
        <sz val="10"/>
        <color rgb="FF0070C0"/>
        <rFont val="Calibri"/>
        <family val="2"/>
        <scheme val="minor"/>
      </rPr>
      <t>pagos@alpinochipinque.org.mx; buzoncfdi@alpinochipinque.org.mx</t>
    </r>
  </si>
  <si>
    <r>
      <t xml:space="preserve">Ismael López - 811 777 8017
</t>
    </r>
    <r>
      <rPr>
        <b/>
        <u/>
        <sz val="10"/>
        <color rgb="FF0070C0"/>
        <rFont val="Calibri"/>
        <family val="2"/>
        <scheme val="minor"/>
      </rPr>
      <t>ilopez@360logistics.com.mx; 
rdelarosa@360logistics.com.mx;  rodolfo@360logistics.com.mx</t>
    </r>
  </si>
  <si>
    <t>JORGE SALAZAR</t>
  </si>
  <si>
    <t>JORGE SALAZAR 81 3136 3815</t>
  </si>
  <si>
    <t>1- CHEVROLET CHEYENNE BLANCO RF-2293-A                              2- CHEVROLET CHEYENNE NEGRO PZ-0252-A</t>
  </si>
  <si>
    <t>1- CHEVROLET CHEYENNE PLATA WP-8869-A                          2- VW VENTO GRIS WYH-229-B                                                3- VW GOL PLATA WYG-228-B                                                  4- MAZDA2 NEGRO XGU-743-B                                                  5- BLANCO WYG- 227-B                                                          6- VW VENTO GRIS WYG-235-B                                                7- GMC SIERRA BLANCO WP-8870-A                                         8- MAZDA 2 NEGRO S/R                                                            9- VW VENTO PLATA WYG-231-B                                        10- KIA RIO GRIS XKP-355-B</t>
  </si>
  <si>
    <t>EQUIPO $2,200.00                                             MENSUALIDAD $300.00                                                   CANAL DE VOZ $50.00</t>
  </si>
  <si>
    <t>JOSE ANGEL MENDEZ ARRIAGA</t>
  </si>
  <si>
    <t>MEAA810130LLA</t>
  </si>
  <si>
    <t>R DE LAS PERSONAS FISICAS CON ACTIVIDADES EMPRESARIALES Y PROFESIONALES</t>
  </si>
  <si>
    <t>COMENTARON POR CORREO QUE NO TENIAN PRESUPUESTO PARA PAGAR</t>
  </si>
  <si>
    <t>JORGE ARMANDO BOBADILLA</t>
  </si>
  <si>
    <t>JORGE ARMANDO BOBADILLA - 8125902356</t>
  </si>
  <si>
    <t>JORGE ARMANDO BOBADILLA 81 2590 2356</t>
  </si>
  <si>
    <t>JEEP ROJO</t>
  </si>
  <si>
    <t>SAW-350-B</t>
  </si>
  <si>
    <t>MISAEL SALAS</t>
  </si>
  <si>
    <t>SEAT IBIZA COUPE</t>
  </si>
  <si>
    <t>SXX-030-B</t>
  </si>
  <si>
    <t>MISAEL SALAS - 81 1989 9106</t>
  </si>
  <si>
    <t>MISAEL SALAS                     81 1989 9106</t>
  </si>
  <si>
    <r>
      <t>ROBERTO ALMAGUER MARTINEZ 
(</t>
    </r>
    <r>
      <rPr>
        <b/>
        <sz val="11"/>
        <color theme="1"/>
        <rFont val="Calibri"/>
        <family val="2"/>
        <scheme val="minor"/>
      </rPr>
      <t>TRANSPORTES AGRA</t>
    </r>
    <r>
      <rPr>
        <sz val="11"/>
        <color theme="1"/>
        <rFont val="Calibri"/>
        <family val="2"/>
        <scheme val="minor"/>
      </rPr>
      <t xml:space="preserve">) </t>
    </r>
  </si>
  <si>
    <t xml:space="preserve">VENDIO LA UNIDAD Y NO REPORTO BAJA </t>
  </si>
  <si>
    <t>CTE. MARIO</t>
  </si>
  <si>
    <t>JESUS ALEJANDRO</t>
  </si>
  <si>
    <t xml:space="preserve">CLIENTE MARIO </t>
  </si>
  <si>
    <t>LUIS ALANIS</t>
  </si>
  <si>
    <t>JESUS ALEJANDRO           82 6126 0557</t>
  </si>
  <si>
    <t>LUIS ALANIS                      81 1229 5814</t>
  </si>
  <si>
    <t>PS-7818-A</t>
  </si>
  <si>
    <t>PAGO EL 29-FEBRERO-2024 POR TRANSFERENCIA</t>
  </si>
  <si>
    <t>DALI MARROQUIN</t>
  </si>
  <si>
    <t>HYUNDAI BLANCO</t>
  </si>
  <si>
    <t>PH-5636-A</t>
  </si>
  <si>
    <t>*RE-INSTALACIÓN</t>
  </si>
  <si>
    <t>VW BLANCO</t>
  </si>
  <si>
    <t>NISSAN BLANCO</t>
  </si>
  <si>
    <t>RD-1870-B</t>
  </si>
  <si>
    <t>RJ-45-930</t>
  </si>
  <si>
    <t>PATRICIO RIVAS</t>
  </si>
  <si>
    <t xml:space="preserve"> </t>
  </si>
  <si>
    <t xml:space="preserve">PATRICIO RIVAS        81 8254 4156 </t>
  </si>
  <si>
    <t>EQUIPO $2,250.00                                        MENSUALIDAD $299.00</t>
  </si>
  <si>
    <t>JOEL MARTINEZ</t>
  </si>
  <si>
    <t>SOLICITA BAJA A JOSE LUIS EL 21-FEB-24</t>
  </si>
  <si>
    <t>JAVIER GONZALEZ TEC. SALTILLO</t>
  </si>
  <si>
    <t>MENSUALIDAD $200.00</t>
  </si>
  <si>
    <t>MARCO ESQUIVEL - APFEL</t>
  </si>
  <si>
    <t>MARCO ESQUIVEL</t>
  </si>
  <si>
    <t>MARZO'25</t>
  </si>
  <si>
    <t>JORGE TREVIÑO</t>
  </si>
  <si>
    <t>PAGO EL 05-MARZO-2024 POR TRANSFERENCIA</t>
  </si>
  <si>
    <t>*SE LE REALIZO FACTURA</t>
  </si>
  <si>
    <t xml:space="preserve">Marco Esquivel - 81 8161 5236 </t>
  </si>
  <si>
    <t>FERNANDO RAFAEL GONZALEZ MONTEMAYOR (SERVICIO DE PLATAFORMA)</t>
  </si>
  <si>
    <t>EDUARDO MENDEZ</t>
  </si>
  <si>
    <t>GERARDO NIETO</t>
  </si>
  <si>
    <t>EDUARDO MENDEZ - 81 2866 4209</t>
  </si>
  <si>
    <t>MARMOL Y GRANITO RIO</t>
  </si>
  <si>
    <t>MGR110804T97</t>
  </si>
  <si>
    <t>SOLICITA BAJA A LILI EL 12-MARZO-2024</t>
  </si>
  <si>
    <t>Jesus Duran - 81 2445 2445</t>
  </si>
  <si>
    <t>PAGO EL 16-MARZO-2024 POR TRANSFERENCIA</t>
  </si>
  <si>
    <t>*SERVICIO DE CAMBIO DE SIM</t>
  </si>
  <si>
    <t>EMPRESA SE DISOLVIO YA NO LABORA</t>
  </si>
  <si>
    <t>SR. EDGAR (CADEREYTA)</t>
  </si>
  <si>
    <t>Sr. Edgar - 82 81 31 14 60</t>
  </si>
  <si>
    <t>EDGAR CADEREYTA</t>
  </si>
  <si>
    <t>1- CHEVROLET SILVERADO NLANCO PS-3742-B                            2- FORD RANGER BLANCO WL-3879-B                                   3- FORD ROJO PK-5329-A</t>
  </si>
  <si>
    <t>CHEVROLET CAMARO AZUL XJS-244-B</t>
  </si>
  <si>
    <t>JEEP SAHARA GRIS RKZ-812-A</t>
  </si>
  <si>
    <t>NISSAN BLANCO PV-1494-B</t>
  </si>
  <si>
    <t>RETROESCAVADORA VERDE 310L</t>
  </si>
  <si>
    <t>DODGE RAM GRIS PJ-9408-A</t>
  </si>
  <si>
    <t>JEEP ROJO SAW-350-B</t>
  </si>
  <si>
    <t>SEAT IBIZA COUPE 2016 GRIS SXX-030-B</t>
  </si>
  <si>
    <t>KW AZUL 53-AW-9Z</t>
  </si>
  <si>
    <t>THERMO BLANCO</t>
  </si>
  <si>
    <t>ESCALADE NEGRO SVL-302-A</t>
  </si>
  <si>
    <t>MAZDA EXC-089-B</t>
  </si>
  <si>
    <t>RETROEXCAVADORA AMARILLO 310SG</t>
  </si>
  <si>
    <t>TRACTO ROJO</t>
  </si>
  <si>
    <t xml:space="preserve">1- JEEP PATRIOT NEGRO                                                           2- CHEVROLET EQUINOX NEGRO                                                       3- VW JETTA NEGRO </t>
  </si>
  <si>
    <t xml:space="preserve">MARCO ESQUIVEL     81 8161 5236 </t>
  </si>
  <si>
    <t>EQUIPO $2,250.00</t>
  </si>
  <si>
    <t>EDUARDO MENDEZ 81 2866 4209</t>
  </si>
  <si>
    <t xml:space="preserve">GERARDO NIETO       81 1184 1231 </t>
  </si>
  <si>
    <t>EQUIPO E INSTALACIÓN $2,250.00+IVA=$2,610.00
MENSUALIDAD CON CANAL DE VOZ $300.00+IVA=$348.00</t>
  </si>
  <si>
    <t>EQUIPO $2,250.00
MENSUALIDAD $250.00</t>
  </si>
  <si>
    <t>PLAN</t>
  </si>
  <si>
    <t>EQUIPO E INSTALACIÓN $1,999.00+IVA=$2,318.84 MIGRACIÓN DE LINEA $450.00+IVA=$522.00 MENSUALIDAD $249.00+IVA=$288.84</t>
  </si>
  <si>
    <t>EQUIPO $3,000.00+IVA=$3,480.00                   MENSUALIDAD $300.00</t>
  </si>
  <si>
    <t>EQUIPO $2,800.00                                             MENSUALIDAD $280.00</t>
  </si>
  <si>
    <t>EQUIPO $2,800.00                                              MENSUALIDAD $280.00</t>
  </si>
  <si>
    <t>EQUIPO $1,724.00
MENSUALIDAD $150.00</t>
  </si>
  <si>
    <t>COMODATO</t>
  </si>
  <si>
    <t>CUENTA DEMO</t>
  </si>
  <si>
    <t>ABRIL'25</t>
  </si>
  <si>
    <t xml:space="preserve">COBRAR 3 ANUALIDADES COMPLETAS Y 1 PROP. POR 2 MESES </t>
  </si>
  <si>
    <r>
      <t xml:space="preserve">COB. OCT'23: 7 ANUALDIAD PROP DE SIM Y VENTA DE EQUIPOS PAGO ANUALIDADES COMPLETAS </t>
    </r>
    <r>
      <rPr>
        <b/>
        <sz val="11"/>
        <color theme="1"/>
        <rFont val="Calibri"/>
        <family val="2"/>
        <scheme val="minor"/>
      </rPr>
      <t>COBRAR 2 PROPORCIONAL 1- 1 SIMS 5 MESES Y 28 DIAS, 2- 6 SIMS 5 MESES Y 26 DIAS CUANDO SE LE VENZA</t>
    </r>
  </si>
  <si>
    <t>JORGE TREVIÑO - 81 1476 2838</t>
  </si>
  <si>
    <t>320EL</t>
  </si>
  <si>
    <t>310SG</t>
  </si>
  <si>
    <t>310SJ</t>
  </si>
  <si>
    <t>TCC-054-B</t>
  </si>
  <si>
    <t>PAGO EL MISMO DÍA EN EFECTIVO</t>
  </si>
  <si>
    <t>SIMS NUEVAS</t>
  </si>
  <si>
    <t>BAJA POR CORREO, SE CANCELA FACTURA, RENOVACION EN FEBRERO</t>
  </si>
  <si>
    <t>CLIENTE REPORTA BAJA A LILIANA, RENOVACION EN MARZO'24</t>
  </si>
  <si>
    <t>RENOVACION EN JULIO</t>
  </si>
  <si>
    <t>RENOVACION EN MAYO</t>
  </si>
  <si>
    <t>SRA. JUANA MARÍA</t>
  </si>
  <si>
    <t>LE ROBARON LA UNIDAD Y LE QUITARON EL GPS</t>
  </si>
  <si>
    <t>ING. ANTONIO MARTINEZ</t>
  </si>
  <si>
    <t>ANTONIO MARTINEZ 81 1537 7636</t>
  </si>
  <si>
    <t>SR. EDGAR                            82 8131 1460</t>
  </si>
  <si>
    <t>MARTINEZ &amp; DE LA ROSA CONSTRUCCIONES</t>
  </si>
  <si>
    <t>MAR120127AY5</t>
  </si>
  <si>
    <r>
      <t xml:space="preserve">Ismael López - 811 777 8017
</t>
    </r>
    <r>
      <rPr>
        <b/>
        <u/>
        <sz val="10"/>
        <color rgb="FF0070C0"/>
        <rFont val="Calibri"/>
        <family val="2"/>
        <scheme val="minor"/>
      </rPr>
      <t>ilopez@360logistics.com.mx; 
rdelarosa@360logistics.com.mx;  rodolfo@360logistics.com.mx 'alfonso.escojido@360logistics.com.mx'; 'gventura@360logistics.com.mx'</t>
    </r>
  </si>
  <si>
    <t>INSTALACIÓN $500.00+IVA=$580.00                MENSUALIDAD $279.00+IVA=$323.64</t>
  </si>
  <si>
    <t>TORO QUIROGA</t>
  </si>
  <si>
    <t>EQUIPO $1,800.00                                                       MENUSALIDAD $250.00</t>
  </si>
  <si>
    <t>JESUS ALEJANDRO LOZANO LOZANO</t>
  </si>
  <si>
    <t>LOLJ840401M66</t>
  </si>
  <si>
    <t>TRANSPORTES TM</t>
  </si>
  <si>
    <t>ventas@autotransportes-jl.com administracion@autotransportes-jl.com</t>
  </si>
  <si>
    <t>MARINE DEL VALLE MENDOZA PEREZ</t>
  </si>
  <si>
    <t>MEPM870806RN8</t>
  </si>
  <si>
    <t>PAGO EL 01-ABRIL-2024 POR TRANSFERENCIA</t>
  </si>
  <si>
    <t>1- STERLING BLANCO PR-9888-B                                            2- FORD F-150 BLANCO PR-9892-B                                                  3- NISSAN NP 300 BLANCO PR-5880-B                                  4- FORD F-350 PU-3621-B                                                                 5- FORD RANGER PR-9890-B                                                               6- NISSAN NP 300 BLANCO RB-3716-B                                              7- DODGE RAM BLANCO PR-5882-B                                                   8- FORD F-150 PV-4446-B                                                                      9- FORD BLANCO PR-5155-B                                                              10- STERLING BLANCO PW-0640-B</t>
  </si>
  <si>
    <t>CHEVROLET BEAT AZUL RVT-039-A</t>
  </si>
  <si>
    <t>FREIGHTLINER BLANCO 78-AZ-3M</t>
  </si>
  <si>
    <t>UNIDAD ESTABA EN TALLER POR TEMAS MECANICOS Y POR TIEMPO INDETERMINADO</t>
  </si>
  <si>
    <t>RENOVACION EN SEPTIEMBRE'23, BAJA EN MISMO AÑO 2023</t>
  </si>
  <si>
    <t>TORO QUIROGA (HECTOR SIFUENTES VALERO)</t>
  </si>
  <si>
    <t>EQUIPO E INSTALACIÓN $3,500.00+IVA=$4,060.00 MENSUALIDAD $300.00+IVA=$348.00                      SENSOR PRIMARIO DE DIESEL $8,500.00+IVA=$9,860.00                                            SENSOR SECUNDARIO DE DIESEL $8,000.00+IVA=$9,280.00</t>
  </si>
  <si>
    <t xml:space="preserve">HECTOR SIFUENTES VALERO                               81 1299 4852 </t>
  </si>
  <si>
    <t>EDUARDO SAENZ (TRANSPORTES ETI)</t>
  </si>
  <si>
    <t>CARNES FINAS SAN HUMBERTO</t>
  </si>
  <si>
    <t>PEUGEOT PARTNER BLANCO PU-1240-B</t>
  </si>
  <si>
    <t>ISRAEL ZURITA                 81 1318 9540</t>
  </si>
  <si>
    <t>JORGE VERDINEZ</t>
  </si>
  <si>
    <t>MERCEDES BLANCO</t>
  </si>
  <si>
    <t>STV-16-05</t>
  </si>
  <si>
    <t>DAVID GARZA</t>
  </si>
  <si>
    <t xml:space="preserve">DAVID GARZA                   81 2326 7875 </t>
  </si>
  <si>
    <t>NISSAN VERSA GUINDO SLC-658-A</t>
  </si>
  <si>
    <t>EQUIPO $1,200.00                                                   MENSUALIDAD $250.00</t>
  </si>
  <si>
    <t>EQUIPO $2,500.00</t>
  </si>
  <si>
    <t>MERCEDES BLANCO STV-16-05</t>
  </si>
  <si>
    <t>OSWALDO SILVA MARTINEZ</t>
  </si>
  <si>
    <t>CHEVROLET 64 ARENA PU-7779-B</t>
  </si>
  <si>
    <t>EQUIPO $2,200.00                                                       MENSUALIDAD $300.00</t>
  </si>
  <si>
    <t>OSWALDO SILVA          81 1765 1627</t>
  </si>
  <si>
    <t>CAGM891105KI1</t>
  </si>
  <si>
    <t>MARIO ALBERTO CABALLERO GARZA</t>
  </si>
  <si>
    <t>PREFOM S.A.DE C.V.</t>
  </si>
  <si>
    <t>PRE200318D43</t>
  </si>
  <si>
    <t>MAYO'25</t>
  </si>
  <si>
    <t>SE FACTURO SEPARADO FAC #2819 Y 2820</t>
  </si>
  <si>
    <t>2819, 2820</t>
  </si>
  <si>
    <t>INVERSIONES QUINEXUS</t>
  </si>
  <si>
    <t>IQU151201166</t>
  </si>
  <si>
    <t>EDGAR CORTEZ</t>
  </si>
  <si>
    <t>Edgar Cortez - 81 8185 6454</t>
  </si>
  <si>
    <t>PREFOM</t>
  </si>
  <si>
    <t>EDGAR CORTEZ                81 8185 6454</t>
  </si>
  <si>
    <t>HUGO DIAZ                    81 1290 4608</t>
  </si>
  <si>
    <t>INSTALACIÓN $650.00+IVA=$754.00                               MENSUALIDAD $220.00+IVA=$255.20</t>
  </si>
  <si>
    <r>
      <t xml:space="preserve">ANUALIDAD                                                             Israel Zurita - 81 1318 9540 </t>
    </r>
    <r>
      <rPr>
        <b/>
        <u/>
        <sz val="10"/>
        <color rgb="FF0070C0"/>
        <rFont val="Calibri"/>
        <family val="2"/>
        <scheme val="minor"/>
      </rPr>
      <t>sanhumberto1506@outlook.com</t>
    </r>
  </si>
  <si>
    <t>EQUIPO $2,250.00                                                  ANUALIDAD $2,988.00                                             MENSUALIDAD $249.00</t>
  </si>
  <si>
    <t xml:space="preserve">CARNES FINAS SAN HUMBERTO </t>
  </si>
  <si>
    <t>GIAN CARLO</t>
  </si>
  <si>
    <t>UNIDAD VENDIDA Y MIGRADA AL SR. TORO QUIROGA (SE QUEDA CON EL SERVICIO)</t>
  </si>
  <si>
    <t>ABELARDO DIAZ</t>
  </si>
  <si>
    <t xml:space="preserve">ABELARDO DIAZ          81 2364 2470 </t>
  </si>
  <si>
    <t>EQUIPO $1,500.00                                                              MENSUALIDAD $250.00</t>
  </si>
  <si>
    <t>BRANDO IVAN MARTINEZ GOVEA</t>
  </si>
  <si>
    <t>MAGB791229LK6</t>
  </si>
  <si>
    <t>JOSUE FERNANDEZ</t>
  </si>
  <si>
    <t>JORGE VERDINEZ - 8117640796</t>
  </si>
  <si>
    <t>CHEVROLET SILVERADO VERDE PX-0887-B</t>
  </si>
  <si>
    <t>1- INTERNATIONAL BLANCO PR-1713-B                                       2- FREIGHTLINER ROJO PW-3632-B FL112                                   3- INTERNATIONAL BLANCO S/R 101                                           4- INTERNATIONAL BLANCO RA-6163-B</t>
  </si>
  <si>
    <t>TOYOTA HILUX GRIS RP-6931-A</t>
  </si>
  <si>
    <t>JOSUE FERNANDEZ 81 1977 0958</t>
  </si>
  <si>
    <t>1- FREIGHTLINER BLANCO 83-BE-4S                                                2- PETERBILT BLANCO 82-BE-4S                                                3- KW NEGRO 81-BE-4S</t>
  </si>
  <si>
    <t>MARIO ALEJANDRO LÓPEZ</t>
  </si>
  <si>
    <t>MARIO LÓPEZ                 81 1556 0951</t>
  </si>
  <si>
    <t>TOYOTA AVANZA PLATA TDN-749-B</t>
  </si>
  <si>
    <t>EQUIPO $2,250.00                                               MENSUALIDAD $250.00</t>
  </si>
  <si>
    <t>PAGO EL 30-MAYO-2024 POR TRANSFERENCIA</t>
  </si>
  <si>
    <t>310E</t>
  </si>
  <si>
    <t>143H</t>
  </si>
  <si>
    <t>SE INSTALO EQUIPO NUEVO, YA QUE EL QUE TENIA NO RESPONDIA COMANDOS</t>
  </si>
  <si>
    <r>
      <t xml:space="preserve"> ANUALIDAD                                                     Judith Pulido - 81 3590 8919 </t>
    </r>
    <r>
      <rPr>
        <b/>
        <u/>
        <sz val="10"/>
        <color rgb="FF0070C0"/>
        <rFont val="Calibri"/>
        <family val="2"/>
        <scheme val="minor"/>
      </rPr>
      <t xml:space="preserve">administración@hemusa.com; Hemusa@hemusa.com; </t>
    </r>
  </si>
  <si>
    <t xml:space="preserve">NO DIO RAZON SOLO PIDIO BAJA </t>
  </si>
  <si>
    <t>SERGIO EDIÑHO ARRIAGA HERNANDEZ</t>
  </si>
  <si>
    <t>EQUIPO E INSTALACIÓN $1,850.00+IVA=$2,146.00                    MENSUALIDAD $250.00+IVA=$290.00</t>
  </si>
  <si>
    <t>EQUIPO E INSTALACIÓN TRACTO $2,250.00+IVA=$2,610.00                                              EQUIPO E INSTALACIÓN PORTÁTIL CON BATERÍA LARGA DURACIÓN $3,600.00+IVA=$4,176.00 MENSUALIDAD $250.00+IVA=$290.00</t>
  </si>
  <si>
    <t>1- PLANA AZUL 8NN-636-A EQUIPO PORTATIL CON BATERIA DE LARGA DURACION                                                          2- INTERNATIONAL BLANCO PW-7277-B</t>
  </si>
  <si>
    <t>PAGO EL MISMO DÍA POR TRANSFERENCIA</t>
  </si>
  <si>
    <t>ERICK ESPARZA</t>
  </si>
  <si>
    <t>EQUIPO $1,850.00                                                                      MENSUALIDAD $250.00</t>
  </si>
  <si>
    <t>310G</t>
  </si>
  <si>
    <t>GUILLERMO VILLARREAL</t>
  </si>
  <si>
    <t xml:space="preserve">GUILLERMO VILLARREAL                        81 8010 7260 </t>
  </si>
  <si>
    <t>CHEVROLET TORTON KODIAC 2008 BLANCO PX-8704-B</t>
  </si>
  <si>
    <r>
      <rPr>
        <sz val="11"/>
        <rFont val="Calibri"/>
        <family val="2"/>
        <scheme val="minor"/>
      </rPr>
      <t xml:space="preserve">Contacto: </t>
    </r>
    <r>
      <rPr>
        <b/>
        <sz val="11"/>
        <rFont val="Calibri"/>
        <family val="2"/>
        <scheme val="minor"/>
      </rPr>
      <t xml:space="preserve">Felix de la Cruz                                            </t>
    </r>
    <r>
      <rPr>
        <sz val="11"/>
        <rFont val="Calibri"/>
        <family val="2"/>
        <scheme val="minor"/>
      </rPr>
      <t xml:space="preserve"> Teléfono</t>
    </r>
    <r>
      <rPr>
        <b/>
        <sz val="11"/>
        <rFont val="Calibri"/>
        <family val="2"/>
        <scheme val="minor"/>
      </rPr>
      <t xml:space="preserve">:  81 1539 0851 </t>
    </r>
  </si>
  <si>
    <r>
      <t xml:space="preserve">Contacto: </t>
    </r>
    <r>
      <rPr>
        <b/>
        <sz val="11"/>
        <rFont val="Calibri"/>
        <family val="2"/>
        <scheme val="minor"/>
      </rPr>
      <t xml:space="preserve">Daniel Pedraza </t>
    </r>
    <r>
      <rPr>
        <sz val="11"/>
        <rFont val="Calibri"/>
        <family val="2"/>
        <scheme val="minor"/>
      </rPr>
      <t xml:space="preserve">                                  Teléfono: </t>
    </r>
    <r>
      <rPr>
        <b/>
        <sz val="11"/>
        <rFont val="Calibri"/>
        <family val="2"/>
        <scheme val="minor"/>
      </rPr>
      <t xml:space="preserve"> 81 2298 3005</t>
    </r>
  </si>
  <si>
    <r>
      <t xml:space="preserve">Contacto: </t>
    </r>
    <r>
      <rPr>
        <b/>
        <sz val="11"/>
        <rFont val="Calibri"/>
        <family val="2"/>
        <scheme val="minor"/>
      </rPr>
      <t xml:space="preserve">Jason Salazar   </t>
    </r>
    <r>
      <rPr>
        <sz val="11"/>
        <rFont val="Calibri"/>
        <family val="2"/>
        <scheme val="minor"/>
      </rPr>
      <t xml:space="preserve">                                            Teléfono: </t>
    </r>
    <r>
      <rPr>
        <b/>
        <sz val="11"/>
        <rFont val="Calibri"/>
        <family val="2"/>
        <scheme val="minor"/>
      </rPr>
      <t>81 2699 0331</t>
    </r>
  </si>
  <si>
    <r>
      <rPr>
        <sz val="11"/>
        <rFont val="Calibri"/>
        <family val="2"/>
        <scheme val="minor"/>
      </rPr>
      <t>Contacto:</t>
    </r>
    <r>
      <rPr>
        <b/>
        <sz val="11"/>
        <rFont val="Calibri"/>
        <family val="2"/>
        <scheme val="minor"/>
      </rPr>
      <t xml:space="preserve"> Pablo Garza                                                             </t>
    </r>
    <r>
      <rPr>
        <sz val="11"/>
        <rFont val="Calibri"/>
        <family val="2"/>
        <scheme val="minor"/>
      </rPr>
      <t xml:space="preserve">    Teléfono:</t>
    </r>
    <r>
      <rPr>
        <b/>
        <sz val="11"/>
        <rFont val="Calibri"/>
        <family val="2"/>
        <scheme val="minor"/>
      </rPr>
      <t xml:space="preserve">  81 8678 4554</t>
    </r>
  </si>
  <si>
    <r>
      <rPr>
        <sz val="11"/>
        <rFont val="Calibri"/>
        <family val="2"/>
        <scheme val="minor"/>
      </rPr>
      <t>Contacto:</t>
    </r>
    <r>
      <rPr>
        <b/>
        <sz val="11"/>
        <rFont val="Calibri"/>
        <family val="2"/>
        <scheme val="minor"/>
      </rPr>
      <t xml:space="preserve"> Ricardo Gonzalez                                        </t>
    </r>
    <r>
      <rPr>
        <sz val="11"/>
        <rFont val="Calibri"/>
        <family val="2"/>
        <scheme val="minor"/>
      </rPr>
      <t>Teléfono:</t>
    </r>
    <r>
      <rPr>
        <b/>
        <sz val="11"/>
        <rFont val="Calibri"/>
        <family val="2"/>
        <scheme val="minor"/>
      </rPr>
      <t xml:space="preserve">  81 8677 1352 </t>
    </r>
  </si>
  <si>
    <r>
      <rPr>
        <sz val="11"/>
        <rFont val="Calibri"/>
        <family val="2"/>
        <scheme val="minor"/>
      </rPr>
      <t xml:space="preserve">Contacto: </t>
    </r>
    <r>
      <rPr>
        <b/>
        <sz val="11"/>
        <rFont val="Calibri"/>
        <family val="2"/>
        <scheme val="minor"/>
      </rPr>
      <t xml:space="preserve">Martha Isamar                                                  </t>
    </r>
    <r>
      <rPr>
        <sz val="11"/>
        <rFont val="Calibri"/>
        <family val="2"/>
        <scheme val="minor"/>
      </rPr>
      <t xml:space="preserve"> Teléfono:</t>
    </r>
    <r>
      <rPr>
        <b/>
        <sz val="11"/>
        <rFont val="Calibri"/>
        <family val="2"/>
        <scheme val="minor"/>
      </rPr>
      <t xml:space="preserve">  81 2621 7930</t>
    </r>
  </si>
  <si>
    <r>
      <t xml:space="preserve">Contacto: </t>
    </r>
    <r>
      <rPr>
        <b/>
        <sz val="11"/>
        <rFont val="Calibri"/>
        <family val="2"/>
        <scheme val="minor"/>
      </rPr>
      <t xml:space="preserve">Pedro Najera                                              </t>
    </r>
    <r>
      <rPr>
        <sz val="11"/>
        <rFont val="Calibri"/>
        <family val="2"/>
        <scheme val="minor"/>
      </rPr>
      <t xml:space="preserve"> Teléfono:  </t>
    </r>
    <r>
      <rPr>
        <b/>
        <sz val="11"/>
        <rFont val="Calibri"/>
        <family val="2"/>
        <scheme val="minor"/>
      </rPr>
      <t xml:space="preserve">81 8120 6608                                                     </t>
    </r>
    <r>
      <rPr>
        <sz val="11"/>
        <rFont val="Calibri"/>
        <family val="2"/>
        <scheme val="minor"/>
      </rPr>
      <t xml:space="preserve">Email: </t>
    </r>
    <r>
      <rPr>
        <b/>
        <u/>
        <sz val="11"/>
        <rFont val="Calibri"/>
        <family val="2"/>
        <scheme val="minor"/>
      </rPr>
      <t>facturas@andamioscelestes.com</t>
    </r>
  </si>
  <si>
    <r>
      <rPr>
        <sz val="11"/>
        <rFont val="Calibri"/>
        <family val="2"/>
        <scheme val="minor"/>
      </rPr>
      <t>Contacto:</t>
    </r>
    <r>
      <rPr>
        <b/>
        <sz val="11"/>
        <rFont val="Calibri"/>
        <family val="2"/>
        <scheme val="minor"/>
      </rPr>
      <t xml:space="preserve"> Adolfo Peña                                                 </t>
    </r>
    <r>
      <rPr>
        <sz val="11"/>
        <rFont val="Calibri"/>
        <family val="2"/>
        <scheme val="minor"/>
      </rPr>
      <t xml:space="preserve">Teléfono:  </t>
    </r>
    <r>
      <rPr>
        <b/>
        <sz val="11"/>
        <rFont val="Calibri"/>
        <family val="2"/>
        <scheme val="minor"/>
      </rPr>
      <t xml:space="preserve">81 1810 4597                                                      </t>
    </r>
    <r>
      <rPr>
        <sz val="11"/>
        <rFont val="Calibri"/>
        <family val="2"/>
        <scheme val="minor"/>
      </rPr>
      <t>Email:</t>
    </r>
    <r>
      <rPr>
        <b/>
        <sz val="11"/>
        <rFont val="Calibri"/>
        <family val="2"/>
        <scheme val="minor"/>
      </rPr>
      <t xml:space="preserve">  </t>
    </r>
    <r>
      <rPr>
        <b/>
        <u/>
        <sz val="11"/>
        <rFont val="Calibri"/>
        <family val="2"/>
        <scheme val="minor"/>
      </rPr>
      <t>adolfobeyer@gmail.com</t>
    </r>
  </si>
  <si>
    <r>
      <rPr>
        <sz val="11"/>
        <rFont val="Calibri"/>
        <family val="2"/>
        <scheme val="minor"/>
      </rPr>
      <t>Contacto:</t>
    </r>
    <r>
      <rPr>
        <b/>
        <sz val="11"/>
        <rFont val="Calibri"/>
        <family val="2"/>
        <scheme val="minor"/>
      </rPr>
      <t xml:space="preserve"> Elias Financiera                                             </t>
    </r>
    <r>
      <rPr>
        <sz val="11"/>
        <rFont val="Calibri"/>
        <family val="2"/>
        <scheme val="minor"/>
      </rPr>
      <t>Teléfono:</t>
    </r>
    <r>
      <rPr>
        <b/>
        <sz val="11"/>
        <rFont val="Calibri"/>
        <family val="2"/>
        <scheme val="minor"/>
      </rPr>
      <t xml:space="preserve">  81 2172 4469                                                   </t>
    </r>
    <r>
      <rPr>
        <sz val="11"/>
        <rFont val="Calibri"/>
        <family val="2"/>
        <scheme val="minor"/>
      </rPr>
      <t>Email:</t>
    </r>
    <r>
      <rPr>
        <b/>
        <sz val="11"/>
        <rFont val="Calibri"/>
        <family val="2"/>
        <scheme val="minor"/>
      </rPr>
      <t xml:space="preserve">  </t>
    </r>
    <r>
      <rPr>
        <b/>
        <u/>
        <sz val="11"/>
        <rFont val="Calibri"/>
        <family val="2"/>
        <scheme val="minor"/>
      </rPr>
      <t xml:space="preserve">eliasmoreno368@gmail.com </t>
    </r>
  </si>
  <si>
    <r>
      <rPr>
        <sz val="11"/>
        <rFont val="Calibri"/>
        <family val="2"/>
        <scheme val="minor"/>
      </rPr>
      <t xml:space="preserve">Email: </t>
    </r>
    <r>
      <rPr>
        <b/>
        <u/>
        <sz val="11"/>
        <rFont val="Calibri"/>
        <family val="2"/>
        <scheme val="minor"/>
      </rPr>
      <t>pablordzmasper@hotmail.com</t>
    </r>
  </si>
  <si>
    <r>
      <rPr>
        <sz val="11"/>
        <rFont val="Calibri"/>
        <family val="2"/>
        <scheme val="minor"/>
      </rPr>
      <t>Contacto:</t>
    </r>
    <r>
      <rPr>
        <b/>
        <sz val="11"/>
        <rFont val="Calibri"/>
        <family val="2"/>
        <scheme val="minor"/>
      </rPr>
      <t xml:space="preserve"> Omar Pabello                                                </t>
    </r>
    <r>
      <rPr>
        <sz val="11"/>
        <rFont val="Calibri"/>
        <family val="2"/>
        <scheme val="minor"/>
      </rPr>
      <t>Teléfono</t>
    </r>
    <r>
      <rPr>
        <b/>
        <sz val="11"/>
        <rFont val="Calibri"/>
        <family val="2"/>
        <scheme val="minor"/>
      </rPr>
      <t xml:space="preserve">:  81 1692 1022 </t>
    </r>
  </si>
  <si>
    <r>
      <rPr>
        <sz val="11"/>
        <rFont val="Calibri"/>
        <family val="2"/>
        <scheme val="minor"/>
      </rPr>
      <t xml:space="preserve">Contacto: </t>
    </r>
    <r>
      <rPr>
        <b/>
        <sz val="11"/>
        <rFont val="Calibri"/>
        <family val="2"/>
        <scheme val="minor"/>
      </rPr>
      <t xml:space="preserve">Alan (Allende)                                             </t>
    </r>
    <r>
      <rPr>
        <sz val="11"/>
        <rFont val="Calibri"/>
        <family val="2"/>
        <scheme val="minor"/>
      </rPr>
      <t xml:space="preserve">Teléfono: </t>
    </r>
    <r>
      <rPr>
        <b/>
        <sz val="11"/>
        <rFont val="Calibri"/>
        <family val="2"/>
        <scheme val="minor"/>
      </rPr>
      <t>826 126 0557</t>
    </r>
  </si>
  <si>
    <r>
      <rPr>
        <sz val="11"/>
        <rFont val="Calibri"/>
        <family val="2"/>
        <scheme val="minor"/>
      </rPr>
      <t>Contacto:</t>
    </r>
    <r>
      <rPr>
        <b/>
        <sz val="11"/>
        <rFont val="Calibri"/>
        <family val="2"/>
        <scheme val="minor"/>
      </rPr>
      <t xml:space="preserve"> Carlos Beltran</t>
    </r>
    <r>
      <rPr>
        <sz val="11"/>
        <rFont val="Calibri"/>
        <family val="2"/>
        <scheme val="minor"/>
      </rPr>
      <t xml:space="preserve">                                              Teléfono:</t>
    </r>
    <r>
      <rPr>
        <b/>
        <sz val="11"/>
        <rFont val="Calibri"/>
        <family val="2"/>
        <scheme val="minor"/>
      </rPr>
      <t xml:space="preserve">  81 2627 9804</t>
    </r>
  </si>
  <si>
    <r>
      <rPr>
        <sz val="11"/>
        <rFont val="Calibri"/>
        <family val="2"/>
        <scheme val="minor"/>
      </rPr>
      <t xml:space="preserve">Contacto: </t>
    </r>
    <r>
      <rPr>
        <b/>
        <sz val="11"/>
        <rFont val="Calibri"/>
        <family val="2"/>
        <scheme val="minor"/>
      </rPr>
      <t xml:space="preserve">Ivan                                                             </t>
    </r>
    <r>
      <rPr>
        <sz val="11"/>
        <rFont val="Calibri"/>
        <family val="2"/>
        <scheme val="minor"/>
      </rPr>
      <t xml:space="preserve"> Teléfono: </t>
    </r>
    <r>
      <rPr>
        <b/>
        <sz val="11"/>
        <rFont val="Calibri"/>
        <family val="2"/>
        <scheme val="minor"/>
      </rPr>
      <t xml:space="preserve">33 12225823                                                                  </t>
    </r>
    <r>
      <rPr>
        <b/>
        <u/>
        <sz val="11"/>
        <rFont val="Calibri"/>
        <family val="2"/>
        <scheme val="minor"/>
      </rPr>
      <t xml:space="preserve"> </t>
    </r>
    <r>
      <rPr>
        <sz val="11"/>
        <rFont val="Calibri"/>
        <family val="2"/>
        <scheme val="minor"/>
      </rPr>
      <t>Email:</t>
    </r>
    <r>
      <rPr>
        <b/>
        <sz val="11"/>
        <rFont val="Calibri"/>
        <family val="2"/>
        <scheme val="minor"/>
      </rPr>
      <t xml:space="preserve"> </t>
    </r>
    <r>
      <rPr>
        <b/>
        <u/>
        <sz val="11"/>
        <rFont val="Calibri"/>
        <family val="2"/>
        <scheme val="minor"/>
      </rPr>
      <t xml:space="preserve"> gaby-1424@hotmail.com</t>
    </r>
  </si>
  <si>
    <r>
      <rPr>
        <sz val="11"/>
        <rFont val="Calibri"/>
        <family val="2"/>
        <scheme val="minor"/>
      </rPr>
      <t>Contacto:</t>
    </r>
    <r>
      <rPr>
        <b/>
        <sz val="11"/>
        <rFont val="Calibri"/>
        <family val="2"/>
        <scheme val="minor"/>
      </rPr>
      <t xml:space="preserve"> Jorge Moreno                                             </t>
    </r>
    <r>
      <rPr>
        <sz val="11"/>
        <rFont val="Calibri"/>
        <family val="2"/>
        <scheme val="minor"/>
      </rPr>
      <t>Teléfono</t>
    </r>
    <r>
      <rPr>
        <b/>
        <sz val="11"/>
        <rFont val="Calibri"/>
        <family val="2"/>
        <scheme val="minor"/>
      </rPr>
      <t>: 813 414 5914</t>
    </r>
    <r>
      <rPr>
        <sz val="11"/>
        <rFont val="Calibri"/>
        <family val="2"/>
        <scheme val="minor"/>
      </rPr>
      <t xml:space="preserve">                                                     Email:</t>
    </r>
    <r>
      <rPr>
        <b/>
        <sz val="11"/>
        <rFont val="Calibri"/>
        <family val="2"/>
        <scheme val="minor"/>
      </rPr>
      <t xml:space="preserve"> </t>
    </r>
    <r>
      <rPr>
        <b/>
        <u/>
        <sz val="11"/>
        <rFont val="Calibri"/>
        <family val="2"/>
        <scheme val="minor"/>
      </rPr>
      <t xml:space="preserve">jorgecarwash458@hotmail.com </t>
    </r>
  </si>
  <si>
    <r>
      <rPr>
        <sz val="11"/>
        <rFont val="Calibri"/>
        <family val="2"/>
        <scheme val="minor"/>
      </rPr>
      <t>Contacto:</t>
    </r>
    <r>
      <rPr>
        <b/>
        <sz val="11"/>
        <rFont val="Calibri"/>
        <family val="2"/>
        <scheme val="minor"/>
      </rPr>
      <t xml:space="preserve"> Jose Díaz                                                           </t>
    </r>
    <r>
      <rPr>
        <sz val="11"/>
        <rFont val="Calibri"/>
        <family val="2"/>
        <scheme val="minor"/>
      </rPr>
      <t xml:space="preserve">Teléfono: </t>
    </r>
    <r>
      <rPr>
        <b/>
        <sz val="11"/>
        <rFont val="Calibri"/>
        <family val="2"/>
        <scheme val="minor"/>
      </rPr>
      <t xml:space="preserve"> 81 3137 4803                                                        </t>
    </r>
    <r>
      <rPr>
        <sz val="11"/>
        <rFont val="Calibri"/>
        <family val="2"/>
        <scheme val="minor"/>
      </rPr>
      <t>Email:</t>
    </r>
    <r>
      <rPr>
        <b/>
        <sz val="11"/>
        <rFont val="Calibri"/>
        <family val="2"/>
        <scheme val="minor"/>
      </rPr>
      <t xml:space="preserve">  </t>
    </r>
    <r>
      <rPr>
        <b/>
        <u/>
        <sz val="11"/>
        <rFont val="Calibri"/>
        <family val="2"/>
        <scheme val="minor"/>
      </rPr>
      <t>josediaztorres00@gmail.com</t>
    </r>
  </si>
  <si>
    <r>
      <t>Contacto:</t>
    </r>
    <r>
      <rPr>
        <b/>
        <sz val="11"/>
        <rFont val="Calibri"/>
        <family val="2"/>
        <scheme val="minor"/>
      </rPr>
      <t xml:space="preserve"> Julio Gonzalez   </t>
    </r>
    <r>
      <rPr>
        <sz val="11"/>
        <rFont val="Calibri"/>
        <family val="2"/>
        <scheme val="minor"/>
      </rPr>
      <t xml:space="preserve">                                          Teléfono:  </t>
    </r>
    <r>
      <rPr>
        <b/>
        <sz val="11"/>
        <rFont val="Calibri"/>
        <family val="2"/>
        <scheme val="minor"/>
      </rPr>
      <t>81 1023 1888</t>
    </r>
  </si>
  <si>
    <r>
      <t xml:space="preserve">Contacto: </t>
    </r>
    <r>
      <rPr>
        <b/>
        <sz val="11"/>
        <rFont val="Calibri"/>
        <family val="2"/>
        <scheme val="minor"/>
      </rPr>
      <t xml:space="preserve">Jesus Duran     </t>
    </r>
    <r>
      <rPr>
        <sz val="11"/>
        <rFont val="Calibri"/>
        <family val="2"/>
        <scheme val="minor"/>
      </rPr>
      <t xml:space="preserve">                                            Teléfono: </t>
    </r>
    <r>
      <rPr>
        <b/>
        <sz val="11"/>
        <rFont val="Calibri"/>
        <family val="2"/>
        <scheme val="minor"/>
      </rPr>
      <t>81 2445 2445</t>
    </r>
  </si>
  <si>
    <r>
      <rPr>
        <sz val="11"/>
        <rFont val="Calibri"/>
        <family val="2"/>
        <scheme val="minor"/>
      </rPr>
      <t xml:space="preserve">Contacto: </t>
    </r>
    <r>
      <rPr>
        <b/>
        <sz val="11"/>
        <rFont val="Calibri"/>
        <family val="2"/>
        <scheme val="minor"/>
      </rPr>
      <t xml:space="preserve">Victor Cepeda                                            </t>
    </r>
    <r>
      <rPr>
        <sz val="11"/>
        <rFont val="Calibri"/>
        <family val="2"/>
        <scheme val="minor"/>
      </rPr>
      <t xml:space="preserve"> Teléfono:   </t>
    </r>
    <r>
      <rPr>
        <b/>
        <sz val="11"/>
        <rFont val="Calibri"/>
        <family val="2"/>
        <scheme val="minor"/>
      </rPr>
      <t>55 6488 2981</t>
    </r>
    <r>
      <rPr>
        <b/>
        <u/>
        <sz val="11"/>
        <rFont val="Calibri"/>
        <family val="2"/>
        <scheme val="minor"/>
      </rPr>
      <t xml:space="preserve">
</t>
    </r>
    <r>
      <rPr>
        <sz val="11"/>
        <rFont val="Calibri"/>
        <family val="2"/>
        <scheme val="minor"/>
      </rPr>
      <t>Email:</t>
    </r>
    <r>
      <rPr>
        <b/>
        <u/>
        <sz val="11"/>
        <rFont val="Calibri"/>
        <family val="2"/>
        <scheme val="minor"/>
      </rPr>
      <t xml:space="preserve"> vcepeda@securityconsulting.com.mx</t>
    </r>
  </si>
  <si>
    <r>
      <t xml:space="preserve">Contacto: </t>
    </r>
    <r>
      <rPr>
        <b/>
        <sz val="11"/>
        <rFont val="Calibri"/>
        <family val="2"/>
        <scheme val="minor"/>
      </rPr>
      <t xml:space="preserve">Juana Maria                                                </t>
    </r>
    <r>
      <rPr>
        <sz val="11"/>
        <rFont val="Calibri"/>
        <family val="2"/>
        <scheme val="minor"/>
      </rPr>
      <t xml:space="preserve"> Teléfono: </t>
    </r>
    <r>
      <rPr>
        <b/>
        <sz val="11"/>
        <rFont val="Calibri"/>
        <family val="2"/>
        <scheme val="minor"/>
      </rPr>
      <t xml:space="preserve">8110091956 </t>
    </r>
    <r>
      <rPr>
        <sz val="11"/>
        <rFont val="Calibri"/>
        <family val="2"/>
        <scheme val="minor"/>
      </rPr>
      <t>Email:</t>
    </r>
    <r>
      <rPr>
        <b/>
        <u/>
        <sz val="11"/>
        <rFont val="Calibri"/>
        <family val="2"/>
        <scheme val="minor"/>
      </rPr>
      <t>rcrdgonzalezcardenas86@gmail.com</t>
    </r>
  </si>
  <si>
    <r>
      <t xml:space="preserve"> Contacto: </t>
    </r>
    <r>
      <rPr>
        <b/>
        <sz val="11"/>
        <rFont val="Calibri"/>
        <family val="2"/>
        <scheme val="minor"/>
      </rPr>
      <t xml:space="preserve">Alejandro Suarez        </t>
    </r>
    <r>
      <rPr>
        <sz val="11"/>
        <rFont val="Calibri"/>
        <family val="2"/>
        <scheme val="minor"/>
      </rPr>
      <t xml:space="preserve">                     Teléfono: </t>
    </r>
    <r>
      <rPr>
        <b/>
        <sz val="11"/>
        <rFont val="Calibri"/>
        <family val="2"/>
        <scheme val="minor"/>
      </rPr>
      <t>81 1047 7494</t>
    </r>
  </si>
  <si>
    <r>
      <t xml:space="preserve">Contacto: </t>
    </r>
    <r>
      <rPr>
        <b/>
        <sz val="11"/>
        <rFont val="Calibri"/>
        <family val="2"/>
        <scheme val="minor"/>
      </rPr>
      <t>Srta. Karina</t>
    </r>
    <r>
      <rPr>
        <sz val="11"/>
        <rFont val="Calibri"/>
        <family val="2"/>
        <scheme val="minor"/>
      </rPr>
      <t xml:space="preserve">                                                  Teléfono: </t>
    </r>
    <r>
      <rPr>
        <b/>
        <sz val="11"/>
        <rFont val="Calibri"/>
        <family val="2"/>
        <scheme val="minor"/>
      </rPr>
      <t>818 682 7299</t>
    </r>
    <r>
      <rPr>
        <sz val="11"/>
        <rFont val="Calibri"/>
        <family val="2"/>
        <scheme val="minor"/>
      </rPr>
      <t xml:space="preserve">
Email: </t>
    </r>
    <r>
      <rPr>
        <b/>
        <u/>
        <sz val="11"/>
        <rFont val="Calibri"/>
        <family val="2"/>
        <scheme val="minor"/>
      </rPr>
      <t>mvzimagen_canina@hotmail.com;
hola@bizzoveterinaria.com</t>
    </r>
  </si>
  <si>
    <r>
      <t xml:space="preserve">Nombre de la Empresa: </t>
    </r>
    <r>
      <rPr>
        <b/>
        <sz val="11"/>
        <rFont val="Calibri"/>
        <family val="2"/>
        <scheme val="minor"/>
      </rPr>
      <t xml:space="preserve">Transportes Refrigerados Cabello S. DE R.L. DE C.V. </t>
    </r>
    <r>
      <rPr>
        <sz val="11"/>
        <rFont val="Calibri"/>
        <family val="2"/>
        <scheme val="minor"/>
      </rPr>
      <t xml:space="preserve"> 
Contacto: </t>
    </r>
    <r>
      <rPr>
        <b/>
        <sz val="11"/>
        <rFont val="Calibri"/>
        <family val="2"/>
        <scheme val="minor"/>
      </rPr>
      <t xml:space="preserve">Flor Garza                                 </t>
    </r>
    <r>
      <rPr>
        <sz val="11"/>
        <rFont val="Calibri"/>
        <family val="2"/>
        <scheme val="minor"/>
      </rPr>
      <t>Teléfono:</t>
    </r>
    <r>
      <rPr>
        <b/>
        <sz val="11"/>
        <rFont val="Calibri"/>
        <family val="2"/>
        <scheme val="minor"/>
      </rPr>
      <t xml:space="preserve">  81 1544 8419                                                         </t>
    </r>
    <r>
      <rPr>
        <sz val="11"/>
        <rFont val="Calibri"/>
        <family val="2"/>
        <scheme val="minor"/>
      </rPr>
      <t>Email:</t>
    </r>
    <r>
      <rPr>
        <b/>
        <sz val="11"/>
        <rFont val="Calibri"/>
        <family val="2"/>
        <scheme val="minor"/>
      </rPr>
      <t xml:space="preserve"> </t>
    </r>
    <r>
      <rPr>
        <b/>
        <u/>
        <sz val="11"/>
        <rFont val="Calibri"/>
        <family val="2"/>
        <scheme val="minor"/>
      </rPr>
      <t>flor@grupocabello.com</t>
    </r>
  </si>
  <si>
    <r>
      <rPr>
        <sz val="11"/>
        <rFont val="Calibri"/>
        <family val="2"/>
        <scheme val="minor"/>
      </rPr>
      <t>Contacto:</t>
    </r>
    <r>
      <rPr>
        <b/>
        <sz val="11"/>
        <rFont val="Calibri"/>
        <family val="2"/>
        <scheme val="minor"/>
      </rPr>
      <t xml:space="preserve"> David Gómez               </t>
    </r>
    <r>
      <rPr>
        <sz val="11"/>
        <rFont val="Calibri"/>
        <family val="2"/>
        <scheme val="minor"/>
      </rPr>
      <t xml:space="preserve">                                Teléfono:</t>
    </r>
    <r>
      <rPr>
        <b/>
        <sz val="11"/>
        <rFont val="Calibri"/>
        <family val="2"/>
        <scheme val="minor"/>
      </rPr>
      <t xml:space="preserve"> 812 939 5443
</t>
    </r>
    <r>
      <rPr>
        <sz val="11"/>
        <rFont val="Calibri"/>
        <family val="2"/>
        <scheme val="minor"/>
      </rPr>
      <t>Email:</t>
    </r>
    <r>
      <rPr>
        <b/>
        <sz val="11"/>
        <rFont val="Calibri"/>
        <family val="2"/>
        <scheme val="minor"/>
      </rPr>
      <t xml:space="preserve"> </t>
    </r>
    <r>
      <rPr>
        <b/>
        <u/>
        <sz val="11"/>
        <rFont val="Calibri"/>
        <family val="2"/>
        <scheme val="minor"/>
      </rPr>
      <t xml:space="preserve">david.tpm.dg@gmail.com </t>
    </r>
  </si>
  <si>
    <r>
      <t xml:space="preserve">Contacto: </t>
    </r>
    <r>
      <rPr>
        <b/>
        <sz val="11"/>
        <rFont val="Calibri"/>
        <family val="2"/>
        <scheme val="minor"/>
      </rPr>
      <t>Sr.</t>
    </r>
    <r>
      <rPr>
        <sz val="11"/>
        <rFont val="Calibri"/>
        <family val="2"/>
        <scheme val="minor"/>
      </rPr>
      <t xml:space="preserve"> </t>
    </r>
    <r>
      <rPr>
        <b/>
        <sz val="11"/>
        <rFont val="Calibri"/>
        <family val="2"/>
        <scheme val="minor"/>
      </rPr>
      <t xml:space="preserve">Israel (Mudanzas) </t>
    </r>
    <r>
      <rPr>
        <sz val="11"/>
        <rFont val="Calibri"/>
        <family val="2"/>
        <scheme val="minor"/>
      </rPr>
      <t xml:space="preserve">                                            Teléfono: </t>
    </r>
    <r>
      <rPr>
        <b/>
        <sz val="11"/>
        <rFont val="Calibri"/>
        <family val="2"/>
        <scheme val="minor"/>
      </rPr>
      <t xml:space="preserve">811 916 0555      </t>
    </r>
    <r>
      <rPr>
        <sz val="11"/>
        <rFont val="Calibri"/>
        <family val="2"/>
        <scheme val="minor"/>
      </rPr>
      <t xml:space="preserve">                                                                   Email: </t>
    </r>
    <r>
      <rPr>
        <b/>
        <u/>
        <sz val="11"/>
        <rFont val="Calibri"/>
        <family val="2"/>
        <scheme val="minor"/>
      </rPr>
      <t>norma6927@gmail.com</t>
    </r>
  </si>
  <si>
    <r>
      <t xml:space="preserve"> Contacto:</t>
    </r>
    <r>
      <rPr>
        <b/>
        <sz val="11"/>
        <rFont val="Calibri"/>
        <family val="2"/>
        <scheme val="minor"/>
      </rPr>
      <t xml:space="preserve"> Ismael Alejandro Escareño Crispin (Express General)                                                                     </t>
    </r>
    <r>
      <rPr>
        <sz val="11"/>
        <rFont val="Calibri"/>
        <family val="2"/>
        <scheme val="minor"/>
      </rPr>
      <t xml:space="preserve">Teléfono: </t>
    </r>
    <r>
      <rPr>
        <b/>
        <sz val="11"/>
        <rFont val="Calibri"/>
        <family val="2"/>
        <scheme val="minor"/>
      </rPr>
      <t xml:space="preserve">813 079 9137                                </t>
    </r>
    <r>
      <rPr>
        <sz val="11"/>
        <rFont val="Calibri"/>
        <family val="2"/>
        <scheme val="minor"/>
      </rPr>
      <t xml:space="preserve">Email: </t>
    </r>
    <r>
      <rPr>
        <b/>
        <u/>
        <sz val="11"/>
        <rFont val="Calibri"/>
        <family val="2"/>
        <scheme val="minor"/>
      </rPr>
      <t>escarenoalejandro03@gmail.com</t>
    </r>
    <r>
      <rPr>
        <b/>
        <sz val="11"/>
        <rFont val="Calibri"/>
        <family val="2"/>
        <scheme val="minor"/>
      </rPr>
      <t xml:space="preserve"> </t>
    </r>
  </si>
  <si>
    <r>
      <t>Contacto:</t>
    </r>
    <r>
      <rPr>
        <b/>
        <sz val="11"/>
        <rFont val="Calibri"/>
        <family val="2"/>
        <scheme val="minor"/>
      </rPr>
      <t xml:space="preserve"> Ricardo Gonzalez                                       </t>
    </r>
    <r>
      <rPr>
        <sz val="11"/>
        <rFont val="Calibri"/>
        <family val="2"/>
        <scheme val="minor"/>
      </rPr>
      <t xml:space="preserve"> Teléfono:</t>
    </r>
    <r>
      <rPr>
        <b/>
        <sz val="11"/>
        <rFont val="Calibri"/>
        <family val="2"/>
        <scheme val="minor"/>
      </rPr>
      <t xml:space="preserve"> 811 763 2345</t>
    </r>
    <r>
      <rPr>
        <sz val="11"/>
        <rFont val="Calibri"/>
        <family val="2"/>
        <scheme val="minor"/>
      </rPr>
      <t xml:space="preserve">
Email:</t>
    </r>
    <r>
      <rPr>
        <b/>
        <u/>
        <sz val="11"/>
        <rFont val="Calibri"/>
        <family val="2"/>
        <scheme val="minor"/>
      </rPr>
      <t xml:space="preserve"> kral2904@gmail.com    </t>
    </r>
    <r>
      <rPr>
        <sz val="11"/>
        <rFont val="Calibri"/>
        <family val="2"/>
        <scheme val="minor"/>
      </rPr>
      <t xml:space="preserve">                    </t>
    </r>
  </si>
  <si>
    <r>
      <t xml:space="preserve">Contacto: </t>
    </r>
    <r>
      <rPr>
        <b/>
        <sz val="11"/>
        <rFont val="Calibri"/>
        <family val="2"/>
        <scheme val="minor"/>
      </rPr>
      <t xml:space="preserve">Gustavo Cavazos                    </t>
    </r>
    <r>
      <rPr>
        <sz val="11"/>
        <rFont val="Calibri"/>
        <family val="2"/>
        <scheme val="minor"/>
      </rPr>
      <t xml:space="preserve">       Teléfono:  </t>
    </r>
    <r>
      <rPr>
        <b/>
        <sz val="11"/>
        <rFont val="Calibri"/>
        <family val="2"/>
        <scheme val="minor"/>
      </rPr>
      <t>813 603 7538</t>
    </r>
    <r>
      <rPr>
        <sz val="11"/>
        <rFont val="Calibri"/>
        <family val="2"/>
        <scheme val="minor"/>
      </rPr>
      <t xml:space="preserve">                                                                       Correo: </t>
    </r>
    <r>
      <rPr>
        <b/>
        <u/>
        <sz val="11"/>
        <rFont val="Calibri"/>
        <family val="2"/>
        <scheme val="minor"/>
      </rPr>
      <t>asesor.cavazos@outlook.com</t>
    </r>
  </si>
  <si>
    <r>
      <t xml:space="preserve">Contacto: </t>
    </r>
    <r>
      <rPr>
        <b/>
        <sz val="11"/>
        <rFont val="Calibri"/>
        <family val="2"/>
        <scheme val="minor"/>
      </rPr>
      <t xml:space="preserve">Oscar Hernández  </t>
    </r>
    <r>
      <rPr>
        <sz val="11"/>
        <rFont val="Calibri"/>
        <family val="2"/>
        <scheme val="minor"/>
      </rPr>
      <t xml:space="preserve">                              Teléfono: </t>
    </r>
    <r>
      <rPr>
        <b/>
        <sz val="11"/>
        <rFont val="Calibri"/>
        <family val="2"/>
        <scheme val="minor"/>
      </rPr>
      <t>811 707 3105</t>
    </r>
    <r>
      <rPr>
        <sz val="11"/>
        <rFont val="Calibri"/>
        <family val="2"/>
        <scheme val="minor"/>
      </rPr>
      <t xml:space="preserve">
Email: </t>
    </r>
    <r>
      <rPr>
        <b/>
        <u/>
        <sz val="11"/>
        <rFont val="Calibri"/>
        <family val="2"/>
        <scheme val="minor"/>
      </rPr>
      <t xml:space="preserve">ohdz2011@gmail.com </t>
    </r>
  </si>
  <si>
    <r>
      <t xml:space="preserve">Contacto: </t>
    </r>
    <r>
      <rPr>
        <b/>
        <sz val="11"/>
        <rFont val="Calibri"/>
        <family val="2"/>
        <scheme val="minor"/>
      </rPr>
      <t xml:space="preserve">Sergio Antonio </t>
    </r>
    <r>
      <rPr>
        <sz val="11"/>
        <rFont val="Calibri"/>
        <family val="2"/>
        <scheme val="minor"/>
      </rPr>
      <t xml:space="preserve">                                 Teléfono:</t>
    </r>
    <r>
      <rPr>
        <b/>
        <sz val="11"/>
        <rFont val="Calibri"/>
        <family val="2"/>
        <scheme val="minor"/>
      </rPr>
      <t xml:space="preserve"> 818 868 8032                                            </t>
    </r>
    <r>
      <rPr>
        <sz val="11"/>
        <rFont val="Calibri"/>
        <family val="2"/>
        <scheme val="minor"/>
      </rPr>
      <t xml:space="preserve"> Email: </t>
    </r>
    <r>
      <rPr>
        <b/>
        <u/>
        <sz val="11"/>
        <rFont val="Calibri"/>
        <family val="2"/>
        <scheme val="minor"/>
      </rPr>
      <t>sergiomorales2808@gmail.com</t>
    </r>
  </si>
  <si>
    <r>
      <t>Teléfono:</t>
    </r>
    <r>
      <rPr>
        <b/>
        <sz val="11"/>
        <rFont val="Calibri"/>
        <family val="2"/>
        <scheme val="minor"/>
      </rPr>
      <t xml:space="preserve"> 813 454 6320</t>
    </r>
    <r>
      <rPr>
        <sz val="11"/>
        <rFont val="Calibri"/>
        <family val="2"/>
        <scheme val="minor"/>
      </rPr>
      <t xml:space="preserve">
Contacto: </t>
    </r>
    <r>
      <rPr>
        <b/>
        <sz val="11"/>
        <rFont val="Calibri"/>
        <family val="2"/>
        <scheme val="minor"/>
      </rPr>
      <t xml:space="preserve">Enrique Ruiz </t>
    </r>
    <r>
      <rPr>
        <sz val="11"/>
        <rFont val="Calibri"/>
        <family val="2"/>
        <scheme val="minor"/>
      </rPr>
      <t xml:space="preserve">
Email: </t>
    </r>
    <r>
      <rPr>
        <b/>
        <u/>
        <sz val="11"/>
        <rFont val="Calibri"/>
        <family val="2"/>
        <scheme val="minor"/>
      </rPr>
      <t xml:space="preserve">enrique.ruizs@hrtransportes.mx; </t>
    </r>
  </si>
  <si>
    <r>
      <t xml:space="preserve">Contacto: </t>
    </r>
    <r>
      <rPr>
        <b/>
        <sz val="11"/>
        <rFont val="Calibri"/>
        <family val="2"/>
        <scheme val="minor"/>
      </rPr>
      <t xml:space="preserve">Alan Rodríguez                                     </t>
    </r>
    <r>
      <rPr>
        <sz val="11"/>
        <rFont val="Calibri"/>
        <family val="2"/>
        <scheme val="minor"/>
      </rPr>
      <t xml:space="preserve">Teléfono: </t>
    </r>
    <r>
      <rPr>
        <b/>
        <sz val="11"/>
        <rFont val="Calibri"/>
        <family val="2"/>
        <scheme val="minor"/>
      </rPr>
      <t>812 213 3300</t>
    </r>
    <r>
      <rPr>
        <sz val="11"/>
        <rFont val="Calibri"/>
        <family val="2"/>
        <scheme val="minor"/>
      </rPr>
      <t xml:space="preserve">
Email: </t>
    </r>
    <r>
      <rPr>
        <b/>
        <u/>
        <sz val="11"/>
        <rFont val="Calibri"/>
        <family val="2"/>
        <scheme val="minor"/>
      </rPr>
      <t xml:space="preserve">alan.rdz@gruposar.mx </t>
    </r>
  </si>
  <si>
    <r>
      <t xml:space="preserve">Nombre de la Empresa: </t>
    </r>
    <r>
      <rPr>
        <b/>
        <sz val="11"/>
        <rFont val="Calibri"/>
        <family val="2"/>
        <scheme val="minor"/>
      </rPr>
      <t xml:space="preserve">Autotransportes GAMI S.A. DE C.V. </t>
    </r>
    <r>
      <rPr>
        <sz val="11"/>
        <rFont val="Calibri"/>
        <family val="2"/>
        <scheme val="minor"/>
      </rPr>
      <t xml:space="preserve">                                                        
Contacto:</t>
    </r>
    <r>
      <rPr>
        <b/>
        <sz val="11"/>
        <rFont val="Calibri"/>
        <family val="2"/>
        <scheme val="minor"/>
      </rPr>
      <t xml:space="preserve"> Lesly    </t>
    </r>
    <r>
      <rPr>
        <sz val="11"/>
        <rFont val="Calibri"/>
        <family val="2"/>
        <scheme val="minor"/>
      </rPr>
      <t xml:space="preserve">                                      Teléfono:  </t>
    </r>
    <r>
      <rPr>
        <b/>
        <sz val="11"/>
        <rFont val="Calibri"/>
        <family val="2"/>
        <scheme val="minor"/>
      </rPr>
      <t>81 2658 5423</t>
    </r>
    <r>
      <rPr>
        <sz val="11"/>
        <rFont val="Calibri"/>
        <family val="2"/>
        <scheme val="minor"/>
      </rPr>
      <t xml:space="preserve">
Email:</t>
    </r>
    <r>
      <rPr>
        <u/>
        <sz val="11"/>
        <rFont val="Calibri"/>
        <family val="2"/>
        <scheme val="minor"/>
      </rPr>
      <t xml:space="preserve"> </t>
    </r>
    <r>
      <rPr>
        <b/>
        <u/>
        <sz val="11"/>
        <rFont val="Calibri"/>
        <family val="2"/>
        <scheme val="minor"/>
      </rPr>
      <t>lesly.facturacion@atgami.mx</t>
    </r>
  </si>
  <si>
    <r>
      <rPr>
        <sz val="11"/>
        <rFont val="Calibri"/>
        <family val="2"/>
        <scheme val="minor"/>
      </rPr>
      <t xml:space="preserve">Contacto: </t>
    </r>
    <r>
      <rPr>
        <b/>
        <sz val="11"/>
        <rFont val="Calibri"/>
        <family val="2"/>
        <scheme val="minor"/>
      </rPr>
      <t xml:space="preserve">Karla Cecilia Sauceda G. </t>
    </r>
    <r>
      <rPr>
        <sz val="11"/>
        <rFont val="Calibri"/>
        <family val="2"/>
        <scheme val="minor"/>
      </rPr>
      <t xml:space="preserve">                                Teléfono: </t>
    </r>
    <r>
      <rPr>
        <b/>
        <sz val="11"/>
        <rFont val="Calibri"/>
        <family val="2"/>
        <scheme val="minor"/>
      </rPr>
      <t>812 758 7209</t>
    </r>
    <r>
      <rPr>
        <u/>
        <sz val="11"/>
        <rFont val="Calibri"/>
        <family val="2"/>
        <scheme val="minor"/>
      </rPr>
      <t xml:space="preserve">
</t>
    </r>
    <r>
      <rPr>
        <sz val="11"/>
        <rFont val="Calibri"/>
        <family val="2"/>
        <scheme val="minor"/>
      </rPr>
      <t xml:space="preserve">Email: </t>
    </r>
    <r>
      <rPr>
        <b/>
        <u/>
        <sz val="11"/>
        <rFont val="Calibri"/>
        <family val="2"/>
        <scheme val="minor"/>
      </rPr>
      <t xml:space="preserve">karlasauceda04@gmail.com </t>
    </r>
  </si>
  <si>
    <r>
      <t>Contacto:</t>
    </r>
    <r>
      <rPr>
        <b/>
        <sz val="11"/>
        <rFont val="Calibri"/>
        <family val="2"/>
        <scheme val="minor"/>
      </rPr>
      <t xml:space="preserve"> Carlos Banda                                               </t>
    </r>
    <r>
      <rPr>
        <sz val="11"/>
        <rFont val="Calibri"/>
        <family val="2"/>
        <scheme val="minor"/>
      </rPr>
      <t xml:space="preserve"> Teléfono:</t>
    </r>
    <r>
      <rPr>
        <b/>
        <sz val="11"/>
        <rFont val="Calibri"/>
        <family val="2"/>
        <scheme val="minor"/>
      </rPr>
      <t xml:space="preserve"> 811 630 3566</t>
    </r>
    <r>
      <rPr>
        <sz val="11"/>
        <rFont val="Calibri"/>
        <family val="2"/>
        <scheme val="minor"/>
      </rPr>
      <t xml:space="preserve">
Email: </t>
    </r>
    <r>
      <rPr>
        <b/>
        <u/>
        <sz val="11"/>
        <rFont val="Calibri"/>
        <family val="2"/>
        <scheme val="minor"/>
      </rPr>
      <t>carlos.banda1984@hotmail.com</t>
    </r>
    <r>
      <rPr>
        <u/>
        <sz val="11"/>
        <rFont val="Calibri"/>
        <family val="2"/>
        <scheme val="minor"/>
      </rPr>
      <t xml:space="preserve"> </t>
    </r>
  </si>
  <si>
    <r>
      <t xml:space="preserve">Nombre de la Empresa: </t>
    </r>
    <r>
      <rPr>
        <b/>
        <sz val="11"/>
        <rFont val="Calibri"/>
        <family val="2"/>
        <scheme val="minor"/>
      </rPr>
      <t xml:space="preserve">Mexusa </t>
    </r>
    <r>
      <rPr>
        <sz val="11"/>
        <rFont val="Calibri"/>
        <family val="2"/>
        <scheme val="minor"/>
      </rPr>
      <t xml:space="preserve">
Contacto:</t>
    </r>
    <r>
      <rPr>
        <b/>
        <sz val="11"/>
        <rFont val="Calibri"/>
        <family val="2"/>
        <scheme val="minor"/>
      </rPr>
      <t xml:space="preserve"> Alfonso Martínez  </t>
    </r>
    <r>
      <rPr>
        <sz val="11"/>
        <rFont val="Calibri"/>
        <family val="2"/>
        <scheme val="minor"/>
      </rPr>
      <t xml:space="preserve">                           Teléfono: </t>
    </r>
    <r>
      <rPr>
        <b/>
        <sz val="11"/>
        <rFont val="Calibri"/>
        <family val="2"/>
        <scheme val="minor"/>
      </rPr>
      <t>488 119 1861</t>
    </r>
    <r>
      <rPr>
        <sz val="11"/>
        <rFont val="Calibri"/>
        <family val="2"/>
        <scheme val="minor"/>
      </rPr>
      <t xml:space="preserve">
Email: </t>
    </r>
    <r>
      <rPr>
        <b/>
        <u/>
        <sz val="11"/>
        <rFont val="Calibri"/>
        <family val="2"/>
        <scheme val="minor"/>
      </rPr>
      <t xml:space="preserve">alfonsomtz78@hotmail.com </t>
    </r>
  </si>
  <si>
    <r>
      <t xml:space="preserve">Contacto: </t>
    </r>
    <r>
      <rPr>
        <b/>
        <sz val="11"/>
        <rFont val="Calibri"/>
        <family val="2"/>
        <scheme val="minor"/>
      </rPr>
      <t xml:space="preserve">Jorge Cedillo  </t>
    </r>
    <r>
      <rPr>
        <sz val="11"/>
        <rFont val="Calibri"/>
        <family val="2"/>
        <scheme val="minor"/>
      </rPr>
      <t xml:space="preserve">                                               Teléfono:  </t>
    </r>
    <r>
      <rPr>
        <b/>
        <sz val="11"/>
        <rFont val="Calibri"/>
        <family val="2"/>
        <scheme val="minor"/>
      </rPr>
      <t xml:space="preserve">8124047444                                                       </t>
    </r>
    <r>
      <rPr>
        <sz val="11"/>
        <rFont val="Calibri"/>
        <family val="2"/>
        <scheme val="minor"/>
      </rPr>
      <t xml:space="preserve"> Email: </t>
    </r>
    <r>
      <rPr>
        <b/>
        <u/>
        <sz val="11"/>
        <rFont val="Calibri"/>
        <family val="2"/>
        <scheme val="minor"/>
      </rPr>
      <t>romeocedillo77@gmail.com</t>
    </r>
  </si>
  <si>
    <t>ESQUEMA</t>
  </si>
  <si>
    <r>
      <rPr>
        <sz val="11"/>
        <rFont val="Calibri"/>
        <family val="2"/>
        <scheme val="minor"/>
      </rPr>
      <t>Contacto:</t>
    </r>
    <r>
      <rPr>
        <b/>
        <sz val="11"/>
        <rFont val="Calibri"/>
        <family val="2"/>
        <scheme val="minor"/>
      </rPr>
      <t xml:space="preserve"> GABRIELA JUAREZ                                       </t>
    </r>
    <r>
      <rPr>
        <sz val="11"/>
        <rFont val="Calibri"/>
        <family val="2"/>
        <scheme val="minor"/>
      </rPr>
      <t>Teléfono:</t>
    </r>
    <r>
      <rPr>
        <b/>
        <sz val="11"/>
        <rFont val="Calibri"/>
        <family val="2"/>
        <scheme val="minor"/>
      </rPr>
      <t xml:space="preserve"> 811 938 2258                                                      </t>
    </r>
    <r>
      <rPr>
        <sz val="11"/>
        <rFont val="Calibri"/>
        <family val="2"/>
        <scheme val="minor"/>
      </rPr>
      <t>Email:</t>
    </r>
    <r>
      <rPr>
        <b/>
        <sz val="11"/>
        <rFont val="Calibri"/>
        <family val="2"/>
        <scheme val="minor"/>
      </rPr>
      <t xml:space="preserve"> </t>
    </r>
    <r>
      <rPr>
        <b/>
        <u/>
        <sz val="11"/>
        <rFont val="Calibri"/>
        <family val="2"/>
        <scheme val="minor"/>
      </rPr>
      <t>ghmty@hotmail.com</t>
    </r>
  </si>
  <si>
    <r>
      <rPr>
        <sz val="11"/>
        <rFont val="Calibri"/>
        <family val="2"/>
        <scheme val="minor"/>
      </rPr>
      <t>Contacto:</t>
    </r>
    <r>
      <rPr>
        <b/>
        <sz val="11"/>
        <rFont val="Calibri"/>
        <family val="2"/>
        <scheme val="minor"/>
      </rPr>
      <t xml:space="preserve"> Jorge Dávila (Compras) Salvador Galvan (Pagos)                              </t>
    </r>
    <r>
      <rPr>
        <sz val="11"/>
        <rFont val="Calibri"/>
        <family val="2"/>
        <scheme val="minor"/>
      </rPr>
      <t xml:space="preserve">Teléfono: </t>
    </r>
    <r>
      <rPr>
        <b/>
        <sz val="11"/>
        <rFont val="Calibri"/>
        <family val="2"/>
        <scheme val="minor"/>
      </rPr>
      <t xml:space="preserve">8115-0000 ext. 141
</t>
    </r>
    <r>
      <rPr>
        <sz val="11"/>
        <rFont val="Calibri"/>
        <family val="2"/>
        <scheme val="minor"/>
      </rPr>
      <t>Email:</t>
    </r>
    <r>
      <rPr>
        <b/>
        <sz val="11"/>
        <rFont val="Calibri"/>
        <family val="2"/>
        <scheme val="minor"/>
      </rPr>
      <t xml:space="preserve"> </t>
    </r>
    <r>
      <rPr>
        <b/>
        <u/>
        <sz val="11"/>
        <rFont val="Calibri"/>
        <family val="2"/>
        <scheme val="minor"/>
      </rPr>
      <t>pagos@alpinochipinque.org.mx; buzoncfdi@alpinochipinque.org.mx</t>
    </r>
  </si>
  <si>
    <r>
      <rPr>
        <sz val="11"/>
        <rFont val="Calibri"/>
        <family val="2"/>
        <scheme val="minor"/>
      </rPr>
      <t>Contacto:</t>
    </r>
    <r>
      <rPr>
        <b/>
        <sz val="11"/>
        <rFont val="Calibri"/>
        <family val="2"/>
        <scheme val="minor"/>
      </rPr>
      <t xml:space="preserve"> Leyra Bautista / Jose Briones </t>
    </r>
    <r>
      <rPr>
        <sz val="11"/>
        <rFont val="Calibri"/>
        <family val="2"/>
        <scheme val="minor"/>
      </rPr>
      <t xml:space="preserve">Teléfono: </t>
    </r>
    <r>
      <rPr>
        <b/>
        <sz val="11"/>
        <rFont val="Calibri"/>
        <family val="2"/>
        <scheme val="minor"/>
      </rPr>
      <t xml:space="preserve">444 153 9488 / 81 8050 5722     </t>
    </r>
    <r>
      <rPr>
        <sz val="11"/>
        <rFont val="Calibri"/>
        <family val="2"/>
        <scheme val="minor"/>
      </rPr>
      <t xml:space="preserve">Email: </t>
    </r>
    <r>
      <rPr>
        <b/>
        <u/>
        <sz val="11"/>
        <rFont val="Calibri"/>
        <family val="2"/>
        <scheme val="minor"/>
      </rPr>
      <t>lbautista@grupomkn.com</t>
    </r>
  </si>
  <si>
    <r>
      <t xml:space="preserve">Contacto: </t>
    </r>
    <r>
      <rPr>
        <b/>
        <sz val="11"/>
        <rFont val="Calibri"/>
        <family val="2"/>
        <scheme val="minor"/>
      </rPr>
      <t xml:space="preserve">Sergio Ramos  </t>
    </r>
    <r>
      <rPr>
        <sz val="11"/>
        <rFont val="Calibri"/>
        <family val="2"/>
        <scheme val="minor"/>
      </rPr>
      <t xml:space="preserve">
 Teléfono: </t>
    </r>
    <r>
      <rPr>
        <b/>
        <sz val="11"/>
        <rFont val="Calibri"/>
        <family val="2"/>
        <scheme val="minor"/>
      </rPr>
      <t xml:space="preserve">(81) 8342-1566 / 1366-0666 / 811 760 2821                                               </t>
    </r>
    <r>
      <rPr>
        <sz val="11"/>
        <rFont val="Calibri"/>
        <family val="2"/>
        <scheme val="minor"/>
      </rPr>
      <t xml:space="preserve">Email: </t>
    </r>
    <r>
      <rPr>
        <b/>
        <u/>
        <sz val="11"/>
        <rFont val="Calibri"/>
        <family val="2"/>
        <scheme val="minor"/>
      </rPr>
      <t xml:space="preserve">facturacion@turboline.com.mx </t>
    </r>
  </si>
  <si>
    <r>
      <t xml:space="preserve">Nombre de la Empresa: </t>
    </r>
    <r>
      <rPr>
        <b/>
        <sz val="11"/>
        <rFont val="Calibri"/>
        <family val="2"/>
        <scheme val="minor"/>
      </rPr>
      <t xml:space="preserve">Comercializadora Garduño Guerrero S.A. DE C.V.                                    </t>
    </r>
    <r>
      <rPr>
        <sz val="11"/>
        <rFont val="Calibri"/>
        <family val="2"/>
        <scheme val="minor"/>
      </rPr>
      <t xml:space="preserve">
Contacto: </t>
    </r>
    <r>
      <rPr>
        <b/>
        <sz val="11"/>
        <rFont val="Calibri"/>
        <family val="2"/>
        <scheme val="minor"/>
      </rPr>
      <t xml:space="preserve">Ana Lorena Garduño    Guerrero / Juan Sergio Rolando Garduño Hidalgo                                                          </t>
    </r>
    <r>
      <rPr>
        <sz val="11"/>
        <rFont val="Calibri"/>
        <family val="2"/>
        <scheme val="minor"/>
      </rPr>
      <t>Teléfono:</t>
    </r>
    <r>
      <rPr>
        <b/>
        <sz val="11"/>
        <rFont val="Calibri"/>
        <family val="2"/>
        <scheme val="minor"/>
      </rPr>
      <t xml:space="preserve"> 813 054 0124 / 818 351 6378 </t>
    </r>
    <r>
      <rPr>
        <sz val="11"/>
        <rFont val="Calibri"/>
        <family val="2"/>
        <scheme val="minor"/>
      </rPr>
      <t xml:space="preserve">
Email: </t>
    </r>
    <r>
      <rPr>
        <b/>
        <u/>
        <sz val="11"/>
        <rFont val="Calibri"/>
        <family val="2"/>
        <scheme val="minor"/>
      </rPr>
      <t xml:space="preserve">comercializadorasegah@yahoo.com.mx; vicos.logistica@gmail.com; comercializadorasegah@hotmail.com  </t>
    </r>
    <r>
      <rPr>
        <b/>
        <sz val="11"/>
        <rFont val="Calibri"/>
        <family val="2"/>
        <scheme val="minor"/>
      </rPr>
      <t xml:space="preserve"> </t>
    </r>
  </si>
  <si>
    <r>
      <t>Contacto:</t>
    </r>
    <r>
      <rPr>
        <b/>
        <sz val="11"/>
        <rFont val="Calibri"/>
        <family val="2"/>
        <scheme val="minor"/>
      </rPr>
      <t xml:space="preserve"> Leonardo Reyes / Lorena Cazarín  </t>
    </r>
    <r>
      <rPr>
        <sz val="11"/>
        <rFont val="Calibri"/>
        <family val="2"/>
        <scheme val="minor"/>
      </rPr>
      <t xml:space="preserve">                                                        Teléfono:</t>
    </r>
    <r>
      <rPr>
        <b/>
        <sz val="11"/>
        <rFont val="Calibri"/>
        <family val="2"/>
        <scheme val="minor"/>
      </rPr>
      <t xml:space="preserve"> 844 160 1409 / 844 160 8134              </t>
    </r>
    <r>
      <rPr>
        <sz val="11"/>
        <rFont val="Calibri"/>
        <family val="2"/>
        <scheme val="minor"/>
      </rPr>
      <t xml:space="preserve">
Email: </t>
    </r>
    <r>
      <rPr>
        <b/>
        <u/>
        <sz val="11"/>
        <rFont val="Calibri"/>
        <family val="2"/>
        <scheme val="minor"/>
      </rPr>
      <t>facturas@gloshipping.mx</t>
    </r>
  </si>
  <si>
    <r>
      <rPr>
        <sz val="11"/>
        <rFont val="Calibri"/>
        <family val="2"/>
        <scheme val="minor"/>
      </rPr>
      <t xml:space="preserve">Contacto: </t>
    </r>
    <r>
      <rPr>
        <b/>
        <sz val="11"/>
        <rFont val="Calibri"/>
        <family val="2"/>
        <scheme val="minor"/>
      </rPr>
      <t xml:space="preserve"> Daniel Sáenz / Jennifer Saenz </t>
    </r>
    <r>
      <rPr>
        <sz val="11"/>
        <rFont val="Calibri"/>
        <family val="2"/>
        <scheme val="minor"/>
      </rPr>
      <t xml:space="preserve">Teléfono: </t>
    </r>
    <r>
      <rPr>
        <b/>
        <sz val="11"/>
        <rFont val="Calibri"/>
        <family val="2"/>
        <scheme val="minor"/>
      </rPr>
      <t xml:space="preserve">812 195 4766 / 811 542 1645
</t>
    </r>
    <r>
      <rPr>
        <sz val="11"/>
        <rFont val="Calibri"/>
        <family val="2"/>
        <scheme val="minor"/>
      </rPr>
      <t>Email:</t>
    </r>
    <r>
      <rPr>
        <b/>
        <sz val="11"/>
        <rFont val="Calibri"/>
        <family val="2"/>
        <scheme val="minor"/>
      </rPr>
      <t xml:space="preserve"> </t>
    </r>
    <r>
      <rPr>
        <b/>
        <u/>
        <sz val="11"/>
        <rFont val="Calibri"/>
        <family val="2"/>
        <scheme val="minor"/>
      </rPr>
      <t>saenz310781@gmail.com</t>
    </r>
  </si>
  <si>
    <r>
      <rPr>
        <sz val="11"/>
        <rFont val="Calibri"/>
        <family val="2"/>
        <scheme val="minor"/>
      </rPr>
      <t>Contacto:</t>
    </r>
    <r>
      <rPr>
        <b/>
        <sz val="11"/>
        <rFont val="Calibri"/>
        <family val="2"/>
        <scheme val="minor"/>
      </rPr>
      <t xml:space="preserve"> Héctor Eduardo Ramos Alonso </t>
    </r>
    <r>
      <rPr>
        <sz val="11"/>
        <rFont val="Calibri"/>
        <family val="2"/>
        <scheme val="minor"/>
      </rPr>
      <t xml:space="preserve">Teléfono: </t>
    </r>
    <r>
      <rPr>
        <b/>
        <sz val="11"/>
        <rFont val="Calibri"/>
        <family val="2"/>
        <scheme val="minor"/>
      </rPr>
      <t xml:space="preserve">828 768 3421
</t>
    </r>
    <r>
      <rPr>
        <sz val="11"/>
        <rFont val="Calibri"/>
        <family val="2"/>
        <scheme val="minor"/>
      </rPr>
      <t>Email</t>
    </r>
    <r>
      <rPr>
        <b/>
        <sz val="11"/>
        <rFont val="Calibri"/>
        <family val="2"/>
        <scheme val="minor"/>
      </rPr>
      <t xml:space="preserve">: </t>
    </r>
    <r>
      <rPr>
        <b/>
        <u/>
        <sz val="11"/>
        <rFont val="Calibri"/>
        <family val="2"/>
        <scheme val="minor"/>
      </rPr>
      <t>hera44868@gmail.com</t>
    </r>
  </si>
  <si>
    <r>
      <t xml:space="preserve">Contacto: </t>
    </r>
    <r>
      <rPr>
        <b/>
        <sz val="11"/>
        <rFont val="Calibri"/>
        <family val="2"/>
        <scheme val="minor"/>
      </rPr>
      <t xml:space="preserve">Joel Martínez Rodriguez </t>
    </r>
    <r>
      <rPr>
        <sz val="11"/>
        <rFont val="Calibri"/>
        <family val="2"/>
        <scheme val="minor"/>
      </rPr>
      <t xml:space="preserve">                    Teléfono:  </t>
    </r>
    <r>
      <rPr>
        <b/>
        <sz val="11"/>
        <rFont val="Calibri"/>
        <family val="2"/>
        <scheme val="minor"/>
      </rPr>
      <t>811 678 9118</t>
    </r>
    <r>
      <rPr>
        <sz val="11"/>
        <rFont val="Calibri"/>
        <family val="2"/>
        <scheme val="minor"/>
      </rPr>
      <t xml:space="preserve"> 
Email: </t>
    </r>
    <r>
      <rPr>
        <b/>
        <u/>
        <sz val="11"/>
        <rFont val="Calibri"/>
        <family val="2"/>
        <scheme val="minor"/>
      </rPr>
      <t>jrdz_@outlook.com</t>
    </r>
  </si>
  <si>
    <r>
      <t xml:space="preserve">Contacto: </t>
    </r>
    <r>
      <rPr>
        <b/>
        <sz val="11"/>
        <rFont val="Calibri"/>
        <family val="2"/>
        <scheme val="minor"/>
      </rPr>
      <t xml:space="preserve">Gian Carlo                                </t>
    </r>
    <r>
      <rPr>
        <sz val="11"/>
        <rFont val="Calibri"/>
        <family val="2"/>
        <scheme val="minor"/>
      </rPr>
      <t xml:space="preserve">Teléfono:  </t>
    </r>
    <r>
      <rPr>
        <b/>
        <sz val="11"/>
        <rFont val="Calibri"/>
        <family val="2"/>
        <scheme val="minor"/>
      </rPr>
      <t>8120408698</t>
    </r>
    <r>
      <rPr>
        <sz val="11"/>
        <rFont val="Calibri"/>
        <family val="2"/>
        <scheme val="minor"/>
      </rPr>
      <t xml:space="preserve">
Email: </t>
    </r>
    <r>
      <rPr>
        <b/>
        <sz val="11"/>
        <rFont val="Calibri"/>
        <family val="2"/>
        <scheme val="minor"/>
      </rPr>
      <t>g</t>
    </r>
    <r>
      <rPr>
        <b/>
        <u/>
        <sz val="11"/>
        <rFont val="Calibri"/>
        <family val="2"/>
        <scheme val="minor"/>
      </rPr>
      <t>iancarlo.qa@outlook.com;</t>
    </r>
    <r>
      <rPr>
        <u/>
        <sz val="11"/>
        <rFont val="Calibri"/>
        <family val="2"/>
        <scheme val="minor"/>
      </rPr>
      <t xml:space="preserve"> </t>
    </r>
  </si>
  <si>
    <r>
      <t xml:space="preserve">Contacto: </t>
    </r>
    <r>
      <rPr>
        <b/>
        <sz val="11"/>
        <rFont val="Calibri"/>
        <family val="2"/>
        <scheme val="minor"/>
      </rPr>
      <t xml:space="preserve">Lucia Salas Cerda    </t>
    </r>
    <r>
      <rPr>
        <sz val="11"/>
        <rFont val="Calibri"/>
        <family val="2"/>
        <scheme val="minor"/>
      </rPr>
      <t xml:space="preserve">               Teléfono:  </t>
    </r>
    <r>
      <rPr>
        <b/>
        <sz val="11"/>
        <rFont val="Calibri"/>
        <family val="2"/>
        <scheme val="minor"/>
      </rPr>
      <t>811 7876 573 / 81 8300 3790</t>
    </r>
    <r>
      <rPr>
        <sz val="11"/>
        <rFont val="Calibri"/>
        <family val="2"/>
        <scheme val="minor"/>
      </rPr>
      <t xml:space="preserve">                                                                      Email: </t>
    </r>
    <r>
      <rPr>
        <b/>
        <u/>
        <sz val="11"/>
        <rFont val="Calibri"/>
        <family val="2"/>
        <scheme val="minor"/>
      </rPr>
      <t xml:space="preserve">lucy@grupoentusiasmo.com </t>
    </r>
  </si>
  <si>
    <r>
      <t xml:space="preserve">Contacto: </t>
    </r>
    <r>
      <rPr>
        <b/>
        <sz val="11"/>
        <rFont val="Calibri"/>
        <family val="2"/>
        <scheme val="minor"/>
      </rPr>
      <t xml:space="preserve">Luis Alanis                                 </t>
    </r>
    <r>
      <rPr>
        <sz val="11"/>
        <rFont val="Calibri"/>
        <family val="2"/>
        <scheme val="minor"/>
      </rPr>
      <t xml:space="preserve">Teléfono: </t>
    </r>
    <r>
      <rPr>
        <b/>
        <sz val="11"/>
        <rFont val="Calibri"/>
        <family val="2"/>
        <scheme val="minor"/>
      </rPr>
      <t xml:space="preserve"> 81 1229 5814</t>
    </r>
    <r>
      <rPr>
        <sz val="11"/>
        <rFont val="Calibri"/>
        <family val="2"/>
        <scheme val="minor"/>
      </rPr>
      <t xml:space="preserve">                              Email:  </t>
    </r>
    <r>
      <rPr>
        <b/>
        <u/>
        <sz val="11"/>
        <rFont val="Calibri"/>
        <family val="2"/>
        <scheme val="minor"/>
      </rPr>
      <t>luisgps001@gmail.com</t>
    </r>
  </si>
  <si>
    <t>DE APFEL</t>
  </si>
  <si>
    <t>DE TTM</t>
  </si>
  <si>
    <t>DE ALENY</t>
  </si>
  <si>
    <t>MIGRADO</t>
  </si>
  <si>
    <t>DE PLAY MOTORS</t>
  </si>
  <si>
    <r>
      <rPr>
        <sz val="10"/>
        <rFont val="Calibri Light"/>
        <family val="2"/>
        <scheme val="major"/>
      </rPr>
      <t xml:space="preserve">Contacto: </t>
    </r>
    <r>
      <rPr>
        <b/>
        <sz val="10"/>
        <rFont val="Calibri Light"/>
        <family val="2"/>
        <scheme val="major"/>
      </rPr>
      <t xml:space="preserve">Nohemi Montemayor </t>
    </r>
    <r>
      <rPr>
        <sz val="10"/>
        <rFont val="Calibri Light"/>
        <family val="2"/>
        <scheme val="major"/>
      </rPr>
      <t xml:space="preserve">Teléfono: </t>
    </r>
    <r>
      <rPr>
        <b/>
        <sz val="10"/>
        <rFont val="Calibri Light"/>
        <family val="2"/>
        <scheme val="major"/>
      </rPr>
      <t xml:space="preserve">81 1495 0269 </t>
    </r>
    <r>
      <rPr>
        <sz val="10"/>
        <rFont val="Calibri Light"/>
        <family val="2"/>
        <scheme val="major"/>
      </rPr>
      <t>Email:</t>
    </r>
    <r>
      <rPr>
        <b/>
        <u/>
        <sz val="10"/>
        <color rgb="FF0070C0"/>
        <rFont val="Calibri Light"/>
        <family val="2"/>
        <scheme val="major"/>
      </rPr>
      <t>daniela.ochoa@seiarquitectos.com claudia.martinez@seiarquitectos.com:</t>
    </r>
  </si>
  <si>
    <r>
      <t xml:space="preserve">Aaron Martínez - 81 1413 7946 </t>
    </r>
    <r>
      <rPr>
        <b/>
        <u/>
        <sz val="10"/>
        <color rgb="FF0070C0"/>
        <rFont val="Calibri Light"/>
        <family val="2"/>
        <scheme val="major"/>
      </rPr>
      <t>logistica.transportestaca@gmail.com</t>
    </r>
  </si>
  <si>
    <r>
      <t xml:space="preserve">Carlos Sandoval - 818 074 1936
Arturo García - 812 150 6618
</t>
    </r>
    <r>
      <rPr>
        <b/>
        <u/>
        <sz val="10"/>
        <color theme="4" tint="-0.249977111117893"/>
        <rFont val="Calibri Light"/>
        <family val="2"/>
        <scheme val="major"/>
      </rPr>
      <t xml:space="preserve">admonpm@hotmail.com; carsan990@hotamil.com;
arturo_10_mty@hotmail.com; </t>
    </r>
  </si>
  <si>
    <r>
      <t xml:space="preserve">Pedro Rendón - 811 175 0500
</t>
    </r>
    <r>
      <rPr>
        <b/>
        <u/>
        <sz val="10"/>
        <color theme="4" tint="-0.249977111117893"/>
        <rFont val="Calibri Light"/>
        <family val="2"/>
        <scheme val="major"/>
      </rPr>
      <t xml:space="preserve">contacto@delnortelogistic.com; </t>
    </r>
  </si>
  <si>
    <r>
      <t xml:space="preserve">Eduardo Saenz - 81 1798 7942 </t>
    </r>
    <r>
      <rPr>
        <b/>
        <u/>
        <sz val="10"/>
        <color rgb="FF0070C0"/>
        <rFont val="Calibri Light"/>
        <family val="2"/>
        <scheme val="major"/>
      </rPr>
      <t>transporteseti@yahoo.com.mx</t>
    </r>
  </si>
  <si>
    <r>
      <t xml:space="preserve">Gabriela Torres - 81 1281 1923 </t>
    </r>
    <r>
      <rPr>
        <b/>
        <u/>
        <sz val="10"/>
        <color theme="4" tint="-0.249977111117893"/>
        <rFont val="Calibri Light"/>
        <family val="2"/>
        <scheme val="major"/>
      </rPr>
      <t xml:space="preserve">gabyzh18@icloud.com </t>
    </r>
  </si>
  <si>
    <r>
      <t xml:space="preserve">Jesús A. Gtz Nolan - 813 057 8220
                               811 240 3428
                               722 119 0765
</t>
    </r>
    <r>
      <rPr>
        <b/>
        <u/>
        <sz val="10"/>
        <color theme="4" tint="-0.249977111117893"/>
        <rFont val="Calibri Light"/>
        <family val="2"/>
        <scheme val="major"/>
      </rPr>
      <t xml:space="preserve">jesus_nolan20@hotmail.com </t>
    </r>
  </si>
  <si>
    <r>
      <t xml:space="preserve">Jorge Salazar - 81 3136 3815 </t>
    </r>
    <r>
      <rPr>
        <b/>
        <u/>
        <sz val="10"/>
        <color rgb="FF0070C0"/>
        <rFont val="Calibri Light"/>
        <family val="2"/>
        <scheme val="major"/>
      </rPr>
      <t>jorgesalazar1772@gmail.com</t>
    </r>
  </si>
  <si>
    <r>
      <t xml:space="preserve">Juan Carlos Covarrubias Salas -           871 225 3884  (Mónica Becerra) 
</t>
    </r>
    <r>
      <rPr>
        <b/>
        <u/>
        <sz val="10"/>
        <color theme="4" tint="-0.249977111117893"/>
        <rFont val="Calibri Light"/>
        <family val="2"/>
        <scheme val="major"/>
      </rPr>
      <t xml:space="preserve">covarrubiasjuank@gmail.com
covasurf@hotmail.com </t>
    </r>
  </si>
  <si>
    <r>
      <t xml:space="preserve">Juan Guajardo Martínez - 346 837 0002  </t>
    </r>
    <r>
      <rPr>
        <b/>
        <u/>
        <sz val="10"/>
        <color theme="4" tint="-0.249977111117893"/>
        <rFont val="Calibri Light"/>
        <family val="2"/>
        <scheme val="major"/>
      </rPr>
      <t>Juan50guajardomtz@gmail.com</t>
    </r>
  </si>
  <si>
    <r>
      <t xml:space="preserve">Larissa Estefania Villarreal Garza -                           81 3470 5010                  </t>
    </r>
    <r>
      <rPr>
        <b/>
        <u/>
        <sz val="10"/>
        <color theme="4" tint="-0.249977111117893"/>
        <rFont val="Calibri Light"/>
        <family val="2"/>
        <scheme val="major"/>
      </rPr>
      <t>lari.villarreal123@hotmail.com</t>
    </r>
  </si>
  <si>
    <r>
      <t xml:space="preserve">Leonel Alemán Marroquín - 828 105 2178
</t>
    </r>
    <r>
      <rPr>
        <b/>
        <u/>
        <sz val="10"/>
        <color theme="4" tint="-0.249977111117893"/>
        <rFont val="Calibri Light"/>
        <family val="2"/>
        <scheme val="major"/>
      </rPr>
      <t xml:space="preserve">leon.aleman@hotmail.com </t>
    </r>
  </si>
  <si>
    <r>
      <t>Monica Becerra - 811 358 5339</t>
    </r>
    <r>
      <rPr>
        <sz val="10"/>
        <color rgb="FFFF0000"/>
        <rFont val="Calibri Light"/>
        <family val="2"/>
        <scheme val="major"/>
      </rPr>
      <t xml:space="preserve">
</t>
    </r>
    <r>
      <rPr>
        <b/>
        <u/>
        <sz val="10"/>
        <color theme="4" tint="-0.249977111117893"/>
        <rFont val="Calibri Light"/>
        <family val="2"/>
        <scheme val="major"/>
      </rPr>
      <t xml:space="preserve">mony_gpe25@hotmail.com </t>
    </r>
  </si>
  <si>
    <r>
      <t xml:space="preserve">Oswaldo Silva - 81 1765 1627 </t>
    </r>
    <r>
      <rPr>
        <b/>
        <u/>
        <sz val="10"/>
        <color rgb="FF0070C0"/>
        <rFont val="Calibri Light"/>
        <family val="2"/>
        <scheme val="major"/>
      </rPr>
      <t>waldosmtz@hotmail.com</t>
    </r>
  </si>
  <si>
    <r>
      <t xml:space="preserve">Patricio Rivas - 81 8254 4156 </t>
    </r>
    <r>
      <rPr>
        <b/>
        <sz val="10"/>
        <color rgb="FF0070C0"/>
        <rFont val="Calibri Light"/>
        <family val="2"/>
        <scheme val="major"/>
      </rPr>
      <t>patricio@rivas.com</t>
    </r>
  </si>
  <si>
    <r>
      <t xml:space="preserve">Raymundo Jimenez  - 818 161 4611
</t>
    </r>
    <r>
      <rPr>
        <b/>
        <u/>
        <sz val="10"/>
        <color theme="4" tint="-0.249977111117893"/>
        <rFont val="Calibri Light"/>
        <family val="2"/>
        <scheme val="major"/>
      </rPr>
      <t>tractomundomty@gmail.com</t>
    </r>
    <r>
      <rPr>
        <b/>
        <u/>
        <sz val="10"/>
        <color rgb="FF0070C0"/>
        <rFont val="Calibri Light"/>
        <family val="2"/>
        <scheme val="major"/>
      </rPr>
      <t xml:space="preserve"> </t>
    </r>
  </si>
  <si>
    <r>
      <t xml:space="preserve">Hector Sifuentes Valero - 81 1299 4852 </t>
    </r>
    <r>
      <rPr>
        <b/>
        <u/>
        <sz val="10"/>
        <color rgb="FF0070C0"/>
        <rFont val="Calibri Light"/>
        <family val="2"/>
        <scheme val="major"/>
      </rPr>
      <t>hectoriram2011@gmail.com</t>
    </r>
  </si>
  <si>
    <r>
      <t xml:space="preserve">Geovani - 444 850 6697
Srta. Carolina Arellano - 444 256 1035
</t>
    </r>
    <r>
      <rPr>
        <b/>
        <u/>
        <sz val="10"/>
        <color theme="4" tint="-0.249977111117893"/>
        <rFont val="Calibri Light"/>
        <family val="2"/>
        <scheme val="major"/>
      </rPr>
      <t>cuentasporpagar@grupocarrera.com</t>
    </r>
  </si>
  <si>
    <r>
      <t xml:space="preserve">Victor Palos Garcia - 81 2321 1341 </t>
    </r>
    <r>
      <rPr>
        <b/>
        <u/>
        <sz val="10"/>
        <color theme="4" tint="-0.249977111117893"/>
        <rFont val="Calibri Light"/>
        <family val="2"/>
        <scheme val="major"/>
      </rPr>
      <t>vtr23@hotmail.com</t>
    </r>
  </si>
  <si>
    <r>
      <t xml:space="preserve">Alejandra - 812 567 9540
Diana - 812 026 1912
Gabriela - 812 415 0728
</t>
    </r>
    <r>
      <rPr>
        <b/>
        <u/>
        <sz val="10"/>
        <color rgb="FF0070C0"/>
        <rFont val="Calibri Light"/>
        <family val="2"/>
        <scheme val="major"/>
      </rPr>
      <t xml:space="preserve">WHATSAPP </t>
    </r>
  </si>
  <si>
    <r>
      <t xml:space="preserve">Yadira Marmolejo - 813 239 9723
</t>
    </r>
    <r>
      <rPr>
        <b/>
        <u/>
        <sz val="10"/>
        <color theme="4" tint="-0.249977111117893"/>
        <rFont val="Calibri Light"/>
        <family val="2"/>
        <scheme val="major"/>
      </rPr>
      <t xml:space="preserve">mgautos.satelite@hotmail.com </t>
    </r>
  </si>
  <si>
    <r>
      <t xml:space="preserve">Edgar Coronado - 812 860 9998
</t>
    </r>
    <r>
      <rPr>
        <b/>
        <u/>
        <sz val="10"/>
        <color theme="4" tint="-0.249977111117893"/>
        <rFont val="Calibri Light"/>
        <family val="2"/>
        <scheme val="major"/>
      </rPr>
      <t xml:space="preserve">edgar.start52@gmail.com </t>
    </r>
  </si>
  <si>
    <r>
      <t xml:space="preserve">Eugenio - 818 120 9816
</t>
    </r>
    <r>
      <rPr>
        <b/>
        <u/>
        <sz val="10"/>
        <color theme="4" tint="-0.249977111117893"/>
        <rFont val="Calibri Light"/>
        <family val="2"/>
        <scheme val="major"/>
      </rPr>
      <t xml:space="preserve">eugenio.296@hotmail.com; </t>
    </r>
  </si>
  <si>
    <r>
      <rPr>
        <sz val="10"/>
        <rFont val="Calibri Light"/>
        <family val="2"/>
        <scheme val="major"/>
      </rPr>
      <t xml:space="preserve">Israel - 8136216389                                                    Luis Lopez - 8182878631
Daniel - 8180780410 
</t>
    </r>
    <r>
      <rPr>
        <b/>
        <sz val="10"/>
        <color theme="4" tint="-0.249977111117893"/>
        <rFont val="Calibri Light"/>
        <family val="2"/>
        <scheme val="major"/>
      </rPr>
      <t>llopez@ttmonterrey.mx;
Thebenjass7@gmail.com;
facturacion@ttmonterrey.mx;</t>
    </r>
  </si>
  <si>
    <r>
      <t xml:space="preserve">Jesús Dávalos - 811 270 1560
</t>
    </r>
    <r>
      <rPr>
        <b/>
        <u/>
        <sz val="10"/>
        <color theme="4" tint="-0.249977111117893"/>
        <rFont val="Calibri Light"/>
        <family val="2"/>
        <scheme val="major"/>
      </rPr>
      <t xml:space="preserve">jj.davalos@hotmail.com </t>
    </r>
  </si>
  <si>
    <r>
      <t xml:space="preserve">Edgar Guajardo - 8110620931
Arturo Asael - 8119386704 COMODATO 
</t>
    </r>
    <r>
      <rPr>
        <b/>
        <u/>
        <sz val="10"/>
        <color theme="4" tint="-0.249977111117893"/>
        <rFont val="Calibri Light"/>
        <family val="2"/>
        <scheme val="major"/>
      </rPr>
      <t xml:space="preserve">Edgar_holanda@hotmail.com; 
edgar.guajardo@tumoveo.mx; </t>
    </r>
  </si>
  <si>
    <r>
      <t xml:space="preserve">Oscar Orozco - 5548901679
WhatsApp - 6181113583 
</t>
    </r>
    <r>
      <rPr>
        <b/>
        <u/>
        <sz val="10"/>
        <color theme="4" tint="-0.249977111117893"/>
        <rFont val="Calibri Light"/>
        <family val="2"/>
        <scheme val="major"/>
      </rPr>
      <t>oscaring.2391@gmail.com;</t>
    </r>
  </si>
  <si>
    <r>
      <t xml:space="preserve">José Alberto Chapa Canales - 8116603940
Tania Torres - 8186860821
</t>
    </r>
    <r>
      <rPr>
        <b/>
        <u/>
        <sz val="10"/>
        <color theme="4" tint="-0.249977111117893"/>
        <rFont val="Calibri Light"/>
        <family val="2"/>
        <scheme val="major"/>
      </rPr>
      <t>josealberto_chapa@outlook.com;
admon.chapasferretera@hotmail.com;</t>
    </r>
  </si>
  <si>
    <r>
      <t xml:space="preserve">Rodrigo Soto - 812 690 0903
</t>
    </r>
    <r>
      <rPr>
        <b/>
        <u/>
        <sz val="10"/>
        <color theme="4" tint="-0.249977111117893"/>
        <rFont val="Calibri Light"/>
        <family val="2"/>
        <scheme val="major"/>
      </rPr>
      <t xml:space="preserve">rodrigosf92@gmail.com </t>
    </r>
  </si>
  <si>
    <r>
      <rPr>
        <b/>
        <sz val="10"/>
        <color theme="1"/>
        <rFont val="Calibri Light"/>
        <family val="2"/>
        <scheme val="major"/>
      </rPr>
      <t>Arturo Sifuentes - 811 521 3582
Silvia Neri Salazar - 811 044 7961</t>
    </r>
    <r>
      <rPr>
        <sz val="10"/>
        <color theme="1"/>
        <rFont val="Calibri Light"/>
        <family val="2"/>
        <scheme val="major"/>
      </rPr>
      <t xml:space="preserve">
Email: </t>
    </r>
    <r>
      <rPr>
        <b/>
        <u/>
        <sz val="10"/>
        <color theme="4" tint="-0.249977111117893"/>
        <rFont val="Calibri Light"/>
        <family val="2"/>
        <scheme val="major"/>
      </rPr>
      <t>silvia-neri@hotmail.com;</t>
    </r>
    <r>
      <rPr>
        <sz val="10"/>
        <color theme="4" tint="-0.249977111117893"/>
        <rFont val="Calibri Light"/>
        <family val="2"/>
        <scheme val="major"/>
      </rPr>
      <t xml:space="preserve">
</t>
    </r>
    <r>
      <rPr>
        <b/>
        <u/>
        <sz val="10"/>
        <color theme="4" tint="-0.249977111117893"/>
        <rFont val="Calibri Light"/>
        <family val="2"/>
        <scheme val="major"/>
      </rPr>
      <t>ventas@acertrans.com.mx; logisticasifal@hotmail.com;</t>
    </r>
  </si>
  <si>
    <r>
      <t xml:space="preserve">COMODATO                                                   </t>
    </r>
    <r>
      <rPr>
        <b/>
        <sz val="10"/>
        <color theme="1"/>
        <rFont val="Calibri Light"/>
        <family val="2"/>
        <scheme val="major"/>
      </rPr>
      <t>Adrian Rivera</t>
    </r>
    <r>
      <rPr>
        <sz val="10"/>
        <color theme="1"/>
        <rFont val="Calibri Light"/>
        <family val="2"/>
        <scheme val="major"/>
      </rPr>
      <t xml:space="preserve"> - </t>
    </r>
    <r>
      <rPr>
        <b/>
        <sz val="10"/>
        <color theme="1"/>
        <rFont val="Calibri Light"/>
        <family val="2"/>
        <scheme val="major"/>
      </rPr>
      <t>81 2860 1814</t>
    </r>
    <r>
      <rPr>
        <sz val="10"/>
        <color theme="1"/>
        <rFont val="Calibri Light"/>
        <family val="2"/>
        <scheme val="major"/>
      </rPr>
      <t xml:space="preserve">                                                        Email:</t>
    </r>
    <r>
      <rPr>
        <b/>
        <u/>
        <sz val="10"/>
        <color rgb="FF0070C0"/>
        <rFont val="Calibri Light"/>
        <family val="2"/>
        <scheme val="major"/>
      </rPr>
      <t>adrian.rmoxica75@gmail.com</t>
    </r>
  </si>
  <si>
    <r>
      <t xml:space="preserve">COMODATO                                                  </t>
    </r>
    <r>
      <rPr>
        <b/>
        <sz val="10"/>
        <color theme="1"/>
        <rFont val="Calibri Light"/>
        <family val="2"/>
        <scheme val="major"/>
      </rPr>
      <t xml:space="preserve">Edgar Garza - 81 1029 1017     </t>
    </r>
    <r>
      <rPr>
        <sz val="10"/>
        <color theme="1"/>
        <rFont val="Calibri Light"/>
        <family val="2"/>
        <scheme val="major"/>
      </rPr>
      <t xml:space="preserve">                   </t>
    </r>
  </si>
  <si>
    <r>
      <rPr>
        <b/>
        <sz val="10"/>
        <color theme="1"/>
        <rFont val="Calibri Light"/>
        <family val="2"/>
        <scheme val="major"/>
      </rPr>
      <t>Lydia Colunga - 81 1176 3598                                                       Edgar Valentin (Pagos) - 81 1970 7000</t>
    </r>
    <r>
      <rPr>
        <sz val="10"/>
        <color theme="1"/>
        <rFont val="Calibri Light"/>
        <family val="2"/>
        <scheme val="major"/>
      </rPr>
      <t xml:space="preserve"> Email:</t>
    </r>
    <r>
      <rPr>
        <b/>
        <u/>
        <sz val="10"/>
        <color rgb="FF0070C0"/>
        <rFont val="Calibri Light"/>
        <family val="2"/>
        <scheme val="major"/>
      </rPr>
      <t>edgar.valentin@beone.mx                  lydia@beone.mx</t>
    </r>
  </si>
  <si>
    <r>
      <t xml:space="preserve">COMODATO                                                  </t>
    </r>
    <r>
      <rPr>
        <b/>
        <sz val="10"/>
        <color theme="1"/>
        <rFont val="Calibri Light"/>
        <family val="2"/>
        <scheme val="major"/>
      </rPr>
      <t>Kelly Mayorga - 8112779070
Elizabeth Campos - 8116635976 
8181919205 Ext. 107</t>
    </r>
    <r>
      <rPr>
        <sz val="10"/>
        <color theme="1"/>
        <rFont val="Calibri Light"/>
        <family val="2"/>
        <scheme val="major"/>
      </rPr>
      <t xml:space="preserve"> Email:</t>
    </r>
    <r>
      <rPr>
        <b/>
        <u/>
        <sz val="10"/>
        <color theme="4" tint="-0.249977111117893"/>
        <rFont val="Calibri Light"/>
        <family val="2"/>
        <scheme val="major"/>
      </rPr>
      <t>antonioespinosa@carpack.com.mx;
elizabeth@carpack.com.mx;
compras@carpack.com.mx; pagos@carpack.com.mx</t>
    </r>
  </si>
  <si>
    <r>
      <t xml:space="preserve"> </t>
    </r>
    <r>
      <rPr>
        <b/>
        <sz val="10"/>
        <color theme="1"/>
        <rFont val="Calibri Light"/>
        <family val="2"/>
        <scheme val="major"/>
      </rPr>
      <t xml:space="preserve">Sergio Leal - 811 155 5054 
Jazmín - 818 364 6871 </t>
    </r>
    <r>
      <rPr>
        <sz val="10"/>
        <color theme="1"/>
        <rFont val="Calibri Light"/>
        <family val="2"/>
        <scheme val="major"/>
      </rPr>
      <t>Email</t>
    </r>
    <r>
      <rPr>
        <b/>
        <sz val="10"/>
        <color theme="1"/>
        <rFont val="Calibri Light"/>
        <family val="2"/>
        <scheme val="major"/>
      </rPr>
      <t>:</t>
    </r>
    <r>
      <rPr>
        <b/>
        <u/>
        <sz val="10"/>
        <color theme="4" tint="-0.249977111117893"/>
        <rFont val="Calibri Light"/>
        <family val="2"/>
        <scheme val="major"/>
      </rPr>
      <t xml:space="preserve">bazoon_300@hotmail.com; 
clg.lgc@hotmail.com;
transportesmarsel@hotmail.com; </t>
    </r>
  </si>
  <si>
    <r>
      <rPr>
        <b/>
        <sz val="10"/>
        <color theme="1"/>
        <rFont val="Calibri Light"/>
        <family val="2"/>
        <scheme val="major"/>
      </rPr>
      <t xml:space="preserve">Marine Mexico - 81 1994 9256                        Eduardo Ventura - 81 3090 4628 </t>
    </r>
    <r>
      <rPr>
        <sz val="10"/>
        <color theme="1"/>
        <rFont val="Calibri Light"/>
        <family val="2"/>
        <scheme val="major"/>
      </rPr>
      <t>Email:</t>
    </r>
    <r>
      <rPr>
        <b/>
        <u/>
        <sz val="10"/>
        <color theme="4" tint="-0.249977111117893"/>
        <rFont val="Calibri Light"/>
        <family val="2"/>
        <scheme val="major"/>
      </rPr>
      <t>mendozael2003@yahoo.com</t>
    </r>
  </si>
  <si>
    <r>
      <rPr>
        <b/>
        <sz val="10"/>
        <color theme="1"/>
        <rFont val="Calibri Light"/>
        <family val="2"/>
        <scheme val="major"/>
      </rPr>
      <t>Elizabeth Renteria - 811 810 0155</t>
    </r>
    <r>
      <rPr>
        <sz val="10"/>
        <color theme="1"/>
        <rFont val="Calibri Light"/>
        <family val="2"/>
        <scheme val="major"/>
      </rPr>
      <t xml:space="preserve"> Email:</t>
    </r>
    <r>
      <rPr>
        <b/>
        <u/>
        <sz val="10"/>
        <color theme="4" tint="-0.249977111117893"/>
        <rFont val="Calibri Light"/>
        <family val="2"/>
        <scheme val="major"/>
      </rPr>
      <t xml:space="preserve">e.lic@live.com.mx </t>
    </r>
  </si>
  <si>
    <r>
      <t xml:space="preserve">COMODATO                                                 </t>
    </r>
    <r>
      <rPr>
        <b/>
        <sz val="10"/>
        <color theme="1"/>
        <rFont val="Calibri Light"/>
        <family val="2"/>
        <scheme val="major"/>
      </rPr>
      <t>Emmanuel Vazquez - 81 3055 7409 
Sonia Lugo (pagos) - 81 2141 0506</t>
    </r>
    <r>
      <rPr>
        <sz val="10"/>
        <color theme="1"/>
        <rFont val="Calibri Light"/>
        <family val="2"/>
        <scheme val="major"/>
      </rPr>
      <t xml:space="preserve">
Email:</t>
    </r>
    <r>
      <rPr>
        <b/>
        <u/>
        <sz val="10"/>
        <color rgb="FF0070C0"/>
        <rFont val="Calibri Light"/>
        <family val="2"/>
        <scheme val="major"/>
      </rPr>
      <t>sandra@enderindustrial.com claudia@enderindustrial.com</t>
    </r>
    <r>
      <rPr>
        <b/>
        <u/>
        <sz val="10"/>
        <color theme="4" tint="-0.249977111117893"/>
        <rFont val="Calibri Light"/>
        <family val="2"/>
        <scheme val="major"/>
      </rPr>
      <t xml:space="preserve">
belen@enderindustrial.com facturas@enderindustrial.com; 
emmanuel@sinergix.net; </t>
    </r>
  </si>
  <si>
    <r>
      <t xml:space="preserve">COMODATO                                                    </t>
    </r>
    <r>
      <rPr>
        <b/>
        <sz val="10"/>
        <color theme="1"/>
        <rFont val="Calibri Light"/>
        <family val="2"/>
        <scheme val="major"/>
      </rPr>
      <t xml:space="preserve">Everardo Nuncio - 81 1823 3384                  Pagos Brenda Ocañas - 81 7654 2904/81 18 72 2728     </t>
    </r>
    <r>
      <rPr>
        <sz val="10"/>
        <color theme="1"/>
        <rFont val="Calibri Light"/>
        <family val="2"/>
        <scheme val="major"/>
      </rPr>
      <t xml:space="preserve"> Email:</t>
    </r>
    <r>
      <rPr>
        <b/>
        <u/>
        <sz val="10"/>
        <color rgb="FF0070C0"/>
        <rFont val="Calibri Light"/>
        <family val="2"/>
        <scheme val="major"/>
      </rPr>
      <t>oficina@mcjchillerservice.com</t>
    </r>
  </si>
  <si>
    <r>
      <t>Fernando Disatel - 81 1799 2490</t>
    </r>
    <r>
      <rPr>
        <sz val="10"/>
        <color theme="1"/>
        <rFont val="Calibri Light"/>
        <family val="2"/>
        <scheme val="major"/>
      </rPr>
      <t xml:space="preserve"> Email:</t>
    </r>
    <r>
      <rPr>
        <b/>
        <u/>
        <sz val="10"/>
        <color theme="4" tint="-0.249977111117893"/>
        <rFont val="Calibri Light"/>
        <family val="2"/>
        <scheme val="major"/>
      </rPr>
      <t>frgm_76@hotmail.com</t>
    </r>
  </si>
  <si>
    <r>
      <t xml:space="preserve">COMODATO                                                          </t>
    </r>
    <r>
      <rPr>
        <b/>
        <sz val="10"/>
        <color theme="1"/>
        <rFont val="Calibri Light"/>
        <family val="2"/>
        <scheme val="major"/>
      </rPr>
      <t xml:space="preserve">Katty - 81 8208 7559 </t>
    </r>
    <r>
      <rPr>
        <sz val="10"/>
        <color theme="1"/>
        <rFont val="Calibri Light"/>
        <family val="2"/>
        <scheme val="major"/>
      </rPr>
      <t>Email:</t>
    </r>
    <r>
      <rPr>
        <b/>
        <u/>
        <sz val="10"/>
        <color theme="4" tint="-0.249977111117893"/>
        <rFont val="Calibri Light"/>
        <family val="2"/>
        <scheme val="major"/>
      </rPr>
      <t>administracion@finpais.com.mx</t>
    </r>
  </si>
  <si>
    <r>
      <t xml:space="preserve">COMODATO                                                       </t>
    </r>
    <r>
      <rPr>
        <b/>
        <sz val="10"/>
        <color theme="1"/>
        <rFont val="Calibri Light"/>
        <family val="2"/>
        <scheme val="major"/>
      </rPr>
      <t>Manuel Rico - 81 1811 0645</t>
    </r>
    <r>
      <rPr>
        <sz val="10"/>
        <color theme="1"/>
        <rFont val="Calibri Light"/>
        <family val="2"/>
        <scheme val="major"/>
      </rPr>
      <t xml:space="preserve"> Email:</t>
    </r>
    <r>
      <rPr>
        <b/>
        <u/>
        <sz val="10"/>
        <color theme="4" tint="-0.249977111117893"/>
        <rFont val="Calibri Light"/>
        <family val="2"/>
        <scheme val="major"/>
      </rPr>
      <t xml:space="preserve">supervisorfumigaz@outlook.com </t>
    </r>
  </si>
  <si>
    <r>
      <rPr>
        <b/>
        <sz val="10"/>
        <color theme="1"/>
        <rFont val="Calibri Light"/>
        <family val="2"/>
        <scheme val="major"/>
      </rPr>
      <t xml:space="preserve">Veronica Coronado- 812 165 1133 /                         811 957 5404        </t>
    </r>
    <r>
      <rPr>
        <sz val="10"/>
        <color theme="1"/>
        <rFont val="Calibri Light"/>
        <family val="2"/>
        <scheme val="major"/>
      </rPr>
      <t xml:space="preserve">      </t>
    </r>
    <r>
      <rPr>
        <sz val="10"/>
        <color theme="4"/>
        <rFont val="Calibri Light"/>
        <family val="2"/>
        <scheme val="major"/>
      </rPr>
      <t xml:space="preserve">           </t>
    </r>
    <r>
      <rPr>
        <sz val="10"/>
        <rFont val="Calibri Light"/>
        <family val="2"/>
        <scheme val="major"/>
      </rPr>
      <t xml:space="preserve"> Email:</t>
    </r>
    <r>
      <rPr>
        <b/>
        <u/>
        <sz val="10"/>
        <color theme="4" tint="-0.249977111117893"/>
        <rFont val="Calibri Light"/>
        <family val="2"/>
        <scheme val="major"/>
      </rPr>
      <t>garisav@hotmail.com</t>
    </r>
  </si>
  <si>
    <r>
      <rPr>
        <b/>
        <sz val="10"/>
        <color theme="1"/>
        <rFont val="Calibri Light"/>
        <family val="2"/>
        <scheme val="major"/>
      </rPr>
      <t>Srta. Janeth Villa 81 8347 7712 / 
13 Ext. 106</t>
    </r>
    <r>
      <rPr>
        <sz val="10"/>
        <color theme="1"/>
        <rFont val="Calibri Light"/>
        <family val="2"/>
        <scheme val="major"/>
      </rPr>
      <t xml:space="preserve">
Email:</t>
    </r>
    <r>
      <rPr>
        <b/>
        <u/>
        <sz val="10"/>
        <color theme="4" tint="-0.249977111117893"/>
        <rFont val="Calibri Light"/>
        <family val="2"/>
        <scheme val="major"/>
      </rPr>
      <t xml:space="preserve">fabiola.garcia@lsadministracion.com; </t>
    </r>
  </si>
  <si>
    <r>
      <t xml:space="preserve">COMODATO                                                               </t>
    </r>
    <r>
      <rPr>
        <b/>
        <sz val="10"/>
        <color theme="1"/>
        <rFont val="Calibri Light"/>
        <family val="2"/>
        <scheme val="major"/>
      </rPr>
      <t>Raul Hernandez - 811 2422 086                                                                  Julia Graciela Gzz. Sosa - 811 9082 914</t>
    </r>
    <r>
      <rPr>
        <sz val="10"/>
        <color theme="1"/>
        <rFont val="Calibri Light"/>
        <family val="2"/>
        <scheme val="major"/>
      </rPr>
      <t xml:space="preserve"> Email:</t>
    </r>
    <r>
      <rPr>
        <b/>
        <u/>
        <sz val="10"/>
        <color theme="4" tint="-0.249977111117893"/>
        <rFont val="Calibri Light"/>
        <family val="2"/>
        <scheme val="major"/>
      </rPr>
      <t>gruastegmesa@construtecacero.com.mx julia@construtecacero.com.mx</t>
    </r>
  </si>
  <si>
    <r>
      <rPr>
        <b/>
        <sz val="10"/>
        <color theme="1"/>
        <rFont val="Calibri Light"/>
        <family val="2"/>
        <scheme val="major"/>
      </rPr>
      <t xml:space="preserve">Daniela Medellín - 81 1588 8485 </t>
    </r>
    <r>
      <rPr>
        <sz val="10"/>
        <color theme="1"/>
        <rFont val="Calibri Light"/>
        <family val="2"/>
        <scheme val="major"/>
      </rPr>
      <t>Email:</t>
    </r>
    <r>
      <rPr>
        <b/>
        <u/>
        <sz val="10"/>
        <color rgb="FF0070C0"/>
        <rFont val="Calibri Light"/>
        <family val="2"/>
        <scheme val="major"/>
      </rPr>
      <t>monitoreo@endolaser.com.mx</t>
    </r>
  </si>
  <si>
    <r>
      <rPr>
        <b/>
        <sz val="10"/>
        <color theme="1"/>
        <rFont val="Calibri Light"/>
        <family val="2"/>
        <scheme val="major"/>
      </rPr>
      <t>Javier Velazquez - 812 032 0493</t>
    </r>
    <r>
      <rPr>
        <sz val="10"/>
        <color theme="1"/>
        <rFont val="Calibri Light"/>
        <family val="2"/>
        <scheme val="major"/>
      </rPr>
      <t xml:space="preserve">
Email:</t>
    </r>
    <r>
      <rPr>
        <b/>
        <u/>
        <sz val="10"/>
        <color theme="4" tint="-0.249977111117893"/>
        <rFont val="Calibri Light"/>
        <family val="2"/>
        <scheme val="major"/>
      </rPr>
      <t xml:space="preserve">fletesangelvelazquez@gmail.com </t>
    </r>
  </si>
  <si>
    <r>
      <rPr>
        <b/>
        <sz val="10"/>
        <color theme="1"/>
        <rFont val="Calibri Light"/>
        <family val="2"/>
        <scheme val="major"/>
      </rPr>
      <t xml:space="preserve">Humberto Villa - 81 1487 4381 </t>
    </r>
    <r>
      <rPr>
        <sz val="10"/>
        <color theme="1"/>
        <rFont val="Calibri Light"/>
        <family val="2"/>
        <scheme val="major"/>
      </rPr>
      <t>Email:</t>
    </r>
    <r>
      <rPr>
        <b/>
        <u/>
        <sz val="10"/>
        <color rgb="FF0070C0"/>
        <rFont val="Calibri Light"/>
        <family val="2"/>
        <scheme val="major"/>
      </rPr>
      <t>daxsind@hotmail.com</t>
    </r>
  </si>
  <si>
    <r>
      <rPr>
        <b/>
        <sz val="10"/>
        <color theme="1"/>
        <rFont val="Calibri Light"/>
        <family val="2"/>
        <scheme val="major"/>
      </rPr>
      <t>Jose Toledo - 81 1015 9453</t>
    </r>
    <r>
      <rPr>
        <sz val="10"/>
        <color theme="1"/>
        <rFont val="Calibri Light"/>
        <family val="2"/>
        <scheme val="major"/>
      </rPr>
      <t xml:space="preserve"> Email:</t>
    </r>
    <r>
      <rPr>
        <b/>
        <u/>
        <sz val="10"/>
        <color rgb="FF0070C0"/>
        <rFont val="Calibri Light"/>
        <family val="2"/>
        <scheme val="major"/>
      </rPr>
      <t>j.garcia@grupotranstech.com</t>
    </r>
  </si>
  <si>
    <r>
      <rPr>
        <b/>
        <sz val="10"/>
        <color theme="1"/>
        <rFont val="Calibri Light"/>
        <family val="2"/>
        <scheme val="major"/>
      </rPr>
      <t xml:space="preserve">Josue Fernandez - 81 1977 0958 </t>
    </r>
    <r>
      <rPr>
        <sz val="10"/>
        <color theme="1"/>
        <rFont val="Calibri Light"/>
        <family val="2"/>
        <scheme val="major"/>
      </rPr>
      <t>Email:</t>
    </r>
    <r>
      <rPr>
        <b/>
        <u/>
        <sz val="10"/>
        <color rgb="FF0070C0"/>
        <rFont val="Calibri Light"/>
        <family val="2"/>
        <scheme val="major"/>
      </rPr>
      <t>jfhz@icloud.com</t>
    </r>
  </si>
  <si>
    <r>
      <rPr>
        <b/>
        <sz val="10"/>
        <color theme="1"/>
        <rFont val="Calibri Light"/>
        <family val="2"/>
        <scheme val="major"/>
      </rPr>
      <t xml:space="preserve">Juan Cabriales - 81 2947 2650 </t>
    </r>
    <r>
      <rPr>
        <sz val="10"/>
        <color theme="1"/>
        <rFont val="Calibri Light"/>
        <family val="2"/>
        <scheme val="major"/>
      </rPr>
      <t>Email:</t>
    </r>
    <r>
      <rPr>
        <b/>
        <u/>
        <sz val="10"/>
        <color theme="4" tint="-0.249977111117893"/>
        <rFont val="Calibri Light"/>
        <family val="2"/>
        <scheme val="major"/>
      </rPr>
      <t>transportes.rcd.diaz@gmail.com</t>
    </r>
  </si>
  <si>
    <r>
      <rPr>
        <b/>
        <sz val="10"/>
        <color theme="1"/>
        <rFont val="Calibri Light"/>
        <family val="2"/>
        <scheme val="major"/>
      </rPr>
      <t xml:space="preserve">Karla Alvear - 81 1800 0233 </t>
    </r>
    <r>
      <rPr>
        <sz val="10"/>
        <color theme="1"/>
        <rFont val="Calibri Light"/>
        <family val="2"/>
        <scheme val="major"/>
      </rPr>
      <t>Email:</t>
    </r>
    <r>
      <rPr>
        <b/>
        <u/>
        <sz val="10"/>
        <color rgb="FF0070C0"/>
        <rFont val="Calibri Light"/>
        <family val="2"/>
        <scheme val="major"/>
      </rPr>
      <t>Hec_alvear@hotmail.com</t>
    </r>
  </si>
  <si>
    <r>
      <rPr>
        <b/>
        <sz val="10"/>
        <rFont val="Calibri Light"/>
        <family val="2"/>
        <scheme val="major"/>
      </rPr>
      <t xml:space="preserve">(833) 217-3830 Ext. 101      </t>
    </r>
    <r>
      <rPr>
        <sz val="10"/>
        <rFont val="Calibri Light"/>
        <family val="2"/>
        <scheme val="major"/>
      </rPr>
      <t>Email:</t>
    </r>
    <r>
      <rPr>
        <b/>
        <u/>
        <sz val="10"/>
        <color rgb="FF0070C0"/>
        <rFont val="Calibri Light"/>
        <family val="2"/>
        <scheme val="major"/>
      </rPr>
      <t>Pamela@KROHNEMEXICO.com 'erika@krohnemexico.com'; 'israel@krohnemexico.com'; 'maricela@krohnemexico.com'</t>
    </r>
  </si>
  <si>
    <r>
      <rPr>
        <b/>
        <sz val="10"/>
        <color theme="1"/>
        <rFont val="Calibri Light"/>
        <family val="2"/>
        <scheme val="major"/>
      </rPr>
      <t xml:space="preserve">Ignacio Gaxiola - 81 1624 4288 </t>
    </r>
    <r>
      <rPr>
        <sz val="10"/>
        <color theme="1"/>
        <rFont val="Calibri Light"/>
        <family val="2"/>
        <scheme val="major"/>
      </rPr>
      <t xml:space="preserve">  Email:</t>
    </r>
    <r>
      <rPr>
        <b/>
        <u/>
        <sz val="10"/>
        <color theme="4" tint="-0.249977111117893"/>
        <rFont val="Calibri Light"/>
        <family val="2"/>
        <scheme val="major"/>
      </rPr>
      <t>igaxiola@lemura.com.mx</t>
    </r>
  </si>
  <si>
    <r>
      <rPr>
        <b/>
        <sz val="10"/>
        <color theme="1"/>
        <rFont val="Calibri Light"/>
        <family val="2"/>
        <scheme val="major"/>
      </rPr>
      <t>Luis Davila - 813 074 5638</t>
    </r>
    <r>
      <rPr>
        <sz val="10"/>
        <color rgb="FFFF0000"/>
        <rFont val="Calibri Light"/>
        <family val="2"/>
        <scheme val="major"/>
      </rPr>
      <t xml:space="preserve">
</t>
    </r>
    <r>
      <rPr>
        <sz val="10"/>
        <rFont val="Calibri Light"/>
        <family val="2"/>
        <scheme val="major"/>
      </rPr>
      <t>Email:</t>
    </r>
    <r>
      <rPr>
        <b/>
        <u/>
        <sz val="10"/>
        <color theme="4" tint="-0.249977111117893"/>
        <rFont val="Calibri Light"/>
        <family val="2"/>
        <scheme val="major"/>
      </rPr>
      <t xml:space="preserve">luisdavila1970@gmail.com </t>
    </r>
  </si>
  <si>
    <r>
      <rPr>
        <b/>
        <sz val="10"/>
        <color theme="1"/>
        <rFont val="Calibri Light"/>
        <family val="2"/>
        <scheme val="major"/>
      </rPr>
      <t xml:space="preserve">Luis Gerardo Bolaños García - 811 027 0226 </t>
    </r>
    <r>
      <rPr>
        <sz val="10"/>
        <color theme="1"/>
        <rFont val="Calibri Light"/>
        <family val="2"/>
        <scheme val="major"/>
      </rPr>
      <t xml:space="preserve">
Email:</t>
    </r>
    <r>
      <rPr>
        <b/>
        <u/>
        <sz val="10"/>
        <color theme="4" tint="-0.249977111117893"/>
        <rFont val="Calibri Light"/>
        <family val="2"/>
        <scheme val="major"/>
      </rPr>
      <t>expressgeral19@gmail.com</t>
    </r>
    <r>
      <rPr>
        <sz val="10"/>
        <color theme="1"/>
        <rFont val="Calibri Light"/>
        <family val="2"/>
        <scheme val="major"/>
      </rPr>
      <t xml:space="preserve">
</t>
    </r>
    <r>
      <rPr>
        <b/>
        <u/>
        <sz val="10"/>
        <color theme="4" tint="-0.249977111117893"/>
        <rFont val="Calibri Light"/>
        <family val="2"/>
        <scheme val="major"/>
      </rPr>
      <t xml:space="preserve">luismty0902@gmail.com </t>
    </r>
  </si>
  <si>
    <r>
      <rPr>
        <b/>
        <sz val="10"/>
        <color theme="1"/>
        <rFont val="Calibri Light"/>
        <family val="2"/>
        <scheme val="major"/>
      </rPr>
      <t xml:space="preserve">Luis Javier Gonzalez Perez - 811 907 9148  </t>
    </r>
    <r>
      <rPr>
        <sz val="10"/>
        <color theme="1"/>
        <rFont val="Calibri Light"/>
        <family val="2"/>
        <scheme val="major"/>
      </rPr>
      <t xml:space="preserve">                          Email:</t>
    </r>
    <r>
      <rPr>
        <b/>
        <u/>
        <sz val="10"/>
        <color theme="4" tint="-0.249977111117893"/>
        <rFont val="Calibri Light"/>
        <family val="2"/>
        <scheme val="major"/>
      </rPr>
      <t>ljgonzalez3591@gmail.com</t>
    </r>
  </si>
  <si>
    <r>
      <t xml:space="preserve">COMODATO                                                          </t>
    </r>
    <r>
      <rPr>
        <b/>
        <sz val="10"/>
        <color theme="1"/>
        <rFont val="Calibri Light"/>
        <family val="2"/>
        <scheme val="major"/>
      </rPr>
      <t xml:space="preserve">Daniel Cardenas - 81 2634 0402 </t>
    </r>
    <r>
      <rPr>
        <sz val="10"/>
        <color theme="1"/>
        <rFont val="Calibri Light"/>
        <family val="2"/>
        <scheme val="major"/>
      </rPr>
      <t>Email:</t>
    </r>
    <r>
      <rPr>
        <b/>
        <u/>
        <sz val="10"/>
        <color theme="4" tint="-0.249977111117893"/>
        <rFont val="Calibri Light"/>
        <family val="2"/>
        <scheme val="major"/>
      </rPr>
      <t>recepcionfacturas@ciamaderera.com</t>
    </r>
  </si>
  <si>
    <r>
      <t xml:space="preserve">COMODATO                                                        </t>
    </r>
    <r>
      <rPr>
        <b/>
        <sz val="10"/>
        <color theme="1"/>
        <rFont val="Calibri Light"/>
        <family val="2"/>
        <scheme val="major"/>
      </rPr>
      <t>Miguel Angel Casas - 811 566 5492</t>
    </r>
    <r>
      <rPr>
        <sz val="10"/>
        <color theme="1"/>
        <rFont val="Calibri Light"/>
        <family val="2"/>
        <scheme val="major"/>
      </rPr>
      <t xml:space="preserve">  Email:</t>
    </r>
    <r>
      <rPr>
        <b/>
        <u/>
        <sz val="10"/>
        <color theme="4" tint="-0.249977111117893"/>
        <rFont val="Calibri Light"/>
        <family val="2"/>
        <scheme val="major"/>
      </rPr>
      <t xml:space="preserve">mactransportacion@gmail.com </t>
    </r>
  </si>
  <si>
    <r>
      <t xml:space="preserve">COMODATO                                                    </t>
    </r>
    <r>
      <rPr>
        <b/>
        <sz val="10"/>
        <color theme="1"/>
        <rFont val="Calibri Light"/>
        <family val="2"/>
        <scheme val="major"/>
      </rPr>
      <t xml:space="preserve">Elizabeth Garza - 81 8351 8283 ext.126
Eduardo Garza / Emeterio Vargas </t>
    </r>
    <r>
      <rPr>
        <sz val="10"/>
        <color theme="1"/>
        <rFont val="Calibri Light"/>
        <family val="2"/>
        <scheme val="major"/>
      </rPr>
      <t>Email:</t>
    </r>
    <r>
      <rPr>
        <b/>
        <u/>
        <sz val="10"/>
        <color theme="4" tint="-0.249977111117893"/>
        <rFont val="Calibri Light"/>
        <family val="2"/>
        <scheme val="major"/>
      </rPr>
      <t xml:space="preserve">administracion@myatsa.com; evargas@moliendas.com;
egarza@moliendas.com; garzacavazos@hotmail.com </t>
    </r>
  </si>
  <si>
    <r>
      <rPr>
        <b/>
        <sz val="10"/>
        <color theme="1"/>
        <rFont val="Calibri Light"/>
        <family val="2"/>
        <scheme val="major"/>
      </rPr>
      <t>Pablo E. Cadena Acevedo - 811 722 2636</t>
    </r>
    <r>
      <rPr>
        <sz val="10"/>
        <color theme="1"/>
        <rFont val="Calibri Light"/>
        <family val="2"/>
        <scheme val="major"/>
      </rPr>
      <t xml:space="preserve">
Email:</t>
    </r>
    <r>
      <rPr>
        <b/>
        <u/>
        <sz val="10"/>
        <color theme="4" tint="-0.249977111117893"/>
        <rFont val="Calibri Light"/>
        <family val="2"/>
        <scheme val="major"/>
      </rPr>
      <t xml:space="preserve">docrem@hotmail.com </t>
    </r>
  </si>
  <si>
    <r>
      <rPr>
        <b/>
        <sz val="10"/>
        <rFont val="Calibri Light"/>
        <family val="2"/>
        <scheme val="major"/>
      </rPr>
      <t>Rosy - 812 354 1373</t>
    </r>
    <r>
      <rPr>
        <b/>
        <u/>
        <sz val="10"/>
        <color rgb="FF0070C0"/>
        <rFont val="Calibri Light"/>
        <family val="2"/>
        <scheme val="major"/>
      </rPr>
      <t xml:space="preserve">
</t>
    </r>
    <r>
      <rPr>
        <sz val="10"/>
        <rFont val="Calibri Light"/>
        <family val="2"/>
        <scheme val="major"/>
      </rPr>
      <t>Email:</t>
    </r>
    <r>
      <rPr>
        <b/>
        <u/>
        <sz val="10"/>
        <color theme="4" tint="-0.249977111117893"/>
        <rFont val="Calibri Light"/>
        <family val="2"/>
        <scheme val="major"/>
      </rPr>
      <t>rosa.sr@quinexus.mx;</t>
    </r>
  </si>
  <si>
    <r>
      <rPr>
        <b/>
        <sz val="10"/>
        <rFont val="Calibri Light"/>
        <family val="2"/>
        <scheme val="major"/>
      </rPr>
      <t xml:space="preserve">Myrian Guerra - 811 636 1249                                    81  8359 4400 </t>
    </r>
    <r>
      <rPr>
        <sz val="10"/>
        <rFont val="Calibri Light"/>
        <family val="2"/>
        <scheme val="major"/>
      </rPr>
      <t>Email:</t>
    </r>
    <r>
      <rPr>
        <b/>
        <u/>
        <sz val="10"/>
        <color theme="10"/>
        <rFont val="Calibri Light"/>
        <family val="2"/>
        <scheme val="major"/>
      </rPr>
      <t xml:space="preserve">facturacion@quitakilos.com   adriana@quitakilos.com     </t>
    </r>
  </si>
  <si>
    <r>
      <rPr>
        <b/>
        <sz val="10"/>
        <rFont val="Calibri Light"/>
        <family val="2"/>
        <scheme val="major"/>
      </rPr>
      <t xml:space="preserve">Cristel del Rio - 844 380 0154              Alfonso - 81 3643 2962 </t>
    </r>
    <r>
      <rPr>
        <sz val="10"/>
        <rFont val="Calibri Light"/>
        <family val="2"/>
        <scheme val="major"/>
      </rPr>
      <t>Email:</t>
    </r>
    <r>
      <rPr>
        <b/>
        <u/>
        <sz val="10"/>
        <color theme="10"/>
        <rFont val="Calibri Light"/>
        <family val="2"/>
        <scheme val="major"/>
      </rPr>
      <t>alonsogaspar578@gmail.com</t>
    </r>
  </si>
  <si>
    <r>
      <rPr>
        <b/>
        <sz val="10"/>
        <rFont val="Calibri Light"/>
        <family val="2"/>
        <scheme val="major"/>
      </rPr>
      <t xml:space="preserve">Rodrigo Alanis - 81 2861 1509 </t>
    </r>
    <r>
      <rPr>
        <sz val="10"/>
        <rFont val="Calibri Light"/>
        <family val="2"/>
        <scheme val="major"/>
      </rPr>
      <t>Email:</t>
    </r>
    <r>
      <rPr>
        <b/>
        <u/>
        <sz val="10"/>
        <color rgb="FF0070C0"/>
        <rFont val="Calibri Light"/>
        <family val="2"/>
        <scheme val="major"/>
      </rPr>
      <t xml:space="preserve">adrianaoranday@gmail.com </t>
    </r>
    <r>
      <rPr>
        <b/>
        <u/>
        <sz val="10"/>
        <color theme="10"/>
        <rFont val="Calibri Light"/>
        <family val="2"/>
        <scheme val="major"/>
      </rPr>
      <t>alanis_rodrigo@hotmail.com</t>
    </r>
  </si>
  <si>
    <r>
      <rPr>
        <b/>
        <sz val="10"/>
        <color theme="1"/>
        <rFont val="Calibri Light"/>
        <family val="2"/>
        <scheme val="major"/>
      </rPr>
      <t xml:space="preserve">Francisco Sanchez - 81 1421 3083 </t>
    </r>
    <r>
      <rPr>
        <sz val="10"/>
        <color theme="1"/>
        <rFont val="Calibri Light"/>
        <family val="2"/>
        <scheme val="major"/>
      </rPr>
      <t>Email:</t>
    </r>
    <r>
      <rPr>
        <b/>
        <u/>
        <sz val="10"/>
        <color theme="4" tint="-0.249977111117893"/>
        <rFont val="Calibri Light"/>
        <family val="2"/>
        <scheme val="major"/>
      </rPr>
      <t>fsancheznoreste@hotmail.es</t>
    </r>
  </si>
  <si>
    <r>
      <rPr>
        <b/>
        <sz val="10"/>
        <color theme="1"/>
        <rFont val="Calibri Light"/>
        <family val="2"/>
        <scheme val="major"/>
      </rPr>
      <t>Jose Angel Mendez Arriaga - 812 600 8976</t>
    </r>
    <r>
      <rPr>
        <sz val="10"/>
        <color theme="1"/>
        <rFont val="Calibri Light"/>
        <family val="2"/>
        <scheme val="major"/>
      </rPr>
      <t xml:space="preserve">
Email:</t>
    </r>
    <r>
      <rPr>
        <b/>
        <u/>
        <sz val="10"/>
        <color theme="4" tint="-0.249977111117893"/>
        <rFont val="Calibri Light"/>
        <family val="2"/>
        <scheme val="major"/>
      </rPr>
      <t xml:space="preserve">jama_ca@hotmail.com </t>
    </r>
  </si>
  <si>
    <r>
      <rPr>
        <sz val="10"/>
        <color theme="1"/>
        <rFont val="Calibri Light"/>
        <family val="2"/>
        <scheme val="major"/>
      </rPr>
      <t xml:space="preserve">COMODATO                                                     </t>
    </r>
    <r>
      <rPr>
        <b/>
        <sz val="10"/>
        <color theme="1"/>
        <rFont val="Calibri Light"/>
        <family val="2"/>
        <scheme val="major"/>
      </rPr>
      <t xml:space="preserve">Antonio García - 81 1155 2769 </t>
    </r>
    <r>
      <rPr>
        <sz val="10"/>
        <color theme="1"/>
        <rFont val="Calibri Light"/>
        <family val="2"/>
        <scheme val="major"/>
      </rPr>
      <t>Email:</t>
    </r>
    <r>
      <rPr>
        <b/>
        <u/>
        <sz val="10"/>
        <color theme="4" tint="-0.249977111117893"/>
        <rFont val="Calibri Light"/>
        <family val="2"/>
        <scheme val="major"/>
      </rPr>
      <t>antoniotransgar@hotmail.es</t>
    </r>
  </si>
  <si>
    <r>
      <rPr>
        <b/>
        <sz val="10"/>
        <color theme="1"/>
        <rFont val="Calibri Light"/>
        <family val="2"/>
        <scheme val="major"/>
      </rPr>
      <t>Aurora Banda - 818 259 6045
Mario Del Angel - 811 208 8585</t>
    </r>
    <r>
      <rPr>
        <sz val="10"/>
        <color theme="1"/>
        <rFont val="Calibri Light"/>
        <family val="2"/>
        <scheme val="major"/>
      </rPr>
      <t xml:space="preserve">
Email:</t>
    </r>
    <r>
      <rPr>
        <b/>
        <u/>
        <sz val="10"/>
        <color theme="4" tint="-0.249977111117893"/>
        <rFont val="Calibri Light"/>
        <family val="2"/>
        <scheme val="major"/>
      </rPr>
      <t xml:space="preserve">abanda@apfel.com.mx; mdelangel@apfel.com.mx:  </t>
    </r>
  </si>
  <si>
    <r>
      <rPr>
        <b/>
        <sz val="10"/>
        <color theme="1"/>
        <rFont val="Calibri Light"/>
        <family val="2"/>
        <scheme val="major"/>
      </rPr>
      <t>Eduardo Quintero                                                    Javier Montemayor - 811 370 8479</t>
    </r>
    <r>
      <rPr>
        <sz val="10"/>
        <color theme="1"/>
        <rFont val="Calibri Light"/>
        <family val="2"/>
        <scheme val="major"/>
      </rPr>
      <t xml:space="preserve">
Email:</t>
    </r>
    <r>
      <rPr>
        <b/>
        <u/>
        <sz val="10"/>
        <color theme="4" tint="-0.249977111117893"/>
        <rFont val="Calibri Light"/>
        <family val="2"/>
        <scheme val="major"/>
      </rPr>
      <t>javiermv@grupomercurio.com ejimenez@gpomercurio.com</t>
    </r>
  </si>
  <si>
    <r>
      <t xml:space="preserve">COMODATO                                                    </t>
    </r>
    <r>
      <rPr>
        <b/>
        <sz val="10"/>
        <color theme="1"/>
        <rFont val="Calibri Light"/>
        <family val="2"/>
        <scheme val="major"/>
      </rPr>
      <t xml:space="preserve">Brenda Araujo - 81 3421 7089  </t>
    </r>
    <r>
      <rPr>
        <sz val="10"/>
        <color theme="1"/>
        <rFont val="Calibri Light"/>
        <family val="2"/>
        <scheme val="major"/>
      </rPr>
      <t xml:space="preserve">                              Ing. Antonio Martínez -81 1537 7636</t>
    </r>
    <r>
      <rPr>
        <b/>
        <sz val="10"/>
        <color theme="1"/>
        <rFont val="Calibri Light"/>
        <family val="2"/>
        <scheme val="major"/>
      </rPr>
      <t xml:space="preserve"> </t>
    </r>
    <r>
      <rPr>
        <sz val="10"/>
        <color theme="1"/>
        <rFont val="Calibri Light"/>
        <family val="2"/>
        <scheme val="major"/>
      </rPr>
      <t>Email</t>
    </r>
    <r>
      <rPr>
        <b/>
        <sz val="10"/>
        <color theme="1"/>
        <rFont val="Calibri Light"/>
        <family val="2"/>
        <scheme val="major"/>
      </rPr>
      <t>:</t>
    </r>
    <r>
      <rPr>
        <b/>
        <u/>
        <sz val="10"/>
        <color rgb="FF0070C0"/>
        <rFont val="Calibri Light"/>
        <family val="2"/>
        <scheme val="major"/>
      </rPr>
      <t>facturas@myrconsa.mx</t>
    </r>
    <r>
      <rPr>
        <b/>
        <sz val="10"/>
        <color theme="1"/>
        <rFont val="Calibri Light"/>
        <family val="2"/>
        <scheme val="major"/>
      </rPr>
      <t xml:space="preserve"> </t>
    </r>
    <r>
      <rPr>
        <b/>
        <u/>
        <sz val="10"/>
        <color rgb="FF0070C0"/>
        <rFont val="Calibri Light"/>
        <family val="2"/>
        <scheme val="major"/>
      </rPr>
      <t>catalinac@myrconsa.mx antoniomtz@myrconsa.mx</t>
    </r>
  </si>
  <si>
    <t>BELLOTA ENERGY</t>
  </si>
  <si>
    <t>BELLOTA ENERGY - PETROLAND</t>
  </si>
  <si>
    <t>JUNIO'25</t>
  </si>
  <si>
    <t>LUIS ALBERTO RIVERA</t>
  </si>
  <si>
    <t>Luis Alberto Rivera - 81 1545 8721</t>
  </si>
  <si>
    <t>LUIS ALBERTO RIVERA 81 1545 8721</t>
  </si>
  <si>
    <t>EQUIPO 3ER GENERACION USO RUDO PARA REMOLQUE $3,600.00
MENSUALIDAD $250.00
EQUIPO DASH CAM $8,790.00
MENSUALIDAD DASH CAM $900.00</t>
  </si>
  <si>
    <t>KATIA NAVA                           81 2179 0300</t>
  </si>
  <si>
    <t>SE LE COBRO ANUALIDAD COMPLETA, COBRAR EN ABRIL'25 PROP DE 9 MESES 17 DIAS</t>
  </si>
  <si>
    <r>
      <rPr>
        <b/>
        <sz val="10"/>
        <color theme="1"/>
        <rFont val="Calibri Light"/>
        <family val="2"/>
        <scheme val="major"/>
      </rPr>
      <t xml:space="preserve">Marisol Alvarado - 33 3486 8750 / Norma Navarro Oficina - 33 1401 2246                                                 33 1654 3312             </t>
    </r>
    <r>
      <rPr>
        <sz val="10"/>
        <color theme="1"/>
        <rFont val="Calibri Light"/>
        <family val="2"/>
        <scheme val="major"/>
      </rPr>
      <t xml:space="preserve">                                 Email:</t>
    </r>
    <r>
      <rPr>
        <b/>
        <u/>
        <sz val="10"/>
        <color rgb="FF0070C0"/>
        <rFont val="Calibri Light"/>
        <family val="2"/>
        <scheme val="major"/>
      </rPr>
      <t>azulitalia@live.com.mx</t>
    </r>
  </si>
  <si>
    <t>PAGO EL 31-MAYO-2024 POR TRANSFERENCIA</t>
  </si>
  <si>
    <t>MAX ALANIS</t>
  </si>
  <si>
    <r>
      <t xml:space="preserve">Max Alanis - 81 2383 5615 </t>
    </r>
    <r>
      <rPr>
        <b/>
        <u/>
        <sz val="10"/>
        <color rgb="FF0070C0"/>
        <rFont val="Calibri Light"/>
        <family val="2"/>
        <scheme val="major"/>
      </rPr>
      <t>refrigeradospatan2024@gmail.com</t>
    </r>
  </si>
  <si>
    <t>MAX ALANIS                       81 2383 5615</t>
  </si>
  <si>
    <t>THERMO</t>
  </si>
  <si>
    <t>RE ACTIVACIÓN $650.00                                                       MENSUALIDAD $300.00</t>
  </si>
  <si>
    <t>JAVIER HIDALGO</t>
  </si>
  <si>
    <t>vcordero@bdbcompany.com, gruas@bdbcompany.com</t>
  </si>
  <si>
    <t>JAVIER HIDALGO (BDB)</t>
  </si>
  <si>
    <t>1- PIPA BLANCO 16-UV-5X                                                                                                                      2- KW BLANCO ELIUD 59-AZ-2P T023</t>
  </si>
  <si>
    <t>ALEJANDRO MARCIAS GARZA</t>
  </si>
  <si>
    <t>ALEJANDRO MACIAS GARZA</t>
  </si>
  <si>
    <t>HYUNDAI CRETA GRIS</t>
  </si>
  <si>
    <t>ALEJANDRO MACIAS 81 1728 3110</t>
  </si>
  <si>
    <t>EQUIPO $2,800.00                                                                                                MENSUALIDAD $300.00</t>
  </si>
  <si>
    <r>
      <t xml:space="preserve">Nombre de la Empresa: OSCAR OROZCO 
Contacto: Oscar Orozco 
Email: oscaring.2391@gmail.com;
Teléfono: </t>
    </r>
    <r>
      <rPr>
        <b/>
        <sz val="10"/>
        <color theme="4" tint="-0.249977111117893"/>
        <rFont val="Calibri"/>
        <family val="2"/>
        <scheme val="minor"/>
      </rPr>
      <t xml:space="preserve">554 890 1679 – 618 111 3583 WhatsApp </t>
    </r>
    <r>
      <rPr>
        <b/>
        <sz val="10"/>
        <color theme="1"/>
        <rFont val="Calibri"/>
        <family val="2"/>
        <scheme val="minor"/>
      </rPr>
      <t xml:space="preserve">
</t>
    </r>
  </si>
  <si>
    <t>SERVICIOS ESTRATEGICOS SOTO</t>
  </si>
  <si>
    <t>COMODATO                                                             Veronica Matamoros - 81 8080 5674</t>
  </si>
  <si>
    <t xml:space="preserve">VERONICA MATAMOROS                    81 8080 5674 </t>
  </si>
  <si>
    <t>INSTALACIÓN $499.00+IVA=$578.84                   MENSUALIDAD $300.00+IVA=$348.00</t>
  </si>
  <si>
    <t>1- TOYOTA SIENNA PLATA 36S-131 JORDAN SALAZAR           2- HONDA CRV GRIS TAJ-017-B JUAN RAMON GARCIA       3- MAZDA CX5 GRIS SHU-818-B SEBASTIAN GARZA                   4- TOYOTA TACOMA BLANCO PK-4274-B CRISTIAN RIVERA - PACO SIERRA                                                                                        5- NISSAN NP 300 BLANCO PH-5805-A FRANCISCO ALEMAN</t>
  </si>
  <si>
    <t>VOLVO XC60 NEGRO 31S-344</t>
  </si>
  <si>
    <t>PAGO EL 14-JUNIO-2024 POR TRANSFERENCIA</t>
  </si>
  <si>
    <r>
      <t xml:space="preserve">COMODATO                                                               </t>
    </r>
    <r>
      <rPr>
        <b/>
        <sz val="10"/>
        <color theme="1"/>
        <rFont val="Calibri Light"/>
        <family val="2"/>
        <scheme val="major"/>
      </rPr>
      <t>8183558859
Srta. Cristina Lara - 8183545875</t>
    </r>
    <r>
      <rPr>
        <sz val="10"/>
        <color theme="1"/>
        <rFont val="Calibri Light"/>
        <family val="2"/>
        <scheme val="major"/>
      </rPr>
      <t xml:space="preserve"> Email:</t>
    </r>
    <r>
      <rPr>
        <b/>
        <u/>
        <sz val="10"/>
        <color theme="4" tint="-0.249977111117893"/>
        <rFont val="Calibri Light"/>
        <family val="2"/>
        <scheme val="major"/>
      </rPr>
      <t xml:space="preserve">administracion@liftdepot.mx
montacargas_delagarza@hotmail.com </t>
    </r>
  </si>
  <si>
    <r>
      <t xml:space="preserve">COMODATO                                                    </t>
    </r>
    <r>
      <rPr>
        <b/>
        <sz val="10"/>
        <color theme="1"/>
        <rFont val="Calibri Light"/>
        <family val="2"/>
        <scheme val="major"/>
      </rPr>
      <t xml:space="preserve">Mane Troncoso </t>
    </r>
    <r>
      <rPr>
        <sz val="10"/>
        <color theme="1"/>
        <rFont val="Calibri Light"/>
        <family val="2"/>
        <scheme val="major"/>
      </rPr>
      <t>-</t>
    </r>
    <r>
      <rPr>
        <b/>
        <sz val="10"/>
        <color theme="1"/>
        <rFont val="Calibri Light"/>
        <family val="2"/>
        <scheme val="major"/>
      </rPr>
      <t xml:space="preserve">833 192 6706 </t>
    </r>
    <r>
      <rPr>
        <sz val="10"/>
        <color theme="1"/>
        <rFont val="Calibri Light"/>
        <family val="2"/>
        <scheme val="major"/>
      </rPr>
      <t>Email:</t>
    </r>
    <r>
      <rPr>
        <b/>
        <u/>
        <sz val="10"/>
        <color rgb="FF0070C0"/>
        <rFont val="Calibri Light"/>
        <family val="2"/>
        <scheme val="major"/>
      </rPr>
      <t>admontubored@hotmail.com</t>
    </r>
  </si>
  <si>
    <t>EDGAR ALBERTO CORTEZ TREVIÑO</t>
  </si>
  <si>
    <t>COTE8807238M5</t>
  </si>
  <si>
    <r>
      <rPr>
        <b/>
        <sz val="10"/>
        <color theme="1"/>
        <rFont val="Calibri Light"/>
        <family val="2"/>
        <scheme val="major"/>
      </rPr>
      <t xml:space="preserve">Ericka Ortega (Compras) - 81 1908 0591 </t>
    </r>
    <r>
      <rPr>
        <sz val="10"/>
        <color theme="1"/>
        <rFont val="Calibri Light"/>
        <family val="2"/>
        <scheme val="major"/>
      </rPr>
      <t>Email:</t>
    </r>
    <r>
      <rPr>
        <b/>
        <u/>
        <sz val="10"/>
        <color theme="4" tint="-0.249977111117893"/>
        <rFont val="Calibri Light"/>
        <family val="2"/>
        <scheme val="major"/>
      </rPr>
      <t>trafico@lambi.com.mx
jrojas@lambi.com.mx
dquijas@lambi.com.mx</t>
    </r>
  </si>
  <si>
    <r>
      <t xml:space="preserve">Mario Alejandro López - 81 1556 0951                Erick Esparza - 81 1740 4327 </t>
    </r>
    <r>
      <rPr>
        <b/>
        <u/>
        <sz val="10"/>
        <rFont val="Calibri"/>
        <family val="2"/>
        <scheme val="minor"/>
      </rPr>
      <t>erick.esparza@gmail.com</t>
    </r>
  </si>
  <si>
    <t>JULIO'25</t>
  </si>
  <si>
    <t>ALEJANDRO GARZA</t>
  </si>
  <si>
    <t>AZAEL REYNA</t>
  </si>
  <si>
    <t>AZAEL REYNA                 81 12 44 32 52</t>
  </si>
  <si>
    <t>INSTALACIÓN $500.00                                                                                     MENSUALIDAD $250.00</t>
  </si>
  <si>
    <t>NISSAN NP 300 BLANCO RA-3420-A</t>
  </si>
  <si>
    <t>FORD F-150 NEGRO  PR-5560-B</t>
  </si>
  <si>
    <t>Alejandro Garza - 81 8200 4521</t>
  </si>
  <si>
    <t>ALEJANDRO GARZA                  81 8200 4521</t>
  </si>
  <si>
    <t>EQUIPO $1,800.00                                                                                               MENSUALIDAD $250.00</t>
  </si>
  <si>
    <t>RE-INSTALACIÓN</t>
  </si>
  <si>
    <t>LUIS ESQUIVEL MARTINEZ</t>
  </si>
  <si>
    <r>
      <t xml:space="preserve">Luis Esquivel - 81 1658 6887 </t>
    </r>
    <r>
      <rPr>
        <b/>
        <u/>
        <sz val="10"/>
        <color rgb="FF0070C0"/>
        <rFont val="Calibri Light"/>
        <family val="2"/>
        <scheme val="major"/>
      </rPr>
      <t>luis.esquivel.mtz@outlook.com</t>
    </r>
  </si>
  <si>
    <t>LUIS ESQUIVEL MARTINEZ 81 16 58 68 87</t>
  </si>
  <si>
    <t>EQUIPO $1,800.00                                                                                              MENSUALIDAD $250.00</t>
  </si>
  <si>
    <t>FREIGHTLINER CELESTE 61-BE-4T</t>
  </si>
  <si>
    <t>MARIA HERMILIA SALAZAR CARREÑO</t>
  </si>
  <si>
    <r>
      <t xml:space="preserve">Ma. Hermilia Salazar - 81 3880 6529 </t>
    </r>
    <r>
      <rPr>
        <b/>
        <u/>
        <sz val="10"/>
        <color rgb="FF0070C0"/>
        <rFont val="Calibri Light"/>
        <family val="2"/>
        <scheme val="major"/>
      </rPr>
      <t>quintacampestresofia1@hotmail.com</t>
    </r>
  </si>
  <si>
    <t>POWER TRUCK MONTERREY</t>
  </si>
  <si>
    <r>
      <rPr>
        <b/>
        <sz val="10"/>
        <color theme="1"/>
        <rFont val="Calibri"/>
        <family val="2"/>
        <scheme val="minor"/>
      </rPr>
      <t>REMOLQUES MOVIL</t>
    </r>
    <r>
      <rPr>
        <sz val="10"/>
        <color theme="1"/>
        <rFont val="Calibri"/>
        <family val="2"/>
        <scheme val="minor"/>
      </rPr>
      <t xml:space="preserve">, S.A. DE C.V. </t>
    </r>
  </si>
  <si>
    <t>JONATHAN ARTURO ARANDA</t>
  </si>
  <si>
    <t>ALDO ALVARADO</t>
  </si>
  <si>
    <t xml:space="preserve">ALDO ALVARADO           81 1208 2720 </t>
  </si>
  <si>
    <t>FORD FIGGO ROJO SUM-776-A</t>
  </si>
  <si>
    <t>EDUARDO DAVID CHAVEZ</t>
  </si>
  <si>
    <t xml:space="preserve">INACTIVIDAD </t>
  </si>
  <si>
    <r>
      <t>REYNA MERCADO</t>
    </r>
    <r>
      <rPr>
        <sz val="9"/>
        <color theme="1"/>
        <rFont val="Calibri"/>
        <family val="2"/>
        <scheme val="minor"/>
      </rPr>
      <t xml:space="preserve"> </t>
    </r>
    <r>
      <rPr>
        <b/>
        <sz val="10"/>
        <color theme="1"/>
        <rFont val="Calibri"/>
        <family val="2"/>
        <scheme val="minor"/>
      </rPr>
      <t>VELAZQUEZ</t>
    </r>
    <r>
      <rPr>
        <sz val="9"/>
        <color theme="1"/>
        <rFont val="Calibri"/>
        <family val="2"/>
        <scheme val="minor"/>
      </rPr>
      <t xml:space="preserve"> (LUIS FRANCO)</t>
    </r>
  </si>
  <si>
    <t>DES-INSTALACION Y RE-INSTALACION</t>
  </si>
  <si>
    <r>
      <t xml:space="preserve">JOSE </t>
    </r>
    <r>
      <rPr>
        <sz val="10"/>
        <color theme="1"/>
        <rFont val="Calibri"/>
        <family val="2"/>
        <scheme val="minor"/>
      </rPr>
      <t>MELQUIADES</t>
    </r>
    <r>
      <rPr>
        <b/>
        <sz val="10"/>
        <color theme="1"/>
        <rFont val="Calibri"/>
        <family val="2"/>
        <scheme val="minor"/>
      </rPr>
      <t xml:space="preserve"> TOLEDO </t>
    </r>
    <r>
      <rPr>
        <sz val="10"/>
        <color theme="1"/>
        <rFont val="Calibri"/>
        <family val="2"/>
        <scheme val="minor"/>
      </rPr>
      <t>GARCIA DE LEON</t>
    </r>
  </si>
  <si>
    <t>FORD F-150 BLANCO</t>
  </si>
  <si>
    <t>*SERVICIO DE DES-INSTALACION</t>
  </si>
  <si>
    <t>PAGO EL 10-JULIO-2024 POR TRANSFERENCIA</t>
  </si>
  <si>
    <t>PY-3933-B</t>
  </si>
  <si>
    <t xml:space="preserve">*SERVICIO DE RE-INSTALACION </t>
  </si>
  <si>
    <r>
      <t xml:space="preserve">COMODATO                                               </t>
    </r>
    <r>
      <rPr>
        <b/>
        <sz val="10"/>
        <color theme="1"/>
        <rFont val="Calibri Light"/>
        <family val="2"/>
        <scheme val="major"/>
      </rPr>
      <t xml:space="preserve"> Hugo Díaz - 81 1290 4608  </t>
    </r>
    <r>
      <rPr>
        <b/>
        <u/>
        <sz val="10"/>
        <color rgb="FF0070C0"/>
        <rFont val="Calibri Light"/>
        <family val="2"/>
        <scheme val="major"/>
      </rPr>
      <t xml:space="preserve">admin@bloquerafbk.com     </t>
    </r>
    <r>
      <rPr>
        <b/>
        <sz val="10"/>
        <color theme="1"/>
        <rFont val="Calibri Light"/>
        <family val="2"/>
        <scheme val="major"/>
      </rPr>
      <t xml:space="preserve">                </t>
    </r>
  </si>
  <si>
    <r>
      <rPr>
        <b/>
        <sz val="10"/>
        <color theme="1"/>
        <rFont val="Calibri Light"/>
        <family val="2"/>
        <scheme val="major"/>
      </rPr>
      <t xml:space="preserve">Georgina Gomez - 833 134 5812               Anahí Juarez - 833 104 3672 </t>
    </r>
    <r>
      <rPr>
        <b/>
        <u/>
        <sz val="10"/>
        <color theme="4" tint="-0.249977111117893"/>
        <rFont val="Calibri Light"/>
        <family val="2"/>
        <scheme val="major"/>
      </rPr>
      <t xml:space="preserve">
</t>
    </r>
    <r>
      <rPr>
        <sz val="10"/>
        <rFont val="Calibri Light"/>
        <family val="2"/>
        <scheme val="major"/>
      </rPr>
      <t>Email:</t>
    </r>
    <r>
      <rPr>
        <b/>
        <u/>
        <sz val="10"/>
        <color theme="4" tint="-0.249977111117893"/>
        <rFont val="Calibri Light"/>
        <family val="2"/>
        <scheme val="major"/>
      </rPr>
      <t>facturagmgr@gmail.com; anaiwork7@gmail.com</t>
    </r>
  </si>
  <si>
    <t xml:space="preserve">HECTOR ALANIS 
(Alejandro Tijerina) </t>
  </si>
  <si>
    <t xml:space="preserve">LA UNIDAD HA ESTADO EN MUY POCO MOVIMIENTO Y NO LES CONVENIA TENER EL GPS POR AHORA </t>
  </si>
  <si>
    <t xml:space="preserve">VISION MEDICA INTEGRAL, S.A. DE C.V.  </t>
  </si>
  <si>
    <t>CONTRATO SEGURO DE AUTO Y LE INCLUYE EL SERVICIO DE GPS</t>
  </si>
  <si>
    <t>ALIMENTOS REGIOMONTANOS PERCAM</t>
  </si>
  <si>
    <t>ARP200217G4A</t>
  </si>
  <si>
    <t>ALEJANDRO BRIONES</t>
  </si>
  <si>
    <t>ALEJANDRO BRIONES 811635 7174</t>
  </si>
  <si>
    <t>EQUIPO $1,800.00                                              MENSUALIDAD CON CANAL DE VOZ $250.00</t>
  </si>
  <si>
    <t>HONDA CR-V AZUL RNV-051-A</t>
  </si>
  <si>
    <t>VW TERRAMONT GRIS 2024</t>
  </si>
  <si>
    <t>TEJ-832-B</t>
  </si>
  <si>
    <t>TSURU BLANCO 2015</t>
  </si>
  <si>
    <t>SGA-859-A</t>
  </si>
  <si>
    <t>PAGO EL 10-AGOSTO-2024 POR TRANSFERENCIA</t>
  </si>
  <si>
    <t>WEB SERVICE</t>
  </si>
  <si>
    <t>PROATAM</t>
  </si>
  <si>
    <t xml:space="preserve">1- RETROESCAVADORA AMARILLO 410D                                             2- RETROESCAVADORA AMARILLO                                                   3- RETROESCAVADORA AMARILLO                                                   4- RETROESCAVADORA AMARILLO </t>
  </si>
  <si>
    <t xml:space="preserve">PROATAM S.A. DE C.V. </t>
  </si>
  <si>
    <t>PRO090423A59</t>
  </si>
  <si>
    <t>CHEVROLET PLATA</t>
  </si>
  <si>
    <r>
      <rPr>
        <b/>
        <sz val="10"/>
        <rFont val="Calibri Light"/>
        <family val="2"/>
        <scheme val="major"/>
      </rPr>
      <t xml:space="preserve">Jose Antonio - 899 168 0313  </t>
    </r>
    <r>
      <rPr>
        <b/>
        <u/>
        <sz val="10"/>
        <rFont val="Calibri Light"/>
        <family val="2"/>
        <scheme val="major"/>
      </rPr>
      <t xml:space="preserve">Email: </t>
    </r>
    <r>
      <rPr>
        <b/>
        <u/>
        <sz val="10"/>
        <color rgb="FF0070C0"/>
        <rFont val="Calibri Light"/>
        <family val="2"/>
        <scheme val="major"/>
      </rPr>
      <t>proatam.admon@gmail.com</t>
    </r>
  </si>
  <si>
    <t>PAGO EL 09-AGOSTO-2024 POR TRANSFERENCIA</t>
  </si>
  <si>
    <t>JOSE ANTONIO LOPEZ GARCIA                                                                                                                    899 168 0313</t>
  </si>
  <si>
    <t>PAGO EL 27-AGOSTO-2024 POR TRANSFERENCIA</t>
  </si>
  <si>
    <t>PAGO EL 26-AGOSTO-2024 EN EFECTIVO</t>
  </si>
  <si>
    <t>1- NISSAN NP300 BLANCO PN-5610-A                                          2- FORD SUPER DUTY BLANCO RN-2457-A                                  3- CHEVROLET 3500 BLANCO PT-1857-B (CON CANAL DE VOZ)                                                                                                       4- NISSAN NP300 BLANCO RG-5895-A                                             5- FORD RANGER VERDE RG-5898-A</t>
  </si>
  <si>
    <t>SE LE REALIZO UNA REVISION Y EQUIPO TENIA SARRO NO QUIZO REEMPLAZAR EQUIPO Y DA DE BAJA EL SERVICIO</t>
  </si>
  <si>
    <r>
      <t xml:space="preserve">DAVID GARCIA </t>
    </r>
    <r>
      <rPr>
        <sz val="11"/>
        <color theme="1"/>
        <rFont val="Calibri"/>
        <family val="2"/>
        <scheme val="minor"/>
      </rPr>
      <t>(Cesar Garcia)</t>
    </r>
  </si>
  <si>
    <r>
      <t xml:space="preserve">PROATAM - JOSE ANTONIO LOPEZ GARCIA </t>
    </r>
    <r>
      <rPr>
        <sz val="10"/>
        <color theme="1"/>
        <rFont val="Calibri"/>
        <family val="2"/>
        <scheme val="minor"/>
      </rPr>
      <t>(Saygar Constructora)</t>
    </r>
  </si>
  <si>
    <t>LESY841222FY9</t>
  </si>
  <si>
    <t xml:space="preserve">YOHANA ALEIDA DE LEON SALINAS </t>
  </si>
  <si>
    <t>SEPTIEMBRE'25</t>
  </si>
  <si>
    <r>
      <t xml:space="preserve">Alejandra (Mesa de control) - 81 1048 7327 Karla - 81 8014 9512 Alfredo Gonzalez - 818253 0789
</t>
    </r>
    <r>
      <rPr>
        <b/>
        <u/>
        <sz val="10"/>
        <color rgb="FF0070C0"/>
        <rFont val="Calibri"/>
        <family val="2"/>
        <scheme val="minor"/>
      </rPr>
      <t>Compras2@alyger.com; Mayra.bernal@alyger.com; embarques@alyger.com; auxiliarcontable@alyger.com</t>
    </r>
  </si>
  <si>
    <t>COBRAR MENS. EN OCT. Y 15 DIAS DE SEP, AGOSTO SIGUE SIN SER MIGRADO. JULIO, JUNIO, ABRIL Y MAYO NO SE LE COBRO PORQUE EQUIPO NO TRANSMITIA</t>
  </si>
  <si>
    <r>
      <rPr>
        <b/>
        <sz val="11"/>
        <color theme="1"/>
        <rFont val="Calibri"/>
        <family val="2"/>
        <scheme val="minor"/>
      </rPr>
      <t>DESARROLLO DE SISTEMAS EN COMERCIO EXTERIOR</t>
    </r>
    <r>
      <rPr>
        <sz val="11"/>
        <color theme="1"/>
        <rFont val="Calibri"/>
        <family val="2"/>
        <scheme val="minor"/>
      </rPr>
      <t>, S.A. DE C.V.</t>
    </r>
  </si>
  <si>
    <t>VENDIÓ LA UNIDAD</t>
  </si>
  <si>
    <t>CAMBIA A ESQUEMA MENSUAL</t>
  </si>
  <si>
    <t>COMERCIALIZADORA FUERZA CEMENTERA</t>
  </si>
  <si>
    <t>CFC221004BZ6</t>
  </si>
  <si>
    <t>GRUPO INDUSTRIAL OLEUM</t>
  </si>
  <si>
    <t xml:space="preserve">FACTURA CANCELADA, SE DIVIDE EN 3 CUENTAS </t>
  </si>
  <si>
    <t>KARLA GONZALEZ</t>
  </si>
  <si>
    <t xml:space="preserve">VERONICA CANTU CANO </t>
  </si>
  <si>
    <r>
      <t xml:space="preserve">Veronica Cantu Cano - 81 8077 1959                    Luis Mario Guzman - 81 2096 7789  </t>
    </r>
    <r>
      <rPr>
        <b/>
        <u/>
        <sz val="10"/>
        <color rgb="FF0070C0"/>
        <rFont val="Calibri Light"/>
        <family val="2"/>
        <scheme val="major"/>
      </rPr>
      <t>tapiceriaguzman99@gmail.com</t>
    </r>
  </si>
  <si>
    <t>VERONICA CANTU CANO</t>
  </si>
  <si>
    <t xml:space="preserve">VERONICA CANTU        81 8077 1959 </t>
  </si>
  <si>
    <t xml:space="preserve">KARLA GONZALEZ         81 4060 6802 </t>
  </si>
  <si>
    <t>DODGE RAM RAPID PRO MASTER BLANCO PS-8494-A</t>
  </si>
  <si>
    <t>HONDA CR-V PLATA SLU-028-A</t>
  </si>
  <si>
    <t>EQUIPO $1,000.00                                           MENSUALIDAD $250.00</t>
  </si>
  <si>
    <t>EQUIPO $2,200.00                                          MENSUALIDAD $280.00</t>
  </si>
  <si>
    <r>
      <t xml:space="preserve">Karla Gonzalez - 81 4060 6802 </t>
    </r>
    <r>
      <rPr>
        <b/>
        <u/>
        <sz val="10"/>
        <color rgb="FF0070C0"/>
        <rFont val="Calibri Light"/>
        <family val="2"/>
        <scheme val="major"/>
      </rPr>
      <t>karlagonzalez3401@gmail.com</t>
    </r>
  </si>
  <si>
    <t>JESUS HUMBERTO ALBERTO PEREZ MEDINA</t>
  </si>
  <si>
    <t xml:space="preserve">JESUS HUMBERTO 81 1236 6432 </t>
  </si>
  <si>
    <t>CHEVROLET TORNADO VAN BLANCO PY-5941-B 2024</t>
  </si>
  <si>
    <t>INSTALACIÓN $549.00                                             MENSUALIDAD $300.00</t>
  </si>
  <si>
    <r>
      <t xml:space="preserve">COMODATO                                                           Jesus Humberto - 81 1236 6432 </t>
    </r>
    <r>
      <rPr>
        <b/>
        <u/>
        <sz val="10"/>
        <color rgb="FF0070C0"/>
        <rFont val="Calibri Light"/>
        <family val="2"/>
        <scheme val="major"/>
      </rPr>
      <t>jhmedina80@hotmail.com</t>
    </r>
  </si>
  <si>
    <r>
      <t xml:space="preserve">Contactos: </t>
    </r>
    <r>
      <rPr>
        <b/>
        <sz val="11"/>
        <rFont val="Calibri"/>
        <family val="2"/>
        <scheme val="minor"/>
      </rPr>
      <t xml:space="preserve">Jose Alanis / Abigail Torres - 81 8017 4273 / 826 158 5528    </t>
    </r>
    <r>
      <rPr>
        <sz val="11"/>
        <rFont val="Calibri"/>
        <family val="2"/>
        <scheme val="minor"/>
      </rPr>
      <t xml:space="preserve">                                                                                                                                                            Email: </t>
    </r>
    <r>
      <rPr>
        <b/>
        <u/>
        <sz val="11"/>
        <rFont val="Calibri"/>
        <family val="2"/>
        <scheme val="minor"/>
      </rPr>
      <t>josepalanis2598@gmail.com; 
transportesgs77@gmail.com;
transportes.gs0022@gmail.com; 
transportes.04gs@gmail.com;</t>
    </r>
  </si>
  <si>
    <t>NO TENIA TRABAJO PARA OPERAR LAS UNIDADES</t>
  </si>
  <si>
    <t xml:space="preserve">AARON ARRATIA AGUILAR </t>
  </si>
  <si>
    <t>AARON ARRATIA AGUILAR</t>
  </si>
  <si>
    <t xml:space="preserve">AARON AGUILAR             81 2339 0793 </t>
  </si>
  <si>
    <t>MAURICIO ELIZONDO - ELGUSA DE MEXICO</t>
  </si>
  <si>
    <t xml:space="preserve">MAURICIO ELIZONDO </t>
  </si>
  <si>
    <r>
      <t xml:space="preserve">COMODATO                                                     Mauricio Elizondo - 81 8287 4346               Ricardo Widu - 81 1170 1555 </t>
    </r>
    <r>
      <rPr>
        <b/>
        <u/>
        <sz val="10"/>
        <color rgb="FF0070C0"/>
        <rFont val="Calibri Light"/>
        <family val="2"/>
        <scheme val="major"/>
      </rPr>
      <t>mauricioelz@gmail.com</t>
    </r>
  </si>
  <si>
    <t xml:space="preserve">MAURICIO ELIZONDO 81 8287 4346 </t>
  </si>
  <si>
    <t>FREIGHTLINER BLANCO PZ-6807-B</t>
  </si>
  <si>
    <t>SERGIO GONZALEZ</t>
  </si>
  <si>
    <t xml:space="preserve">SERGIO GONZALEZ  81 8654 2753 </t>
  </si>
  <si>
    <t>1- VW SAVEIRO BLANCO PR-4110-B                                                       2- NISSAN BLANCO PR-4109-B</t>
  </si>
  <si>
    <t>FABIOLA ORTIZ</t>
  </si>
  <si>
    <t xml:space="preserve">FABIOLA ORTIZ                  81 8082 4502 </t>
  </si>
  <si>
    <t>NISSAN V-DRIVE BLANCO A-277-MLC</t>
  </si>
  <si>
    <t>1- NISSAN MARCH GRIS TFK-015-B                                                                2- NISSAN VERSA BLANCO TFZ-665-B</t>
  </si>
  <si>
    <t>EDUARDO BARRANCO</t>
  </si>
  <si>
    <t xml:space="preserve">EDUARDO BARRANCO                                                                81 1630 5133 </t>
  </si>
  <si>
    <t>1- INTERNATIONAL BLANCO 88-AG-6U                                                                2- FREIGHTLINER CELESTE 18-BG-2L</t>
  </si>
  <si>
    <t>ALEJANDRO ESPINOZA</t>
  </si>
  <si>
    <r>
      <t xml:space="preserve">ANUALIDAD                                                    Alejandro Espinoza - 81 1476 5954 </t>
    </r>
    <r>
      <rPr>
        <b/>
        <u/>
        <sz val="10"/>
        <color rgb="FF0070C0"/>
        <rFont val="Calibri"/>
        <family val="2"/>
        <scheme val="minor"/>
      </rPr>
      <t>vulkamovil.admon@gmail.com</t>
    </r>
  </si>
  <si>
    <t>ALEJANDRO ESPINOZA                                              81 1476 5954</t>
  </si>
  <si>
    <t>1- NISSAN BLANCO TGS-559-B</t>
  </si>
  <si>
    <t>INSTALACIÓN $549.00                                               ANUALIDAD $3,000.00</t>
  </si>
  <si>
    <t>JAQUELIN PEÑA RIVERA</t>
  </si>
  <si>
    <t xml:space="preserve">JAQUELIN RIVERA PEÑA </t>
  </si>
  <si>
    <t xml:space="preserve">JAQUELIN PEÑA                 81 2040 1612 </t>
  </si>
  <si>
    <t>FORD FIESTA 2016 NEGRO SXW-566-B</t>
  </si>
  <si>
    <t xml:space="preserve">FACTURA 3154 CANCELADA SE REEFACTURO POR DESCUENTO </t>
  </si>
  <si>
    <t>3154, 3241</t>
  </si>
  <si>
    <t>INDUSTRIAS PERSISTA LABORO</t>
  </si>
  <si>
    <t>IPL151012RPA</t>
  </si>
  <si>
    <t>JAIR RUBINSTEIN SERRANO</t>
  </si>
  <si>
    <r>
      <t xml:space="preserve">ANUALIDAD                                                                    Jair Rubinstein - 81 2612 2282 </t>
    </r>
    <r>
      <rPr>
        <b/>
        <sz val="10"/>
        <color rgb="FF0070C0"/>
        <rFont val="Calibri Light"/>
        <family val="2"/>
        <scheme val="major"/>
      </rPr>
      <t>jair.rubinstein@outlook.com</t>
    </r>
  </si>
  <si>
    <t>JAIR RUBINSTEIN                     81 2612 2282</t>
  </si>
  <si>
    <t>EQUIPO $2,200.00                                                                           ANUALIDAD $3,000.00</t>
  </si>
  <si>
    <t>JEEP BLANCO XHV-292-C</t>
  </si>
  <si>
    <t>GMC BLANCO</t>
  </si>
  <si>
    <t>RN-5972-A</t>
  </si>
  <si>
    <t>PEUGEOT RIFTER BLANCO</t>
  </si>
  <si>
    <t>TGS-297-A</t>
  </si>
  <si>
    <t>TGK-123-B</t>
  </si>
  <si>
    <t>INDUSTRIAS PERSISTA LABORO S.A. DE C.V. (ERNESTO GOMEZ)</t>
  </si>
  <si>
    <t xml:space="preserve">INDUSTRIAS PERSISTA LABORO </t>
  </si>
  <si>
    <t xml:space="preserve">ERNESTO GOMEZ              81 2001 9256 </t>
  </si>
  <si>
    <t>INSTALACIÓN $549.00+IVA=$636.84                                             MENSUALIDAD $250.00+IVA=$290.00</t>
  </si>
  <si>
    <t>INSTALACIÓN $549.00+IVA=$636.84                                             MENSUALIDAD $300.00+IVA=$348.00</t>
  </si>
  <si>
    <t>LEONARDO HERNANDEZ RAMOS</t>
  </si>
  <si>
    <r>
      <t xml:space="preserve">Leonardo Hernandez - 81 8253 0384 / 81 1013 8313  </t>
    </r>
    <r>
      <rPr>
        <b/>
        <u/>
        <sz val="10"/>
        <color rgb="FF0070C0"/>
        <rFont val="Calibri Light"/>
        <family val="2"/>
        <scheme val="major"/>
      </rPr>
      <t>leonardoramirez1993@icloud.com</t>
    </r>
  </si>
  <si>
    <t xml:space="preserve">LEONARDO HERNANDEZ RAMOS </t>
  </si>
  <si>
    <t>LEONARDO RAMOS 81 8253 0384                   81 1013 8313</t>
  </si>
  <si>
    <t>EQUIPO $2,200.00                                                                            MENSUALIDAD $300.00</t>
  </si>
  <si>
    <t>KW AMARILLO PX-7042-B</t>
  </si>
  <si>
    <t xml:space="preserve">FORD F-150 AZUL PW-9018-B </t>
  </si>
  <si>
    <t>EQUIPO $2,150.00+IVA=$2,494.00                     MENSUALIDAD $300.00+IVA=$348.00</t>
  </si>
  <si>
    <t>EQUIPO $1,800.00                                                                      MENSUALIDAD $250.00</t>
  </si>
  <si>
    <t>EQUIPO E INSTALACIÓN $1,850.00+IVA=$2,146.00                  MENSUALIDAD $300.00+IVA=$348.00</t>
  </si>
  <si>
    <t>JULIO´25</t>
  </si>
  <si>
    <t>RETRO EXCAVADORA AMARILLO</t>
  </si>
  <si>
    <t>310J</t>
  </si>
  <si>
    <t>PABLO RODRIGUEZ</t>
  </si>
  <si>
    <r>
      <t xml:space="preserve">COMODATO                                                               </t>
    </r>
    <r>
      <rPr>
        <b/>
        <sz val="10"/>
        <color theme="1"/>
        <rFont val="Calibri Light"/>
        <family val="2"/>
        <scheme val="major"/>
      </rPr>
      <t xml:space="preserve">Pablo Rodriguez - 81 2010 3744 </t>
    </r>
    <r>
      <rPr>
        <b/>
        <u/>
        <sz val="10"/>
        <color rgb="FF0070C0"/>
        <rFont val="Calibri Light"/>
        <family val="2"/>
        <scheme val="major"/>
      </rPr>
      <t>pablordzmasper@hotmail.com</t>
    </r>
  </si>
  <si>
    <t>RENAULT LOGAN BLANCO RP-2781-A</t>
  </si>
  <si>
    <t>INSTALACIÓN $549.00+IVA=$636.84                  MENSUALIDAD $300.00+IVA=$348.00</t>
  </si>
  <si>
    <t>PABLO EMILIANO RODRIGUEZ DURAN</t>
  </si>
  <si>
    <t>RODP010907GR4</t>
  </si>
  <si>
    <t>PAGO EL 27-SEPTIEMBRE-2024 POR TRANSFERENCIA</t>
  </si>
  <si>
    <t>EDUARDO SUSTAITA MARTINEZ</t>
  </si>
  <si>
    <t xml:space="preserve">EDUARDO SUSTAITA 83 3121 3231 </t>
  </si>
  <si>
    <t>HYUNDAI GRANDi10 GRIS RMG-498-B</t>
  </si>
  <si>
    <t>INSTALACIÓN $549.00                                                               MENSUALIDAD $300.00</t>
  </si>
  <si>
    <t>EXTINTORES Y EQUIPOS MONTERREY</t>
  </si>
  <si>
    <t>EEM140131744</t>
  </si>
  <si>
    <t>EXTINTORES Y EQUIPOS MONTERREY (SERGIO GONZALEZ)</t>
  </si>
  <si>
    <t>SERVICIOS LOGISTICOS MARSEL</t>
  </si>
  <si>
    <t>SLM1811097C5</t>
  </si>
  <si>
    <t>PAGO 6 MENSUALIDADES ADELANTADAS COBRAR HASTA ABRIL 2025</t>
  </si>
  <si>
    <r>
      <t xml:space="preserve">MARIO </t>
    </r>
    <r>
      <rPr>
        <sz val="10"/>
        <color theme="1"/>
        <rFont val="Calibri"/>
        <family val="2"/>
        <scheme val="minor"/>
      </rPr>
      <t xml:space="preserve">ALBERTO </t>
    </r>
    <r>
      <rPr>
        <b/>
        <sz val="10"/>
        <color theme="1"/>
        <rFont val="Calibri"/>
        <family val="2"/>
        <scheme val="minor"/>
      </rPr>
      <t xml:space="preserve">CABALLERO </t>
    </r>
    <r>
      <rPr>
        <sz val="10"/>
        <color theme="1"/>
        <rFont val="Calibri"/>
        <family val="2"/>
        <scheme val="minor"/>
      </rPr>
      <t>GARZA</t>
    </r>
  </si>
  <si>
    <t>FERNANDO REYES HERNANDEZ</t>
  </si>
  <si>
    <t>REHF841213KC7</t>
  </si>
  <si>
    <t>FERNANDO REYES HERNANDES</t>
  </si>
  <si>
    <t xml:space="preserve">FERNANDO REYES             81 1821 3781 </t>
  </si>
  <si>
    <t>HYUNDAI GRANDi10 ROJO SNJ-376-A</t>
  </si>
  <si>
    <t>MAGG900126F3A</t>
  </si>
  <si>
    <t>GREGORY AJMEL MARTINEZ GARCIA</t>
  </si>
  <si>
    <t>GREGORY AJMEL MARTINEZ GARCIA (TEOURO TRANSPORTES)</t>
  </si>
  <si>
    <t xml:space="preserve">GREGORY MARTINEZ 81 1041 6798 </t>
  </si>
  <si>
    <t xml:space="preserve">1- PEUGEOT PARTNER BLANCO                                              2- PEUGEOT PARTNER BLANCO PM-1676-A                                   3- PEUGEOT PARTNER EXPERT BLANCO </t>
  </si>
  <si>
    <t xml:space="preserve">EDUARDO LOPEZ - VULKANIZADORA LOS GUEROS </t>
  </si>
  <si>
    <r>
      <t xml:space="preserve">Eduardo López - 82 8119 1343 </t>
    </r>
    <r>
      <rPr>
        <b/>
        <u/>
        <sz val="10"/>
        <color rgb="FF0070C0"/>
        <rFont val="Calibri Light"/>
        <family val="2"/>
        <scheme val="major"/>
      </rPr>
      <t>vulkanizadora2022@icloud.com</t>
    </r>
  </si>
  <si>
    <t xml:space="preserve">EDUARDO LOPEZ                82 8119 1343 </t>
  </si>
  <si>
    <t>EQUIPO E INSTALACIÓN DASH CAM $7,000.00                                      MENSUALIDAD $900.00</t>
  </si>
  <si>
    <t>1- NISSAN BLANCO PZ-5886-B                                                         2- NISSAN BLANCO PY-5088-B</t>
  </si>
  <si>
    <t>PROPORCIONAL DE ANUALIDAD</t>
  </si>
  <si>
    <t xml:space="preserve">RODRIGO MORENO VILLARREAL </t>
  </si>
  <si>
    <t>RODRIGO MORENO VILLARREAL</t>
  </si>
  <si>
    <t>MOVR88011143A</t>
  </si>
  <si>
    <t xml:space="preserve">RODRIGO MORENO 44 8238 8445 </t>
  </si>
  <si>
    <t>ROBERTO CARLOS AVILA GUZMAN</t>
  </si>
  <si>
    <t>AIGR7407141M5</t>
  </si>
  <si>
    <t>JOSE TAMEZ</t>
  </si>
  <si>
    <t xml:space="preserve">ROBERTO AVILA             81 8088 2340 </t>
  </si>
  <si>
    <t xml:space="preserve">HUMBERTO TAMEZ 82 61058660 </t>
  </si>
  <si>
    <t>1- KIA K3 BLANCO TCZ-051-B                                                                                                          2- AUDI A3 NEGRO SBW-225-B                                                                                                       3- TOYOTA SIENNA BLANCO SWC-491-B</t>
  </si>
  <si>
    <r>
      <rPr>
        <b/>
        <sz val="10"/>
        <rFont val="Calibri Light"/>
        <family val="2"/>
        <scheme val="major"/>
      </rPr>
      <t xml:space="preserve"> COMODATO                                                         Roberto Avila - 81 8088 2340 </t>
    </r>
    <r>
      <rPr>
        <b/>
        <u/>
        <sz val="10"/>
        <color rgb="FF0070C0"/>
        <rFont val="Calibri Light"/>
        <family val="2"/>
        <scheme val="major"/>
      </rPr>
      <t>fletes-avila@hotmail.com</t>
    </r>
  </si>
  <si>
    <t xml:space="preserve">U MEGAMEDIOS COMERCIAL S. DE R.L. DE C.V. </t>
  </si>
  <si>
    <t>Abraham Gutierrez</t>
  </si>
  <si>
    <t>ABRAHAM GUTIERREZ</t>
  </si>
  <si>
    <t>INSTALACIONES $700.00+IVA=$812.00 DES-INSTALACIONES $500.00+IVA=$580.00</t>
  </si>
  <si>
    <t xml:space="preserve">SERVICIOS EXTERNOS </t>
  </si>
  <si>
    <t>U MEGAMEDIOS COMERCIAL</t>
  </si>
  <si>
    <t>UMC2010168C3</t>
  </si>
  <si>
    <t xml:space="preserve">JOSE LOPEZ - ERIKA ANELL ACUÑA CAZARES </t>
  </si>
  <si>
    <t>EQUIPO $1,850.00                                                                      MENSUALIDAD $249.00</t>
  </si>
  <si>
    <t>JOSE LOPEZ                          81 3570 2761</t>
  </si>
  <si>
    <r>
      <t xml:space="preserve">Jose López - 81 3570 2761                               </t>
    </r>
    <r>
      <rPr>
        <b/>
        <u/>
        <sz val="10"/>
        <color rgb="FF0070C0"/>
        <rFont val="Calibri Light"/>
        <family val="2"/>
        <scheme val="major"/>
      </rPr>
      <t xml:space="preserve"> erikast.1981@gmail.com</t>
    </r>
  </si>
  <si>
    <t>JEEP CHEROKEE GRIS RKE-303-C</t>
  </si>
  <si>
    <t>INTERNATIONAL BLANCO RE-1942-B TRACTO</t>
  </si>
  <si>
    <t>FLETES ESPECIALIZADOS AGL</t>
  </si>
  <si>
    <t>FEA231019VC8</t>
  </si>
  <si>
    <t xml:space="preserve">FLETES ESPECIALIZADOS AGL </t>
  </si>
  <si>
    <t xml:space="preserve">SR. ARIEL                            81 1974 2676       </t>
  </si>
  <si>
    <t xml:space="preserve">Ismael Escareño - 81 3079 9137 </t>
  </si>
  <si>
    <t xml:space="preserve">VENDIO LA UNIDAD Y SE LA PASO AL SR. GUILLERMO QUIEN COTIZO POR 6 MESES MENSUALIDAD DE $280.00+IVA, CAMBIO A PLAN MENSUAL </t>
  </si>
  <si>
    <t>NOVIEMBRE'25</t>
  </si>
  <si>
    <r>
      <rPr>
        <b/>
        <sz val="10"/>
        <color theme="1"/>
        <rFont val="Calibri Light"/>
        <family val="2"/>
        <scheme val="major"/>
      </rPr>
      <t>Alejandro Garcia - 81 2034 3938                      Nancy Paola Perales - 8118014266</t>
    </r>
    <r>
      <rPr>
        <sz val="10"/>
        <color theme="1"/>
        <rFont val="Calibri Light"/>
        <family val="2"/>
        <scheme val="major"/>
      </rPr>
      <t xml:space="preserve">
</t>
    </r>
    <r>
      <rPr>
        <b/>
        <u/>
        <sz val="10"/>
        <color theme="4" tint="-0.249977111117893"/>
        <rFont val="Calibri Light"/>
        <family val="2"/>
        <scheme val="major"/>
      </rPr>
      <t xml:space="preserve">Alimentosregiopercam@gmail.com alimentosgupersacv@gmail.com </t>
    </r>
  </si>
  <si>
    <r>
      <rPr>
        <b/>
        <sz val="10"/>
        <color theme="1"/>
        <rFont val="Calibri Light"/>
        <family val="2"/>
        <scheme val="major"/>
      </rPr>
      <t xml:space="preserve">Candy - 81 2634 9644 </t>
    </r>
    <r>
      <rPr>
        <b/>
        <u/>
        <sz val="10"/>
        <color rgb="FF0070C0"/>
        <rFont val="Calibri Light"/>
        <family val="2"/>
        <scheme val="major"/>
      </rPr>
      <t>candymoreno@forzadelnorte.com</t>
    </r>
  </si>
  <si>
    <r>
      <t xml:space="preserve">Aleyda - 81 3402 1812                                        Rolando Ziragem 811 077 1470
812 597 2700 / 812 332 3606
</t>
    </r>
    <r>
      <rPr>
        <b/>
        <u/>
        <sz val="10"/>
        <color rgb="FF0070C0"/>
        <rFont val="Calibri Light"/>
        <family val="2"/>
        <scheme val="major"/>
      </rPr>
      <t xml:space="preserve">oficina@dexmateriales.com; rzgc@hotmail.com; rolando@dexmateriales.com; </t>
    </r>
  </si>
  <si>
    <r>
      <rPr>
        <b/>
        <sz val="10"/>
        <color theme="1"/>
        <rFont val="Calibri Light"/>
        <family val="2"/>
        <scheme val="major"/>
      </rPr>
      <t xml:space="preserve">Karla - 81 2002 4556 </t>
    </r>
    <r>
      <rPr>
        <sz val="10"/>
        <color theme="1"/>
        <rFont val="Calibri Light"/>
        <family val="2"/>
        <scheme val="major"/>
      </rPr>
      <t>Email:</t>
    </r>
    <r>
      <rPr>
        <b/>
        <u/>
        <sz val="10"/>
        <color theme="4" tint="-0.249977111117893"/>
        <rFont val="Calibri Light"/>
        <family val="2"/>
        <scheme val="major"/>
      </rPr>
      <t>administracion@equiprestmx.com</t>
    </r>
  </si>
  <si>
    <r>
      <t xml:space="preserve">COMODATO                                                           </t>
    </r>
    <r>
      <rPr>
        <b/>
        <sz val="10"/>
        <color theme="1"/>
        <rFont val="Calibri Light"/>
        <family val="2"/>
        <scheme val="major"/>
      </rPr>
      <t xml:space="preserve">Sergio Gonzalez - 81 8654 2753 </t>
    </r>
    <r>
      <rPr>
        <b/>
        <u/>
        <sz val="10"/>
        <color rgb="FF0070C0"/>
        <rFont val="Calibri Light"/>
        <family val="2"/>
        <scheme val="major"/>
      </rPr>
      <t>sergio.jr987@outlook.com</t>
    </r>
  </si>
  <si>
    <r>
      <rPr>
        <sz val="10"/>
        <color theme="1"/>
        <rFont val="Calibri Light"/>
        <family val="2"/>
        <scheme val="major"/>
      </rPr>
      <t xml:space="preserve">COMODATO     </t>
    </r>
    <r>
      <rPr>
        <b/>
        <sz val="10"/>
        <color theme="1"/>
        <rFont val="Calibri Light"/>
        <family val="2"/>
        <scheme val="major"/>
      </rPr>
      <t xml:space="preserve">                            Fernando Reyes - 81 1821 3781 Viridiana Flores - 81 1796 4130 </t>
    </r>
    <r>
      <rPr>
        <b/>
        <u/>
        <sz val="10"/>
        <color rgb="FF0070C0"/>
        <rFont val="Calibri Light"/>
        <family val="2"/>
        <scheme val="major"/>
      </rPr>
      <t>arnol84reyeshdz@gmail.com</t>
    </r>
  </si>
  <si>
    <r>
      <t xml:space="preserve">COMODATO                                                                                     </t>
    </r>
    <r>
      <rPr>
        <b/>
        <sz val="10"/>
        <color theme="1"/>
        <rFont val="Calibri Light"/>
        <family val="2"/>
        <scheme val="major"/>
      </rPr>
      <t xml:space="preserve">Sr. Ariel - 81 1974 2676    </t>
    </r>
    <r>
      <rPr>
        <sz val="10"/>
        <color theme="1"/>
        <rFont val="Calibri Light"/>
        <family val="2"/>
        <scheme val="major"/>
      </rPr>
      <t xml:space="preserve">              </t>
    </r>
    <r>
      <rPr>
        <b/>
        <u/>
        <sz val="10"/>
        <color rgb="FF0070C0"/>
        <rFont val="Calibri Light"/>
        <family val="2"/>
        <scheme val="major"/>
      </rPr>
      <t xml:space="preserve">fletesagl@gmail.com </t>
    </r>
  </si>
  <si>
    <r>
      <rPr>
        <b/>
        <sz val="10"/>
        <color theme="1"/>
        <rFont val="Calibri Light"/>
        <family val="2"/>
        <scheme val="major"/>
      </rPr>
      <t>Argelio Arrambide - 8112446019</t>
    </r>
    <r>
      <rPr>
        <sz val="10"/>
        <color theme="1"/>
        <rFont val="Calibri Light"/>
        <family val="2"/>
        <scheme val="major"/>
      </rPr>
      <t xml:space="preserve">  Email:</t>
    </r>
    <r>
      <rPr>
        <b/>
        <u/>
        <sz val="10"/>
        <color theme="4" tint="-0.249977111117893"/>
        <rFont val="Calibri Light"/>
        <family val="2"/>
        <scheme val="major"/>
      </rPr>
      <t>santaelenasadecv2021@gmail.com</t>
    </r>
  </si>
  <si>
    <r>
      <rPr>
        <b/>
        <sz val="10"/>
        <color theme="1"/>
        <rFont val="Calibri Light"/>
        <family val="2"/>
        <scheme val="major"/>
      </rPr>
      <t xml:space="preserve">Gerardo Nieto - 81 1184 1231 </t>
    </r>
    <r>
      <rPr>
        <sz val="10"/>
        <color theme="1"/>
        <rFont val="Calibri Light"/>
        <family val="2"/>
        <scheme val="major"/>
      </rPr>
      <t>Email:</t>
    </r>
    <r>
      <rPr>
        <b/>
        <u/>
        <sz val="10"/>
        <color rgb="FF0070C0"/>
        <rFont val="Calibri Light"/>
        <family val="2"/>
        <scheme val="major"/>
      </rPr>
      <t xml:space="preserve">fizz98@hotmail.com consueloer@marmolemperador.com </t>
    </r>
  </si>
  <si>
    <r>
      <t xml:space="preserve">COMODATO                                                        </t>
    </r>
    <r>
      <rPr>
        <b/>
        <sz val="10"/>
        <color theme="1"/>
        <rFont val="Calibri Light"/>
        <family val="2"/>
        <scheme val="major"/>
      </rPr>
      <t xml:space="preserve">Gregory Martínez García                            81 1041 6798                                </t>
    </r>
    <r>
      <rPr>
        <sz val="10"/>
        <color theme="1"/>
        <rFont val="Calibri Light"/>
        <family val="2"/>
        <scheme val="major"/>
      </rPr>
      <t xml:space="preserve"> </t>
    </r>
    <r>
      <rPr>
        <b/>
        <u/>
        <sz val="10"/>
        <color rgb="FF0070C0"/>
        <rFont val="Calibri Light"/>
        <family val="2"/>
        <scheme val="major"/>
      </rPr>
      <t>greck_090@hotmail.com</t>
    </r>
  </si>
  <si>
    <r>
      <rPr>
        <sz val="10"/>
        <rFont val="Calibri"/>
        <family val="2"/>
        <scheme val="minor"/>
      </rPr>
      <t xml:space="preserve">COMODATO     </t>
    </r>
    <r>
      <rPr>
        <b/>
        <sz val="10"/>
        <rFont val="Calibri"/>
        <family val="2"/>
        <scheme val="minor"/>
      </rPr>
      <t xml:space="preserve">                               Ernesto Gómez - 81 2001 9256            </t>
    </r>
    <r>
      <rPr>
        <u/>
        <sz val="10"/>
        <color theme="10"/>
        <rFont val="Calibri"/>
        <family val="2"/>
        <scheme val="minor"/>
      </rPr>
      <t xml:space="preserve">                  ernesto.gomez@sanbox.com.mx</t>
    </r>
  </si>
  <si>
    <r>
      <t xml:space="preserve">COMODATO       </t>
    </r>
    <r>
      <rPr>
        <b/>
        <sz val="10"/>
        <color theme="1"/>
        <rFont val="Calibri Light"/>
        <family val="2"/>
        <scheme val="major"/>
      </rPr>
      <t xml:space="preserve">                            Humberto Tamez - 82 6105 8660                          Jose Tamez - 81 1066 5375 </t>
    </r>
  </si>
  <si>
    <r>
      <rPr>
        <b/>
        <sz val="10"/>
        <color theme="1"/>
        <rFont val="Calibri Light"/>
        <family val="2"/>
        <scheme val="major"/>
      </rPr>
      <t xml:space="preserve">Lidia Hernández - 81 2298 3955      </t>
    </r>
    <r>
      <rPr>
        <sz val="10"/>
        <color theme="1"/>
        <rFont val="Calibri Light"/>
        <family val="2"/>
        <scheme val="major"/>
      </rPr>
      <t xml:space="preserve">                     José Hernández - 8135380343                      Yoselida Matute - 8126074089                           Lorena Carvajal - 8130521408</t>
    </r>
    <r>
      <rPr>
        <b/>
        <u/>
        <sz val="10"/>
        <color theme="4" tint="-0.249977111117893"/>
        <rFont val="Calibri Light"/>
        <family val="2"/>
        <scheme val="major"/>
      </rPr>
      <t xml:space="preserve">
jhernandez@bdbcompany.com;  bdbadministracion@bdbcompany.com;</t>
    </r>
    <r>
      <rPr>
        <b/>
        <sz val="10"/>
        <color theme="4" tint="-0.249977111117893"/>
        <rFont val="Calibri Light"/>
        <family val="2"/>
        <scheme val="major"/>
      </rPr>
      <t xml:space="preserve">                                </t>
    </r>
    <r>
      <rPr>
        <b/>
        <u/>
        <sz val="10"/>
        <color theme="4" tint="-0.249977111117893"/>
        <rFont val="Calibri Light"/>
        <family val="2"/>
        <scheme val="major"/>
      </rPr>
      <t xml:space="preserve">compras1@bdbcompany.com; administracion@bdbcompany.com </t>
    </r>
  </si>
  <si>
    <r>
      <t xml:space="preserve">COMODATO  </t>
    </r>
    <r>
      <rPr>
        <b/>
        <sz val="10"/>
        <color theme="1"/>
        <rFont val="Calibri Light"/>
        <family val="2"/>
        <scheme val="major"/>
      </rPr>
      <t xml:space="preserve">                                      Janeth Correa - 811 814 9656</t>
    </r>
    <r>
      <rPr>
        <sz val="10"/>
        <color theme="1"/>
        <rFont val="Calibri Light"/>
        <family val="2"/>
        <scheme val="major"/>
      </rPr>
      <t xml:space="preserve">
Victor Torres - 811 497 7586
</t>
    </r>
    <r>
      <rPr>
        <b/>
        <u/>
        <sz val="10"/>
        <color theme="4" tint="-0.249977111117893"/>
        <rFont val="Calibri Light"/>
        <family val="2"/>
        <scheme val="major"/>
      </rPr>
      <t xml:space="preserve">pagos@molldelvalle.com; compras@molldelvalle.com </t>
    </r>
  </si>
  <si>
    <r>
      <t xml:space="preserve">Jesús Ochoa - 8186562103 
</t>
    </r>
    <r>
      <rPr>
        <b/>
        <sz val="10"/>
        <color theme="1"/>
        <rFont val="Calibri Light"/>
        <family val="2"/>
        <scheme val="major"/>
      </rPr>
      <t>Mónica Quiroga - 8113508746</t>
    </r>
    <r>
      <rPr>
        <sz val="10"/>
        <color theme="1"/>
        <rFont val="Calibri Light"/>
        <family val="2"/>
        <scheme val="major"/>
      </rPr>
      <t xml:space="preserve">
Raúl Quiroga - 8111865309
</t>
    </r>
    <r>
      <rPr>
        <b/>
        <u/>
        <sz val="10"/>
        <color theme="4" tint="-0.249977111117893"/>
        <rFont val="Calibri Light"/>
        <family val="2"/>
        <scheme val="major"/>
      </rPr>
      <t xml:space="preserve">monica.quiroga@integralservices.mx; raul.cruz@integralservices.mx facturacion@integralservices.mx; </t>
    </r>
  </si>
  <si>
    <r>
      <t xml:space="preserve">Raquel - 81 1016 0126                                                 </t>
    </r>
    <r>
      <rPr>
        <b/>
        <sz val="10"/>
        <color theme="1"/>
        <rFont val="Calibri Light"/>
        <family val="2"/>
        <scheme val="major"/>
      </rPr>
      <t>Jose Luis Azpeitia - 81 1699 4116</t>
    </r>
    <r>
      <rPr>
        <sz val="10"/>
        <color theme="1"/>
        <rFont val="Calibri Light"/>
        <family val="2"/>
        <scheme val="major"/>
      </rPr>
      <t xml:space="preserve">
Andrés Martínez - 811 301 5807
</t>
    </r>
    <r>
      <rPr>
        <b/>
        <u/>
        <sz val="10"/>
        <color theme="4" tint="-0.249977111117893"/>
        <rFont val="Calibri Light"/>
        <family val="2"/>
        <scheme val="major"/>
      </rPr>
      <t xml:space="preserve">karla.castillo@grupocensere.com; andres.martinez@mosere.com; </t>
    </r>
  </si>
  <si>
    <r>
      <rPr>
        <b/>
        <sz val="10"/>
        <color theme="1"/>
        <rFont val="Calibri Light"/>
        <family val="2"/>
        <scheme val="major"/>
      </rPr>
      <t>Humberto C. Castro Aguilar -                            811 208 9017</t>
    </r>
    <r>
      <rPr>
        <sz val="10"/>
        <color theme="1"/>
        <rFont val="Calibri Light"/>
        <family val="2"/>
        <scheme val="major"/>
      </rPr>
      <t xml:space="preserve">
</t>
    </r>
    <r>
      <rPr>
        <b/>
        <u/>
        <sz val="10"/>
        <color theme="4" tint="-0.249977111117893"/>
        <rFont val="Calibri Light"/>
        <family val="2"/>
        <scheme val="major"/>
      </rPr>
      <t>humbertocastroaguilar@hotmail.com;</t>
    </r>
  </si>
  <si>
    <r>
      <rPr>
        <b/>
        <sz val="10"/>
        <color theme="1"/>
        <rFont val="Calibri Light"/>
        <family val="2"/>
        <scheme val="major"/>
      </rPr>
      <t>Jose A. Treviño Rocha - 811 977 6190</t>
    </r>
    <r>
      <rPr>
        <sz val="10"/>
        <color theme="1"/>
        <rFont val="Calibri Light"/>
        <family val="2"/>
        <scheme val="major"/>
      </rPr>
      <t xml:space="preserve">
</t>
    </r>
    <r>
      <rPr>
        <b/>
        <u/>
        <sz val="10"/>
        <color theme="4" tint="-0.249977111117893"/>
        <rFont val="Calibri Light"/>
        <family val="2"/>
        <scheme val="major"/>
      </rPr>
      <t xml:space="preserve">jose.trevr@gmail.com </t>
    </r>
  </si>
  <si>
    <r>
      <t xml:space="preserve">José Luis Alma guer Gonzalez - 811 185 5133                                                                                                                </t>
    </r>
    <r>
      <rPr>
        <b/>
        <sz val="10"/>
        <color theme="1"/>
        <rFont val="Calibri Light"/>
        <family val="2"/>
        <scheme val="major"/>
      </rPr>
      <t>Lucero Gomez  - 81 1185 5133</t>
    </r>
    <r>
      <rPr>
        <sz val="10"/>
        <color theme="1"/>
        <rFont val="Calibri Light"/>
        <family val="2"/>
        <scheme val="major"/>
      </rPr>
      <t xml:space="preserve">
</t>
    </r>
    <r>
      <rPr>
        <b/>
        <u/>
        <sz val="10"/>
        <color theme="4" tint="-0.249977111117893"/>
        <rFont val="Calibri Light"/>
        <family val="2"/>
        <scheme val="major"/>
      </rPr>
      <t>fresastrucking@gmail.com;</t>
    </r>
  </si>
  <si>
    <r>
      <rPr>
        <b/>
        <sz val="10"/>
        <color theme="1"/>
        <rFont val="Calibri Light"/>
        <family val="2"/>
        <scheme val="major"/>
      </rPr>
      <t xml:space="preserve">Luis Carlos Cabello Marroquin                                  8181 623142 </t>
    </r>
    <r>
      <rPr>
        <sz val="10"/>
        <color theme="1"/>
        <rFont val="Calibri Light"/>
        <family val="2"/>
        <scheme val="major"/>
      </rPr>
      <t xml:space="preserve">
</t>
    </r>
    <r>
      <rPr>
        <b/>
        <u/>
        <sz val="10"/>
        <color theme="4" tint="-0.249977111117893"/>
        <rFont val="Calibri Light"/>
        <family val="2"/>
        <scheme val="major"/>
      </rPr>
      <t>veronica_flores2003@hotmail.com;</t>
    </r>
  </si>
  <si>
    <r>
      <rPr>
        <b/>
        <sz val="10"/>
        <color theme="1"/>
        <rFont val="Calibri Light"/>
        <family val="2"/>
        <scheme val="major"/>
      </rPr>
      <t>Julio Picazo - 812 120 2564 
811 093 0071 / 811 616 0080</t>
    </r>
    <r>
      <rPr>
        <sz val="10"/>
        <color theme="1"/>
        <rFont val="Calibri Light"/>
        <family val="2"/>
        <scheme val="major"/>
      </rPr>
      <t xml:space="preserve">
</t>
    </r>
    <r>
      <rPr>
        <b/>
        <u/>
        <sz val="10"/>
        <color theme="4" tint="-0.249977111117893"/>
        <rFont val="Calibri Light"/>
        <family val="2"/>
        <scheme val="major"/>
      </rPr>
      <t xml:space="preserve">jcp-deleon@hotmail.com </t>
    </r>
  </si>
  <si>
    <r>
      <rPr>
        <b/>
        <sz val="10"/>
        <color theme="1"/>
        <rFont val="Calibri Light"/>
        <family val="2"/>
        <scheme val="major"/>
      </rPr>
      <t>Daniel Montemayor - 811 205 9083</t>
    </r>
    <r>
      <rPr>
        <sz val="10"/>
        <color theme="1"/>
        <rFont val="Calibri Light"/>
        <family val="2"/>
        <scheme val="major"/>
      </rPr>
      <t xml:space="preserve">
</t>
    </r>
    <r>
      <rPr>
        <b/>
        <u/>
        <sz val="10"/>
        <color theme="4" tint="-0.249977111117893"/>
        <rFont val="Calibri Light"/>
        <family val="2"/>
        <scheme val="major"/>
      </rPr>
      <t>danielmv89@gmail.com</t>
    </r>
  </si>
  <si>
    <r>
      <rPr>
        <b/>
        <sz val="10"/>
        <color theme="1"/>
        <rFont val="Calibri Light"/>
        <family val="2"/>
        <scheme val="major"/>
      </rPr>
      <t>Horacio Martínez - 812 690 4043</t>
    </r>
    <r>
      <rPr>
        <b/>
        <u/>
        <sz val="10"/>
        <color rgb="FFFF0000"/>
        <rFont val="Calibri Light"/>
        <family val="2"/>
        <scheme val="major"/>
      </rPr>
      <t xml:space="preserve">
</t>
    </r>
    <r>
      <rPr>
        <b/>
        <u/>
        <sz val="10"/>
        <color theme="4" tint="-0.249977111117893"/>
        <rFont val="Calibri Light"/>
        <family val="2"/>
        <scheme val="major"/>
      </rPr>
      <t xml:space="preserve"> ventas@marescargo.com;
administracion@marescargo.com;
operaciones@marescargo.com; </t>
    </r>
  </si>
  <si>
    <r>
      <rPr>
        <b/>
        <sz val="10"/>
        <color theme="1"/>
        <rFont val="Calibri Light"/>
        <family val="2"/>
        <scheme val="major"/>
      </rPr>
      <t xml:space="preserve">Abelardo Diaz - 81 2364 2470 </t>
    </r>
    <r>
      <rPr>
        <b/>
        <u/>
        <sz val="10"/>
        <color rgb="FF0070C0"/>
        <rFont val="Calibri Light"/>
        <family val="2"/>
        <scheme val="major"/>
      </rPr>
      <t>abelardodiaz2909@gmail.com</t>
    </r>
  </si>
  <si>
    <r>
      <t xml:space="preserve">COMODATO                                                         </t>
    </r>
    <r>
      <rPr>
        <b/>
        <sz val="10"/>
        <color theme="1"/>
        <rFont val="Calibri Light"/>
        <family val="2"/>
        <scheme val="major"/>
      </rPr>
      <t xml:space="preserve">Aaron Arratia Aguilar - 81 2339 0793 </t>
    </r>
    <r>
      <rPr>
        <b/>
        <u/>
        <sz val="10"/>
        <color rgb="FF0070C0"/>
        <rFont val="Calibri Light"/>
        <family val="2"/>
        <scheme val="major"/>
      </rPr>
      <t>aaronarratiaaguilarisamel12@gmail.com</t>
    </r>
  </si>
  <si>
    <r>
      <rPr>
        <b/>
        <sz val="10"/>
        <color theme="1"/>
        <rFont val="Calibri Light"/>
        <family val="2"/>
        <scheme val="major"/>
      </rPr>
      <t>Alberto Córdova - 818 020 2311</t>
    </r>
    <r>
      <rPr>
        <sz val="10"/>
        <color theme="1"/>
        <rFont val="Calibri Light"/>
        <family val="2"/>
        <scheme val="major"/>
      </rPr>
      <t xml:space="preserve">
</t>
    </r>
    <r>
      <rPr>
        <b/>
        <u/>
        <sz val="10"/>
        <color theme="4" tint="-0.249977111117893"/>
        <rFont val="Calibri Light"/>
        <family val="2"/>
        <scheme val="major"/>
      </rPr>
      <t xml:space="preserve">corsam3@prodigy.net.mx; </t>
    </r>
  </si>
  <si>
    <r>
      <rPr>
        <b/>
        <sz val="10"/>
        <color theme="1"/>
        <rFont val="Calibri Light"/>
        <family val="2"/>
        <scheme val="major"/>
      </rPr>
      <t xml:space="preserve">Aldo Alvarado - 811208 2720 </t>
    </r>
    <r>
      <rPr>
        <b/>
        <u/>
        <sz val="10"/>
        <color rgb="FF0070C0"/>
        <rFont val="Calibri Light"/>
        <family val="2"/>
        <scheme val="major"/>
      </rPr>
      <t>aldoalvaradoa29@gmail.com</t>
    </r>
  </si>
  <si>
    <r>
      <t xml:space="preserve">COMODATO                                                             </t>
    </r>
    <r>
      <rPr>
        <b/>
        <sz val="10"/>
        <color theme="1"/>
        <rFont val="Calibri Light"/>
        <family val="2"/>
        <scheme val="major"/>
      </rPr>
      <t xml:space="preserve">Azael Reyna - 81 1244 3252         </t>
    </r>
    <r>
      <rPr>
        <sz val="10"/>
        <color theme="1"/>
        <rFont val="Calibri Light"/>
        <family val="2"/>
        <scheme val="major"/>
      </rPr>
      <t xml:space="preserve">                          </t>
    </r>
    <r>
      <rPr>
        <b/>
        <u/>
        <sz val="10"/>
        <color rgb="FF0070C0"/>
        <rFont val="Calibri Light"/>
        <family val="2"/>
        <scheme val="major"/>
      </rPr>
      <t>reynaasael76@gmail.com</t>
    </r>
  </si>
  <si>
    <r>
      <rPr>
        <b/>
        <sz val="10"/>
        <color theme="1"/>
        <rFont val="Calibri Light"/>
        <family val="2"/>
        <scheme val="major"/>
      </rPr>
      <t xml:space="preserve">Katia Nava - 81 2179 0300 </t>
    </r>
    <r>
      <rPr>
        <b/>
        <u/>
        <sz val="10"/>
        <color rgb="FF0070C0"/>
        <rFont val="Calibri Light"/>
        <family val="2"/>
        <scheme val="major"/>
      </rPr>
      <t>admon.hd.22@gmail.com</t>
    </r>
  </si>
  <si>
    <r>
      <rPr>
        <b/>
        <sz val="10"/>
        <color theme="1"/>
        <rFont val="Calibri Light"/>
        <family val="2"/>
        <scheme val="major"/>
      </rPr>
      <t xml:space="preserve">Carlos Gonzalez - 81 1975 0467 </t>
    </r>
    <r>
      <rPr>
        <b/>
        <u/>
        <sz val="10"/>
        <color rgb="FF0070C0"/>
        <rFont val="Calibri Light"/>
        <family val="2"/>
        <scheme val="major"/>
      </rPr>
      <t>carlitos_gzzb@hotmail.com</t>
    </r>
  </si>
  <si>
    <r>
      <rPr>
        <b/>
        <sz val="10"/>
        <color theme="1"/>
        <rFont val="Calibri Light"/>
        <family val="2"/>
        <scheme val="major"/>
      </rPr>
      <t>Cesar Tamez  81 8092</t>
    </r>
    <r>
      <rPr>
        <b/>
        <sz val="10"/>
        <rFont val="Calibri Light"/>
        <family val="2"/>
        <scheme val="major"/>
      </rPr>
      <t xml:space="preserve"> 7624 </t>
    </r>
    <r>
      <rPr>
        <b/>
        <u/>
        <sz val="10"/>
        <color theme="4" tint="-0.249977111117893"/>
        <rFont val="Calibri Light"/>
        <family val="2"/>
        <scheme val="major"/>
      </rPr>
      <t>Tamezguzmancesar@gmail.com</t>
    </r>
  </si>
  <si>
    <r>
      <t xml:space="preserve">COMODATO                                                      </t>
    </r>
    <r>
      <rPr>
        <b/>
        <sz val="10"/>
        <color theme="1"/>
        <rFont val="Calibri Light"/>
        <family val="2"/>
        <scheme val="major"/>
      </rPr>
      <t xml:space="preserve">Eduardo Barranco - 81 1630 5133 </t>
    </r>
    <r>
      <rPr>
        <b/>
        <u/>
        <sz val="10"/>
        <color rgb="FF0070C0"/>
        <rFont val="Calibri Light"/>
        <family val="2"/>
        <scheme val="major"/>
      </rPr>
      <t>ebarrancon.eb@gmail.com</t>
    </r>
  </si>
  <si>
    <r>
      <rPr>
        <b/>
        <sz val="10"/>
        <color theme="1"/>
        <rFont val="Calibri Light"/>
        <family val="2"/>
        <scheme val="major"/>
      </rPr>
      <t>Eduardo Cortez - 8120771535</t>
    </r>
    <r>
      <rPr>
        <sz val="10"/>
        <color theme="1"/>
        <rFont val="Calibri Light"/>
        <family val="2"/>
        <scheme val="major"/>
      </rPr>
      <t xml:space="preserve">
</t>
    </r>
    <r>
      <rPr>
        <b/>
        <u/>
        <sz val="10"/>
        <color theme="4" tint="-0.249977111117893"/>
        <rFont val="Calibri Light"/>
        <family val="2"/>
        <scheme val="major"/>
      </rPr>
      <t xml:space="preserve">facemva@hotmail.com </t>
    </r>
  </si>
  <si>
    <r>
      <t xml:space="preserve">COMODATO                                                      </t>
    </r>
    <r>
      <rPr>
        <b/>
        <sz val="10"/>
        <color theme="1"/>
        <rFont val="Calibri Light"/>
        <family val="2"/>
        <scheme val="major"/>
      </rPr>
      <t xml:space="preserve">Eduardo Sustaita - 83 3121 3231 </t>
    </r>
    <r>
      <rPr>
        <b/>
        <u/>
        <sz val="10"/>
        <color rgb="FF0070C0"/>
        <rFont val="Calibri Light"/>
        <family val="2"/>
        <scheme val="major"/>
      </rPr>
      <t>esustaita1995@gmail.com</t>
    </r>
    <r>
      <rPr>
        <sz val="10"/>
        <color theme="1"/>
        <rFont val="Calibri Light"/>
        <family val="2"/>
        <scheme val="major"/>
      </rPr>
      <t xml:space="preserve"> </t>
    </r>
  </si>
  <si>
    <r>
      <rPr>
        <b/>
        <sz val="10"/>
        <color theme="1"/>
        <rFont val="Calibri Light"/>
        <family val="2"/>
        <scheme val="major"/>
      </rPr>
      <t>Elena Morales Valencia - 811 004 8906</t>
    </r>
    <r>
      <rPr>
        <sz val="10"/>
        <color theme="1"/>
        <rFont val="Calibri Light"/>
        <family val="2"/>
        <scheme val="major"/>
      </rPr>
      <t xml:space="preserve">
</t>
    </r>
    <r>
      <rPr>
        <b/>
        <u/>
        <sz val="10"/>
        <color theme="4" tint="-0.249977111117893"/>
        <rFont val="Calibri Light"/>
        <family val="2"/>
        <scheme val="major"/>
      </rPr>
      <t xml:space="preserve">elenajr2020@gmail.com; </t>
    </r>
  </si>
  <si>
    <r>
      <rPr>
        <b/>
        <sz val="10"/>
        <color theme="1"/>
        <rFont val="Calibri Light"/>
        <family val="2"/>
        <scheme val="major"/>
      </rPr>
      <t>Eleazar Alfaro - 811 811 5684</t>
    </r>
    <r>
      <rPr>
        <sz val="10"/>
        <color theme="1"/>
        <rFont val="Calibri Light"/>
        <family val="2"/>
        <scheme val="major"/>
      </rPr>
      <t xml:space="preserve">
</t>
    </r>
    <r>
      <rPr>
        <b/>
        <u/>
        <sz val="10"/>
        <color theme="4" tint="-0.249977111117893"/>
        <rFont val="Calibri Light"/>
        <family val="2"/>
        <scheme val="major"/>
      </rPr>
      <t xml:space="preserve">transportesyfletes@live.com </t>
    </r>
  </si>
  <si>
    <r>
      <rPr>
        <b/>
        <sz val="10"/>
        <color theme="1"/>
        <rFont val="Calibri Light"/>
        <family val="2"/>
        <scheme val="major"/>
      </rPr>
      <t xml:space="preserve">Eleodoro Aguirre - 81 4005 6755 </t>
    </r>
    <r>
      <rPr>
        <b/>
        <u/>
        <sz val="10"/>
        <color rgb="FF0070C0"/>
        <rFont val="Calibri Light"/>
        <family val="2"/>
        <scheme val="major"/>
      </rPr>
      <t>eleodoro.av@gmail.com</t>
    </r>
  </si>
  <si>
    <r>
      <rPr>
        <sz val="10"/>
        <rFont val="Calibri Light"/>
        <family val="2"/>
        <scheme val="major"/>
      </rPr>
      <t xml:space="preserve">COMODATO                                                          </t>
    </r>
    <r>
      <rPr>
        <b/>
        <sz val="10"/>
        <rFont val="Calibri Light"/>
        <family val="2"/>
        <scheme val="major"/>
      </rPr>
      <t xml:space="preserve">Fabiola Ortiz - 81 8082 4502 </t>
    </r>
    <r>
      <rPr>
        <b/>
        <u/>
        <sz val="10"/>
        <color rgb="FF0070C0"/>
        <rFont val="Calibri Light"/>
        <family val="2"/>
        <scheme val="major"/>
      </rPr>
      <t>fabiola.rojas15@hotmail.com</t>
    </r>
  </si>
  <si>
    <r>
      <rPr>
        <b/>
        <sz val="10"/>
        <color theme="1"/>
        <rFont val="Calibri Light"/>
        <family val="2"/>
        <scheme val="major"/>
      </rPr>
      <t xml:space="preserve">Irely Bernal - 844 104 0014     </t>
    </r>
    <r>
      <rPr>
        <sz val="10"/>
        <color theme="1"/>
        <rFont val="Calibri Light"/>
        <family val="2"/>
        <scheme val="major"/>
      </rPr>
      <t xml:space="preserve">                        Alejandro Bocanegra - 81 8683 3920 </t>
    </r>
    <r>
      <rPr>
        <b/>
        <u/>
        <sz val="10"/>
        <color rgb="FF0070C0"/>
        <rFont val="Calibri Light"/>
        <family val="2"/>
        <scheme val="major"/>
      </rPr>
      <t>luisbj.silverconstrucciones@gmail.com</t>
    </r>
  </si>
  <si>
    <r>
      <rPr>
        <b/>
        <sz val="10"/>
        <rFont val="Calibri Light"/>
        <family val="2"/>
        <scheme val="major"/>
      </rPr>
      <t xml:space="preserve">Guillermo Villarreal - 81 8010 7260 </t>
    </r>
    <r>
      <rPr>
        <b/>
        <u/>
        <sz val="10"/>
        <color rgb="FF0070C0"/>
        <rFont val="Calibri Light"/>
        <family val="2"/>
        <scheme val="major"/>
      </rPr>
      <t>memo.villarreal82@gmail.com</t>
    </r>
  </si>
  <si>
    <r>
      <t xml:space="preserve">COMODATO                                                      </t>
    </r>
    <r>
      <rPr>
        <b/>
        <sz val="10"/>
        <rFont val="Calibri Light"/>
        <family val="2"/>
        <scheme val="major"/>
      </rPr>
      <t xml:space="preserve">Jaquelin Peña - 81 2040 1612 </t>
    </r>
    <r>
      <rPr>
        <b/>
        <u/>
        <sz val="10"/>
        <color rgb="FF0070C0"/>
        <rFont val="Calibri Light"/>
        <family val="2"/>
        <scheme val="major"/>
      </rPr>
      <t>jocelynerivera87@gmail.com</t>
    </r>
  </si>
  <si>
    <t>RAUL MURO RODRIGUEZ</t>
  </si>
  <si>
    <t>MURR7211168T1</t>
  </si>
  <si>
    <t xml:space="preserve">TRACTO TRANSPORTES FRASAGA - ISMAEL ESCAREÑO </t>
  </si>
  <si>
    <t>TRACTO TRANSPORTES FRASAGA</t>
  </si>
  <si>
    <t>RAUL MURO RODRIGUEZ - EDGAR MURO</t>
  </si>
  <si>
    <r>
      <rPr>
        <sz val="10"/>
        <rFont val="Calibri Light"/>
        <family val="2"/>
        <scheme val="major"/>
      </rPr>
      <t xml:space="preserve">COMODATO  </t>
    </r>
    <r>
      <rPr>
        <b/>
        <sz val="10"/>
        <rFont val="Calibri Light"/>
        <family val="2"/>
        <scheme val="major"/>
      </rPr>
      <t xml:space="preserve">                               Edgar Muro - 81 2255 3176 </t>
    </r>
    <r>
      <rPr>
        <b/>
        <u/>
        <sz val="10"/>
        <color theme="10"/>
        <rFont val="Calibri Light"/>
        <family val="2"/>
        <scheme val="major"/>
      </rPr>
      <t>transportesmuro@hotmail.com</t>
    </r>
  </si>
  <si>
    <t xml:space="preserve">EDGAR MURO                   81 2255 3176 </t>
  </si>
  <si>
    <t>1- FREIGHTLINER VERDE 22-AE-5P COLUMBIA 02                         2- FREIGHTLINER BLANCO 81-BE-5R CASCADIA 04</t>
  </si>
  <si>
    <t xml:space="preserve"> 1- DODGE RAM BLANCO 86-BF-6S                                                                          2- DODGE RAM BLANCO 85-BF-6S                                                     3- DODGE RAM BLANCO 84-BF-6S #12                                                4- DODGE RAM BLANCO 83-BF-6S #01                                                 </t>
  </si>
  <si>
    <t>SITELECOM SERVICIOS DE INGENIERIA Y TELECOMUNICACIONES</t>
  </si>
  <si>
    <t>SSI170529CV4</t>
  </si>
  <si>
    <t>ALEJANDRO                            77 1393 3704</t>
  </si>
  <si>
    <t>JUAN MEJIA HERNANDEZ</t>
  </si>
  <si>
    <r>
      <t xml:space="preserve">Juan Mejia - 44 2160 1772                                       </t>
    </r>
    <r>
      <rPr>
        <b/>
        <u/>
        <sz val="10"/>
        <color rgb="FF0070C0"/>
        <rFont val="Calibri Light"/>
        <family val="2"/>
        <scheme val="major"/>
      </rPr>
      <t>mejiahj@hotmail.com</t>
    </r>
  </si>
  <si>
    <t>MEHJ680915TTA</t>
  </si>
  <si>
    <t xml:space="preserve">JUAN MEJIA HDZ           44 2160 1772 </t>
  </si>
  <si>
    <t>EQUIPO E INSTALACIÓN $1,850.00+IVA=$2,146.00                  MENSUALIDAD $200.00+IVA=$232.00</t>
  </si>
  <si>
    <t>HINO BLANCO ST-1612-D</t>
  </si>
  <si>
    <t>RODOLFO SAUCEDO</t>
  </si>
  <si>
    <r>
      <t xml:space="preserve">Rodolfo Saucedo - 81 1953 8265 </t>
    </r>
    <r>
      <rPr>
        <b/>
        <u/>
        <sz val="10"/>
        <color rgb="FF0070C0"/>
        <rFont val="Calibri Light"/>
        <family val="2"/>
        <scheme val="major"/>
      </rPr>
      <t>rodolfosaucedo1@hotmial.com</t>
    </r>
  </si>
  <si>
    <t>1- CUATRIMOTO NEGRO                                                                   2- MG5 BLANCO TGB-635-A                                                              3- VW TIGUAN NEGRO RKT-985-C</t>
  </si>
  <si>
    <t>1- NISSAN CELESTE PY-4965-A P-113                                      2- DODGE RAM BLANCO PW-9840-B P-404                                      3- NISSAN CELESTE JW-72-230 P-115                                            4- DODGE RAM BLANCO PH-8933-B P-301                                    5- HINO CELESTE PZ-8067-A P-402                                                  6- NISSAN CELESTE PR-4813-A P-114                                                7- FOTON AUMARK CELESTE RN- 4789-A P-403                                     8- NISSAN ROJO PW-2193-B ER-01                                                  9- CHEVROLET BLANCO PH-8932-B P-151                                   10- FREIGHTLINER AMARILLO PX-9235-B 2015 CASCADIA</t>
  </si>
  <si>
    <t>DANIEL FLORES OVIEDO</t>
  </si>
  <si>
    <r>
      <t xml:space="preserve">Daniel Flores - 81 2971 9919 </t>
    </r>
    <r>
      <rPr>
        <b/>
        <u/>
        <sz val="10"/>
        <color rgb="FF0070C0"/>
        <rFont val="Calibri Light"/>
        <family val="2"/>
        <scheme val="major"/>
      </rPr>
      <t>floresoviedo86@gmail.com</t>
    </r>
  </si>
  <si>
    <t xml:space="preserve">DANIEL FLORES                  81 2971 9919 </t>
  </si>
  <si>
    <t>EQUIPO $1,850.00                                                                   MENSUALIDAD $299.00</t>
  </si>
  <si>
    <t>TORTON BLANCO PV-2273-B</t>
  </si>
  <si>
    <t>MIGUEL RAMIREZ</t>
  </si>
  <si>
    <r>
      <t xml:space="preserve">Miguel Ramirez - 82 6106 6890 </t>
    </r>
    <r>
      <rPr>
        <b/>
        <u/>
        <sz val="10"/>
        <color rgb="FF0070C0"/>
        <rFont val="Calibri Light"/>
        <family val="2"/>
        <scheme val="major"/>
      </rPr>
      <t>miguelrmz1997@gmail.com</t>
    </r>
  </si>
  <si>
    <t xml:space="preserve">MIGUEL RAMIREZ          82 6106 6890 </t>
  </si>
  <si>
    <t>EQUIPO $1,850.00                                                                   MENSUALIDAD $300.00</t>
  </si>
  <si>
    <t>NISSAN BLANCO PV-9288-B</t>
  </si>
  <si>
    <t>ANDRES CORONADO</t>
  </si>
  <si>
    <t>EQUIPO $2,100.00                                              MENSUALIDAD $150.00</t>
  </si>
  <si>
    <t>FORD FUSION ARENA SBU-767-B</t>
  </si>
  <si>
    <t>RODOLFO SAUCEDO 81 1953 8265</t>
  </si>
  <si>
    <t>EQUIPO $1,850.00                                                                   MENSUALIDAD $300.00 CON MICROFONO</t>
  </si>
  <si>
    <t>INFINITO Q70 GRIS RTC-901-A 2017</t>
  </si>
  <si>
    <r>
      <t xml:space="preserve">Jonathan Rivera - 81 1696 5321 </t>
    </r>
    <r>
      <rPr>
        <b/>
        <u/>
        <sz val="10"/>
        <color rgb="FF0070C0"/>
        <rFont val="Calibri Light"/>
        <family val="2"/>
        <scheme val="major"/>
      </rPr>
      <t>jonathanrivera22929@gmail.com</t>
    </r>
  </si>
  <si>
    <t>CARLOS JONATHAN MARTINEZ RIVERA</t>
  </si>
  <si>
    <t>EQUIPO $1,850.00+IVA=$2,146.00                                                                   MENSUALIDAD $300.00+IVA=$348.00</t>
  </si>
  <si>
    <t>FORD TRANSIT AZUL RE-5956-B</t>
  </si>
  <si>
    <t>JONATHAN RIVERA   81 1696 5321</t>
  </si>
  <si>
    <r>
      <rPr>
        <sz val="10"/>
        <color theme="1"/>
        <rFont val="Calibri"/>
        <family val="2"/>
        <scheme val="minor"/>
      </rPr>
      <t xml:space="preserve">CARLOS </t>
    </r>
    <r>
      <rPr>
        <b/>
        <sz val="10"/>
        <color theme="1"/>
        <rFont val="Calibri"/>
        <family val="2"/>
        <scheme val="minor"/>
      </rPr>
      <t xml:space="preserve">JONATHAN </t>
    </r>
    <r>
      <rPr>
        <sz val="10"/>
        <color theme="1"/>
        <rFont val="Calibri"/>
        <family val="2"/>
        <scheme val="minor"/>
      </rPr>
      <t>MARTINEZ</t>
    </r>
    <r>
      <rPr>
        <b/>
        <sz val="10"/>
        <color theme="1"/>
        <rFont val="Calibri"/>
        <family val="2"/>
        <scheme val="minor"/>
      </rPr>
      <t xml:space="preserve"> RIVERA</t>
    </r>
  </si>
  <si>
    <r>
      <t xml:space="preserve">MARIO ALEJANDRO GONZALEZ GALLEGOS </t>
    </r>
    <r>
      <rPr>
        <sz val="11"/>
        <color theme="1"/>
        <rFont val="Calibri"/>
        <family val="2"/>
        <scheme val="minor"/>
      </rPr>
      <t>(Mario Garcia)</t>
    </r>
  </si>
  <si>
    <t>JUAN FRANCISCO BRIAGAS</t>
  </si>
  <si>
    <t>Juan Francisco Briagas - 81 1471 6448</t>
  </si>
  <si>
    <t xml:space="preserve">JUAN FRANCISCO          81 1471 6448 </t>
  </si>
  <si>
    <t>NISSAN SENTRA BLANCO 2019 SAN-576-A</t>
  </si>
  <si>
    <t xml:space="preserve">PDTE 1 INSTALACION YA PAGADA SOLO COBRAR PROP. CUANDO SE INSTALE </t>
  </si>
  <si>
    <t>PDTE. 1 DES-INST. YA PAGADA</t>
  </si>
  <si>
    <t xml:space="preserve">VENCIMIENTO DE VIDA DEL EQUIPO </t>
  </si>
  <si>
    <t>TTF181109EQ1</t>
  </si>
  <si>
    <r>
      <rPr>
        <b/>
        <sz val="10"/>
        <rFont val="Calibri Light"/>
        <family val="2"/>
        <scheme val="major"/>
      </rPr>
      <t xml:space="preserve">Guillermo Rehlaender - 81 1516 3077    </t>
    </r>
    <r>
      <rPr>
        <sz val="10"/>
        <rFont val="Calibri Light"/>
        <family val="2"/>
        <scheme val="major"/>
      </rPr>
      <t xml:space="preserve">                                                                          Yair Martinez - 81 3561 1076 </t>
    </r>
  </si>
  <si>
    <t>JUAN LOPEZ</t>
  </si>
  <si>
    <t>Juan López - 921 409 8554</t>
  </si>
  <si>
    <t xml:space="preserve">JUAN LOPEZ                         921 409 8554 </t>
  </si>
  <si>
    <t>Andres Coronado - 81 8270 6372</t>
  </si>
  <si>
    <t>ALFONSO CABRERA HERNANDEZ</t>
  </si>
  <si>
    <r>
      <t xml:space="preserve">Alfonso Cabrera - 81 2355 1589 </t>
    </r>
    <r>
      <rPr>
        <b/>
        <u/>
        <sz val="10"/>
        <color rgb="FF0070C0"/>
        <rFont val="Calibri Light"/>
        <family val="2"/>
        <scheme val="major"/>
      </rPr>
      <t>megaestructuras2@gmail.com</t>
    </r>
  </si>
  <si>
    <r>
      <t xml:space="preserve">ANUALIDAD                                     Silvia Castillo - 811 157 3946 / 811 044 6807
</t>
    </r>
    <r>
      <rPr>
        <b/>
        <u/>
        <sz val="10"/>
        <color rgb="FF0070C0"/>
        <rFont val="Calibri"/>
        <family val="2"/>
        <scheme val="minor"/>
      </rPr>
      <t xml:space="preserve">powertruck.monterrey@gmail.com </t>
    </r>
  </si>
  <si>
    <t xml:space="preserve">Raymundo Hernández - 81 2631 6278 </t>
  </si>
  <si>
    <t>CLIENTES LIQUIDARON SU CUENTA</t>
  </si>
  <si>
    <t>ISABELLA ORTEGA
(AUTOS SALE JR´S)</t>
  </si>
  <si>
    <t>CHEVROLET SUBURBAN</t>
  </si>
  <si>
    <t>EZD-016-C</t>
  </si>
  <si>
    <t>1- TOYOTA HIACE BLANCO SGE-458-B 2015                                 2- TOYOTA SIENNA BLANCO RUM-690-B</t>
  </si>
  <si>
    <r>
      <rPr>
        <b/>
        <sz val="10"/>
        <color theme="1"/>
        <rFont val="Calibri Light"/>
        <family val="2"/>
        <scheme val="major"/>
      </rPr>
      <t>Anahy Zuñiga - 81 8276 6676</t>
    </r>
    <r>
      <rPr>
        <sz val="10"/>
        <color theme="1"/>
        <rFont val="Calibri Light"/>
        <family val="2"/>
        <scheme val="major"/>
      </rPr>
      <t xml:space="preserve">                        Ricardo Fdz Gzz - 81 8287 6522 COMODATO                       </t>
    </r>
    <r>
      <rPr>
        <b/>
        <u/>
        <sz val="10"/>
        <color theme="8" tint="-0.249977111117893"/>
        <rFont val="Calibri Light"/>
        <family val="2"/>
        <scheme val="major"/>
      </rPr>
      <t xml:space="preserve"> ricardo@lideresgf.mx</t>
    </r>
  </si>
  <si>
    <t xml:space="preserve">ANDRES CORONADO 81 8270 6372 </t>
  </si>
  <si>
    <t xml:space="preserve">1- INTERNATIONAL BLANCO 84-AY-2W                                                                                        2- INTERNATIONAL BLANCO 25-BE-9R                                                                                           3- FREIGHTLINER BLANCO 36-BF-9P                                                                                                 4- DODGE RAM BLANCO 40-AX-6Z                                                                                                 5- FORD SUPER DUTY BLANCO 34-AM-9Y                                       6- NISSAN BLANCO PR-2876-B </t>
  </si>
  <si>
    <t>PATRICIO CANTÚ</t>
  </si>
  <si>
    <t>COMODATO                                                         Patricio Cantú - 81 1639 7420</t>
  </si>
  <si>
    <t xml:space="preserve">PATRICIO CANTÚ                 81 1639 7420 </t>
  </si>
  <si>
    <t>1- PEUGEOT PARTNER BLANCO RE-6738-B                                      2- PEUGEOT PARTNER BLANCO RE-6688-B                                        3- SEAT IBIZA BLANCO RNA-005-A</t>
  </si>
  <si>
    <r>
      <rPr>
        <b/>
        <sz val="10"/>
        <rFont val="Calibri Light"/>
        <family val="2"/>
        <scheme val="major"/>
      </rPr>
      <t xml:space="preserve">Sandra Aparicio - 81 1065 9968 Eliezer Martínez - 81 8252 5473 </t>
    </r>
    <r>
      <rPr>
        <b/>
        <u/>
        <sz val="10"/>
        <color theme="4" tint="-0.249977111117893"/>
        <rFont val="Calibri Light"/>
        <family val="2"/>
        <scheme val="major"/>
      </rPr>
      <t>elterreno@prodigy.net.mx</t>
    </r>
  </si>
  <si>
    <t>CAT 416</t>
  </si>
  <si>
    <t>REEMPLAZO DE EQUIPO Y REVISON</t>
  </si>
  <si>
    <r>
      <t xml:space="preserve">Contacto: </t>
    </r>
    <r>
      <rPr>
        <b/>
        <sz val="10"/>
        <color theme="1"/>
        <rFont val="Calibri Light"/>
        <family val="2"/>
        <scheme val="major"/>
      </rPr>
      <t>Cesar Rodriguez</t>
    </r>
    <r>
      <rPr>
        <sz val="10"/>
        <color theme="1"/>
        <rFont val="Calibri Light"/>
        <family val="2"/>
        <scheme val="major"/>
      </rPr>
      <t xml:space="preserve">                      Teléfono:  </t>
    </r>
    <r>
      <rPr>
        <b/>
        <sz val="10"/>
        <color theme="1"/>
        <rFont val="Calibri Light"/>
        <family val="2"/>
        <scheme val="major"/>
      </rPr>
      <t xml:space="preserve">81 3088 0606 </t>
    </r>
    <r>
      <rPr>
        <b/>
        <u/>
        <sz val="10"/>
        <color rgb="FF0070C0"/>
        <rFont val="Calibri Light"/>
        <family val="2"/>
        <scheme val="major"/>
      </rPr>
      <t>Proveedores@cbrlogistics.com</t>
    </r>
    <r>
      <rPr>
        <b/>
        <sz val="10"/>
        <color theme="1"/>
        <rFont val="Calibri Light"/>
        <family val="2"/>
        <scheme val="major"/>
      </rPr>
      <t xml:space="preserve"> </t>
    </r>
    <r>
      <rPr>
        <b/>
        <u/>
        <sz val="10"/>
        <color rgb="FF0070C0"/>
        <rFont val="Calibri Light"/>
        <family val="2"/>
        <scheme val="major"/>
      </rPr>
      <t>cesar.rdz@cbrlogistics.com</t>
    </r>
  </si>
  <si>
    <t>PAGO EL 11-NOVIEMBRE-2024 POR TRANSFERENCIA</t>
  </si>
  <si>
    <t>PAGO EL 15-NOVIEMBRE-2024 POR TRANSFERENCIA</t>
  </si>
  <si>
    <t>KARLA ZEBETH CLEMENTINA PEÑA MACIAS</t>
  </si>
  <si>
    <t>PEMK891030JA8</t>
  </si>
  <si>
    <t>KARLA ZEBETH CLEMENTINA PEÑA MACIAS (EDUARDO ALMAGUER)</t>
  </si>
  <si>
    <r>
      <t xml:space="preserve">Eduardo Almaguer - 81 2920 4044 </t>
    </r>
    <r>
      <rPr>
        <b/>
        <u/>
        <sz val="10"/>
        <color rgb="FF0070C0"/>
        <rFont val="Calibri Light"/>
        <family val="2"/>
        <scheme val="major"/>
      </rPr>
      <t>abelardoalmaguer1991@gmail.com</t>
    </r>
  </si>
  <si>
    <t>EDUARDO ALMAGUER                                                                            81 2920 4044</t>
  </si>
  <si>
    <t>FREIGHTLINER</t>
  </si>
  <si>
    <t>FERNANDO CARRILLO</t>
  </si>
  <si>
    <r>
      <t xml:space="preserve">Fernando Carrillo - 81 2036 9793 </t>
    </r>
    <r>
      <rPr>
        <b/>
        <u/>
        <sz val="10"/>
        <color rgb="FF0070C0"/>
        <rFont val="Calibri Light"/>
        <family val="2"/>
        <scheme val="major"/>
      </rPr>
      <t>fcarrillo9201@gmail.com</t>
    </r>
  </si>
  <si>
    <t xml:space="preserve">FERNANDO CARRILLO                                                                        81 2036 9793 </t>
  </si>
  <si>
    <t>EQUIPO $1,850.00                                                           MENSUALIDAD $300.00</t>
  </si>
  <si>
    <t>1- DODGE RAM BLANCO RB-6221-A</t>
  </si>
  <si>
    <t>CPA190513GW1</t>
  </si>
  <si>
    <t>CONTINENTAL PARABELLUM</t>
  </si>
  <si>
    <t>CONTINENTAL PARABELLUM - GRUPO SAR</t>
  </si>
  <si>
    <t>JOSE MARIO CABALLERO ALMAGUER</t>
  </si>
  <si>
    <r>
      <t xml:space="preserve">Jose  Mario Caballero Almaguer - 81 2921 0847 </t>
    </r>
    <r>
      <rPr>
        <b/>
        <u/>
        <sz val="10"/>
        <color rgb="FF0070C0"/>
        <rFont val="Calibri Light"/>
        <family val="2"/>
        <scheme val="major"/>
      </rPr>
      <t xml:space="preserve">caballeroalmaguerjose@gmail.com </t>
    </r>
  </si>
  <si>
    <t>MIGRACION</t>
  </si>
  <si>
    <t>MIGRACIÓN $650.00                                                             MENSUALIDAD $300.00</t>
  </si>
  <si>
    <t>KW ROJO/BLANCO 65-AC-7R CA-109</t>
  </si>
  <si>
    <t>1- HYUNDAI GRAND i10 BLANCO SLA-812-A                                   2- TOYOTA CAMRY BLANCO SUR-425-A                                           3- TOYOTA AVANZA SPD-743-B                                                         4- CAMION BOMBEROS BLANCO RP-9062-A 3001                      5- CHEVROLET SUBURBAN BLANCO SHF-574-B</t>
  </si>
  <si>
    <t>CHEVROLET BEAT PLATA</t>
  </si>
  <si>
    <t>FBA-899-C</t>
  </si>
  <si>
    <r>
      <rPr>
        <b/>
        <sz val="10"/>
        <rFont val="Calibri Light"/>
        <family val="2"/>
        <scheme val="major"/>
      </rPr>
      <t xml:space="preserve">Alan Rodriguez </t>
    </r>
    <r>
      <rPr>
        <b/>
        <u/>
        <sz val="10"/>
        <color rgb="FF0070C0"/>
        <rFont val="Calibri Light"/>
        <family val="2"/>
        <scheme val="major"/>
      </rPr>
      <t xml:space="preserve"> finanzas.gposar@gmail.com</t>
    </r>
  </si>
  <si>
    <t>JOSE GUADALUPE PEREZ GARCIA</t>
  </si>
  <si>
    <t>Jose Guadalupe Perez - 81 1214 8882</t>
  </si>
  <si>
    <t>JOSE GUADALUPE              81 1214 8882</t>
  </si>
  <si>
    <t>EQUIPO $2,200.00                                               MENSUALIDAD $300.00</t>
  </si>
  <si>
    <t>HONDA CRV CAFÉ SMH-475-A</t>
  </si>
  <si>
    <r>
      <t xml:space="preserve">Alberto Perez - 81811 82389                                </t>
    </r>
    <r>
      <rPr>
        <b/>
        <sz val="10"/>
        <color theme="1"/>
        <rFont val="Calibri Light"/>
        <family val="2"/>
        <scheme val="major"/>
      </rPr>
      <t>Hugo Pagos - 828 148 5051</t>
    </r>
    <r>
      <rPr>
        <sz val="10"/>
        <color theme="1"/>
        <rFont val="Calibri Light"/>
        <family val="2"/>
        <scheme val="major"/>
      </rPr>
      <t xml:space="preserve">  </t>
    </r>
    <r>
      <rPr>
        <b/>
        <u/>
        <sz val="10"/>
        <color theme="4" tint="-0.249977111117893"/>
        <rFont val="Calibri Light"/>
        <family val="2"/>
        <scheme val="major"/>
      </rPr>
      <t>ayabviga@hotmail.com</t>
    </r>
  </si>
  <si>
    <t>1- NISSAN V-DRIVE ROJO HRY-432-D (HIDALGO)                          2- NISSAN BLANCO HH-4242-H (HIDALGO)                                    3- PEUGEOT PARTNER BLANCO HL-4464-H (OAXACA)             4- NISSAN NP300 GRIS HH-4935-H (HIDALGO)                              5- NISSAN V-DRIVE AZUL HRH-727-D (HIDALGO)</t>
  </si>
  <si>
    <t>PAGO EL 27-NOVIEMBRE-2024 POR TRANSFERENCIA</t>
  </si>
  <si>
    <t>PAGO 3 MENSUALIDADES ADELANTADAS COBRAR HASTA FEBRERO 2025</t>
  </si>
  <si>
    <t>3437, 3449</t>
  </si>
  <si>
    <t>DICIEMBRE'25</t>
  </si>
  <si>
    <r>
      <rPr>
        <b/>
        <sz val="10"/>
        <color theme="1"/>
        <rFont val="Calibri Light"/>
        <family val="2"/>
        <scheme val="major"/>
      </rPr>
      <t xml:space="preserve">Daniela Cabello - 81 8273 6437  </t>
    </r>
    <r>
      <rPr>
        <sz val="10"/>
        <color theme="1"/>
        <rFont val="Calibri Light"/>
        <family val="2"/>
        <scheme val="major"/>
      </rPr>
      <t>Email:</t>
    </r>
    <r>
      <rPr>
        <b/>
        <u/>
        <sz val="10"/>
        <color rgb="FF0070C0"/>
        <rFont val="Calibri Light"/>
        <family val="2"/>
        <scheme val="major"/>
      </rPr>
      <t>julio.campos@carbograf.com 
marlene@carbograf.com</t>
    </r>
  </si>
  <si>
    <t>COMODATO                                                           Rodrigo Moreno - 81 1410 4886</t>
  </si>
  <si>
    <t>CARLOS CORONADO
LOTE SAN NICOLAS</t>
  </si>
  <si>
    <t xml:space="preserve">NO LIQUIDABA CUENTA, JOSE LUIS DA INSTRUCCIÓN DE BAJA </t>
  </si>
  <si>
    <r>
      <rPr>
        <sz val="11"/>
        <rFont val="Calibri"/>
        <family val="2"/>
        <scheme val="minor"/>
      </rPr>
      <t>Contactos:</t>
    </r>
    <r>
      <rPr>
        <b/>
        <sz val="11"/>
        <rFont val="Calibri"/>
        <family val="2"/>
        <scheme val="minor"/>
      </rPr>
      <t xml:space="preserve"> Carlos Coronado 8111066085
Edgar Coronado 812 860 9998
</t>
    </r>
    <r>
      <rPr>
        <sz val="11"/>
        <rFont val="Calibri"/>
        <family val="2"/>
        <scheme val="minor"/>
      </rPr>
      <t xml:space="preserve">Email: </t>
    </r>
    <r>
      <rPr>
        <b/>
        <u/>
        <sz val="11"/>
        <rFont val="Calibri"/>
        <family val="2"/>
        <scheme val="minor"/>
      </rPr>
      <t xml:space="preserve">regiocredito@hotmail.com </t>
    </r>
  </si>
  <si>
    <t>LEONEL ALEMAN MARROQUIN - TRANSPORTES DE AGUA VIRGO</t>
  </si>
  <si>
    <t xml:space="preserve">RAYMUNDO HERNANDEZ CAMPOS </t>
  </si>
  <si>
    <t>RAYMUNDO HERNANDEZ CAMPOS</t>
  </si>
  <si>
    <t>PAGO MENSUALIDAD DE ENERO COBRAR HASTA FEBRERO DE 2025</t>
  </si>
  <si>
    <r>
      <t xml:space="preserve">Susana Calvo - 81 1695 4703 </t>
    </r>
    <r>
      <rPr>
        <b/>
        <u/>
        <sz val="10"/>
        <color rgb="FF0070C0"/>
        <rFont val="Calibri Light"/>
        <family val="2"/>
        <scheme val="major"/>
      </rPr>
      <t>proyectos3@serviciosk3.mx</t>
    </r>
  </si>
  <si>
    <t>ALEXIS EDUARDO CAZARES ALVAREZ</t>
  </si>
  <si>
    <t>Alexis Eduardo Cazares Alvarez - 81 1845 1157</t>
  </si>
  <si>
    <t>ALEXIS EDUARDO              81 1845 1157</t>
  </si>
  <si>
    <t>JOSE CABALLERO            81 2921 0847</t>
  </si>
  <si>
    <t>EQUIPO E INSTALACIÓN $2,000.00+IVA=$2,320.00                                                                   MENSUALIDAD $250.00+IVA=$290.00</t>
  </si>
  <si>
    <t>EQUIPO E INSTALACIÓN $1,500.00+IVA=$1,740.00                      MENSUALIDAD $279.00+IVA=$323.64</t>
  </si>
  <si>
    <t>NISSAN BLANCO SSJ-416-B</t>
  </si>
  <si>
    <t>LACAR ENERGY LOGISTIC</t>
  </si>
  <si>
    <t>LEL240528I2A</t>
  </si>
  <si>
    <t>PAGO EL 07-DICIEMBRE-2024 POR TRANSFERENCIA</t>
  </si>
  <si>
    <t>PAGO 3 MESES COBRAR HASTA MARZO 2025</t>
  </si>
  <si>
    <r>
      <t xml:space="preserve">COMODATO                                                      </t>
    </r>
    <r>
      <rPr>
        <b/>
        <sz val="10"/>
        <color theme="1"/>
        <rFont val="Calibri Light"/>
        <family val="2"/>
        <scheme val="major"/>
      </rPr>
      <t xml:space="preserve">Tania Reyes - 81 1631 2529    </t>
    </r>
    <r>
      <rPr>
        <sz val="10"/>
        <color theme="1"/>
        <rFont val="Calibri Light"/>
        <family val="2"/>
        <scheme val="major"/>
      </rPr>
      <t xml:space="preserve">                        </t>
    </r>
    <r>
      <rPr>
        <b/>
        <sz val="10"/>
        <color theme="1"/>
        <rFont val="Calibri Light"/>
        <family val="2"/>
        <scheme val="major"/>
      </rPr>
      <t xml:space="preserve">Roberta Treviño - 81 1909 7008 </t>
    </r>
    <r>
      <rPr>
        <sz val="10"/>
        <color theme="1"/>
        <rFont val="Calibri Light"/>
        <family val="2"/>
        <scheme val="major"/>
      </rPr>
      <t>Email:</t>
    </r>
    <r>
      <rPr>
        <b/>
        <u/>
        <sz val="10"/>
        <color rgb="FF0070C0"/>
        <rFont val="Calibri Light"/>
        <family val="2"/>
        <scheme val="major"/>
      </rPr>
      <t>facturas@carnesribhaus.com.mx robertaribhaus@gmail.com</t>
    </r>
  </si>
  <si>
    <r>
      <t xml:space="preserve">Daniel Gonzalez  Cardenas - 818 017 3188                                                           811 909 5895
</t>
    </r>
    <r>
      <rPr>
        <b/>
        <u/>
        <sz val="10"/>
        <color rgb="FF0070C0"/>
        <rFont val="Calibri"/>
        <family val="2"/>
        <scheme val="minor"/>
      </rPr>
      <t>danielamg.dg@gmail.com</t>
    </r>
  </si>
  <si>
    <t>LACAR ENERGY LOGISTIC - CARLOS MORENO</t>
  </si>
  <si>
    <t>Aylin Villanueva - 81 1240 3361</t>
  </si>
  <si>
    <t>AYLIN VILLANUEVA 81 1240 3361</t>
  </si>
  <si>
    <t>1- KW NEGRO                                                                                        2- KW BLANCO 34-AA-5U CUERVO 009</t>
  </si>
  <si>
    <t>BARLO CARGA - 360 LOGISTICS</t>
  </si>
  <si>
    <t>German Ventura - 81 2036 8396</t>
  </si>
  <si>
    <t xml:space="preserve">COBRAR EN FEBRERO ANUALIDADES COMPLETAS </t>
  </si>
  <si>
    <t>FINXERT</t>
  </si>
  <si>
    <t>FIN170824TT8</t>
  </si>
  <si>
    <t>FINXERT - FERNANDO VILLARREAL</t>
  </si>
  <si>
    <t>Fernando Villarreal - 81 2348 6430</t>
  </si>
  <si>
    <t>FERNANDO VILLARREAL 81 2348 6430</t>
  </si>
  <si>
    <t>EQUIPO E INSTALACIÓN $2,200.00+IVA=$2,552.00  MENSUALIDAD $290.00+IVA=$336.40</t>
  </si>
  <si>
    <t xml:space="preserve">1- ACURA MDX GRIS TFD-470-A                                                             2- FORD ESCAPE NARANJA </t>
  </si>
  <si>
    <r>
      <t xml:space="preserve">COMODATO                                                      </t>
    </r>
    <r>
      <rPr>
        <b/>
        <sz val="10"/>
        <color theme="1"/>
        <rFont val="Calibri Light"/>
        <family val="2"/>
        <scheme val="major"/>
      </rPr>
      <t xml:space="preserve">Fermin Uribe Ramos - 
7732188379      </t>
    </r>
    <r>
      <rPr>
        <sz val="10"/>
        <color theme="1"/>
        <rFont val="Calibri Light"/>
        <family val="2"/>
        <scheme val="major"/>
      </rPr>
      <t xml:space="preserve">                                                  Alejandro - 77 1393 3704</t>
    </r>
    <r>
      <rPr>
        <b/>
        <sz val="10"/>
        <color theme="1"/>
        <rFont val="Calibri Light"/>
        <family val="2"/>
        <scheme val="major"/>
      </rPr>
      <t xml:space="preserve"> </t>
    </r>
    <r>
      <rPr>
        <b/>
        <u/>
        <sz val="10"/>
        <color rgb="FF0070C0"/>
        <rFont val="Calibri Light"/>
        <family val="2"/>
        <scheme val="major"/>
      </rPr>
      <t>eber.sannicolas@sitelecom.lat</t>
    </r>
  </si>
  <si>
    <t xml:space="preserve">UNIDAD SE QUEDO SIN TRANSMITIR, PERO CLIENTE NO QUISO QUE SE REALIZARA LA VISITA DE REVISION </t>
  </si>
  <si>
    <t>EDUARDO TAMEZ</t>
  </si>
  <si>
    <t>TOYOTA YARIS</t>
  </si>
  <si>
    <t>TDZ-431-B</t>
  </si>
  <si>
    <t>PAGO EL MISMO DIA EN EFECTIVO</t>
  </si>
  <si>
    <t>GERARDO SANTOS</t>
  </si>
  <si>
    <t>GERARDO SANTOS 81 1043 5313</t>
  </si>
  <si>
    <t>FREIGHTLINER BLANCO 53-BF-9U</t>
  </si>
  <si>
    <r>
      <t xml:space="preserve">Gerardo Santos - 81 1043 5313 </t>
    </r>
    <r>
      <rPr>
        <b/>
        <u/>
        <sz val="10"/>
        <color rgb="FF0070C0"/>
        <rFont val="Calibri Light"/>
        <family val="2"/>
        <scheme val="major"/>
      </rPr>
      <t>gsantos@norsan.com.mx</t>
    </r>
  </si>
  <si>
    <t>PM-0651-B</t>
  </si>
  <si>
    <t>PAGO EL 24-DICIEMBRE-2024 POR DEPOSITO</t>
  </si>
  <si>
    <t>IMPORTE ENE´2025</t>
  </si>
  <si>
    <t>Saldos 2024</t>
  </si>
  <si>
    <t>Enero`25</t>
  </si>
  <si>
    <t>Febrero´25</t>
  </si>
  <si>
    <t>Marzo'25</t>
  </si>
  <si>
    <t>Abril´25</t>
  </si>
  <si>
    <t>Mayo´25</t>
  </si>
  <si>
    <t>Junio´25</t>
  </si>
  <si>
    <t>Julio´25</t>
  </si>
  <si>
    <t>Agosto'25</t>
  </si>
  <si>
    <t>Septiembre'25</t>
  </si>
  <si>
    <t>Octubre'25</t>
  </si>
  <si>
    <t>Noviembre'25</t>
  </si>
  <si>
    <t>COBRANZA ENERO 2025</t>
  </si>
  <si>
    <t>Enero'2025</t>
  </si>
  <si>
    <t>FACTURACIÓN ENERO 2025</t>
  </si>
  <si>
    <t>FACTURAS ENERO 2025</t>
  </si>
  <si>
    <t>REMISIONES ENERO 2025</t>
  </si>
  <si>
    <r>
      <rPr>
        <sz val="10"/>
        <color theme="1"/>
        <rFont val="Calibri"/>
        <family val="2"/>
        <scheme val="minor"/>
      </rPr>
      <t xml:space="preserve">ADRIANA ORANDAY DAVILA - </t>
    </r>
    <r>
      <rPr>
        <b/>
        <sz val="10"/>
        <color theme="1"/>
        <rFont val="Calibri"/>
        <family val="2"/>
        <scheme val="minor"/>
      </rPr>
      <t>RODRIGO ALANIS</t>
    </r>
  </si>
  <si>
    <r>
      <t xml:space="preserve">ALIMENTOS REGIOMONTANOS PERCAM - </t>
    </r>
    <r>
      <rPr>
        <b/>
        <sz val="10"/>
        <color theme="1"/>
        <rFont val="Calibri"/>
        <family val="2"/>
        <scheme val="minor"/>
      </rPr>
      <t>ALIMENTOS GRUPER</t>
    </r>
  </si>
  <si>
    <r>
      <t xml:space="preserve">AUTO EXPRESS GERAL 21 </t>
    </r>
    <r>
      <rPr>
        <sz val="10"/>
        <color theme="1"/>
        <rFont val="Calibri"/>
        <family val="2"/>
        <scheme val="minor"/>
      </rPr>
      <t>S.A. DE C.V.</t>
    </r>
    <r>
      <rPr>
        <b/>
        <sz val="10"/>
        <color theme="1"/>
        <rFont val="Calibri"/>
        <family val="2"/>
        <scheme val="minor"/>
      </rPr>
      <t xml:space="preserve"> - LUIS GERARDO BOLAÑOS GARCIA</t>
    </r>
  </si>
  <si>
    <t xml:space="preserve">BAWOMA CONTROL TOTAL S.A. DE C.V. - FUMIGAZ </t>
  </si>
  <si>
    <t>BRANDO IVAN MARTINEZ GOVEA - JOSUE FERNANDEZ</t>
  </si>
  <si>
    <t>COMERCIALIZADORA AGROPECUARIA ICK -JORGE ADRIAN RIVERA</t>
  </si>
  <si>
    <t>COMERCIALIZADORA Y LOGISTICA SIFAL - ARTURO SIFUENTES</t>
  </si>
  <si>
    <t>COMPAÑÍA MADERERA CUAUHTEMOC</t>
  </si>
  <si>
    <t>DAXS INDUSTRIAL - JOSE HUMBERTO VILLA</t>
  </si>
  <si>
    <r>
      <rPr>
        <sz val="10"/>
        <color theme="1"/>
        <rFont val="Calibri"/>
        <family val="2"/>
        <scheme val="minor"/>
      </rPr>
      <t>DISTRIBUIDORA FERRELECTRICA Y MATERIALES EXPRESS</t>
    </r>
    <r>
      <rPr>
        <b/>
        <sz val="10"/>
        <color theme="1"/>
        <rFont val="Calibri"/>
        <family val="2"/>
        <scheme val="minor"/>
      </rPr>
      <t xml:space="preserve"> - DEX MATERIALES  </t>
    </r>
  </si>
  <si>
    <t>ENDO LASER MICROQUIRURGICO - INSTITUTO VIDAURRI DE OJOS (DANIELA MEDELLIN)</t>
  </si>
  <si>
    <t>HACIENDO EQUIPO EN TU PROYECTO - EQUIPREST</t>
  </si>
  <si>
    <t>HECTOR ALVEAR AGUILAR - KARLA ALVEAR</t>
  </si>
  <si>
    <r>
      <rPr>
        <sz val="10"/>
        <color theme="1"/>
        <rFont val="Calibri"/>
        <family val="2"/>
        <scheme val="minor"/>
      </rPr>
      <t>HECTOR ALVEAR AGUILAR</t>
    </r>
    <r>
      <rPr>
        <b/>
        <sz val="10"/>
        <color theme="1"/>
        <rFont val="Calibri"/>
        <family val="2"/>
        <scheme val="minor"/>
      </rPr>
      <t xml:space="preserve"> - KARLA ALVEAR</t>
    </r>
  </si>
  <si>
    <t xml:space="preserve">INDUSTRIAL DE CARBON Y GRAFITO - CARBOGRAF </t>
  </si>
  <si>
    <r>
      <t xml:space="preserve">INVERSIONES QUINEXUS - </t>
    </r>
    <r>
      <rPr>
        <b/>
        <sz val="10"/>
        <color theme="1"/>
        <rFont val="Calibri"/>
        <family val="2"/>
        <scheme val="minor"/>
      </rPr>
      <t xml:space="preserve">PRESTACOCHE </t>
    </r>
    <r>
      <rPr>
        <sz val="10"/>
        <color theme="1"/>
        <rFont val="Calibri"/>
        <family val="2"/>
        <scheme val="minor"/>
      </rPr>
      <t xml:space="preserve">
(FINANCIERA)</t>
    </r>
  </si>
  <si>
    <t>JESUS ALEJANDRO LOZANO LOZANO - TRANSPORTES TM</t>
  </si>
  <si>
    <t xml:space="preserve">JOSE ANGEL MENDEZ ARRIAGA - TRANSPORTES 2M </t>
  </si>
  <si>
    <t xml:space="preserve">JUAN ANTONIO DE JESUS GARCIA RAMIREZ - TRANSPORTES GARCÍA </t>
  </si>
  <si>
    <r>
      <rPr>
        <sz val="10"/>
        <color theme="1"/>
        <rFont val="Calibri"/>
        <family val="2"/>
        <scheme val="minor"/>
      </rPr>
      <t xml:space="preserve">JUAN </t>
    </r>
    <r>
      <rPr>
        <b/>
        <sz val="10"/>
        <color theme="1"/>
        <rFont val="Calibri"/>
        <family val="2"/>
        <scheme val="minor"/>
      </rPr>
      <t xml:space="preserve">ANTONIO </t>
    </r>
    <r>
      <rPr>
        <sz val="10"/>
        <color theme="1"/>
        <rFont val="Calibri"/>
        <family val="2"/>
        <scheme val="minor"/>
      </rPr>
      <t xml:space="preserve">DE JESUS </t>
    </r>
    <r>
      <rPr>
        <b/>
        <sz val="10"/>
        <color theme="1"/>
        <rFont val="Calibri"/>
        <family val="2"/>
        <scheme val="minor"/>
      </rPr>
      <t xml:space="preserve">GARCIA </t>
    </r>
    <r>
      <rPr>
        <sz val="10"/>
        <color theme="1"/>
        <rFont val="Calibri"/>
        <family val="2"/>
        <scheme val="minor"/>
      </rPr>
      <t>RAMIREZ</t>
    </r>
    <r>
      <rPr>
        <b/>
        <sz val="10"/>
        <color theme="1"/>
        <rFont val="Calibri"/>
        <family val="2"/>
        <scheme val="minor"/>
      </rPr>
      <t xml:space="preserve"> - TRANSPORTES GARCÍA </t>
    </r>
  </si>
  <si>
    <t>JUAN HUMBERTO TAMEZ MARTINEZ - JOSE TAMEZ</t>
  </si>
  <si>
    <t>MARINE DEL VALLE MENDOZA PEREZ - EDUARDO VENTURA MENDOZA</t>
  </si>
  <si>
    <t xml:space="preserve">MARMOL Y GRANITO RIO - GERARDO NIETO  </t>
  </si>
  <si>
    <t>MARTINEZ &amp; DE LA ROSA CONSTRUCCIONES - ANTONIO MARTINEZ</t>
  </si>
  <si>
    <t>MCJ CHILLER - EVERARDO NUNCIO CUELLAR</t>
  </si>
  <si>
    <t xml:space="preserve">MIGUEL EDUARDO CASAS ARIZMENDI - MIGUEL ANGEL CASAS </t>
  </si>
  <si>
    <r>
      <t xml:space="preserve">PACKET CAR DE MONTERREY - </t>
    </r>
    <r>
      <rPr>
        <b/>
        <sz val="10"/>
        <color theme="1"/>
        <rFont val="Calibri"/>
        <family val="2"/>
        <scheme val="minor"/>
      </rPr>
      <t>PABLO</t>
    </r>
    <r>
      <rPr>
        <sz val="10"/>
        <color theme="1"/>
        <rFont val="Calibri"/>
        <family val="2"/>
        <scheme val="minor"/>
      </rPr>
      <t xml:space="preserve"> ERNESTO</t>
    </r>
    <r>
      <rPr>
        <b/>
        <sz val="10"/>
        <color theme="1"/>
        <rFont val="Calibri"/>
        <family val="2"/>
        <scheme val="minor"/>
      </rPr>
      <t xml:space="preserve"> CADENA ACEVEDO </t>
    </r>
  </si>
  <si>
    <t>SEI ARQUITECTOS - DANIELA OCHOA</t>
  </si>
  <si>
    <r>
      <t xml:space="preserve">SERVICIO DE ALMACENAMIENTO Y TRANSPORTE RG II - CESAR RODRIGUEZ           </t>
    </r>
    <r>
      <rPr>
        <sz val="9"/>
        <color theme="1"/>
        <rFont val="Calibri"/>
        <family val="2"/>
        <scheme val="minor"/>
      </rPr>
      <t>(GP MET LOGISTICS)</t>
    </r>
  </si>
  <si>
    <t>SERVICIOS LOGISTICOS MARSEL - CLAUDIA LUNA GUTIERREZ
TRANSMARSEL</t>
  </si>
  <si>
    <t xml:space="preserve">SILVIA NERI SALAZAR - ACERTRANS </t>
  </si>
  <si>
    <r>
      <t xml:space="preserve">SILVIA NERI SALAZAR - </t>
    </r>
    <r>
      <rPr>
        <sz val="10"/>
        <color theme="1"/>
        <rFont val="Calibri"/>
        <family val="2"/>
        <scheme val="minor"/>
      </rPr>
      <t xml:space="preserve">ACERTRANS </t>
    </r>
  </si>
  <si>
    <t>TEGMESA S.A. DE C.V. - GRUAS TEGMESA</t>
  </si>
  <si>
    <t xml:space="preserve">TRANSPORTE STA ELENA GRAL ZUAZUA NL CARGA Y PERSONAL - FRANCELIA </t>
  </si>
  <si>
    <t xml:space="preserve">YOHANA ALEIDA DE LEON SALINAS - TDL TRANSPORTES </t>
  </si>
  <si>
    <r>
      <rPr>
        <sz val="10"/>
        <color theme="1"/>
        <rFont val="Calibri"/>
        <family val="2"/>
        <scheme val="minor"/>
      </rPr>
      <t>YOHANA ALEIDA DE LEON SALINAS</t>
    </r>
    <r>
      <rPr>
        <b/>
        <sz val="10"/>
        <color theme="1"/>
        <rFont val="Calibri"/>
        <family val="2"/>
        <scheme val="minor"/>
      </rPr>
      <t xml:space="preserve"> - TDL TRANSPORTES </t>
    </r>
  </si>
  <si>
    <t>ADRIANA ORANDAY DAVILA - RODRIGO ALANIS</t>
  </si>
  <si>
    <t>ALIMENTOS REGIOMONTANOS PERCAM - ALIMENTOS GRUPER</t>
  </si>
  <si>
    <t>AUTO EXPRESS GERAL 21 S.A. DE C.V. - LUIS GERARDO BOLAÑOS GARCIA</t>
  </si>
  <si>
    <t xml:space="preserve">CARPACK, S.A. DE C.V.    </t>
  </si>
  <si>
    <t xml:space="preserve">DISTRIBUIDORA FERRELECTRICA Y MATERIALES EXPRESS - DEX MATERIALES  </t>
  </si>
  <si>
    <t>ENDER INDUSTRIAL  
(EMMANUEL VAZQUEZ - SINERGIX )</t>
  </si>
  <si>
    <t xml:space="preserve">GRUPO AMBIENTAL Y RESIDUOS INDUSTRIALES S.A. DE C. V. (GARISA) </t>
  </si>
  <si>
    <t>INVERSIONES QUINEXUS - PRESTACOCHE 
(FINANCIERA)</t>
  </si>
  <si>
    <t>MYA TRANSPORTES, S.A. DE C.V. 
(MOLIENDAS Y ALIMENTOS)</t>
  </si>
  <si>
    <t xml:space="preserve">PACKET CAR DE MONTERREY - PABLO ERNESTO CADENA ACEVEDO </t>
  </si>
  <si>
    <t>PROATAM - JOSE ANTONIO LOPEZ GARCIA (Saygar Constructora)</t>
  </si>
  <si>
    <t>SERVICIO DE ALMACENAMIENTO Y TRANSPORTE RG II - CESAR RODRIGUEZ           (GP MET LOGISTICS)</t>
  </si>
  <si>
    <t xml:space="preserve">GRUPO CASTOR ACERTIVA CONSTRUCCIONES, S.A. DE C.V. (CASTOR) </t>
  </si>
  <si>
    <t xml:space="preserve">GRUPO CASTOR ORGANIZACIÓN CASTOR AG, S.A. DE C.V.  </t>
  </si>
  <si>
    <t>Misael Salas - 81 1989 9106</t>
  </si>
  <si>
    <t>Recuperación del 01 al 05</t>
  </si>
  <si>
    <t>Recuperación del 06 al 12</t>
  </si>
  <si>
    <t>Recuperación del 13 al 19</t>
  </si>
  <si>
    <t>Recuperación del 20 al 26</t>
  </si>
  <si>
    <t>Recuperación del 27 al 31</t>
  </si>
  <si>
    <t>MENSUALIDAD SE COBRA AL SR. EDGAR CORONADO</t>
  </si>
  <si>
    <t>GERARDO SANTOS (NORSAN TRANSPORTACIONES)</t>
  </si>
  <si>
    <t>COB. ENE'25: 1 DES-INST. Y  REBAJE DE 1 MENS. POR BAJA Y PAGADA EN DIC'24</t>
  </si>
  <si>
    <t>COB. ENE'25: 1 REVISION</t>
  </si>
  <si>
    <t>COB. ENE'25: 2 DES-INST.</t>
  </si>
  <si>
    <t>LCG REFRIGERADOS - LUIS CARLOS CABELLO MARROQUIN</t>
  </si>
  <si>
    <t xml:space="preserve">COB. ENE'25: 1 REVISION, 1 SENSOR DE DIESEL Y 1 FACT. PDTE. </t>
  </si>
  <si>
    <t xml:space="preserve">COB. ENE'25: 1 REVISION Y 1 FACTURA PDTE. </t>
  </si>
  <si>
    <t xml:space="preserve">COB. ENE'25: 1 VISITA EN FALSO Y 1 FACTURA PDTE. </t>
  </si>
  <si>
    <t xml:space="preserve">COB. ENE'25: 1 EQP. E INST. NUEVA Y 1 MENS. PROP. 17 DIAS </t>
  </si>
  <si>
    <t>COB. ENE'25: 4 EQP. E INST. NUEVAS Y 4 MENS. PROP.</t>
  </si>
  <si>
    <t>COB. ENE'25: 1 INST. NUEVA Y 1 MENS. PROP. DE 14 DIAS, SOLO SE LE COBRARON 7 MENS. PORQUE EL PAGO DE 1 UNIDAD YA ESTABA CUBIERTA</t>
  </si>
  <si>
    <t>COB. ENE'25: 1 INST. NUEVA Y 1 MENS. PROP. 11 DIAS</t>
  </si>
  <si>
    <t>COB. ENE'25: 1 EQP. E INST. NUEVA Y 1 MENS. PROP. 11 DIAS</t>
  </si>
  <si>
    <t>COB. ENE'25: 2 EQP. E INST. NUEVAS Y 2 MENS. PROP.</t>
  </si>
  <si>
    <t>COB. ENE'25: 1 REVISION Y 2 RE-INST.</t>
  </si>
  <si>
    <t>COB. ENE'25: 2 REVISIONES Y 1 INST. DE EQP. PORTATIL</t>
  </si>
  <si>
    <t xml:space="preserve">COB. ENE'25: 2 MENS. PROP. 21 DIAS COBRAR EN FEB. MENS. COMPL. </t>
  </si>
  <si>
    <t>COB. ENE'25: 1 INST. Y 1 MENS. PROP. 21 DIAS</t>
  </si>
  <si>
    <t xml:space="preserve">COB. ENE'25: 2 MENS. PROP. 10 DIAS COBRAR EN FEB. MENS. COMPL. </t>
  </si>
  <si>
    <t>COBRAR MENS. EN FEB.</t>
  </si>
  <si>
    <t>PAGARA 4 MENS. COBRAR HASTA MAYO 2025</t>
  </si>
  <si>
    <t>COB. ENE'25; 1 EQP. POR REEMPLAZO</t>
  </si>
  <si>
    <t>2a1a4e0d-37d0-4386-9b92-d11768af49e2</t>
  </si>
  <si>
    <t>47f1c68c-3a44-4f76-84d9-093e9e6d9bc5</t>
  </si>
  <si>
    <t>171fbd4e-5fe1-410b-ad0e-4ad3881fb775</t>
  </si>
  <si>
    <t>0e8dbc84-712a-4cff-8ad0-77ca0b198778</t>
  </si>
  <si>
    <t>e613182c-d728-4e61-91e5-345afc6d6819</t>
  </si>
  <si>
    <t>534c7fd4-2bd7-4e2b-b5d0-b5de52c02e02</t>
  </si>
  <si>
    <t>b2fa8330-62d9-44f4-8870-d19c7986fdbc</t>
  </si>
  <si>
    <t>440d1406-c471-4564-8e03-551531d2dbac</t>
  </si>
  <si>
    <t>LUNES</t>
  </si>
  <si>
    <t>887a757f-163d-44be-85c5-afdf27a28670</t>
  </si>
  <si>
    <t>32d9fd4e-f4a6-49fc-bd70-0b8b9d02a83a</t>
  </si>
  <si>
    <t>32f91cd8-7712-45b6-bdee-2cab599d1c13</t>
  </si>
  <si>
    <t>2520dc64-86d9-49bc-b8e6-44f4da0ab766</t>
  </si>
  <si>
    <t>1fbf182f-14b7-421e-ad29-210c6a8d2bea</t>
  </si>
  <si>
    <t>be477eef-9bfd-4252-be85-761b1078e826</t>
  </si>
  <si>
    <t>b36c819f-681c-4cc9-90fb-0d8defd43a41</t>
  </si>
  <si>
    <t xml:space="preserve"> f62783c2-201b-4185-b1c8-1c90ba0dbdf2</t>
  </si>
  <si>
    <t>459f1699-085b-49c5-b841-ce9c66c69746</t>
  </si>
  <si>
    <t>f0347e54-b9e3-4a4a-b25d-c4a478034d8c</t>
  </si>
  <si>
    <t>2f0ce0c5-b791-4693-ad9f-16e823683741</t>
  </si>
  <si>
    <t>efbcb169-537e-4bd7-a712-f154f6c1ae90</t>
  </si>
  <si>
    <t>a92590dd-6bee-422e-84c9-049403ec9d95</t>
  </si>
  <si>
    <t>16fb7e86-5946-4408-ae4a-0b310be6ae24</t>
  </si>
  <si>
    <t xml:space="preserve"> 502b3105-862b-4437-b871-879e52e8b32f</t>
  </si>
  <si>
    <t>33e7a470-6d02-4119-a514-0190d7890108</t>
  </si>
  <si>
    <t>141f8bd1-7bff-488d-be1b-d2f362b8ea66</t>
  </si>
  <si>
    <t>a3e432a4-08a9-4ad4-b345-b7dc00f3691d</t>
  </si>
  <si>
    <t>7e01d2ec-68de-407a-a8b9-71fe6cdfb6c8</t>
  </si>
  <si>
    <t>0fb96b74-328c-44ec-a5f3-dc878a5ed2b5</t>
  </si>
  <si>
    <t>a0623ad0-96b5-46f1-8d41-9e355e2e3f2b</t>
  </si>
  <si>
    <t>94da7c76-c75f-4140-b2b3-cedf148c6b31</t>
  </si>
  <si>
    <t>4be4626a-e367-49ed-9f62-bf7fde3373f9</t>
  </si>
  <si>
    <t>e48cb82f-c45c-43ea-a00d-4e1230ba250a</t>
  </si>
  <si>
    <t>bdb05df3-bb42-4654-a408-03e09604a5dc</t>
  </si>
  <si>
    <t>74542f7b-37c8-426d-b215-f1bd523fc899</t>
  </si>
  <si>
    <t>1e6530a7-6c16-40f1-8ca3-b09763af1b81</t>
  </si>
  <si>
    <t>8b73cb2a-24d0-43a2-8bb9-3337bdee4ba1</t>
  </si>
  <si>
    <t>c4b02543-4bfb-49cc-a66d-fe424cc7b0e3</t>
  </si>
  <si>
    <t xml:space="preserve"> ade4d247-5e10-4314-91e7-74918b433000</t>
  </si>
  <si>
    <t>5c1368ed-4717-427f-9aa2-53607feca1f1</t>
  </si>
  <si>
    <t>4d301de8-bed2-4630-8ad8-ea30eb960f78</t>
  </si>
  <si>
    <t>d9fd48ed-6533-4563-ae92-0a4e7dd6f46b</t>
  </si>
  <si>
    <t xml:space="preserve"> 6d859648-23dd-448d-819e-be67de7da274</t>
  </si>
  <si>
    <t>e42e3302-e2d6-4edd-8bc7-7075c7da5678</t>
  </si>
  <si>
    <t>e9ee27f6-4b0c-48e7-b9c6-7f61eae89cf5</t>
  </si>
  <si>
    <t>f1de96f9-8f65-4e76-84d4-a4028b64bf61</t>
  </si>
  <si>
    <t>acb146f7-539b-4f3c-bd8a-3b7deccb1f2e</t>
  </si>
  <si>
    <t>dec8c8da-f4e5-44c9-87ac-3c6e845c1510</t>
  </si>
  <si>
    <t>fa57e59a-fb50-485d-bf1f-f82dd1bcfc92</t>
  </si>
  <si>
    <t>da4c9b97-0087-4ae2-9229-ea595065117f</t>
  </si>
  <si>
    <t>4fe416e6-182c-45fe-b55a-395d928bb10e</t>
  </si>
  <si>
    <t>a6baf31a-34ac-46e0-b19d-b57b5fe171b9</t>
  </si>
  <si>
    <t>a22ef2fe-2b4d-4c75-9542-e2b60aaa33d5</t>
  </si>
  <si>
    <t>1dca6686-1e76-4ffc-99c0-974903caec95</t>
  </si>
  <si>
    <t>0de20fe4-1975-4651-81c0-9f8bb501e749</t>
  </si>
  <si>
    <t>31b0b027-f1e0-4071-a02f-7be419500608</t>
  </si>
  <si>
    <t>9526f8b2-eedd-429a-9555-d4faf693f5d0</t>
  </si>
  <si>
    <t>MARTES</t>
  </si>
  <si>
    <t>7352d929-3ec3-4342-a666-de066de78b46</t>
  </si>
  <si>
    <t>062d32c7-3bc1-48dd-9eea-d4342d93defb</t>
  </si>
  <si>
    <t xml:space="preserve"> 34b861a8-020f-4584-98c4-54281bf32824</t>
  </si>
  <si>
    <t>8b4c6947-9d5f-432d-97e9-84e1046e83f4</t>
  </si>
  <si>
    <t>b7a20b9d-6804-4911-8b30-1a600f648abd</t>
  </si>
  <si>
    <t>9ccb2a43-ebdd-435e-8093-f6b6fee1d146</t>
  </si>
  <si>
    <t>94baa049-e48b-4c59-82d6-2fd34c0934f4</t>
  </si>
  <si>
    <t>54899869-8fb7-4c12-9e6b-20266e254cac</t>
  </si>
  <si>
    <t>7030414c-9f3c-4fc5-8b54-288e27895963</t>
  </si>
  <si>
    <t xml:space="preserve"> b9dc7c5a-6d6f-4cea-b52f-cba7d6830ea0</t>
  </si>
  <si>
    <t>cade73b4-0864-4c53-8549-f3839286c06c</t>
  </si>
  <si>
    <t>SINDUSA SERVICIOS INDUSTRIALES</t>
  </si>
  <si>
    <t>SSI220819JK3</t>
  </si>
  <si>
    <t>8888b75a-6970-4b7d-8b20-cd022f50a32f</t>
  </si>
  <si>
    <t>0ede0269-e80c-42e7-9370-63753ce3685d</t>
  </si>
  <si>
    <t>81c0ce88-210e-49bc-a029-0b0233c22201</t>
  </si>
  <si>
    <t>60eaaae9-2f80-4f70-af86-4d1b075f6c74</t>
  </si>
  <si>
    <t>a21d7b2e-8e4d-4b41-8eb0-df1f02140b1e</t>
  </si>
  <si>
    <t>b4530130-9d8a-45e7-87ee-4d7ed10df738</t>
  </si>
  <si>
    <t>17f4e93b-12c9-4e59-8dfa-6ad6a5aec6e7</t>
  </si>
  <si>
    <t>64a16111-d6da-4d16-b5ea-376c3da5feb0</t>
  </si>
  <si>
    <t>d452d0cf-340e-4050-81f0-b490c2d5b65b</t>
  </si>
  <si>
    <t>b1a2c5ca-ab3c-4a45-a969-d3a953671db6</t>
  </si>
  <si>
    <t>44c14d66-c6b3-4b97-94c6-9ddcf56c03c1</t>
  </si>
  <si>
    <t>5946aacd-2897-44ad-990f-85c7f85956d0</t>
  </si>
  <si>
    <t>e3dc7a09-81db-4ee6-97e3-fba4aafc48e4</t>
  </si>
  <si>
    <t>aca5dbe4-cef0-4dd5-a4d8-80b4cbf51fe9</t>
  </si>
  <si>
    <t>e5ed9c26-462e-4c19-8507-6f6eb7751f50</t>
  </si>
  <si>
    <t>1e8c7a32-03a2-484b-8722-f74c304f8b93</t>
  </si>
  <si>
    <t>4112e24a-b0af-49a1-bd59-561cf880f12b</t>
  </si>
  <si>
    <t>e47b97d6-09c9-46bd-aba0-d4fc3b76fd71</t>
  </si>
  <si>
    <t>730b19b3-5d3c-471d-8e0a-b5a1d31a0120</t>
  </si>
  <si>
    <t>38b7fc1e-a443-4ebc-bcd1-4c3ebd11380e</t>
  </si>
  <si>
    <t>CANCELADA</t>
  </si>
  <si>
    <t>JUEVES</t>
  </si>
  <si>
    <t>COB. ENE'25: 2 RE-INST. Y 4 DES-INST.</t>
  </si>
  <si>
    <t>USA MACHINERY &amp; RENTALS</t>
  </si>
  <si>
    <t>UMA100818RH1</t>
  </si>
  <si>
    <t>cda6103c-8694-4e43-9608-d06b661510b7</t>
  </si>
  <si>
    <t>4e3d7623-274c-4bf8-8427-2d3c47a991e9</t>
  </si>
  <si>
    <t>VIERNES</t>
  </si>
  <si>
    <t>DANIA CRISANY GOMEZ SALAZAR</t>
  </si>
  <si>
    <t>GOSD960225F47</t>
  </si>
  <si>
    <t>c3919d2d-fada-4d80-81d8-8f15e065417b</t>
  </si>
  <si>
    <t>PAGO EL MISMO DIA POR TRANSFERENCIA</t>
  </si>
  <si>
    <t>CLIENTE NUEVO 08-ENERO-2025</t>
  </si>
  <si>
    <t>ENERO'26</t>
  </si>
  <si>
    <t>SINDUSA SERVICIOS INDUSTRIALES – PABLO MORALES</t>
  </si>
  <si>
    <t>Pablo Morales - 81 3529 5622</t>
  </si>
  <si>
    <t>JOSE PABLO CASADO</t>
  </si>
  <si>
    <r>
      <t xml:space="preserve">Pablo Casado - 81 8704 4501 </t>
    </r>
    <r>
      <rPr>
        <b/>
        <u/>
        <sz val="10"/>
        <color rgb="FF0070C0"/>
        <rFont val="Calibri Light"/>
        <family val="2"/>
        <scheme val="major"/>
      </rPr>
      <t>jpcasadocanales@gmail.com</t>
    </r>
  </si>
  <si>
    <t>CLIENTE NUEVO 10-ENERO-2025</t>
  </si>
  <si>
    <t xml:space="preserve">COMODATO                                                                                                                                                                            Ramiro - 81 2319 4917 </t>
  </si>
  <si>
    <t>RETIRO EFECTIVO OSCAR</t>
  </si>
  <si>
    <t>ABONO</t>
  </si>
  <si>
    <t>COB. ENE'25: 1 EQP. E INST. NUEVA COBRAR EN FEB  1 MENS. PROP. 20 DIAS</t>
  </si>
  <si>
    <r>
      <t xml:space="preserve">Dania Salazar - 81 3381 4857                     Isabel Salazar - 81 1814 7220 </t>
    </r>
    <r>
      <rPr>
        <b/>
        <u/>
        <sz val="10"/>
        <color rgb="FF0070C0"/>
        <rFont val="Calibri"/>
        <family val="2"/>
        <scheme val="minor"/>
      </rPr>
      <t xml:space="preserve">idaliaisabel74@hotmail.com </t>
    </r>
  </si>
  <si>
    <t>DANIA SALAZAR            81 3381 4857</t>
  </si>
  <si>
    <t>EQUIPO E INSTALACIÓN $2,099.00+IVA=$2,434.84 ANUALIDAD $3,000.00+IVA=$3,480.00 -BONIFACIÓN DE 2 MESES $2,500.00+IVA</t>
  </si>
  <si>
    <t>EQUIPO E INSTALACIÓN $1,850.00+IVA=$2,146.00  MENSUALIDAD $249.00+IVA=$288.84</t>
  </si>
  <si>
    <t>TOYOTA BLANCO RF-0451-B</t>
  </si>
  <si>
    <t>PABLO MORALES              81 3529 5622</t>
  </si>
  <si>
    <t xml:space="preserve">INTERNATIONAL BLANCO </t>
  </si>
  <si>
    <t>JOSE PABLO CASADO 81 8704 4501</t>
  </si>
  <si>
    <t xml:space="preserve">INSTALACIÓN $549.00+IVA=$636.84   MENSUALIDAD $299.00+IVA= $346.84 </t>
  </si>
  <si>
    <t xml:space="preserve">RAMIRO                              81 2319 4917 </t>
  </si>
  <si>
    <r>
      <rPr>
        <b/>
        <sz val="10"/>
        <color theme="1"/>
        <rFont val="Calibri Light"/>
        <family val="2"/>
        <scheme val="major"/>
      </rPr>
      <t>Roberto Cervantes - 811 910 8849                                              811 255 1586</t>
    </r>
    <r>
      <rPr>
        <sz val="10"/>
        <color theme="1"/>
        <rFont val="Calibri Light"/>
        <family val="2"/>
        <scheme val="major"/>
      </rPr>
      <t xml:space="preserve">
</t>
    </r>
    <r>
      <rPr>
        <b/>
        <u/>
        <sz val="10"/>
        <color theme="4" tint="-0.249977111117893"/>
        <rFont val="Calibri Light"/>
        <family val="2"/>
        <scheme val="major"/>
      </rPr>
      <t xml:space="preserve">tdl.yohana@hotmail.com </t>
    </r>
  </si>
  <si>
    <t>TRANSPORTES BESERKER - ERNESTO GOMEZ</t>
  </si>
  <si>
    <t xml:space="preserve">COB. ENE'25: 5 INST. NUEVAS, COBRAR EN FEB 21 DIAS </t>
  </si>
  <si>
    <t>TBE2206291S8</t>
  </si>
  <si>
    <t>TRANSPORTES BESERKER</t>
  </si>
  <si>
    <t>COB. ENE'25: INGRESO DE 1 UNIDAD</t>
  </si>
  <si>
    <t>FREIGHT HP-PACK MEXICO</t>
  </si>
  <si>
    <t>FHM170505TN1</t>
  </si>
  <si>
    <t>ENERO'25</t>
  </si>
  <si>
    <t>aeb24745-0efc-4e3e-be1d-2f71746b9ba9</t>
  </si>
  <si>
    <t>8ba94629-0dc9-4c48-882e-b31baf2f9e54</t>
  </si>
  <si>
    <t>86979abf-a4a6-43f4-a4db-2c6904957663</t>
  </si>
  <si>
    <t>68f51f67-cec9-4f2c-b1ce-4bfd2db1811b</t>
  </si>
  <si>
    <t>FREIGHT HP-PACK MEXICO (DAVID FRANCISCO ARCOS)</t>
  </si>
  <si>
    <t>CLIENTE NUEVO 14-ENERO-2025 SALTILLO</t>
  </si>
  <si>
    <t>DAVID FRANCISCO   81 1033 1916</t>
  </si>
  <si>
    <t>INSTALACIÓN $549.00+IVA=$636.84                 MENSUALIDAD $279.00+IVA=$323.64</t>
  </si>
  <si>
    <t>047e8d21-5d7c-43a4-a913-067e2461bedc</t>
  </si>
  <si>
    <t xml:space="preserve">360 LOGISTICS, S.A. DE C.V. </t>
  </si>
  <si>
    <t>SLO121023UC4</t>
  </si>
  <si>
    <t>COB. ENE'25: 1 REVISION, 2 VISITA EN FALSO Y 1 EQP. ENVIADO A GUANAJUATO</t>
  </si>
  <si>
    <t xml:space="preserve"> f954325a-011d-4c55-8ca0-b41e3aa8f2ac</t>
  </si>
  <si>
    <t xml:space="preserve"> 2bfd214e-1c80-437c-a7e8-074e7c140a46</t>
  </si>
  <si>
    <t>6D4CF97A-E86A-4EAF-A490-C1DC0F5E5077</t>
  </si>
  <si>
    <t>COB. ENE'25: 2 EQP. E INST. NUEVO, 1 MENS. PROP. 23 DIAS (COBRAR EN FEB MENS. COMPLT.) Y 2 REUBICACION DE CAMARAS. 1 UNIDAD ES PREPAGO POR ESO SE COBRAN 3 y 3 MENSUALIDADES DE DASH CAM</t>
  </si>
  <si>
    <t>427ef7f7-2773-411a-882e-478353a1568e</t>
  </si>
  <si>
    <t>BAJA 14-ENERO-2025</t>
  </si>
  <si>
    <t xml:space="preserve">CLIENTE NUEVO 11-ENERO-2024, PDTES. 2 INST. YA PAGADAS , COBRAR PROP. EN FEB. </t>
  </si>
  <si>
    <r>
      <t xml:space="preserve">Ismael López - 811 777 8017
</t>
    </r>
    <r>
      <rPr>
        <b/>
        <u/>
        <sz val="10"/>
        <color rgb="FF0070C0"/>
        <rFont val="Calibri Light"/>
        <family val="2"/>
        <scheme val="major"/>
      </rPr>
      <t>ilopez@360logistics.com.mx; 
rdelarosa@360logistics.com.mx;  rodolfo@360logistics.com.mx 'alfonso.escojido@360logistics.com.mx'; 'gventura@360logistics.com.mx'</t>
    </r>
  </si>
  <si>
    <t xml:space="preserve">COB. ENE'25: 1 EQP. E INST. NUEVA Y ANUALIDAD PROP. COBRAR EN FEB ANUALIDADES COMPLETAS </t>
  </si>
  <si>
    <t xml:space="preserve">COB. ENE'25: 1 INST., 8 RE-INST., 9 DES-INST., 2 VISITA EN FALSO Y 1 REBAJE DE ABONO </t>
  </si>
  <si>
    <t>COB. ENE'25: 2 INST., 4 RE-INST. Y 4 DES-INST.</t>
  </si>
  <si>
    <t>COB. ENE'25: SALTILLO 10 INST. Y 2 DES-INST. MTY: 4 INST., 2 DES-INST. Y 1 REVISION</t>
  </si>
  <si>
    <t>94f9244f-e2ef-4ede-a372-9ed7b334fa87</t>
  </si>
  <si>
    <t>MIÉRCOLES</t>
  </si>
  <si>
    <t>31e634bd-df6a-4157-ab39-91b9ca35168a</t>
  </si>
  <si>
    <t>1ed7f848-fb88-4986-a40e-4cdea0e21286</t>
  </si>
  <si>
    <r>
      <t xml:space="preserve">COMODATO                                                 Carlos Salinas - (201) 748 9020 David Francisco - 81 1033 1916 </t>
    </r>
    <r>
      <rPr>
        <b/>
        <u/>
        <sz val="10"/>
        <color rgb="FF0070C0"/>
        <rFont val="Calibri Light"/>
        <family val="2"/>
        <scheme val="major"/>
      </rPr>
      <t>davidarcosfrancisco1991@gmail.com</t>
    </r>
  </si>
  <si>
    <t xml:space="preserve">COB. ENE'25: 1 EQP. E INST. NUEVAS 17-ENERO-25 COBRAR EN FEB MENS. PROP. 13 DIAS  2 MENS. PROP. 16 DIAS, COBRAR EN FEB. MENS. COMPL. </t>
  </si>
  <si>
    <t>2b209e5d-0c25-4bf1-9fc9-c92d70bed831</t>
  </si>
  <si>
    <t>ALEXIS AYALA</t>
  </si>
  <si>
    <r>
      <t xml:space="preserve">Alexis Ayala - 669 929 6001 </t>
    </r>
    <r>
      <rPr>
        <b/>
        <u/>
        <sz val="10"/>
        <color rgb="FF0070C0"/>
        <rFont val="Calibri Light"/>
        <family val="2"/>
        <scheme val="major"/>
      </rPr>
      <t>axeye18@hotmail.com</t>
    </r>
  </si>
  <si>
    <t>CLIENTE NUEVO 17-ENERO-2025</t>
  </si>
  <si>
    <t xml:space="preserve">ALEXIS AYALA                  669 929 6001 </t>
  </si>
  <si>
    <t>EQUIPO $1,800.00                                                                                       MENSUALIDAD $350.00</t>
  </si>
  <si>
    <t>GMC SIERRA BLANCO 2020</t>
  </si>
  <si>
    <t>COB. ENE'25: 1 DES-INST Y 1 MENS, PROP. 7 DIAS</t>
  </si>
  <si>
    <t>PAGO MENSUALIDAD DE FEBRERO COBRAR EN MARZO 2025</t>
  </si>
  <si>
    <t>BAJA 23-ENERO-2025</t>
  </si>
  <si>
    <r>
      <t>Contactos:</t>
    </r>
    <r>
      <rPr>
        <b/>
        <sz val="11"/>
        <rFont val="Calibri"/>
        <family val="2"/>
        <scheme val="minor"/>
      </rPr>
      <t xml:space="preserve"> Jose Alanis / Abigail Torres                                                  </t>
    </r>
    <r>
      <rPr>
        <sz val="11"/>
        <rFont val="Calibri"/>
        <family val="2"/>
        <scheme val="minor"/>
      </rPr>
      <t xml:space="preserve"> Teléfono: </t>
    </r>
    <r>
      <rPr>
        <b/>
        <sz val="11"/>
        <rFont val="Calibri"/>
        <family val="2"/>
        <scheme val="minor"/>
      </rPr>
      <t xml:space="preserve">81 8017 4273 / 826 158 5528            </t>
    </r>
    <r>
      <rPr>
        <sz val="11"/>
        <rFont val="Calibri"/>
        <family val="2"/>
        <scheme val="minor"/>
      </rPr>
      <t xml:space="preserve">                                                                                                                                                    Email: </t>
    </r>
    <r>
      <rPr>
        <b/>
        <u/>
        <sz val="11"/>
        <rFont val="Calibri"/>
        <family val="2"/>
        <scheme val="minor"/>
      </rPr>
      <t>josepalanis2598@gmail.com; 
transportesgs77@gmail.com;
transportes.gs0022@gmail.com; 
transportes.04gs@gmail.com;</t>
    </r>
  </si>
  <si>
    <r>
      <t xml:space="preserve">Contacto: </t>
    </r>
    <r>
      <rPr>
        <b/>
        <sz val="11"/>
        <rFont val="Calibri"/>
        <family val="2"/>
        <scheme val="minor"/>
      </rPr>
      <t>Hector Alanis</t>
    </r>
    <r>
      <rPr>
        <sz val="11"/>
        <rFont val="Calibri"/>
        <family val="2"/>
        <scheme val="minor"/>
      </rPr>
      <t xml:space="preserve"> - </t>
    </r>
    <r>
      <rPr>
        <b/>
        <sz val="11"/>
        <rFont val="Calibri"/>
        <family val="2"/>
        <scheme val="minor"/>
      </rPr>
      <t>828 768 5316</t>
    </r>
    <r>
      <rPr>
        <sz val="11"/>
        <rFont val="Calibri"/>
        <family val="2"/>
        <scheme val="minor"/>
      </rPr>
      <t xml:space="preserve">
</t>
    </r>
    <r>
      <rPr>
        <b/>
        <sz val="11"/>
        <rFont val="Calibri"/>
        <family val="2"/>
        <scheme val="minor"/>
      </rPr>
      <t>Jhoana</t>
    </r>
    <r>
      <rPr>
        <sz val="11"/>
        <rFont val="Calibri"/>
        <family val="2"/>
        <scheme val="minor"/>
      </rPr>
      <t xml:space="preserve">-  </t>
    </r>
    <r>
      <rPr>
        <b/>
        <sz val="11"/>
        <rFont val="Calibri"/>
        <family val="2"/>
        <scheme val="minor"/>
      </rPr>
      <t>828 101 4975</t>
    </r>
    <r>
      <rPr>
        <sz val="11"/>
        <rFont val="Calibri"/>
        <family val="2"/>
        <scheme val="minor"/>
      </rPr>
      <t xml:space="preserve">
Email: </t>
    </r>
    <r>
      <rPr>
        <b/>
        <u/>
        <sz val="11"/>
        <rFont val="Calibri"/>
        <family val="2"/>
        <scheme val="minor"/>
      </rPr>
      <t xml:space="preserve">alejandrotijechapa@hotmail.com </t>
    </r>
  </si>
  <si>
    <r>
      <t>Contacto</t>
    </r>
    <r>
      <rPr>
        <b/>
        <sz val="11"/>
        <rFont val="Calibri"/>
        <family val="2"/>
        <scheme val="minor"/>
      </rPr>
      <t>: Roberto Saucedo - 811 484 0780 
Oficina - 81 8342 4071</t>
    </r>
    <r>
      <rPr>
        <sz val="11"/>
        <rFont val="Calibri"/>
        <family val="2"/>
        <scheme val="minor"/>
      </rPr>
      <t xml:space="preserve">
Email:</t>
    </r>
    <r>
      <rPr>
        <b/>
        <u/>
        <sz val="11"/>
        <rFont val="Calibri"/>
        <family val="2"/>
        <scheme val="minor"/>
      </rPr>
      <t xml:space="preserve">r.saucedo@vmi.com.mx </t>
    </r>
  </si>
  <si>
    <r>
      <rPr>
        <b/>
        <sz val="11"/>
        <rFont val="Calibri"/>
        <family val="2"/>
        <scheme val="minor"/>
      </rPr>
      <t xml:space="preserve">ANUALIDAD </t>
    </r>
    <r>
      <rPr>
        <sz val="11"/>
        <rFont val="Calibri"/>
        <family val="2"/>
        <scheme val="minor"/>
      </rPr>
      <t xml:space="preserve">                                                       Contacto: </t>
    </r>
    <r>
      <rPr>
        <b/>
        <sz val="11"/>
        <rFont val="Calibri"/>
        <family val="2"/>
        <scheme val="minor"/>
      </rPr>
      <t xml:space="preserve">Ricardo Coronado Luna </t>
    </r>
    <r>
      <rPr>
        <sz val="11"/>
        <rFont val="Calibri"/>
        <family val="2"/>
        <scheme val="minor"/>
      </rPr>
      <t xml:space="preserve">Teléfono: </t>
    </r>
    <r>
      <rPr>
        <b/>
        <sz val="11"/>
        <rFont val="Calibri"/>
        <family val="2"/>
        <scheme val="minor"/>
      </rPr>
      <t xml:space="preserve">81 1179 6136                              </t>
    </r>
    <r>
      <rPr>
        <sz val="11"/>
        <rFont val="Calibri"/>
        <family val="2"/>
        <scheme val="minor"/>
      </rPr>
      <t xml:space="preserve"> Email: </t>
    </r>
    <r>
      <rPr>
        <b/>
        <u/>
        <sz val="11"/>
        <rFont val="Calibri"/>
        <family val="2"/>
        <scheme val="minor"/>
      </rPr>
      <t>colr721210@gmail.com</t>
    </r>
  </si>
  <si>
    <r>
      <rPr>
        <sz val="11"/>
        <rFont val="Calibri"/>
        <family val="2"/>
        <scheme val="minor"/>
      </rPr>
      <t>Nombre de la Empresa:</t>
    </r>
    <r>
      <rPr>
        <b/>
        <sz val="11"/>
        <rFont val="Calibri"/>
        <family val="2"/>
        <scheme val="minor"/>
      </rPr>
      <t xml:space="preserve"> David Garcia 
</t>
    </r>
    <r>
      <rPr>
        <sz val="11"/>
        <rFont val="Calibri"/>
        <family val="2"/>
        <scheme val="minor"/>
      </rPr>
      <t>Contacto:</t>
    </r>
    <r>
      <rPr>
        <b/>
        <sz val="11"/>
        <rFont val="Calibri"/>
        <family val="2"/>
        <scheme val="minor"/>
      </rPr>
      <t xml:space="preserve"> Cesar García                   </t>
    </r>
    <r>
      <rPr>
        <sz val="11"/>
        <rFont val="Calibri"/>
        <family val="2"/>
        <scheme val="minor"/>
      </rPr>
      <t xml:space="preserve"> Teléfono:</t>
    </r>
    <r>
      <rPr>
        <b/>
        <sz val="11"/>
        <rFont val="Calibri"/>
        <family val="2"/>
        <scheme val="minor"/>
      </rPr>
      <t xml:space="preserve"> 811 778 9053
</t>
    </r>
    <r>
      <rPr>
        <sz val="11"/>
        <rFont val="Calibri"/>
        <family val="2"/>
        <scheme val="minor"/>
      </rPr>
      <t xml:space="preserve">Email: </t>
    </r>
    <r>
      <rPr>
        <b/>
        <u/>
        <sz val="11"/>
        <rFont val="Calibri"/>
        <family val="2"/>
        <scheme val="minor"/>
      </rPr>
      <t xml:space="preserve">garciacer1@hotmail.com; </t>
    </r>
  </si>
  <si>
    <r>
      <t xml:space="preserve">Contacto: </t>
    </r>
    <r>
      <rPr>
        <b/>
        <sz val="11"/>
        <rFont val="Calibri"/>
        <family val="2"/>
        <scheme val="minor"/>
      </rPr>
      <t>Alejandro Briones</t>
    </r>
    <r>
      <rPr>
        <sz val="11"/>
        <rFont val="Calibri"/>
        <family val="2"/>
        <scheme val="minor"/>
      </rPr>
      <t xml:space="preserve">                      Teléfono: </t>
    </r>
    <r>
      <rPr>
        <b/>
        <sz val="11"/>
        <rFont val="Calibri"/>
        <family val="2"/>
        <scheme val="minor"/>
      </rPr>
      <t xml:space="preserve">81 1635 7174   </t>
    </r>
    <r>
      <rPr>
        <sz val="11"/>
        <rFont val="Calibri"/>
        <family val="2"/>
        <scheme val="minor"/>
      </rPr>
      <t xml:space="preserve">                   Email:</t>
    </r>
    <r>
      <rPr>
        <b/>
        <sz val="11"/>
        <rFont val="Calibri"/>
        <family val="2"/>
        <scheme val="minor"/>
      </rPr>
      <t xml:space="preserve"> </t>
    </r>
    <r>
      <rPr>
        <b/>
        <u/>
        <sz val="11"/>
        <rFont val="Calibri"/>
        <family val="2"/>
        <scheme val="minor"/>
      </rPr>
      <t>jose-alejandro.briones@veolia.com</t>
    </r>
  </si>
  <si>
    <r>
      <rPr>
        <sz val="11"/>
        <rFont val="Calibri"/>
        <family val="2"/>
        <scheme val="minor"/>
      </rPr>
      <t>Contacto:</t>
    </r>
    <r>
      <rPr>
        <b/>
        <sz val="11"/>
        <rFont val="Calibri"/>
        <family val="2"/>
        <scheme val="minor"/>
      </rPr>
      <t xml:space="preserve"> Roman Garza Gonzalez </t>
    </r>
    <r>
      <rPr>
        <sz val="11"/>
        <rFont val="Calibri"/>
        <family val="2"/>
        <scheme val="minor"/>
      </rPr>
      <t>Teléfono:</t>
    </r>
    <r>
      <rPr>
        <b/>
        <sz val="11"/>
        <rFont val="Calibri"/>
        <family val="2"/>
        <scheme val="minor"/>
      </rPr>
      <t xml:space="preserve">  824 102 3441</t>
    </r>
    <r>
      <rPr>
        <u/>
        <sz val="11"/>
        <rFont val="Calibri"/>
        <family val="2"/>
        <scheme val="minor"/>
      </rPr>
      <t xml:space="preserve">
</t>
    </r>
    <r>
      <rPr>
        <sz val="11"/>
        <rFont val="Calibri"/>
        <family val="2"/>
        <scheme val="minor"/>
      </rPr>
      <t>Email:</t>
    </r>
    <r>
      <rPr>
        <u/>
        <sz val="11"/>
        <rFont val="Calibri"/>
        <family val="2"/>
        <scheme val="minor"/>
      </rPr>
      <t xml:space="preserve"> </t>
    </r>
    <r>
      <rPr>
        <b/>
        <u/>
        <sz val="11"/>
        <rFont val="Calibri"/>
        <family val="2"/>
        <scheme val="minor"/>
      </rPr>
      <t xml:space="preserve">r1_express@hotmail.com </t>
    </r>
  </si>
  <si>
    <r>
      <t xml:space="preserve">COMODATO                                                     Contactos: </t>
    </r>
    <r>
      <rPr>
        <b/>
        <sz val="11"/>
        <rFont val="Calibri"/>
        <family val="2"/>
        <scheme val="minor"/>
      </rPr>
      <t>Oficina - 81 8100 9114
Ana Laura Severiano - 81 8011 8263
Cinthya San Miguel - 818 025 6046</t>
    </r>
    <r>
      <rPr>
        <sz val="11"/>
        <rFont val="Calibri"/>
        <family val="2"/>
        <scheme val="minor"/>
      </rPr>
      <t xml:space="preserve">  Email:</t>
    </r>
    <r>
      <rPr>
        <b/>
        <u/>
        <sz val="11"/>
        <rFont val="Calibri"/>
        <family val="2"/>
        <scheme val="minor"/>
      </rPr>
      <t xml:space="preserve">a.severiano@gazole.com.mx; ccastro@gazole.com.mx; tesoreria@gazole.com.mx; </t>
    </r>
  </si>
  <si>
    <r>
      <t xml:space="preserve">Contacto: </t>
    </r>
    <r>
      <rPr>
        <b/>
        <sz val="11"/>
        <rFont val="Calibri"/>
        <family val="2"/>
        <scheme val="minor"/>
      </rPr>
      <t>Alejandro Garza</t>
    </r>
    <r>
      <rPr>
        <sz val="11"/>
        <rFont val="Calibri"/>
        <family val="2"/>
        <scheme val="minor"/>
      </rPr>
      <t xml:space="preserve">                            Teléfono: </t>
    </r>
    <r>
      <rPr>
        <b/>
        <sz val="11"/>
        <rFont val="Calibri"/>
        <family val="2"/>
        <scheme val="minor"/>
      </rPr>
      <t>81 8200 4521</t>
    </r>
  </si>
  <si>
    <r>
      <t xml:space="preserve">Contactos: </t>
    </r>
    <r>
      <rPr>
        <b/>
        <sz val="11"/>
        <rFont val="Calibri"/>
        <family val="2"/>
        <scheme val="minor"/>
      </rPr>
      <t xml:space="preserve">Jose Alanis - 826 127 9143                                  Jesus Alejandro - 82 6126 0557 </t>
    </r>
    <r>
      <rPr>
        <b/>
        <u/>
        <sz val="11"/>
        <rFont val="Calibri"/>
        <family val="2"/>
        <scheme val="minor"/>
      </rPr>
      <t>transportesttr1@hotmail.com</t>
    </r>
  </si>
  <si>
    <r>
      <t xml:space="preserve">Contacto: </t>
    </r>
    <r>
      <rPr>
        <b/>
        <sz val="11"/>
        <rFont val="Calibri"/>
        <family val="2"/>
        <scheme val="minor"/>
      </rPr>
      <t xml:space="preserve">David Garza                              </t>
    </r>
    <r>
      <rPr>
        <sz val="11"/>
        <rFont val="Calibri"/>
        <family val="2"/>
        <scheme val="minor"/>
      </rPr>
      <t xml:space="preserve"> Teléfono: </t>
    </r>
    <r>
      <rPr>
        <b/>
        <sz val="11"/>
        <rFont val="Calibri"/>
        <family val="2"/>
        <scheme val="minor"/>
      </rPr>
      <t>81 2326 7875</t>
    </r>
  </si>
  <si>
    <r>
      <rPr>
        <sz val="11"/>
        <rFont val="Calibri"/>
        <family val="2"/>
        <scheme val="minor"/>
      </rPr>
      <t>Contacto:</t>
    </r>
    <r>
      <rPr>
        <b/>
        <sz val="11"/>
        <rFont val="Calibri"/>
        <family val="2"/>
        <scheme val="minor"/>
      </rPr>
      <t xml:space="preserve"> Sergio Ediñho Arriaga Hdz                                     
</t>
    </r>
    <r>
      <rPr>
        <sz val="11"/>
        <rFont val="Calibri"/>
        <family val="2"/>
        <scheme val="minor"/>
      </rPr>
      <t>Teléfono:</t>
    </r>
    <r>
      <rPr>
        <b/>
        <sz val="11"/>
        <rFont val="Calibri"/>
        <family val="2"/>
        <scheme val="minor"/>
      </rPr>
      <t xml:space="preserve"> 81 2402 5624                                                       </t>
    </r>
    <r>
      <rPr>
        <u/>
        <sz val="11"/>
        <rFont val="Calibri"/>
        <family val="2"/>
        <scheme val="minor"/>
      </rPr>
      <t xml:space="preserve"> </t>
    </r>
    <r>
      <rPr>
        <b/>
        <u/>
        <sz val="11"/>
        <rFont val="Calibri"/>
        <family val="2"/>
        <scheme val="minor"/>
      </rPr>
      <t>se.arriaga@hotmail.com</t>
    </r>
  </si>
  <si>
    <r>
      <t xml:space="preserve">Contactos: </t>
    </r>
    <r>
      <rPr>
        <b/>
        <sz val="11"/>
        <rFont val="Calibri"/>
        <family val="2"/>
        <scheme val="minor"/>
      </rPr>
      <t xml:space="preserve">Karen Gonzalez (Hija)            81 2424 5240                                                        Mario Alejandro Gonzalez                                   81 1260 1382 </t>
    </r>
  </si>
  <si>
    <r>
      <t xml:space="preserve">Contacto: </t>
    </r>
    <r>
      <rPr>
        <b/>
        <sz val="11"/>
        <rFont val="Calibri"/>
        <family val="2"/>
        <scheme val="minor"/>
      </rPr>
      <t>Isabella Ortega</t>
    </r>
    <r>
      <rPr>
        <sz val="11"/>
        <rFont val="Calibri"/>
        <family val="2"/>
        <scheme val="minor"/>
      </rPr>
      <t xml:space="preserve">                           Teléfono:  </t>
    </r>
    <r>
      <rPr>
        <b/>
        <sz val="11"/>
        <rFont val="Calibri"/>
        <family val="2"/>
        <scheme val="minor"/>
      </rPr>
      <t>8123213840</t>
    </r>
    <r>
      <rPr>
        <sz val="11"/>
        <rFont val="Calibri"/>
        <family val="2"/>
        <scheme val="minor"/>
      </rPr>
      <t xml:space="preserve">
</t>
    </r>
    <r>
      <rPr>
        <b/>
        <u/>
        <sz val="11"/>
        <rFont val="Calibri"/>
        <family val="2"/>
        <scheme val="minor"/>
      </rPr>
      <t xml:space="preserve">lizbeth0993@outlook.com </t>
    </r>
  </si>
  <si>
    <r>
      <t xml:space="preserve">Contacto: </t>
    </r>
    <r>
      <rPr>
        <b/>
        <sz val="11"/>
        <rFont val="Calibri"/>
        <family val="2"/>
        <scheme val="minor"/>
      </rPr>
      <t xml:space="preserve">Carlos Cabello                              </t>
    </r>
    <r>
      <rPr>
        <sz val="11"/>
        <rFont val="Calibri"/>
        <family val="2"/>
        <scheme val="minor"/>
      </rPr>
      <t>Teléfono:</t>
    </r>
    <r>
      <rPr>
        <b/>
        <sz val="11"/>
        <rFont val="Calibri"/>
        <family val="2"/>
        <scheme val="minor"/>
      </rPr>
      <t xml:space="preserve">  828 148 1027                            </t>
    </r>
    <r>
      <rPr>
        <sz val="11"/>
        <rFont val="Calibri"/>
        <family val="2"/>
        <scheme val="minor"/>
      </rPr>
      <t xml:space="preserve"> Email:</t>
    </r>
    <r>
      <rPr>
        <b/>
        <sz val="11"/>
        <rFont val="Calibri"/>
        <family val="2"/>
        <scheme val="minor"/>
      </rPr>
      <t xml:space="preserve"> </t>
    </r>
    <r>
      <rPr>
        <b/>
        <u/>
        <sz val="11"/>
        <rFont val="Calibri"/>
        <family val="2"/>
        <scheme val="minor"/>
      </rPr>
      <t>ccabello.39@gmail.com</t>
    </r>
  </si>
  <si>
    <r>
      <rPr>
        <sz val="11"/>
        <rFont val="Calibri"/>
        <family val="2"/>
        <scheme val="minor"/>
      </rPr>
      <t xml:space="preserve">Contacto: </t>
    </r>
    <r>
      <rPr>
        <b/>
        <sz val="11"/>
        <rFont val="Calibri"/>
        <family val="2"/>
        <scheme val="minor"/>
      </rPr>
      <t xml:space="preserve">Alejandro Macias Garza </t>
    </r>
    <r>
      <rPr>
        <sz val="11"/>
        <rFont val="Calibri"/>
        <family val="2"/>
        <scheme val="minor"/>
      </rPr>
      <t>Teléfono:</t>
    </r>
    <r>
      <rPr>
        <b/>
        <sz val="11"/>
        <rFont val="Calibri"/>
        <family val="2"/>
        <scheme val="minor"/>
      </rPr>
      <t xml:space="preserve"> 81 1728 3110                              </t>
    </r>
    <r>
      <rPr>
        <sz val="11"/>
        <rFont val="Calibri"/>
        <family val="2"/>
        <scheme val="minor"/>
      </rPr>
      <t>Email:</t>
    </r>
    <r>
      <rPr>
        <b/>
        <sz val="11"/>
        <rFont val="Calibri"/>
        <family val="2"/>
        <scheme val="minor"/>
      </rPr>
      <t xml:space="preserve"> </t>
    </r>
    <r>
      <rPr>
        <b/>
        <u/>
        <sz val="11"/>
        <rFont val="Calibri"/>
        <family val="2"/>
        <scheme val="minor"/>
      </rPr>
      <t>am11arquitectos@gmail.com</t>
    </r>
  </si>
  <si>
    <r>
      <rPr>
        <sz val="11"/>
        <rFont val="Calibri"/>
        <family val="2"/>
        <scheme val="minor"/>
      </rPr>
      <t xml:space="preserve">Contacto: </t>
    </r>
    <r>
      <rPr>
        <b/>
        <sz val="11"/>
        <rFont val="Calibri"/>
        <family val="2"/>
        <scheme val="minor"/>
      </rPr>
      <t xml:space="preserve">Manuel Ojeda                            </t>
    </r>
    <r>
      <rPr>
        <sz val="11"/>
        <rFont val="Calibri"/>
        <family val="2"/>
        <scheme val="minor"/>
      </rPr>
      <t xml:space="preserve">Teléfono:  </t>
    </r>
    <r>
      <rPr>
        <b/>
        <sz val="11"/>
        <rFont val="Calibri"/>
        <family val="2"/>
        <scheme val="minor"/>
      </rPr>
      <t xml:space="preserve">667 312 9266                               </t>
    </r>
    <r>
      <rPr>
        <sz val="11"/>
        <rFont val="Calibri"/>
        <family val="2"/>
        <scheme val="minor"/>
      </rPr>
      <t xml:space="preserve">Email:  </t>
    </r>
    <r>
      <rPr>
        <b/>
        <u/>
        <sz val="11"/>
        <rFont val="Calibri"/>
        <family val="2"/>
        <scheme val="minor"/>
      </rPr>
      <t>manuelojeda@grupoforza.com contabilidad@adfingroup.mx</t>
    </r>
  </si>
  <si>
    <r>
      <t>Contacto:</t>
    </r>
    <r>
      <rPr>
        <b/>
        <sz val="11"/>
        <rFont val="Calibri"/>
        <family val="2"/>
        <scheme val="minor"/>
      </rPr>
      <t xml:space="preserve"> Mauricio Gonzalez                      </t>
    </r>
    <r>
      <rPr>
        <sz val="11"/>
        <rFont val="Calibri"/>
        <family val="2"/>
        <scheme val="minor"/>
      </rPr>
      <t>Teléfono:</t>
    </r>
    <r>
      <rPr>
        <b/>
        <sz val="11"/>
        <rFont val="Calibri"/>
        <family val="2"/>
        <scheme val="minor"/>
      </rPr>
      <t xml:space="preserve"> 956 282 8555 </t>
    </r>
    <r>
      <rPr>
        <sz val="11"/>
        <rFont val="Calibri"/>
        <family val="2"/>
        <scheme val="minor"/>
      </rPr>
      <t>Email:</t>
    </r>
    <r>
      <rPr>
        <b/>
        <u/>
        <sz val="11"/>
        <rFont val="Calibri"/>
        <family val="2"/>
        <scheme val="minor"/>
      </rPr>
      <t>mmkwgzz@hotmail.com</t>
    </r>
  </si>
  <si>
    <r>
      <t>Contacto:</t>
    </r>
    <r>
      <rPr>
        <b/>
        <sz val="11"/>
        <rFont val="Calibri"/>
        <family val="2"/>
        <scheme val="minor"/>
      </rPr>
      <t xml:space="preserve"> </t>
    </r>
    <r>
      <rPr>
        <sz val="11"/>
        <rFont val="Calibri"/>
        <family val="2"/>
        <scheme val="minor"/>
      </rPr>
      <t xml:space="preserve">Arturo Aranda                        </t>
    </r>
    <r>
      <rPr>
        <b/>
        <sz val="11"/>
        <rFont val="Calibri"/>
        <family val="2"/>
        <scheme val="minor"/>
      </rPr>
      <t xml:space="preserve"> </t>
    </r>
    <r>
      <rPr>
        <sz val="11"/>
        <rFont val="Calibri"/>
        <family val="2"/>
        <scheme val="minor"/>
      </rPr>
      <t xml:space="preserve">Teléfono:  81 1015 2898                            Email: </t>
    </r>
    <r>
      <rPr>
        <b/>
        <u/>
        <sz val="11"/>
        <rFont val="Calibri"/>
        <family val="2"/>
        <scheme val="minor"/>
      </rPr>
      <t>arturo.jonathan93@gmail.com</t>
    </r>
  </si>
  <si>
    <r>
      <rPr>
        <b/>
        <sz val="11"/>
        <rFont val="Calibri"/>
        <family val="2"/>
        <scheme val="minor"/>
      </rPr>
      <t xml:space="preserve">COMODATO    </t>
    </r>
    <r>
      <rPr>
        <sz val="11"/>
        <rFont val="Calibri"/>
        <family val="2"/>
        <scheme val="minor"/>
      </rPr>
      <t xml:space="preserve">   </t>
    </r>
    <r>
      <rPr>
        <b/>
        <sz val="11"/>
        <rFont val="Calibri"/>
        <family val="2"/>
        <scheme val="minor"/>
      </rPr>
      <t xml:space="preserve">                            </t>
    </r>
    <r>
      <rPr>
        <sz val="11"/>
        <rFont val="Calibri"/>
        <family val="2"/>
        <scheme val="minor"/>
      </rPr>
      <t>Contactos:</t>
    </r>
    <r>
      <rPr>
        <b/>
        <sz val="11"/>
        <rFont val="Calibri"/>
        <family val="2"/>
        <scheme val="minor"/>
      </rPr>
      <t xml:space="preserve"> Humberto Tamez - 82 6105 8660                                                                      Jose Tamez - 81 1066 5375 </t>
    </r>
  </si>
  <si>
    <r>
      <rPr>
        <sz val="11"/>
        <rFont val="Calibri"/>
        <family val="2"/>
        <scheme val="minor"/>
      </rPr>
      <t>Contacto:</t>
    </r>
    <r>
      <rPr>
        <b/>
        <sz val="11"/>
        <rFont val="Calibri"/>
        <family val="2"/>
        <scheme val="minor"/>
      </rPr>
      <t xml:space="preserve"> Carlos Rivera                               </t>
    </r>
    <r>
      <rPr>
        <sz val="11"/>
        <rFont val="Calibri"/>
        <family val="2"/>
        <scheme val="minor"/>
      </rPr>
      <t>Teléfono:</t>
    </r>
    <r>
      <rPr>
        <b/>
        <sz val="11"/>
        <rFont val="Calibri"/>
        <family val="2"/>
        <scheme val="minor"/>
      </rPr>
      <t xml:space="preserve"> 81 1018 3378</t>
    </r>
  </si>
  <si>
    <t>FACTURAS FEBRERO 2025</t>
  </si>
  <si>
    <t>REMISIONES FEBRERO 2025</t>
  </si>
  <si>
    <t>IMPORTE FEB´2025</t>
  </si>
  <si>
    <t>Recuperación del 01 al 02</t>
  </si>
  <si>
    <t>Recuperación del 03 al 09</t>
  </si>
  <si>
    <t>Recuperación del 10 al 16</t>
  </si>
  <si>
    <t>Recuperación del 17 al 23</t>
  </si>
  <si>
    <t>Recuperación del 24 al 28</t>
  </si>
  <si>
    <t>PAGARA 6 MENS. COBRAR HASTA EL MES DE MARZO 2025 CAMBIA A ESQUEMA DE MENSUALIDAD 06-SEPTIEMBRE-2024 Y DA DE BAJA 3 UNIDADES Y SE SEPARA CUENTA A COMERCIALIZADORA FUERZA CEMENTERA</t>
  </si>
  <si>
    <t>COB. ENE'25: 1 RENOVACION DE ANUALIDAD POR 8 UNIDADES</t>
  </si>
  <si>
    <t>MARTHA ISAMAR CABELLO GUTIERREZ – BACOCA (HECTOR RODRIGUEZ)</t>
  </si>
  <si>
    <r>
      <t>Hector Rodriguez - 81 1553 8897</t>
    </r>
    <r>
      <rPr>
        <b/>
        <u/>
        <sz val="10"/>
        <color rgb="FF0070C0"/>
        <rFont val="Calibri Light"/>
        <family val="2"/>
        <scheme val="major"/>
      </rPr>
      <t xml:space="preserve"> trafico.bacoca@hotmail.com</t>
    </r>
  </si>
  <si>
    <t>APFEL CAPITAL, S.A. DE C.V. 
(Sr. MARCO)</t>
  </si>
  <si>
    <t>AUTO LINEAS MERCURIO, S.A. DE C.V.</t>
  </si>
  <si>
    <t>BROTHERS DOING BUSINESS &amp; SERVICES, S.A. DE C.V.
(B. D. B. COMPANY)</t>
  </si>
  <si>
    <t xml:space="preserve">ELEMOC Integral Services, S.A. de C.V. </t>
  </si>
  <si>
    <t xml:space="preserve">ERESOM LATINOAMERICA, S.A. DE C.V.  (CAFÉ) </t>
  </si>
  <si>
    <t>JOSE ADRIAN TREVIÑO ROCHA
(Fernando Serrano)</t>
  </si>
  <si>
    <t>JOSE LUIS ALMAGUER GONZALEZ
(TRANSPORTES ALMAGUER)</t>
  </si>
  <si>
    <t>PICAZO ARQUITECTOS, S.A. DE C.V.</t>
  </si>
  <si>
    <t xml:space="preserve">REMOLQUES MOVIL, S.A. DE C.V. </t>
  </si>
  <si>
    <t>DANIA CRISANY GOMEZ SALAZAR (ANUALIDAD)</t>
  </si>
  <si>
    <t xml:space="preserve">ELEMOC INTEGRAL SERVICES, S.A. de C.V. </t>
  </si>
  <si>
    <t>COBRANZA FEBRERO 2025</t>
  </si>
  <si>
    <t>Febrero'2025</t>
  </si>
  <si>
    <t xml:space="preserve">COMODATO                                Ramiro - 81 2319 4917 </t>
  </si>
  <si>
    <t>MARTHA ISAMAR CABELLO GUTIERREZ</t>
  </si>
  <si>
    <t>CAGM921014C97</t>
  </si>
  <si>
    <t>FACTURACIÓN FEBRERO 2025</t>
  </si>
  <si>
    <t xml:space="preserve"> 4dcc9fd0-3863-41f7-bb94-2f1ad1d11c10</t>
  </si>
  <si>
    <t>BAJA 24-ENERO-2025</t>
  </si>
  <si>
    <t>AÑO JUNIO 2021</t>
  </si>
  <si>
    <t xml:space="preserve">COB. ENE'25: 4 INST. NUEVAS </t>
  </si>
  <si>
    <r>
      <rPr>
        <b/>
        <sz val="10"/>
        <color theme="1"/>
        <rFont val="Calibri Light"/>
        <family val="2"/>
        <scheme val="major"/>
      </rPr>
      <t xml:space="preserve">Alexis Ruiz - 81 3264 7654                Elena Morales Valencia - 811 004 8906 </t>
    </r>
    <r>
      <rPr>
        <sz val="10"/>
        <color theme="1"/>
        <rFont val="Calibri Light"/>
        <family val="2"/>
        <scheme val="major"/>
      </rPr>
      <t xml:space="preserve">
</t>
    </r>
    <r>
      <rPr>
        <b/>
        <u/>
        <sz val="10"/>
        <color theme="4" tint="-0.249977111117893"/>
        <rFont val="Calibri Light"/>
        <family val="2"/>
        <scheme val="major"/>
      </rPr>
      <t xml:space="preserve">elenajr2020@gmail.com; </t>
    </r>
  </si>
  <si>
    <t>BAJA 27-ENERO-2025</t>
  </si>
  <si>
    <r>
      <t xml:space="preserve">PROATAM - JOSE ANTONIO LOPEZ GARCIA </t>
    </r>
    <r>
      <rPr>
        <sz val="11"/>
        <color theme="1"/>
        <rFont val="Calibri"/>
        <family val="2"/>
        <scheme val="minor"/>
      </rPr>
      <t>(Saygar Constructora)</t>
    </r>
  </si>
  <si>
    <t xml:space="preserve">1- NISSAN BLANCO PW-1962-B                                                        2- TOYOTA HILUX BLANCO RD-4925-B                                             3- DODGE RAM BLANCO RD-6662-A                                                     4- NISSAN BLANCO PW-1963-B </t>
  </si>
  <si>
    <t>COB. FEB'25: 6 EQP., 5 MENS. PROP., 1 DES-INST., 1 RE-INST. Y 2 REVISIONES</t>
  </si>
  <si>
    <t>COB. FEB'25: 2 EQP. Y 2 MENS. PROP. 14 DIAS</t>
  </si>
  <si>
    <t xml:space="preserve">COB. FEB'25: 1 REVISION Y 1 REEMPLAZO DE EQP., CAMBIA COBRANZA EN CANTIDAD DE UNIDADES AHORA SE LE COBRARAN 4 A DRP Y 8 A JUAN FRANCISCO SANCHEZ </t>
  </si>
  <si>
    <t xml:space="preserve">CAMBIA COBRANZA EN CANTIDAD DE UNIDADES AHORA SE LE COBRARAN 4 A DRP Y 8 A JUAN FRANCISCO SANCHEZ </t>
  </si>
  <si>
    <t xml:space="preserve">COB. FEB'25: 2 EQP. Y 3 MENS. PROP. 21 DIAS, 13 DIAS Y 8 DIAS </t>
  </si>
  <si>
    <t>COB. FEB'25: 2 RE-INST.</t>
  </si>
  <si>
    <t>COB. FEB'25: 4 INST. Y 4 MENS. PROP. 23, 6 Y 3 DIAS</t>
  </si>
  <si>
    <t>COB. FEB'25: 1 RE-INST.</t>
  </si>
  <si>
    <t xml:space="preserve">COB. FEB'25: 1 CAMBIO DE SIM </t>
  </si>
  <si>
    <t xml:space="preserve">COB. FEB'25: 1 EQP. E INST. NUEVA Y 1 MENS. PROP. 9 DIAS </t>
  </si>
  <si>
    <t xml:space="preserve">COB. FEB'25: 2 INST. NUEVAS Y 2 MENS. PROP. 7 DIAS </t>
  </si>
  <si>
    <t>COB. FEB'25: 1 DES-INST.</t>
  </si>
  <si>
    <t>MISAEL SALAS (DANIEL SALAS)</t>
  </si>
  <si>
    <t>CTE. PREPAGO</t>
  </si>
  <si>
    <t>CARLOS NAVARRO GONZALEZ CTE. PREPAGO</t>
  </si>
  <si>
    <t>VW JETTA GRIS</t>
  </si>
  <si>
    <t>FEY-137-B</t>
  </si>
  <si>
    <t>COB. FEB'25: 1 MENS. PROP. 20 DIAS COBRAR EN MARZO MENS. COMPL.</t>
  </si>
  <si>
    <t>COB. FEB'25: 3 DES-INST.</t>
  </si>
  <si>
    <t xml:space="preserve">COB. FEB'25: 5 MENS. PROP. 21 DIAS, COBRAR EN MARZO MENS. COMPL.  </t>
  </si>
  <si>
    <t xml:space="preserve">COB. FEB'25: 3 MENS. PROP. 19 DIAS COBRAR EN MARZO MENS. COMPL. PDTES. 2 INST. YA PAGADAS </t>
  </si>
  <si>
    <t xml:space="preserve">COB. FEB'25: 1 REVISION Y 8 BAJAS DE UNIDAD,  1 EQP. ENVIADO A GUANAJUATO YA PAGADO </t>
  </si>
  <si>
    <t>COB. FEB'25: 1 EQP. E INST. NUEVO 1 UNIDAD ES PREPAGO POR ESO SE COBRAN 5 y 1 MENSUALIDADES DE DASH CAM</t>
  </si>
  <si>
    <t>COB. FEB'25: 1 INST. NUEVA</t>
  </si>
  <si>
    <t>BAJA 30-ENERO-2025</t>
  </si>
  <si>
    <t>FEBRERO'26</t>
  </si>
  <si>
    <t xml:space="preserve">COB. ENE'25: 1 EQUIPO Y MENS. COBRAR ESA MENS. EN MARZO </t>
  </si>
  <si>
    <t xml:space="preserve">COB. ENE'25: 1 REVISION Y 1 DES-INST. </t>
  </si>
  <si>
    <t>COB. FEB'25: 3 ANUALIDADES</t>
  </si>
  <si>
    <t>OEM SUPPLY</t>
  </si>
  <si>
    <t>COB. FEB'25: 2 ANUALIDADES</t>
  </si>
  <si>
    <t>OEM SUPPLY ANUALIDAD</t>
  </si>
  <si>
    <t>COB. FEB'25: 1 EQP.  INST. NUEVO</t>
  </si>
  <si>
    <t>EDUARDO SAENZ TAMEZ (TRANSPORTES ETI)</t>
  </si>
  <si>
    <r>
      <t xml:space="preserve">COMODATO                                                      </t>
    </r>
    <r>
      <rPr>
        <b/>
        <sz val="10"/>
        <color theme="1"/>
        <rFont val="Calibri Light"/>
        <family val="2"/>
        <scheme val="major"/>
      </rPr>
      <t xml:space="preserve">Anel - 773 132 8093  </t>
    </r>
    <r>
      <rPr>
        <sz val="10"/>
        <color theme="1"/>
        <rFont val="Calibri Light"/>
        <family val="2"/>
        <scheme val="major"/>
      </rPr>
      <t xml:space="preserve">                                    Fermin Uribe Ramos - 
7732188379   </t>
    </r>
    <r>
      <rPr>
        <b/>
        <sz val="10"/>
        <color theme="1"/>
        <rFont val="Calibri Light"/>
        <family val="2"/>
        <scheme val="major"/>
      </rPr>
      <t xml:space="preserve">   </t>
    </r>
    <r>
      <rPr>
        <sz val="10"/>
        <color theme="1"/>
        <rFont val="Calibri Light"/>
        <family val="2"/>
        <scheme val="major"/>
      </rPr>
      <t xml:space="preserve">                                                  Alejandro - 77 1393 3704</t>
    </r>
    <r>
      <rPr>
        <b/>
        <sz val="10"/>
        <color theme="1"/>
        <rFont val="Calibri Light"/>
        <family val="2"/>
        <scheme val="major"/>
      </rPr>
      <t xml:space="preserve"> </t>
    </r>
    <r>
      <rPr>
        <b/>
        <u/>
        <sz val="10"/>
        <color rgb="FF0070C0"/>
        <rFont val="Calibri Light"/>
        <family val="2"/>
        <scheme val="major"/>
      </rPr>
      <t>eber.sannicolas@sitelecom.lat</t>
    </r>
  </si>
  <si>
    <t>COBRAR MENS. EN MARZO 2025</t>
  </si>
  <si>
    <t xml:space="preserve">COB. ENE'25: 1ER QUINCENA: 2 EQP., 1 RE-INST. Y 1 DES-INST. 2DA QUINCENA: 2 MENS., 2 EQP., 5 RE-INST., 4 DES-INST., 2 REVISION Y 3 VISITA EN FALSO </t>
  </si>
  <si>
    <t>030f104b-1edf-4c9e-b375-5b580efb86ef</t>
  </si>
  <si>
    <t>PAGO EL 30-ENERO-2025 POR TRANSFERENCIA</t>
  </si>
  <si>
    <t>BRIAN DAVID AYALA MORALES</t>
  </si>
  <si>
    <r>
      <t xml:space="preserve">Brian David Morales - 81 3630 1330                       </t>
    </r>
    <r>
      <rPr>
        <b/>
        <u/>
        <sz val="10"/>
        <color rgb="FF0070C0"/>
        <rFont val="Calibri Light"/>
        <family val="2"/>
        <scheme val="major"/>
      </rPr>
      <t xml:space="preserve">brian_arq16@hotmail.com  </t>
    </r>
    <r>
      <rPr>
        <b/>
        <sz val="10"/>
        <color theme="1"/>
        <rFont val="Calibri Light"/>
        <family val="2"/>
        <scheme val="major"/>
      </rPr>
      <t xml:space="preserve">    </t>
    </r>
  </si>
  <si>
    <t>CLIENTE NUEVO 30-ENERO-2025</t>
  </si>
  <si>
    <t>PAGO EN EFECTIVO A OSCAR</t>
  </si>
  <si>
    <t>COBRAR EN MARZO 2025</t>
  </si>
  <si>
    <t>BRIAN DAVID MORALES 81 3630 1330</t>
  </si>
  <si>
    <t>FORD RAPTOR NEGRO PP-0191-A</t>
  </si>
  <si>
    <t>BAJA 31-ENERO-2025</t>
  </si>
  <si>
    <r>
      <rPr>
        <b/>
        <sz val="10"/>
        <rFont val="Calibri Light"/>
        <family val="2"/>
        <scheme val="major"/>
      </rPr>
      <t xml:space="preserve">ANUALIDAD                              Dania Salazar - 81 3381 4857 </t>
    </r>
    <r>
      <rPr>
        <b/>
        <u/>
        <sz val="10"/>
        <color rgb="FF0070C0"/>
        <rFont val="Calibri Light"/>
        <family val="2"/>
        <scheme val="major"/>
      </rPr>
      <t>idaliaisabel74@hotmail.com</t>
    </r>
  </si>
  <si>
    <t>ENVIADA</t>
  </si>
  <si>
    <t xml:space="preserve">COB. FEB'25: 1 DES-INST. Y 1 RE-INST. </t>
  </si>
  <si>
    <t>COB. FEB'25: 1 EQP. E INST. NUEVA</t>
  </si>
  <si>
    <t>bdce54ea-c8c0-4c4e-8094-e88025363588</t>
  </si>
  <si>
    <t>f634b6f3-74f3-48b5-a225-0418d042f956</t>
  </si>
  <si>
    <t>4bf1f3db-7f1f-4986-bccb-f362022a1078</t>
  </si>
  <si>
    <t xml:space="preserve"> e6597669-114e-4e23-9262-54eff14778d0</t>
  </si>
  <si>
    <t>6ec3726c-d345-408b-afbd-6d1306f0f054</t>
  </si>
  <si>
    <t>cb8cd533-c8cf-42d6-b5cf-d277fbf3572a</t>
  </si>
  <si>
    <t>6e1e1d7b-ca43-4a12-a64b-c8898750cd98</t>
  </si>
  <si>
    <t xml:space="preserve"> fa9df9d5-297e-47dd-a211-56c6b2b56eda</t>
  </si>
  <si>
    <t xml:space="preserve"> 7a25858f-eee2-4c2b-9ca2-f89c8c34cc80</t>
  </si>
  <si>
    <t>f852729e-043b-4ca7-896f-c675b39657f5</t>
  </si>
  <si>
    <t>83d76b94-04ee-4892-962f-31eef56fe85e</t>
  </si>
  <si>
    <t>dc8f910e-8f33-488f-80e2-684849d949f4</t>
  </si>
  <si>
    <t>f5f59d8f-c95d-47ae-b7fa-a87cfdb30e39</t>
  </si>
  <si>
    <t xml:space="preserve"> f7294de3-6be9-4d03-b238-1c74b0ae58c4</t>
  </si>
  <si>
    <t>06581d67-a051-497f-b33f-1cd4879ce671</t>
  </si>
  <si>
    <t xml:space="preserve"> 0fef42b4-a38c-4889-959e-1db999c83246</t>
  </si>
  <si>
    <t>50c5755d-728c-4c64-b952-b7f1db1a8058</t>
  </si>
  <si>
    <t>583bffca-466e-46c2-875c-351c64940162</t>
  </si>
  <si>
    <t>253406ca-ec56-42e9-aca7-ffdbdc37b227</t>
  </si>
  <si>
    <t>04d1f1bf-6c20-482e-b5ab-c64c4fc59b27</t>
  </si>
  <si>
    <t>ceb784dd-c218-4c40-8e8e-c2c982502e47</t>
  </si>
  <si>
    <t xml:space="preserve"> f9e52934-fb8d-402e-8a52-32fa806b50d5</t>
  </si>
  <si>
    <t>5a075f9c-75e3-4780-b63d-89b54bdd1977</t>
  </si>
  <si>
    <t>e3711955-b0b2-490b-aa70-33bbd56b6545</t>
  </si>
  <si>
    <t>d5dfa01f-34a2-4982-8fce-eb8f4fc7177f</t>
  </si>
  <si>
    <t>5973c68c-41c4-4b6d-a541-0b6055feebf4</t>
  </si>
  <si>
    <t>3f645aa8-833c-4f25-a449-00075460b281</t>
  </si>
  <si>
    <t>c65bba3a-f1a4-4687-b87a-eab4f0e046c7</t>
  </si>
  <si>
    <t xml:space="preserve"> c5df133d-eb4f-4f48-81af-8a77045084cf</t>
  </si>
  <si>
    <t>0fa161d6-00e2-4acb-aa76-3c479b6c1fb9</t>
  </si>
  <si>
    <t>886bdbe2-05bd-4724-876b-6b4a03f4d2ad</t>
  </si>
  <si>
    <t>402d4f2b-a70d-4a1f-b3ee-f0fee271c604</t>
  </si>
  <si>
    <t>2e6f7e59-a725-4e57-812c-c2c6a1eda252</t>
  </si>
  <si>
    <t>6d8bffaa-0c86-4cf2-8ca8-d1efcf6deaa3</t>
  </si>
  <si>
    <t xml:space="preserve"> 82a5efb2-e3e0-45dd-9b91-2e3daa768b82</t>
  </si>
  <si>
    <t>d2de86dd-0f6f-4a71-a266-b39e2295d926</t>
  </si>
  <si>
    <t>2c1f7dc0-417d-46e7-974c-b7e83c5e3909</t>
  </si>
  <si>
    <t xml:space="preserve"> f57820f8-ecfb-4c55-b560-7031724a1c31</t>
  </si>
  <si>
    <t>2ff9a097-e0bc-4af7-82ec-6901c116aaf6</t>
  </si>
  <si>
    <t>4f2f7dd1-fbe7-4383-9638-25e4b3464f4e</t>
  </si>
  <si>
    <t xml:space="preserve"> 9453b7aa-031b-4a73-95e2-2eaa67bee469</t>
  </si>
  <si>
    <t>77850228-3913-4c9a-926c-4ced8b6ed3a4</t>
  </si>
  <si>
    <r>
      <t xml:space="preserve">COMODATO                                                           </t>
    </r>
    <r>
      <rPr>
        <b/>
        <sz val="10"/>
        <color theme="1"/>
        <rFont val="Calibri Light"/>
        <family val="2"/>
        <scheme val="major"/>
      </rPr>
      <t xml:space="preserve">Gabriela - 81 2077 4512 </t>
    </r>
    <r>
      <rPr>
        <sz val="10"/>
        <color theme="1"/>
        <rFont val="Calibri Light"/>
        <family val="2"/>
        <scheme val="major"/>
      </rPr>
      <t xml:space="preserve">                   </t>
    </r>
    <r>
      <rPr>
        <b/>
        <sz val="10"/>
        <color theme="1"/>
        <rFont val="Calibri Light"/>
        <family val="2"/>
        <scheme val="major"/>
      </rPr>
      <t xml:space="preserve">Sergio Gonzalez - 81 8654 2753 </t>
    </r>
    <r>
      <rPr>
        <b/>
        <u/>
        <sz val="10"/>
        <color rgb="FF0070C0"/>
        <rFont val="Calibri Light"/>
        <family val="2"/>
        <scheme val="major"/>
      </rPr>
      <t>sergio.jr987@outlook.com</t>
    </r>
  </si>
  <si>
    <t>cadaf579-46a0-4489-9951-31ce5ff89874</t>
  </si>
  <si>
    <t>a61e370a-8c92-438c-a21b-c95ecd1f6624</t>
  </si>
  <si>
    <t>cc652f0a-f53f-4c5d-a859-ff2fba681210</t>
  </si>
  <si>
    <t>0ce64ac3-748c-49d5-b4c6-33d2e1240217</t>
  </si>
  <si>
    <t>f8cad27f-ed43-4cb2-aab2-48b1dc06e9ee</t>
  </si>
  <si>
    <t>6aa85e36-4e9f-44cd-bffa-35e0848747b5</t>
  </si>
  <si>
    <t>9e90d81f-8177-425c-9836-018c5da59406</t>
  </si>
  <si>
    <t>07189681-a4e9-43d9-974f-c62ce9610890</t>
  </si>
  <si>
    <t>5f0b47b5-03f6-47ff-8693-86d235726e3e</t>
  </si>
  <si>
    <t>3804d88b-0f69-4030-b158-38a90de5a72c</t>
  </si>
  <si>
    <t>eee9c39d-74af-4b47-9706-69588ed78c0d</t>
  </si>
  <si>
    <t>70b39096-0371-4881-a2bb-899f9c57a5fa</t>
  </si>
  <si>
    <t>1b9ffa52-4d02-4410-8d45-b69a070ab1c9</t>
  </si>
  <si>
    <t>928264c0-5ded-4961-a252-059c5f4fe4d2</t>
  </si>
  <si>
    <t>ce225786-a87c-4621-8938-e3ded2160b18</t>
  </si>
  <si>
    <t>91de4b57-00cb-453c-b9ab-681b1beb3039</t>
  </si>
  <si>
    <t>f0b082ce-6902-45ca-ba63-d8afa05b49de</t>
  </si>
  <si>
    <t>928757ff-f6fc-4497-bba3-bde1079b4a42</t>
  </si>
  <si>
    <t>787ec445-8105-4470-ba4f-fd6cce353a06</t>
  </si>
  <si>
    <t>8f2d0631-27a5-4473-9802-e12365a3f771</t>
  </si>
  <si>
    <t>7fdaed57-eb39-4f56-9d97-8df1923d35af</t>
  </si>
  <si>
    <t>f1688db6-2165-40dc-a807-c507018ed369</t>
  </si>
  <si>
    <t>7596e59b-7185-40e2-96b7-bbad554104a9</t>
  </si>
  <si>
    <t>25f2f9ce-c5e0-4438-b04d-8eb4d59ccf39</t>
  </si>
  <si>
    <t>7e1317c1-560e-4ad7-b3c8-86ef95ba4819</t>
  </si>
  <si>
    <t>38bc70a9-4002-460c-9209-628af4071bee</t>
  </si>
  <si>
    <t xml:space="preserve"> 8546fe93-6f05-4b37-ad49-84ff312da889</t>
  </si>
  <si>
    <t>e8a30175-70f0-434b-b649-8b6f0dea2dd4</t>
  </si>
  <si>
    <t>8e01d0f1-1dd4-498d-bf00-875f3186957c</t>
  </si>
  <si>
    <t>a7f7b5fd-8bdc-430d-9eb5-7c80924b7d04</t>
  </si>
  <si>
    <t xml:space="preserve"> 2961330e-a73e-4506-8fd8-38981a19784f</t>
  </si>
  <si>
    <t xml:space="preserve"> 45eebce1-95e0-410c-901f-0aa10ce41c79</t>
  </si>
  <si>
    <t>1ff8f396-4f54-401a-bc28-8cce0be56a3d</t>
  </si>
  <si>
    <t>948dec8f-8ea1-4b8d-926f-9b4af82558f1</t>
  </si>
  <si>
    <t>3c542903-b57c-4ea9-803c-4286b58429fa</t>
  </si>
  <si>
    <t>308846fa-58f5-49f4-83f7-a75e3c755b24</t>
  </si>
  <si>
    <t xml:space="preserve"> 18f49541-4990-42b9-a232-b1b938b3e120</t>
  </si>
  <si>
    <t>b83c2544-4376-4e13-9cbf-c33eb5d81274</t>
  </si>
  <si>
    <t>a3732a9c-107d-40b5-9e4e-1d18ccf28ec1</t>
  </si>
  <si>
    <t>a583353e-40fd-4c59-a4c4-e279da7be9a3</t>
  </si>
  <si>
    <t>58c9b1d6-feac-49bb-8287-a0b2758b3fc1</t>
  </si>
  <si>
    <t>f495a12e-8f60-49c8-aed8-86a033da911b</t>
  </si>
  <si>
    <t>02a5f75c-087c-4748-a5c4-cc3d40053917</t>
  </si>
  <si>
    <t>1e010a4b-2745-443d-b26a-505e60e37422</t>
  </si>
  <si>
    <t>5f048a6f-71c6-4e9a-839d-d015a95e3409</t>
  </si>
  <si>
    <t>84357677-0e2a-4ff1-8c99-29d07551442a</t>
  </si>
  <si>
    <t>6964da3c-be39-41e0-a27d-70efbc396856</t>
  </si>
  <si>
    <t>MARC860611LK9</t>
  </si>
  <si>
    <t>GOVN8210307L2</t>
  </si>
  <si>
    <t>NORMA LETICIA GONZALEZ VAZQUEZ</t>
  </si>
  <si>
    <t>OSU160513VB7</t>
  </si>
  <si>
    <t>5f117f3e-4dec-48c6-9349-e52e0c278cc9</t>
  </si>
  <si>
    <t>e9e3bacf-ad7b-46cd-979e-4ad8a5e07efd</t>
  </si>
  <si>
    <t>da6c13a5-d860-4dab-91d7-1a3e68e2ef83</t>
  </si>
  <si>
    <t>b7a18385-c3dc-4a56-8992-25905ecaa3d6</t>
  </si>
  <si>
    <t>BCA230405EY2</t>
  </si>
  <si>
    <t>BARLO CARGA</t>
  </si>
  <si>
    <t xml:space="preserve"> 8b36e478-1aa4-4e78-a431-e7e9d09fc8b6</t>
  </si>
  <si>
    <t>TCA090127TF0</t>
  </si>
  <si>
    <t>R DE ACTIVIDADES AGRICOLAS, GANADERAS, SILVICOLAS Y PESQUERAS PM</t>
  </si>
  <si>
    <t>G01</t>
  </si>
  <si>
    <t>TRANSFROMACION CARNICA SPR DE RL DE CV</t>
  </si>
  <si>
    <t>COB. FEB'25: 3 INST. NUEVAS, CAMBIA A ESQUEMA DE FACTURACION 05-FEBRERO-2025</t>
  </si>
  <si>
    <t>NORMA LETICIA GONZALEZ VAZQUEZ (AARON ARRATIA AGUILAR)</t>
  </si>
  <si>
    <t>COBRAR EN MARZO MENS. COMPL.</t>
  </si>
  <si>
    <t>TORTON BLANCO</t>
  </si>
  <si>
    <t>PW-7220-B</t>
  </si>
  <si>
    <t>PX-2173-B</t>
  </si>
  <si>
    <t>CARLOS LOPEZ CTE. PREPAGO</t>
  </si>
  <si>
    <t>COB. ENE'25: 3 EQP. E INST. NUEVA</t>
  </si>
  <si>
    <t>PAGO 4 MENS. COBRAR HASTA JUNIO 2025</t>
  </si>
  <si>
    <t>CAMBIA A ESQUEMA DE FACTURACION 05-FEBRERO-2025</t>
  </si>
  <si>
    <r>
      <rPr>
        <b/>
        <sz val="10"/>
        <rFont val="Calibri Light"/>
        <family val="2"/>
        <scheme val="major"/>
      </rPr>
      <t xml:space="preserve">Sandra Aparicio - 81 1065 9968 Eliezer Martínez - 81 8252 5473 </t>
    </r>
    <r>
      <rPr>
        <b/>
        <u/>
        <sz val="10"/>
        <color theme="4" tint="-0.249977111117893"/>
        <rFont val="Calibri Light"/>
        <family val="2"/>
        <scheme val="major"/>
      </rPr>
      <t>elterreno@prodigy.net.mx sandra@elterrero.com</t>
    </r>
  </si>
  <si>
    <t>BAJA 07-FEBRERO-2025</t>
  </si>
  <si>
    <r>
      <rPr>
        <sz val="11"/>
        <rFont val="Calibri"/>
        <family val="2"/>
        <scheme val="minor"/>
      </rPr>
      <t>Contactos:</t>
    </r>
    <r>
      <rPr>
        <b/>
        <sz val="11"/>
        <rFont val="Calibri"/>
        <family val="2"/>
        <scheme val="minor"/>
      </rPr>
      <t xml:space="preserve"> Geovani - 444 850 6697
Srta. Carolina Arellano - 444 256 1035
</t>
    </r>
    <r>
      <rPr>
        <sz val="11"/>
        <rFont val="Calibri"/>
        <family val="2"/>
        <scheme val="minor"/>
      </rPr>
      <t xml:space="preserve">Email: </t>
    </r>
    <r>
      <rPr>
        <b/>
        <u/>
        <sz val="11"/>
        <rFont val="Calibri"/>
        <family val="2"/>
        <scheme val="minor"/>
      </rPr>
      <t>cuentasporpagar@grupocarrera.com</t>
    </r>
  </si>
  <si>
    <r>
      <rPr>
        <sz val="11"/>
        <rFont val="Calibri"/>
        <family val="2"/>
        <scheme val="minor"/>
      </rPr>
      <t>Contacto:</t>
    </r>
    <r>
      <rPr>
        <b/>
        <sz val="11"/>
        <rFont val="Calibri"/>
        <family val="2"/>
        <scheme val="minor"/>
      </rPr>
      <t xml:space="preserve"> Daniel Gonzalez  Cardenas </t>
    </r>
    <r>
      <rPr>
        <sz val="11"/>
        <rFont val="Calibri"/>
        <family val="2"/>
        <scheme val="minor"/>
      </rPr>
      <t>Teléfono :</t>
    </r>
    <r>
      <rPr>
        <b/>
        <sz val="11"/>
        <rFont val="Calibri"/>
        <family val="2"/>
        <scheme val="minor"/>
      </rPr>
      <t xml:space="preserve"> 818 017 3188 / 811 909 5895
</t>
    </r>
    <r>
      <rPr>
        <sz val="11"/>
        <rFont val="Calibri"/>
        <family val="2"/>
        <scheme val="minor"/>
      </rPr>
      <t>Email:</t>
    </r>
    <r>
      <rPr>
        <b/>
        <sz val="11"/>
        <rFont val="Calibri"/>
        <family val="2"/>
        <scheme val="minor"/>
      </rPr>
      <t xml:space="preserve"> </t>
    </r>
    <r>
      <rPr>
        <b/>
        <u/>
        <sz val="11"/>
        <rFont val="Calibri"/>
        <family val="2"/>
        <scheme val="minor"/>
      </rPr>
      <t>danielamg.dg@gmail.com</t>
    </r>
  </si>
  <si>
    <r>
      <rPr>
        <sz val="11"/>
        <rFont val="Calibri"/>
        <family val="2"/>
        <scheme val="minor"/>
      </rPr>
      <t>Contacto:</t>
    </r>
    <r>
      <rPr>
        <b/>
        <sz val="11"/>
        <rFont val="Calibri"/>
        <family val="2"/>
        <scheme val="minor"/>
      </rPr>
      <t xml:space="preserve"> Jose Antonio</t>
    </r>
    <r>
      <rPr>
        <sz val="11"/>
        <rFont val="Calibri"/>
        <family val="2"/>
        <scheme val="minor"/>
      </rPr>
      <t xml:space="preserve">                           Teléfono</t>
    </r>
    <r>
      <rPr>
        <b/>
        <sz val="11"/>
        <rFont val="Calibri"/>
        <family val="2"/>
        <scheme val="minor"/>
      </rPr>
      <t xml:space="preserve">:  899 168 0313                             </t>
    </r>
    <r>
      <rPr>
        <b/>
        <u/>
        <sz val="11"/>
        <rFont val="Calibri"/>
        <family val="2"/>
        <scheme val="minor"/>
      </rPr>
      <t>Email: proatam.admon@gmail.com</t>
    </r>
  </si>
  <si>
    <r>
      <t xml:space="preserve">Contacto: </t>
    </r>
    <r>
      <rPr>
        <b/>
        <sz val="11"/>
        <rFont val="Calibri"/>
        <family val="2"/>
        <scheme val="minor"/>
      </rPr>
      <t xml:space="preserve">Humberto C. Castro Aguilar </t>
    </r>
    <r>
      <rPr>
        <sz val="11"/>
        <rFont val="Calibri"/>
        <family val="2"/>
        <scheme val="minor"/>
      </rPr>
      <t xml:space="preserve">Teléfono: </t>
    </r>
    <r>
      <rPr>
        <b/>
        <sz val="11"/>
        <rFont val="Calibri"/>
        <family val="2"/>
        <scheme val="minor"/>
      </rPr>
      <t>811 208 9017</t>
    </r>
    <r>
      <rPr>
        <sz val="11"/>
        <rFont val="Calibri"/>
        <family val="2"/>
        <scheme val="minor"/>
      </rPr>
      <t xml:space="preserve">
</t>
    </r>
    <r>
      <rPr>
        <b/>
        <u/>
        <sz val="11"/>
        <rFont val="Calibri"/>
        <family val="2"/>
        <scheme val="minor"/>
      </rPr>
      <t>humbertocastroaguilar@hotmail.com;</t>
    </r>
  </si>
  <si>
    <r>
      <rPr>
        <b/>
        <sz val="11"/>
        <rFont val="Calibri"/>
        <family val="2"/>
        <scheme val="minor"/>
      </rPr>
      <t xml:space="preserve">COMODATO                                              </t>
    </r>
    <r>
      <rPr>
        <sz val="11"/>
        <rFont val="Calibri"/>
        <family val="2"/>
        <scheme val="minor"/>
      </rPr>
      <t>Contactos:</t>
    </r>
    <r>
      <rPr>
        <b/>
        <sz val="11"/>
        <rFont val="Calibri"/>
        <family val="2"/>
        <scheme val="minor"/>
      </rPr>
      <t xml:space="preserve"> Anahy Zuñiga - 81 8276 6676</t>
    </r>
    <r>
      <rPr>
        <sz val="11"/>
        <rFont val="Calibri"/>
        <family val="2"/>
        <scheme val="minor"/>
      </rPr>
      <t xml:space="preserve">                        </t>
    </r>
    <r>
      <rPr>
        <b/>
        <sz val="11"/>
        <rFont val="Calibri"/>
        <family val="2"/>
        <scheme val="minor"/>
      </rPr>
      <t xml:space="preserve">Ricardo Fdz Gzz - 81 8287 6522 </t>
    </r>
    <r>
      <rPr>
        <sz val="11"/>
        <rFont val="Calibri"/>
        <family val="2"/>
        <scheme val="minor"/>
      </rPr>
      <t xml:space="preserve">                  Email:</t>
    </r>
    <r>
      <rPr>
        <b/>
        <sz val="11"/>
        <rFont val="Calibri"/>
        <family val="2"/>
        <scheme val="minor"/>
      </rPr>
      <t xml:space="preserve"> </t>
    </r>
    <r>
      <rPr>
        <b/>
        <u/>
        <sz val="11"/>
        <rFont val="Calibri"/>
        <family val="2"/>
        <scheme val="minor"/>
      </rPr>
      <t>ricardo@lideresgf.mx</t>
    </r>
  </si>
  <si>
    <t>HECTOR TOVAR (migración Guillermo Rehlaender - Jair Martinez)</t>
  </si>
  <si>
    <r>
      <t xml:space="preserve">Hector Tovar - 81 1538 0208 </t>
    </r>
    <r>
      <rPr>
        <b/>
        <u/>
        <sz val="10"/>
        <color rgb="FF0070C0"/>
        <rFont val="Calibri Light"/>
        <family val="2"/>
        <scheme val="major"/>
      </rPr>
      <t>tovarron@hotmail.com</t>
    </r>
  </si>
  <si>
    <t>HECTOR TOVAR</t>
  </si>
  <si>
    <t>COB. FEB'25: 9 MENS. PROP. COBRAR EN MARZO MENS. COMPL. DE LAS PRIMERAS 19 UNIDADES</t>
  </si>
  <si>
    <t>d2408895-07c5-406e-9986-db8dd60cacf6</t>
  </si>
  <si>
    <t xml:space="preserve"> fa4e30f4-794a-40e9-b5f9-048da9f1f0b2</t>
  </si>
  <si>
    <t>858669d8-f1cd-4310-b37e-db291f171667</t>
  </si>
  <si>
    <r>
      <rPr>
        <b/>
        <sz val="10"/>
        <color theme="1"/>
        <rFont val="Calibri Light"/>
        <family val="2"/>
        <scheme val="major"/>
      </rPr>
      <t>Arturo Sifuentes - 811 521 3582</t>
    </r>
    <r>
      <rPr>
        <sz val="10"/>
        <color theme="1"/>
        <rFont val="Calibri Light"/>
        <family val="2"/>
        <scheme val="major"/>
      </rPr>
      <t xml:space="preserve">
Email: </t>
    </r>
    <r>
      <rPr>
        <b/>
        <u/>
        <sz val="10"/>
        <color theme="4" tint="-0.249977111117893"/>
        <rFont val="Calibri Light"/>
        <family val="2"/>
        <scheme val="major"/>
      </rPr>
      <t>silvia-neri@hotmail.com;</t>
    </r>
    <r>
      <rPr>
        <sz val="10"/>
        <color theme="4" tint="-0.249977111117893"/>
        <rFont val="Calibri Light"/>
        <family val="2"/>
        <scheme val="major"/>
      </rPr>
      <t xml:space="preserve">
</t>
    </r>
    <r>
      <rPr>
        <b/>
        <u/>
        <sz val="10"/>
        <color theme="4" tint="-0.249977111117893"/>
        <rFont val="Calibri Light"/>
        <family val="2"/>
        <scheme val="major"/>
      </rPr>
      <t>ventas@acertrans.com.mx; logisticasifal@hotmail.com;</t>
    </r>
  </si>
  <si>
    <r>
      <rPr>
        <sz val="10"/>
        <rFont val="Calibri"/>
        <family val="2"/>
        <scheme val="minor"/>
      </rPr>
      <t>Contacto:</t>
    </r>
    <r>
      <rPr>
        <b/>
        <sz val="10"/>
        <rFont val="Calibri"/>
        <family val="2"/>
        <scheme val="minor"/>
      </rPr>
      <t xml:space="preserve"> Sergio Ediñho Arriaga Hdz                                     
</t>
    </r>
    <r>
      <rPr>
        <sz val="10"/>
        <rFont val="Calibri"/>
        <family val="2"/>
        <scheme val="minor"/>
      </rPr>
      <t>Teléfono:</t>
    </r>
    <r>
      <rPr>
        <b/>
        <sz val="10"/>
        <rFont val="Calibri"/>
        <family val="2"/>
        <scheme val="minor"/>
      </rPr>
      <t xml:space="preserve"> 81 2402 5624                                                       </t>
    </r>
    <r>
      <rPr>
        <u/>
        <sz val="10"/>
        <rFont val="Calibri"/>
        <family val="2"/>
        <scheme val="minor"/>
      </rPr>
      <t xml:space="preserve"> </t>
    </r>
    <r>
      <rPr>
        <b/>
        <u/>
        <sz val="10"/>
        <rFont val="Calibri"/>
        <family val="2"/>
        <scheme val="minor"/>
      </rPr>
      <t>se.arriaga@hotmail.com</t>
    </r>
  </si>
  <si>
    <t>COB. FEB'25: 1 REACTIVAION DE CUENTA Y SALDO PENDIENTE DE OCTUBRE 2024</t>
  </si>
  <si>
    <t>fd35466d-d121-4eb5-8ddf-255451f96d19</t>
  </si>
  <si>
    <t>TRANSFORMACION CARNICA</t>
  </si>
  <si>
    <t xml:space="preserve">MAURO OROZCO             81 8021 9903 </t>
  </si>
  <si>
    <r>
      <t xml:space="preserve">Erica Zamarron - 81 1989 0491 / 81 8400 5200 Ext. 110 Mauro Orozco - 81 8021 9903 </t>
    </r>
    <r>
      <rPr>
        <b/>
        <u/>
        <sz val="10"/>
        <color rgb="FF0070C0"/>
        <rFont val="Calibri Light"/>
        <family val="2"/>
        <scheme val="major"/>
      </rPr>
      <t>proveedores@transformacioncarnica.com operaciones@transformacioncarnica.com</t>
    </r>
  </si>
  <si>
    <t>EQUIPO TELTONIKA 4G/2G GMC 130 $2,400.00+IVA=$2,784.00
SENSOR DE COMBUSTIBLE LIGO VARILLA INDUCTIVA $5,600.00+IVA=$6,496.00
SENSOR DE TEMPERATURA TIPO PROBETA ANALOGICA SIN COSTO $0.00
SEMESTRE POR UNIDAD $1,800.00+IVA=$2,088.00
BONIFICACION SOBRE SEMESTRE (1 MES) -$300.00 (ANTES DEL IVA)</t>
  </si>
  <si>
    <t xml:space="preserve"> 1- ISUZU BLANCO RF-4574-B                                                                 2- NISSAN MARCH BLANCO RNT-662-C                                                3- NISSAN MARCH BLANCO RNU-941-C                                                4- INTERNATIONAL BLANCO PJ-6584-B                                                  5- KW BLANCO PY-6946-B #656                                                           6- NISSAN NP300 BLANCO PP-7911-B ECONOMICO 01                   7- ISUZU BLANCO PJ-6582-B                                                                8- ISUZU BLANCO RF-4575-B                                                                   9- ISUZU BLANCO RF-8641-B (CON SENSOR DE TEMPERATURA)</t>
  </si>
  <si>
    <t xml:space="preserve">CLIENTE NUEVO 04-FEBRERO-2025, COBRAR EN AGOSTO 2025, PAGARA POR SEMESTRE </t>
  </si>
  <si>
    <t>BAJA 11-FEBRERO-2025</t>
  </si>
  <si>
    <r>
      <rPr>
        <sz val="11"/>
        <rFont val="Calibri"/>
        <family val="2"/>
        <scheme val="minor"/>
      </rPr>
      <t xml:space="preserve">Contacto: </t>
    </r>
    <r>
      <rPr>
        <b/>
        <sz val="11"/>
        <rFont val="Calibri"/>
        <family val="2"/>
        <scheme val="minor"/>
      </rPr>
      <t xml:space="preserve">Alejandro Garza                         </t>
    </r>
    <r>
      <rPr>
        <sz val="11"/>
        <rFont val="Calibri"/>
        <family val="2"/>
        <scheme val="minor"/>
      </rPr>
      <t>Teléfono</t>
    </r>
    <r>
      <rPr>
        <b/>
        <sz val="11"/>
        <rFont val="Calibri"/>
        <family val="2"/>
        <scheme val="minor"/>
      </rPr>
      <t>: 81 8200 4521</t>
    </r>
  </si>
  <si>
    <t xml:space="preserve">LE ROBARON LA UNIDAD Y QUEDO INSATISFECHO CON EL SERVICIO </t>
  </si>
  <si>
    <r>
      <rPr>
        <sz val="11"/>
        <color theme="1"/>
        <rFont val="Calibri"/>
        <family val="2"/>
        <scheme val="minor"/>
      </rPr>
      <t xml:space="preserve">Contacto: </t>
    </r>
    <r>
      <rPr>
        <b/>
        <sz val="11"/>
        <color theme="1"/>
        <rFont val="Calibri"/>
        <family val="2"/>
        <scheme val="minor"/>
      </rPr>
      <t xml:space="preserve">Juan López                                </t>
    </r>
    <r>
      <rPr>
        <sz val="11"/>
        <color theme="1"/>
        <rFont val="Calibri"/>
        <family val="2"/>
        <scheme val="minor"/>
      </rPr>
      <t xml:space="preserve">Teléfono: </t>
    </r>
    <r>
      <rPr>
        <b/>
        <sz val="11"/>
        <color theme="1"/>
        <rFont val="Calibri"/>
        <family val="2"/>
        <scheme val="minor"/>
      </rPr>
      <t>921 409 8554</t>
    </r>
  </si>
  <si>
    <t xml:space="preserve">PAGO RETIRADO POR JOSE LUIS </t>
  </si>
  <si>
    <t>d4c66c1c-2660-40f9-a0fc-534a2a4ec33c</t>
  </si>
  <si>
    <t>COB. FEB'25: 2 EQP. E INST. NUEVA</t>
  </si>
  <si>
    <t>PAGO MENSUALIDAD DE MARZO COBRAR HASTA ABRIL 2025</t>
  </si>
  <si>
    <t xml:space="preserve">COB. FEB'25: 8 RE-INST., 11 DES-INST., 2 VISITA EN FALSO Y 1 ABONO A CUENTA </t>
  </si>
  <si>
    <t>COB. FEB'25: 4 INST., 1 RE-INST., 1 DES-INST. Y 1 REVISION</t>
  </si>
  <si>
    <t xml:space="preserve">COB. FEB'25: MTY: 4 INST., 2 DES-INST. Y 2 REVISIONES. SALTILLO: 10 INST., 2 DES-INST. Y 1 REVISION </t>
  </si>
  <si>
    <t>BAJA DE CLIENTE 14-FEBRERO-2025</t>
  </si>
  <si>
    <r>
      <t>Conatctos:</t>
    </r>
    <r>
      <rPr>
        <b/>
        <sz val="11"/>
        <color theme="1"/>
        <rFont val="Calibri"/>
        <family val="2"/>
        <scheme val="minor"/>
      </rPr>
      <t xml:space="preserve"> Irely Bernal - 844 104 0014     </t>
    </r>
    <r>
      <rPr>
        <sz val="11"/>
        <color theme="1"/>
        <rFont val="Calibri"/>
        <family val="2"/>
        <scheme val="minor"/>
      </rPr>
      <t xml:space="preserve">                                                        Alejandro Bocanegra - 81 8683 3920 Email: </t>
    </r>
    <r>
      <rPr>
        <b/>
        <u/>
        <sz val="11"/>
        <color rgb="FF0070C0"/>
        <rFont val="Calibri"/>
        <family val="2"/>
        <scheme val="minor"/>
      </rPr>
      <t>luisbj.silverconstrucciones@gmail.com</t>
    </r>
  </si>
  <si>
    <r>
      <rPr>
        <sz val="11"/>
        <color theme="1"/>
        <rFont val="Calibri"/>
        <family val="2"/>
        <scheme val="minor"/>
      </rPr>
      <t xml:space="preserve">Contacto: </t>
    </r>
    <r>
      <rPr>
        <b/>
        <sz val="11"/>
        <color theme="1"/>
        <rFont val="Calibri"/>
        <family val="2"/>
        <scheme val="minor"/>
      </rPr>
      <t xml:space="preserve">Jose  Mario Caballero Almaguer                                                      </t>
    </r>
    <r>
      <rPr>
        <sz val="11"/>
        <color theme="1"/>
        <rFont val="Calibri"/>
        <family val="2"/>
        <scheme val="minor"/>
      </rPr>
      <t>Teléfono:</t>
    </r>
    <r>
      <rPr>
        <b/>
        <sz val="11"/>
        <color theme="1"/>
        <rFont val="Calibri"/>
        <family val="2"/>
        <scheme val="minor"/>
      </rPr>
      <t xml:space="preserve"> 81 2921 0847  </t>
    </r>
    <r>
      <rPr>
        <sz val="11"/>
        <color theme="1"/>
        <rFont val="Calibri"/>
        <family val="2"/>
        <scheme val="minor"/>
      </rPr>
      <t xml:space="preserve">Email: </t>
    </r>
    <r>
      <rPr>
        <b/>
        <u/>
        <sz val="11"/>
        <color rgb="FF0070C0"/>
        <rFont val="Calibri"/>
        <family val="2"/>
        <scheme val="minor"/>
      </rPr>
      <t xml:space="preserve">caballeroalmaguerjose@gmail.com </t>
    </r>
  </si>
  <si>
    <t>6e8834c2-b5ed-4d73-94af-362e26d2f13f</t>
  </si>
  <si>
    <t>307afec7-7515-49a4-81df-3face93c05f4</t>
  </si>
  <si>
    <t>c5115242-d9fa-4495-8dc8-c97215a1fd0e</t>
  </si>
  <si>
    <t>SABADO</t>
  </si>
  <si>
    <t>FACTURA 3751 CANCELADA POR PETICION DE JOSE LUIS, SE CANCELA WEB SERVICE</t>
  </si>
  <si>
    <t>COB. FEB'25: 12 ANUALIDADES</t>
  </si>
  <si>
    <t>a4a0e928-d873-418a-8808-7a7e75f9c1c8</t>
  </si>
  <si>
    <t>3751, 3761</t>
  </si>
  <si>
    <t xml:space="preserve"> JONATHAN EDUARDO SANCHEZ LOPEZ</t>
  </si>
  <si>
    <r>
      <t xml:space="preserve">Jonathan Sanchez López - 83 4102 7241  </t>
    </r>
    <r>
      <rPr>
        <b/>
        <u/>
        <sz val="10"/>
        <color rgb="FF0070C0"/>
        <rFont val="Calibri Light"/>
        <family val="2"/>
        <scheme val="major"/>
      </rPr>
      <t>jonaeduardolopez@gmail.com</t>
    </r>
  </si>
  <si>
    <t>CLIENTE NUEVO 17-FEBRERO-2025 COBRAR HASTA MARZO 2025, PAGO DIRETCO A MARIO OLIVA</t>
  </si>
  <si>
    <t>JONATHAN EDUARDO SANCHEZ LOPEZ</t>
  </si>
  <si>
    <t>JONATHAN SANCHEZ 83 4102 7241</t>
  </si>
  <si>
    <t>EQUIPO $2,800.00                                              MENSUALIDAD CON ROAMING $350.00                       LICENCIA DE LIBRO ELECTRONICO $650.00</t>
  </si>
  <si>
    <t>INGRESA A COBRANZA EL 17-FEBRERO-2025</t>
  </si>
  <si>
    <r>
      <t xml:space="preserve">Brenda Elizabeth Morin - 81 3253 2094 </t>
    </r>
    <r>
      <rPr>
        <b/>
        <u/>
        <sz val="10"/>
        <color rgb="FF0070C0"/>
        <rFont val="Calibri Light"/>
        <family val="2"/>
        <scheme val="major"/>
      </rPr>
      <t>brendamorin10@gmail.com</t>
    </r>
  </si>
  <si>
    <t xml:space="preserve">CLIENTE NUEVO 17-FEBRERO-2025, COBRAR EN MARZO MENS. PROP.  13 DIAS </t>
  </si>
  <si>
    <t xml:space="preserve">BRENDA ELIZABETH 81 3253 2094 </t>
  </si>
  <si>
    <t xml:space="preserve">BRENDA ELIZABETH MORIN DURAN </t>
  </si>
  <si>
    <t>FREIGHTLINER COLUMBIA AZUL 85-BF-4W</t>
  </si>
  <si>
    <t>bdb1ea84-d9a0-454f-84d1-155dd819ab4b</t>
  </si>
  <si>
    <t xml:space="preserve">PAGO EL 13-FEBRERO-2025 POR TRANSFERENCIA </t>
  </si>
  <si>
    <t>JOSE ANTONIO MANCERA GARCIA (CINTHIA)</t>
  </si>
  <si>
    <t xml:space="preserve">JOSE ANTONIO MANCERA                           81 2648 7524 </t>
  </si>
  <si>
    <t>EQUIPO $2,200.00                                                                                              MESUALIDAD $299.00</t>
  </si>
  <si>
    <t>HYUNDAI ACCENT AZUL TAB-980-A</t>
  </si>
  <si>
    <r>
      <t xml:space="preserve">Jose Antonio - 81 2648 7524 </t>
    </r>
    <r>
      <rPr>
        <b/>
        <u/>
        <sz val="10"/>
        <color rgb="FF0070C0"/>
        <rFont val="Calibri Light"/>
        <family val="2"/>
        <scheme val="major"/>
      </rPr>
      <t>paladio.seguridad@gmail.com</t>
    </r>
  </si>
  <si>
    <t xml:space="preserve">CLIENTE NUEVO 18-FEBRERO-2025, COBRAR EN MARZO MENS. PROP. 12 DIAS </t>
  </si>
  <si>
    <t>CONTRATO OTRO PROVEEDOR</t>
  </si>
  <si>
    <r>
      <t>Contactos:</t>
    </r>
    <r>
      <rPr>
        <b/>
        <sz val="11"/>
        <color theme="1"/>
        <rFont val="Calibri"/>
        <family val="2"/>
        <scheme val="minor"/>
      </rPr>
      <t xml:space="preserve"> José Luis Alma guer Gonzalez - 811 185 5133      </t>
    </r>
    <r>
      <rPr>
        <sz val="11"/>
        <color theme="1"/>
        <rFont val="Calibri"/>
        <family val="2"/>
        <scheme val="minor"/>
      </rPr>
      <t xml:space="preserve">                                                                                                          </t>
    </r>
    <r>
      <rPr>
        <b/>
        <sz val="11"/>
        <color theme="1"/>
        <rFont val="Calibri"/>
        <family val="2"/>
        <scheme val="minor"/>
      </rPr>
      <t>Lucero Gomez  - 81 1185 5133</t>
    </r>
    <r>
      <rPr>
        <sz val="11"/>
        <color theme="1"/>
        <rFont val="Calibri"/>
        <family val="2"/>
        <scheme val="minor"/>
      </rPr>
      <t xml:space="preserve">
Email: </t>
    </r>
    <r>
      <rPr>
        <b/>
        <u/>
        <sz val="11"/>
        <color theme="4" tint="-0.249977111117893"/>
        <rFont val="Calibri"/>
        <family val="2"/>
        <scheme val="minor"/>
      </rPr>
      <t>fresastrucking@gmail.com;</t>
    </r>
  </si>
  <si>
    <t>BAJA 24-FEBRERO-2025</t>
  </si>
  <si>
    <t>1- INTERNATIONAL BLANCO 14-AT-1W #1020                              2- INTERNATIONAL BLANCO 82-AT-9Z #1022                                3- FREIGHTLINER BLANCO 28-AT-7X #18125                                 4- INTERNATIONAL BLANCO 04-AP-5K #20102                             5- #20103                                                                                            6- INTERNATIONAL BLANCO 80-AT-9Z #20110                              7- INTERNATIONAL BLANCO 42-AT-7X #18103                          8- FREIGHTLINER BLANCO 50-AU-1V #1007                               9- INTERNATIONAL BLANCO #1010                                                10- INTERNATIONAL BLANCO 81-AP-7R #18178                         11- INTERNATIONAL BLANCO 15-AT-1W #1024                           12- INTERNATIONAL BLANCO 03-AP-5K #20101                              13- INTERNATIONAL BLANCO 43-AT-7X #18102                              14- INTERNATIONAL BLANCO 85-AP-7R #18182                               15- FREIGHTLINER BLANCO #1014                                                              16- FREIGHTLINER BLANCO 29-AT-7X #18123                                17- INTERNATIONAL BLANCO 16-AT-1W #20107                            18- INTERNATIONAL ROJO 74-AG-9J #18112                                    19- INTERNATIONAL ROJO 65-AN-3A #18143                                  20- FREIGHTLINER BLANCO 84-AT-9Z #18133                                   21-FREIGHTLINER ROJO 14-AN-6A #18151                                       22- FREIGHTLINER ROJO 11-AN-6A #18153</t>
  </si>
  <si>
    <t>COBRANZA MARZO 2025</t>
  </si>
  <si>
    <t>MARZO'2025</t>
  </si>
  <si>
    <t>Recuperación del 24 al 30</t>
  </si>
  <si>
    <t>Recuperación del 31</t>
  </si>
  <si>
    <t>FACTURAS MARZO 2025</t>
  </si>
  <si>
    <t>REMISIONES MARZO 2025</t>
  </si>
  <si>
    <t>1 UNIDAD ES PREPAGO POR ESO SE COBRAN 5 y 1 MENSUALIDADES DE DASH CAM</t>
  </si>
  <si>
    <r>
      <rPr>
        <sz val="11"/>
        <color theme="1"/>
        <rFont val="Calibri"/>
        <family val="2"/>
        <scheme val="minor"/>
      </rPr>
      <t>Contacto:</t>
    </r>
    <r>
      <rPr>
        <b/>
        <sz val="11"/>
        <color theme="1"/>
        <rFont val="Calibri"/>
        <family val="2"/>
        <scheme val="minor"/>
      </rPr>
      <t xml:space="preserve"> Larissa Estefania Villarreal Garza</t>
    </r>
    <r>
      <rPr>
        <sz val="11"/>
        <color theme="1"/>
        <rFont val="Calibri"/>
        <family val="2"/>
        <scheme val="minor"/>
      </rPr>
      <t xml:space="preserve"> Teléfono: </t>
    </r>
    <r>
      <rPr>
        <b/>
        <sz val="11"/>
        <color theme="1"/>
        <rFont val="Calibri"/>
        <family val="2"/>
        <scheme val="minor"/>
      </rPr>
      <t xml:space="preserve">81 3470 5010                  </t>
    </r>
    <r>
      <rPr>
        <sz val="11"/>
        <color theme="1"/>
        <rFont val="Calibri"/>
        <family val="2"/>
        <scheme val="minor"/>
      </rPr>
      <t>Email:</t>
    </r>
    <r>
      <rPr>
        <b/>
        <sz val="11"/>
        <color theme="1"/>
        <rFont val="Calibri"/>
        <family val="2"/>
        <scheme val="minor"/>
      </rPr>
      <t xml:space="preserve"> </t>
    </r>
    <r>
      <rPr>
        <b/>
        <sz val="11"/>
        <color theme="4" tint="-0.249977111117893"/>
        <rFont val="Calibri"/>
        <family val="2"/>
        <scheme val="minor"/>
      </rPr>
      <t>lari.villarreal123@hotmail.com</t>
    </r>
  </si>
  <si>
    <t xml:space="preserve">SALDOS POR COBRAR </t>
  </si>
  <si>
    <t>COB. MAR'25: 1 RECONFIGURACION DE EQUIPO Y CAMBIO DE SIM</t>
  </si>
  <si>
    <t xml:space="preserve">COB. MAR'25: 1 REVISION </t>
  </si>
  <si>
    <t xml:space="preserve">COB. MAR'25: 1 EQP. E INST. NUEVA Y 1 MENS. PROP. 14 DIAS </t>
  </si>
  <si>
    <t xml:space="preserve">COB. MAR'25: 1 EQP. E INST. NUEVA Y 1 MENS. PROP. 18 DIAS </t>
  </si>
  <si>
    <t xml:space="preserve">COB. MAR'25: 2 EQP. E INST. NUEVAS, 2 SENSOR DE COMBUSTIBLE, 1 SENSOR  DE TEMPERATURA Y 1 VISITA EN FALSO </t>
  </si>
  <si>
    <t xml:space="preserve">COB. MAR'25: 1 EQP. E INST. NUEVA Y 1 MENS. PROP. 06 DIAS </t>
  </si>
  <si>
    <t>PAGO 3 MENS. COBRAR HASTA MAYO 2025</t>
  </si>
  <si>
    <t>MOTOCONFORMADA AMARILLO</t>
  </si>
  <si>
    <t>250G</t>
  </si>
  <si>
    <t>*SERVICIO FUE REVISION PERO EQUIPO NO FUNCIONABA Y SE LE REEMPLAZO EQUIPO POR UNO NUEVO</t>
  </si>
  <si>
    <t xml:space="preserve">COB. FEB'25: 2 EQP.  Y 2 REVISION </t>
  </si>
  <si>
    <t xml:space="preserve">COB. MAR'25: 1 REVISION Y 1 RE-INST. </t>
  </si>
  <si>
    <t xml:space="preserve">COB. MAR'25: REM. 73 1 DES-INST. </t>
  </si>
  <si>
    <t>KOPRIMO S.A. DE C.V.</t>
  </si>
  <si>
    <t>KOP870127B10</t>
  </si>
  <si>
    <t>85cf2f1f-59bf-475f-bdf4-f2089624e63d</t>
  </si>
  <si>
    <t>KOPRIMO</t>
  </si>
  <si>
    <r>
      <t xml:space="preserve">Juan Bernardo López - 55 1090 6955 </t>
    </r>
    <r>
      <rPr>
        <b/>
        <u/>
        <sz val="10"/>
        <color rgb="FF0070C0"/>
        <rFont val="Calibri"/>
        <family val="2"/>
        <scheme val="minor"/>
      </rPr>
      <t>c.contabilidad@koprimo.com.mx; cgintegralcdmx@koprimo.com.mx</t>
    </r>
  </si>
  <si>
    <t>KOPRIMO ANUALIDAD</t>
  </si>
  <si>
    <t xml:space="preserve">JUAN BERNARDO              55 1090 6955 </t>
  </si>
  <si>
    <t xml:space="preserve">KOPRIMO S.A. DE C.V. </t>
  </si>
  <si>
    <t>EQUIPO E INSTALACION GPS DASH CAM $6,200.00+IVA=$7,192.00
CAMARA INTERIOR: $1,200.00+IVA=$1,392.00
ANUALIDAD $10,800.00+IVA=$12,528.00                              -BONIFICACION SOBRE ANUALIDAD -$900.00</t>
  </si>
  <si>
    <r>
      <t xml:space="preserve">Ignacio Huerta - 81 1468 3395 </t>
    </r>
    <r>
      <rPr>
        <b/>
        <sz val="10"/>
        <color rgb="FF0070C0"/>
        <rFont val="Calibri Light"/>
        <family val="2"/>
        <scheme val="major"/>
      </rPr>
      <t>juanignaciohuertamendoza@gmail.com</t>
    </r>
  </si>
  <si>
    <t>JUAN IGNACIO HUERTA MENDOZA</t>
  </si>
  <si>
    <t>CLIENTE NUEVO 26-FEBRERO-2025</t>
  </si>
  <si>
    <t>CLIENTE NUEVO 26-FEBRERO-2025 COB. MAR'25: 1 EQP. E INST. CAMARA DASH CAM, CAMARA INTERIOR, 1 ANUALIDAD Y 1 BONIFICACION POR ANUALIDAD</t>
  </si>
  <si>
    <t>COBRAR EN ABRIL 2025</t>
  </si>
  <si>
    <r>
      <t xml:space="preserve">Ignacio Huerta - 81 1468 3395 </t>
    </r>
    <r>
      <rPr>
        <b/>
        <u/>
        <sz val="10"/>
        <color rgb="FF0070C0"/>
        <rFont val="Calibri Light"/>
        <family val="2"/>
        <scheme val="major"/>
      </rPr>
      <t>juanignaciohuertamendoza@gmail.com</t>
    </r>
  </si>
  <si>
    <t xml:space="preserve">IGNACIO HUERTA              81 1468 3395 </t>
  </si>
  <si>
    <t>EQUIPO $1,800.00                                              MENSUALIDAD $300.00</t>
  </si>
  <si>
    <t>CHEVROLET BLANCO RH-0135-B</t>
  </si>
  <si>
    <t>TRANSPORTE ESCOLAR AMARILLO 31-LBA-33</t>
  </si>
  <si>
    <t xml:space="preserve">COB. MAR'25: AJUSTE DE 2 MENS. POR BAJAS COBRADAS EN FEBRERO, BAJA DE 1 UNIDAD </t>
  </si>
  <si>
    <t>COB. MAR'25: 1 BAJA DE UNIDAD</t>
  </si>
  <si>
    <t>PAGO MENSUALIDAD DE FEBRERO COBRAR EN MARZO 2025, COB. FEB'25: 1 DES-INST., 1 RE-INST., 1 MIGRACION Y 1 EQP. E INST. NUEVA PAGO MENSUALIDAD DE MARZO, COBRAR EN ABRIL 2025</t>
  </si>
  <si>
    <t>PAGO MENSUALIDAD DE FEBRERO COBRAR EN MARZO 2025, PAGO MENSUALIDAD DE MARZO COBRAR EN ABRIL 2025</t>
  </si>
  <si>
    <t xml:space="preserve">COB. MAR'25: 1 EQP. E INST. NUEVA DE DASH CAM </t>
  </si>
  <si>
    <t>COB. FEB'25: 1 MIGRACION CUBIERTA POR SR. GUILLERMO REHLAENDER , PAGO MENSUALIDAD DE MARZO COBRAR EN ABRIL 2025</t>
  </si>
  <si>
    <t>JOSE LUIS CONFIRMA DEPOSITO</t>
  </si>
  <si>
    <t>f29a8797-9384-48ef-a16c-6c08075d271e</t>
  </si>
  <si>
    <t>COB. FEB'25: 1 ER QUINCENA: 478 MENS.,  5 EQP. E INST. Y 1 REVISION, 5 UNIDADES SE LE COBRAN AL SR. MARCO ESQUIVEL, 2DA QUINCENA: 6 MENS., 6 EQP. E INST., 1 RE-INST. Y 1 DES-INST</t>
  </si>
  <si>
    <t xml:space="preserve">COB. MAR'25: 4 REVISIONES, 4 DES-INST., 1 RE-INST.  Y 1 VISITA EN FALSO </t>
  </si>
  <si>
    <t>COB. MAR'25: 1 INST. NUEVA</t>
  </si>
  <si>
    <t>COB. MAR'25: 1 EQP. E INST. NUEVA</t>
  </si>
  <si>
    <t>COB. MAR'25: 1 DES-INST.</t>
  </si>
  <si>
    <t>COB. MAR'25: 2 INST. NUEVAS</t>
  </si>
  <si>
    <t>COB. MAR'25: 1 REEMPLAZO DE EQUIPO Y 1 INST. NUEVA</t>
  </si>
  <si>
    <r>
      <rPr>
        <b/>
        <sz val="10"/>
        <color theme="1"/>
        <rFont val="Calibri"/>
        <family val="2"/>
        <scheme val="minor"/>
      </rPr>
      <t xml:space="preserve">GRUPO CASTOR </t>
    </r>
    <r>
      <rPr>
        <sz val="10"/>
        <color theme="1"/>
        <rFont val="Calibri"/>
        <family val="2"/>
        <scheme val="minor"/>
      </rPr>
      <t xml:space="preserve">
</t>
    </r>
    <r>
      <rPr>
        <b/>
        <sz val="10"/>
        <color theme="1"/>
        <rFont val="Calibri"/>
        <family val="2"/>
        <scheme val="minor"/>
      </rPr>
      <t>ACERTIVA CONSTRUCCIONES</t>
    </r>
    <r>
      <rPr>
        <sz val="10"/>
        <color theme="1"/>
        <rFont val="Calibri"/>
        <family val="2"/>
        <scheme val="minor"/>
      </rPr>
      <t xml:space="preserve">, S.A. DE C.V.  (CASTOR) </t>
    </r>
  </si>
  <si>
    <t>7c8bc26b-d54b-4479-82b6-f13ecae2bc27</t>
  </si>
  <si>
    <t>94597576-cb0c-4de4-983f-8a7ab7cbd0c0</t>
  </si>
  <si>
    <t>926efb5f-d5b2-4694-ac46-90381d74930a</t>
  </si>
  <si>
    <t>e5724934-a862-406e-bc51-bb25321abe91</t>
  </si>
  <si>
    <t>703e59a3-137d-4d44-a6cc-131619266a03</t>
  </si>
  <si>
    <t>3bbb2988-8c41-42ef-aca1-e1547b38fc50</t>
  </si>
  <si>
    <t>36910e93-2cc3-4b77-810a-5525578debbd</t>
  </si>
  <si>
    <t>508c901c-aea3-43b2-9541-bf6d0b2d5fc3</t>
  </si>
  <si>
    <t>b88b44ca-ff04-4528-8605-57e1ff667f66</t>
  </si>
  <si>
    <t>cce85c5a-1281-43c0-85cd-d598139de260</t>
  </si>
  <si>
    <t>e68b40ec-a9e3-449b-a20e-dc5c30d7ce36</t>
  </si>
  <si>
    <t>e588fdab-9db7-47a4-8c96-873240bfa970</t>
  </si>
  <si>
    <t>17dfe541-212c-41a2-a2f4-35b9d730fa67</t>
  </si>
  <si>
    <t>b9966e4e-f6a7-4eb7-b396-c6ad5534ed15</t>
  </si>
  <si>
    <t>5304531d-f83f-48ab-99e8-cfe23a436424</t>
  </si>
  <si>
    <t>339ab7ad-991d-45c4-a0cd-ac9ad51d3adf</t>
  </si>
  <si>
    <t>DISTRIBUIDORA FERRELECTRICA Y MATERIALES EXPRESS</t>
  </si>
  <si>
    <t>DFM170220T51</t>
  </si>
  <si>
    <t>a2de783f-bd54-4aa0-a9d0-4275f6fc40df</t>
  </si>
  <si>
    <t>d1526615-4812-492c-b503-1cbb0ea76c11</t>
  </si>
  <si>
    <t>b38c2c3b-3f1f-4027-bf50-5539b7a48463</t>
  </si>
  <si>
    <t>bce1ee74-6290-46c3-8ddf-af0dd42c22c4</t>
  </si>
  <si>
    <t>ac4524f9-dc85-410a-8895-17c90a3de32a</t>
  </si>
  <si>
    <t>ac8fa003-70b9-427d-8533-a2c2d1c33589</t>
  </si>
  <si>
    <t>80e18a6a-53bb-4677-90f9-01cfd4155797</t>
  </si>
  <si>
    <t>6c8208b9-be3e-4832-84a6-35be6f35e71d</t>
  </si>
  <si>
    <t>10bf9221-80b9-483b-9bbe-d2597f349d10</t>
  </si>
  <si>
    <t xml:space="preserve"> f6764117-2aaf-437a-835f-0f910b852d9e</t>
  </si>
  <si>
    <t>ce7c1d1b-d4ab-4b3c-ade4-d10ca5856395</t>
  </si>
  <si>
    <t>a06e7816-ce83-4a12-b340-6caa1fc27714</t>
  </si>
  <si>
    <t>18eb8b87-d318-4ed9-9a93-c13e1059b963</t>
  </si>
  <si>
    <t>16c544c3-ffde-4be9-8cf3-017a7dfa7b0a</t>
  </si>
  <si>
    <t>7b10962f-dc03-4657-bfa1-dc7fc59339e2</t>
  </si>
  <si>
    <t>e18cc472-10c1-43bc-a3ef-b800f8107b1f</t>
  </si>
  <si>
    <t xml:space="preserve"> 62f09ad0-c824-4a28-9637-4dcd2f7d28f2</t>
  </si>
  <si>
    <r>
      <rPr>
        <b/>
        <sz val="10"/>
        <color rgb="FFFF0000"/>
        <rFont val="Calibri Light"/>
        <family val="2"/>
        <scheme val="major"/>
      </rPr>
      <t xml:space="preserve">Karla                                             </t>
    </r>
    <r>
      <rPr>
        <b/>
        <sz val="10"/>
        <rFont val="Calibri Light"/>
        <family val="2"/>
        <scheme val="major"/>
      </rPr>
      <t xml:space="preserve">Jessica Jasso </t>
    </r>
    <r>
      <rPr>
        <b/>
        <sz val="10"/>
        <color theme="1"/>
        <rFont val="Calibri Light"/>
        <family val="2"/>
        <scheme val="major"/>
      </rPr>
      <t xml:space="preserve">- 81 2002 4556 </t>
    </r>
    <r>
      <rPr>
        <sz val="10"/>
        <color theme="1"/>
        <rFont val="Calibri Light"/>
        <family val="2"/>
        <scheme val="major"/>
      </rPr>
      <t>Email:</t>
    </r>
    <r>
      <rPr>
        <b/>
        <u/>
        <sz val="10"/>
        <color theme="4" tint="-0.249977111117893"/>
        <rFont val="Calibri Light"/>
        <family val="2"/>
        <scheme val="major"/>
      </rPr>
      <t>administracion@equiprestmx.com</t>
    </r>
  </si>
  <si>
    <t>d325d3e7-99c1-4656-ae48-2d35b1a4d790</t>
  </si>
  <si>
    <t>c6ce7992-b945-4616-96e7-b0fb4ba3788f</t>
  </si>
  <si>
    <t>67ff786b-1b4b-4331-a7e2-a2eb4278ff12</t>
  </si>
  <si>
    <t>7aadec5d-559c-4aad-a596-1821504fb7a4</t>
  </si>
  <si>
    <t xml:space="preserve"> 94dd8415-c8f5-43b0-970c-5c3958a6576f</t>
  </si>
  <si>
    <t>36c2a31b-5e59-4869-be7b-1e95f5ff3478</t>
  </si>
  <si>
    <t>eded54db-d326-47fa-aba5-de7255686322</t>
  </si>
  <si>
    <t>89e71141-f771-414e-88c7-69b817f67a8d</t>
  </si>
  <si>
    <t>d148baec-f89a-4b9a-85e1-1e2f4bd79756</t>
  </si>
  <si>
    <t>01b9e5e8-2537-45a3-868f-da264d0d8db9</t>
  </si>
  <si>
    <t xml:space="preserve"> 9d112cc0-82dc-4332-8611-59c978e2308c</t>
  </si>
  <si>
    <t>92e08198-be4e-4c19-aa1e-178ed881d0e8</t>
  </si>
  <si>
    <t>edcd4c85-9693-4446-a3d3-344861bdba1b</t>
  </si>
  <si>
    <t>f93d117e-515a-4025-9d87-d5b1eb7650ad</t>
  </si>
  <si>
    <t>62a7c38c-2530-4c83-ab81-8f0648613ad6</t>
  </si>
  <si>
    <t>a99a049f-3c44-4768-b6ef-f57de65e5e64</t>
  </si>
  <si>
    <t>5626b154-4773-41d8-b86d-040979721c53</t>
  </si>
  <si>
    <t xml:space="preserve">COB. MAR'25: 8 EQP., 1 MIGRACION, 9 SEMESTRES, 6 SENSORES DE TEMPERATURA Y -9 BONIFCACION SOBRE SEMESTRE COBRAR EN AGOSTO 2025 PRIMERAS 10 Y EN SEPTIEMBRE 7 , PAGARA POR SEMESTRE </t>
  </si>
  <si>
    <t>REYNOL MENCHACA MARTINEZ - FABIOLA ORTIZ</t>
  </si>
  <si>
    <t>CAMBIA A ESQUEMA DE FACTURACION 04-MARZO-2025</t>
  </si>
  <si>
    <t>FACTURACIÓN MARZO 2025</t>
  </si>
  <si>
    <t>REYNOL MENCHACA MARTINEZ</t>
  </si>
  <si>
    <t>MEMR941026FH1</t>
  </si>
  <si>
    <r>
      <rPr>
        <sz val="10"/>
        <rFont val="Calibri Light"/>
        <family val="2"/>
        <scheme val="major"/>
      </rPr>
      <t xml:space="preserve">COMODATO                                                          </t>
    </r>
    <r>
      <rPr>
        <b/>
        <sz val="10"/>
        <rFont val="Calibri Light"/>
        <family val="2"/>
        <scheme val="major"/>
      </rPr>
      <t xml:space="preserve">Fabiola Ortiz - 81 8082 4502 </t>
    </r>
    <r>
      <rPr>
        <b/>
        <u/>
        <sz val="10"/>
        <color rgb="FF0070C0"/>
        <rFont val="Calibri Light"/>
        <family val="2"/>
        <scheme val="major"/>
      </rPr>
      <t>Reynol_menchaca94@hotmail.com fabiola.rojas15@hotmail.com</t>
    </r>
  </si>
  <si>
    <t>c5534b58-f4e8-4132-9c82-72bd6b525c0c</t>
  </si>
  <si>
    <t>04dcf98d-1753-4a5c-b3dc-903f30ab1968</t>
  </si>
  <si>
    <t>9b0a1cf9-1d39-41c0-9912-f91a87115af3</t>
  </si>
  <si>
    <t>1c69dfde-440c-41a4-a77a-c54344165f1c</t>
  </si>
  <si>
    <t>5b6ae980-368f-4132-87c4-dbba84b52c5e</t>
  </si>
  <si>
    <t>47d2e0d0-842e-46ec-8d90-b2014844178b</t>
  </si>
  <si>
    <t>b71834a6-3e3b-4bf3-9dd9-8b3bd2db646b</t>
  </si>
  <si>
    <t>bc160916-d7ad-4c8f-874a-1880d051a078</t>
  </si>
  <si>
    <t>e38f7978-0336-4189-85e9-f87fedbe1932</t>
  </si>
  <si>
    <t>7ab63afd-4988-4bb1-a8c1-013499ac73b7</t>
  </si>
  <si>
    <t>028e8634-2660-4f4a-b411-136a65de107f</t>
  </si>
  <si>
    <t>dc73f2e5-7255-4ce2-a1cd-729e9db1816f</t>
  </si>
  <si>
    <t xml:space="preserve"> 903ebd10-7d65-458e-842a-65b13cdbec03</t>
  </si>
  <si>
    <t>9c300cd2-08bb-4911-bf8a-7039231f034c</t>
  </si>
  <si>
    <t>265789dd-a0ca-4732-aaf2-95867a44adf7</t>
  </si>
  <si>
    <t>c0bc58d5-d7df-443e-acee-91edabf077fd</t>
  </si>
  <si>
    <t>70f5b799-0466-4492-99ec-32f4de6f1c59</t>
  </si>
  <si>
    <t>fada5710-f0ba-4405-8ee4-4eac2d104dd9</t>
  </si>
  <si>
    <t>AIHS850826PI2</t>
  </si>
  <si>
    <t>9479b863-d65b-493e-b400-a23adfc64a87</t>
  </si>
  <si>
    <t>5550c1db-b4bb-4c44-90ea-af5a18a6cf89</t>
  </si>
  <si>
    <t>d081de2b-d18d-4608-a84c-271e1b9048f1</t>
  </si>
  <si>
    <t xml:space="preserve"> 59c92f15-a165-43dd-9f63-4c9df593689c</t>
  </si>
  <si>
    <t>93b01597-07e1-4f38-b737-b170550f5429</t>
  </si>
  <si>
    <t>a2e8cf32-49c8-4808-b0ca-6aadec0dea46</t>
  </si>
  <si>
    <t>435e0d77-a537-4300-9700-81d119c0af11</t>
  </si>
  <si>
    <t>4fb81090-a555-40b9-b82b-435096a2eb6b</t>
  </si>
  <si>
    <t>508308fd-e11e-409c-b0c4-d3fbb4f80887</t>
  </si>
  <si>
    <t>758c95ad-c327-4e8c-9315-ea60fbda6a6e</t>
  </si>
  <si>
    <t>e54c1884-21d4-40b4-ac5a-34d3f2d812b9</t>
  </si>
  <si>
    <t xml:space="preserve"> 82553742-714f-4c55-9e25-b738529e9364</t>
  </si>
  <si>
    <t>87f08344-d958-4dde-b27f-33db62c7b955</t>
  </si>
  <si>
    <t>459dda2d-6d20-4e83-8049-a4954c9a190c</t>
  </si>
  <si>
    <t>48e98a17-b350-4521-b06a-0e06ef54e4eb</t>
  </si>
  <si>
    <t>5e163645-e1e7-4394-b95d-38621b05682b</t>
  </si>
  <si>
    <t>87eb0f5e-2882-4f32-b3fd-28cbd87a3545</t>
  </si>
  <si>
    <t>FE12FF10-5D71-4826-B3AE-C9C766201EEA</t>
  </si>
  <si>
    <t xml:space="preserve"> 17a2431b-8475-4a04-829f-7a692da4b67c</t>
  </si>
  <si>
    <t>9e0b1efc-110f-4005-b2f5-13c4b44465a1</t>
  </si>
  <si>
    <t>d79310f3-90a6-46e8-bb6c-199be4279b51</t>
  </si>
  <si>
    <t>edb4fa14-6db0-4ee5-96d8-4a2d9b9e0e21</t>
  </si>
  <si>
    <t>942b0350-2ea2-4066-8ad0-40392b997811</t>
  </si>
  <si>
    <t>007644eb-24fb-4cc8-ba59-533d3e60907c</t>
  </si>
  <si>
    <t>985ffdd8-61c9-4738-bdbb-5e507815ca83</t>
  </si>
  <si>
    <t>952f8286-5114-4237-ab5b-6d4967341f51</t>
  </si>
  <si>
    <t>MARZO'26</t>
  </si>
  <si>
    <t>COB. MAR'26: 6 ANUALIDADES</t>
  </si>
  <si>
    <t>4ed740d0-f2ca-4478-875b-ee232a0bc911</t>
  </si>
  <si>
    <t>cf5356c6-a5e7-4566-ad0f-f31356953826</t>
  </si>
  <si>
    <t xml:space="preserve">FOLIO 3770 DUPLICADO FACTURA 3771 ES LA MISMA </t>
  </si>
  <si>
    <t>ROGELIO CANTU GONZALEZ</t>
  </si>
  <si>
    <r>
      <t xml:space="preserve">Rogelio Cantu - 81 2628 0305 </t>
    </r>
    <r>
      <rPr>
        <b/>
        <u/>
        <sz val="10"/>
        <color rgb="FF0070C0"/>
        <rFont val="Calibri Light"/>
        <family val="2"/>
        <scheme val="major"/>
      </rPr>
      <t>rogeliopc1124@gmail.com</t>
    </r>
  </si>
  <si>
    <t>CLIENTE NUEVO 05-MARZO-2025</t>
  </si>
  <si>
    <t>ROGELIO CANTU       81 2628 0305</t>
  </si>
  <si>
    <t>EQUIPO $2,000.00                                              MENSUALIDAD $300.00</t>
  </si>
  <si>
    <t>CHEVROLET CAVALIER PLATA SVV-658-B</t>
  </si>
  <si>
    <t>ANUALIDAD                                             Jonathan Rodríguez - 81 1741 6886</t>
  </si>
  <si>
    <t>BAJA 14-FEBRERO-2025</t>
  </si>
  <si>
    <t xml:space="preserve">COB. MAR '25: 22 MENS. Y  2 INST. </t>
  </si>
  <si>
    <t>AEMJ940203LY1</t>
  </si>
  <si>
    <t>JAVIER ARMENTA MARROQUIN</t>
  </si>
  <si>
    <t>50d494eb-d470-49b1-af03-75d49236fc30</t>
  </si>
  <si>
    <t xml:space="preserve">Javier Armenta - 667 348 6917 </t>
  </si>
  <si>
    <t xml:space="preserve">CLIENTE NUEVO 07-MARZO-2025 DASH CAM </t>
  </si>
  <si>
    <t>JAVIER ARMENTA 667 348 6917</t>
  </si>
  <si>
    <t>EQUIPO DASH CAM E INSTALACION GPS FINANCIAMIENTO 12 MESES $2,500.00+IVA=$2,900.00                                       MENSUALIDAD DASH CAM $799.00+IVA=$926.84 FINANCIAMIENTO DASH CAM 11 MENSUALIDADEDS $481.00+IVA=$557.96</t>
  </si>
  <si>
    <t xml:space="preserve">COB. MAR'25: 2 EQP. E INST. NUEVA Y 1 MENS. PROP. 23 DIAS, COBRAR EN ABRIL MENS. COMPL. </t>
  </si>
  <si>
    <t xml:space="preserve">PDTES. 2 INST. YA PAGADAS,  SOLO COBRAR PROP. EN ABRIL 23 DIAS DE INST. 07-MARZO Y COBRAR MENS. COMPL. EN MAYO </t>
  </si>
  <si>
    <t>1- VW GOL GRIS SHC-342-B                                                              2- NISSAN MARCH BLANCO PR-5734-A                                            3- VW JETTA BLANCO SMF-382-B                                                  4- NISSAN MARCH BLANCO PR-5735-A</t>
  </si>
  <si>
    <t xml:space="preserve">TIENE 6 UNIDADES CON LA INSTALACION NUEVA </t>
  </si>
  <si>
    <t>PAGO 3 MESES COBRAR HASTA JUNIO 2025</t>
  </si>
  <si>
    <t xml:space="preserve">RETIRO EFECTIVO JOSE LUIS </t>
  </si>
  <si>
    <t>GRUPO COMERCIAL CHAPA</t>
  </si>
  <si>
    <t>GCC0411256R4</t>
  </si>
  <si>
    <r>
      <t xml:space="preserve">Merary Olvera Cazarez - 81 1741 9785 </t>
    </r>
    <r>
      <rPr>
        <b/>
        <u/>
        <sz val="10"/>
        <color rgb="FF0070C0"/>
        <rFont val="Calibri Light"/>
        <family val="2"/>
        <scheme val="major"/>
      </rPr>
      <t>ventas1@comercialchaoa.com</t>
    </r>
  </si>
  <si>
    <t>GRUPO COMERCIAL CHAPA - MERARY OLVERA</t>
  </si>
  <si>
    <t>CLIENTE NUEVO 01-MARZO-2025</t>
  </si>
  <si>
    <t xml:space="preserve">MERARY OLVERA            81 1741 9785 </t>
  </si>
  <si>
    <t>NISSAN T-SURU</t>
  </si>
  <si>
    <t xml:space="preserve">CHEVROLET SILVERADO </t>
  </si>
  <si>
    <t>df280c65-8416-4493-8b99-e6609e5c450d</t>
  </si>
  <si>
    <r>
      <rPr>
        <b/>
        <sz val="10"/>
        <color theme="1"/>
        <rFont val="Calibri Light"/>
        <family val="2"/>
        <scheme val="major"/>
      </rPr>
      <t xml:space="preserve">Isai Zuñiga - 44 2321 1024 </t>
    </r>
    <r>
      <rPr>
        <b/>
        <u/>
        <sz val="10"/>
        <color rgb="FF0070C0"/>
        <rFont val="Calibri Light"/>
        <family val="2"/>
        <scheme val="major"/>
      </rPr>
      <t>paqueteriazm42@gmail.com</t>
    </r>
  </si>
  <si>
    <t>CLIENTE NUEVO 13-MARZO-2025</t>
  </si>
  <si>
    <t>ISAI ZUÑIGA                44 2321 1024</t>
  </si>
  <si>
    <t xml:space="preserve"> ISAI ZUÑIGA MENESES - NANPACK (QRO.) BDB</t>
  </si>
  <si>
    <t>CARLOS ALBERTO RODRIGUEZ REYES</t>
  </si>
  <si>
    <r>
      <t xml:space="preserve">Carlos Rdz Reyes - 44 2486 6496         </t>
    </r>
    <r>
      <rPr>
        <b/>
        <u/>
        <sz val="10"/>
        <color rgb="FF0070C0"/>
        <rFont val="Calibri Light"/>
        <family val="2"/>
        <scheme val="major"/>
      </rPr>
      <t>carlos24liva4@gmail.com</t>
    </r>
  </si>
  <si>
    <t xml:space="preserve">CARLOS REYES                  44 2486 6496 </t>
  </si>
  <si>
    <t>EQUIPO E INSTALACIÓN $2,089.00+IVA=$2,423.24                        MENSUALIDAD C/BOTON DE PANICO $300.00+IVA=$348.00</t>
  </si>
  <si>
    <t>EQUIPO E INSTALACIÓN $1,700.00+IVA=$1,972.00 MENSUALIDAD $300.00+IVA=$348.00</t>
  </si>
  <si>
    <t xml:space="preserve">EQUIPO E INSTALACIÓN $2,200.00+IVA=$2,552.00                 MENSUALIDAD $250.00+IVA=$290.00 </t>
  </si>
  <si>
    <t>JAIME RENE REYES LOPEZ</t>
  </si>
  <si>
    <t>JAIME RENE REYES LOPEZ - QRO. BDB LOGISTICA</t>
  </si>
  <si>
    <r>
      <t xml:space="preserve">Jaime Rene Reyes - 55 3984 9392                        </t>
    </r>
    <r>
      <rPr>
        <b/>
        <u/>
        <sz val="10"/>
        <color rgb="FF0070C0"/>
        <rFont val="Calibri Light"/>
        <family val="2"/>
        <scheme val="major"/>
      </rPr>
      <t xml:space="preserve">chosunico01@gmail.com </t>
    </r>
  </si>
  <si>
    <t>CARLOS ALBERTO RODRIGUEZ REYES - QRO. BDB LOGISTICA</t>
  </si>
  <si>
    <t>JAIME RENE REYES LOPEZ -  QRO. BDB LOGISTICA</t>
  </si>
  <si>
    <t xml:space="preserve">JAIME REYES LOPEZ 55 3984 9392 </t>
  </si>
  <si>
    <t>COB. MAR'25: BAJA DE 10 UNIDADES</t>
  </si>
  <si>
    <t>GENARO ELIAN GOMEZ PUENTE</t>
  </si>
  <si>
    <t>GOPG990716CZ1</t>
  </si>
  <si>
    <t>RORC820724448</t>
  </si>
  <si>
    <t>RELJ830118TUA</t>
  </si>
  <si>
    <t>40997c12-b4cc-4b86-9bed-f18201254e51</t>
  </si>
  <si>
    <t>b229a596-b131-440d-addc-755ed54d8278</t>
  </si>
  <si>
    <t xml:space="preserve"> 9f5befa0-1ad7-4899-afb6-a12c9b316e63</t>
  </si>
  <si>
    <t>COB. MAR'25: 1 INST. NUEVA, 1 ANUALIDAD PROPORCIONAL, 1 REEMPLAZO DE EQP. Y 1 REVISION</t>
  </si>
  <si>
    <t xml:space="preserve">COB. MAR'25: 4 INST. Y 84 MENS. </t>
  </si>
  <si>
    <t>COB. MAR'25: 164 MENS., 1 INST., 7 RE-INST., 7 DES-INST., 1 VISITA EN FALSO Y -1 ABONO A CUENTA</t>
  </si>
  <si>
    <t>COB. MAR'25: SALTILLO: 8 INST. Y 6 DES-INST. MTY: 4 INST. Y 4 DES-INST.</t>
  </si>
  <si>
    <t>65847167-d498-458a-b1e8-706c23b5054a</t>
  </si>
  <si>
    <t>dbcaff86-2781-48ad-a9bd-9dda0bafcb56</t>
  </si>
  <si>
    <t>38cd1e14-575a-44e5-b5be-13ed6837ea6d</t>
  </si>
  <si>
    <t>d7ee4fb4-5ae6-48f6-a371-5b866adec5c9</t>
  </si>
  <si>
    <t>VW TRANSPORTER BLANCO K04-BPW QUERETARO</t>
  </si>
  <si>
    <t>NISSAN URVAN BLANCO MGZ-475-A QUERETARO</t>
  </si>
  <si>
    <t xml:space="preserve">1- PEUGEOT EXPERT BLANCO NGC-958-A QUERETARO                    2- NISSAN URVAN BLANCO SU-4277-E QUERETARO </t>
  </si>
  <si>
    <t>CLIENTE NUEVO 14-MARZO-2025</t>
  </si>
  <si>
    <t>PAGARA 6 MENS. COBRAR HASTA EL MES DE SEPTIEMBRE 2025 CAMBIA A ESQUEMA DE MENSUALIDAD 06-SEPTIEMBRE-2024 Y DA DE BAJA 3 UNIDADES Y SE SEPARA CUENTA A COMERCIALIZADORA FUERZA CEMENTERA</t>
  </si>
  <si>
    <t xml:space="preserve">COB. MAR'5: 1 MENS. PROP. POR BAJA </t>
  </si>
  <si>
    <t>JONATHAN MARCELO CEPEDA MOLINA</t>
  </si>
  <si>
    <t>CEMJ930116V17</t>
  </si>
  <si>
    <t>375915f6-d44c-469e-af99-ace33631382f</t>
  </si>
  <si>
    <r>
      <t xml:space="preserve">Roberto de la Garza - 81 1211 0188 </t>
    </r>
    <r>
      <rPr>
        <b/>
        <u/>
        <sz val="10"/>
        <color rgb="FF0070C0"/>
        <rFont val="Calibri Light"/>
        <family val="2"/>
        <scheme val="major"/>
      </rPr>
      <t>regioautomotriz.monterrey@gmail.com</t>
    </r>
  </si>
  <si>
    <t>CLIENTE NUEVO 18-MARZO-2025</t>
  </si>
  <si>
    <t>MUDANZAS RODRIGUEZ (ANUALIDAD)</t>
  </si>
  <si>
    <t xml:space="preserve">ROBERTO DE LA GARZA                               81 1211 0188 </t>
  </si>
  <si>
    <t xml:space="preserve">1- CHEVROLET AVEO AZUL TEG-061-A                                                   2- CHEVROLET AVEO BLANCO RPV-472-B                                             3- CHEVROLET AVEO GRIS RPV-474-B                                        4- RENAULT KWID GRIS </t>
  </si>
  <si>
    <r>
      <t xml:space="preserve">Jonathan Cepeda - 81 1413 1312 </t>
    </r>
    <r>
      <rPr>
        <b/>
        <u/>
        <sz val="10"/>
        <color rgb="FF0070C0"/>
        <rFont val="Calibri Light"/>
        <family val="2"/>
        <scheme val="major"/>
      </rPr>
      <t>jona.cepeda@hotmail.com</t>
    </r>
  </si>
  <si>
    <t>JONATHAN MARCELO CEPEDA MOLINA - QRO. BDB LOGISTICA</t>
  </si>
  <si>
    <t xml:space="preserve">JONATHAN CEPEDA 81 1413 1312 </t>
  </si>
  <si>
    <t>DODGE ATTITUDE BLANCO SUF-10-11</t>
  </si>
  <si>
    <t>MELANIE ELISA AGUAS HERNANDEZ - ISAI ZUÑIGA MENESES NANPACK (QRO.)</t>
  </si>
  <si>
    <r>
      <rPr>
        <sz val="10"/>
        <color theme="1"/>
        <rFont val="Calibri"/>
        <family val="2"/>
        <scheme val="minor"/>
      </rPr>
      <t>MELANIE ELISA AGUAS HERNANDEZ</t>
    </r>
    <r>
      <rPr>
        <b/>
        <sz val="10"/>
        <color theme="1"/>
        <rFont val="Calibri"/>
        <family val="2"/>
        <scheme val="minor"/>
      </rPr>
      <t xml:space="preserve"> - ISAI ZUÑIGA MENESES NANPACK (QRO.)</t>
    </r>
  </si>
  <si>
    <t>MELANIE ELISA AGUAS HERNANDEZ</t>
  </si>
  <si>
    <t>AUHM030406BR8</t>
  </si>
  <si>
    <t>46b11b56-5b12-4b00-bf04-9c89242b0ed6</t>
  </si>
  <si>
    <t>COB.MAR'25: 2 MIGRACION DE CUENTA CAMBIO DE CUENTA</t>
  </si>
  <si>
    <t>ROBERTO JAVIER DE LA GARZA OSUNA</t>
  </si>
  <si>
    <t>GAOR7710045P8</t>
  </si>
  <si>
    <t>8608fc59-6f93-44e8-a148-76783715c47c</t>
  </si>
  <si>
    <t>PAGO MENSUALIDAD DE ABRIL COBRAR HASTA MAYO 2025</t>
  </si>
  <si>
    <t xml:space="preserve">COB. MAR'25: 6 BAJAS </t>
  </si>
  <si>
    <r>
      <rPr>
        <b/>
        <sz val="10"/>
        <color rgb="FFFF0000"/>
        <rFont val="Calibri Light"/>
        <family val="2"/>
        <scheme val="major"/>
      </rPr>
      <t>Aurora Banda - 818 259 6045
Mario Del Angel - 811 208 8585</t>
    </r>
    <r>
      <rPr>
        <sz val="10"/>
        <color theme="1"/>
        <rFont val="Calibri Light"/>
        <family val="2"/>
        <scheme val="major"/>
      </rPr>
      <t xml:space="preserve">
Email:</t>
    </r>
    <r>
      <rPr>
        <b/>
        <u/>
        <sz val="10"/>
        <color theme="4" tint="-0.249977111117893"/>
        <rFont val="Calibri Light"/>
        <family val="2"/>
        <scheme val="major"/>
      </rPr>
      <t>joseangelgarza@gmail.com; jgarza@apfel.com.mx</t>
    </r>
  </si>
  <si>
    <t>JULIO ALBERTO TORRES OLIVARES</t>
  </si>
  <si>
    <r>
      <t xml:space="preserve">Julio Torres - 81 1913 9749           Isela Montemayor - 81 3862 9436 </t>
    </r>
    <r>
      <rPr>
        <b/>
        <u/>
        <sz val="10"/>
        <color rgb="FF0070C0"/>
        <rFont val="Calibri Light"/>
        <family val="2"/>
        <scheme val="major"/>
      </rPr>
      <t>juliotorres0023@gmail.com</t>
    </r>
  </si>
  <si>
    <t>JULIO TORRES                  81 1913 9749</t>
  </si>
  <si>
    <t>EQUIPO $1,800.00                                                                           MENSUALIDAD $300.00</t>
  </si>
  <si>
    <t>MIGRACIÓN $650.00+IVA=$754.00                                                             MENSUALIDAD $250.00+IVA=$290.00                                                                     EQUIPO $1,700.00+IVA=$1,972.00</t>
  </si>
  <si>
    <t>JESUS ALAN GOMEZ</t>
  </si>
  <si>
    <t>CLIENTE NUEVO 21-MARZO-2025</t>
  </si>
  <si>
    <t>JESUS ALAN GOMEZ CTE. PREPAGO</t>
  </si>
  <si>
    <t>JESUS GOMEZ - 833 289 7649</t>
  </si>
  <si>
    <t>NISSAN MARCH GRIS</t>
  </si>
  <si>
    <t>RRJ-788-C</t>
  </si>
  <si>
    <t>JESUS GOMEZ                  833 289 7649</t>
  </si>
  <si>
    <t>NISSAN MARCH GRIS RRJ-788-C</t>
  </si>
  <si>
    <t>IMPORTE MAR´2025</t>
  </si>
  <si>
    <t xml:space="preserve">COB. MAR'25: 2 REVISIONES, 2 RE-INST., 1 DES-INST. Y 1 VISITA EN FALSO </t>
  </si>
  <si>
    <t>FRANCISCO JAVIER PEÑA ONTIVEROS</t>
  </si>
  <si>
    <t>FRANCISCO JAVIER PEÑA ONTIVEROS - MTY. BDB LOGISTICA</t>
  </si>
  <si>
    <r>
      <t xml:space="preserve">Javier Peña - 81 1271 9289 </t>
    </r>
    <r>
      <rPr>
        <b/>
        <u/>
        <sz val="10"/>
        <color rgb="FF0070C0"/>
        <rFont val="Calibri Light"/>
        <family val="2"/>
        <scheme val="major"/>
      </rPr>
      <t>javier.operacionesmty@gmail.com</t>
    </r>
  </si>
  <si>
    <t xml:space="preserve"> JAVIER PEÑA                    81 1271 9289 </t>
  </si>
  <si>
    <t>CLIENTE NUEVO 27-MARZO-2025 PARA INTEGRACION DE WEB SERVICE</t>
  </si>
  <si>
    <t xml:space="preserve">COB. MAR'25: 2 EQP. E INST. NUEVA PAGADAS AL SIGUIENTE DIA </t>
  </si>
  <si>
    <t>Cobranza Total 2025</t>
  </si>
  <si>
    <t>PEOF900628JQ9</t>
  </si>
  <si>
    <t>CLIENTE NUEVO 20-MARZO-2025, COBRAR EN ABRIL PROPORCIONAL</t>
  </si>
  <si>
    <t>1- NISSAN V-DRIVE AZUL RSL-086-C                                                  2- NISSAN V-DRIVE AZUL RSR-654-C</t>
  </si>
  <si>
    <t>bc07f50e-7e46-47e0-84fb-47eb5f0069f7</t>
  </si>
  <si>
    <t>d7cad10c-a9bb-4281-966e-9074f5eaa45f</t>
  </si>
  <si>
    <t>50602941-e769-4668-b0c6-c45700c825b3</t>
  </si>
  <si>
    <t xml:space="preserve">COB. MAR'25: 1 EQP. E INST. NUEVA, COBRAR EN ABRIL MENS. COMPL. </t>
  </si>
  <si>
    <t xml:space="preserve">RESTAR LAS 5 UNIDADES DEL SR. MARCO COB. 2DA QUINCENA MARZO'25: 2 EQP. Y 2 MENS. </t>
  </si>
  <si>
    <t>NISSAN NP 300 BLANCO RH-2569-B</t>
  </si>
  <si>
    <t>COBRANZA ABRIL 2025</t>
  </si>
  <si>
    <t>ABRIL'2025</t>
  </si>
  <si>
    <t>IMPORTE ABRIL´2025</t>
  </si>
  <si>
    <t>Recuperación del 01 al 06</t>
  </si>
  <si>
    <t>Recuperación del 07 al 13</t>
  </si>
  <si>
    <t>Recuperación del 14 al 20</t>
  </si>
  <si>
    <t>Recuperación del 21 al 27</t>
  </si>
  <si>
    <t>Recuperación del 28 al 30</t>
  </si>
  <si>
    <t>REMISIONES ABRIL 2025</t>
  </si>
  <si>
    <t>FACTURAS ABRIL 2025</t>
  </si>
  <si>
    <t>FACTURACIÓN ABRIL 2025</t>
  </si>
  <si>
    <r>
      <rPr>
        <b/>
        <sz val="10"/>
        <rFont val="Calibri Light"/>
        <family val="2"/>
        <scheme val="major"/>
      </rPr>
      <t xml:space="preserve">Jessica Jasso </t>
    </r>
    <r>
      <rPr>
        <b/>
        <sz val="10"/>
        <color theme="1"/>
        <rFont val="Calibri Light"/>
        <family val="2"/>
        <scheme val="major"/>
      </rPr>
      <t xml:space="preserve">- 81 2002 4556 </t>
    </r>
    <r>
      <rPr>
        <sz val="10"/>
        <color theme="1"/>
        <rFont val="Calibri Light"/>
        <family val="2"/>
        <scheme val="major"/>
      </rPr>
      <t>Email:</t>
    </r>
    <r>
      <rPr>
        <b/>
        <u/>
        <sz val="10"/>
        <color theme="4" tint="-0.249977111117893"/>
        <rFont val="Calibri Light"/>
        <family val="2"/>
        <scheme val="major"/>
      </rPr>
      <t>administracion@equiprestmx.com</t>
    </r>
  </si>
  <si>
    <t>CARLOS ALBERTO RODRIGUEZ REYES - BDB LOGISTICA</t>
  </si>
  <si>
    <r>
      <rPr>
        <sz val="10"/>
        <color theme="1"/>
        <rFont val="Calibri"/>
        <family val="2"/>
        <scheme val="minor"/>
      </rPr>
      <t>MELANIE ELISA AGUAS HERNANDEZ</t>
    </r>
    <r>
      <rPr>
        <b/>
        <sz val="10"/>
        <color theme="1"/>
        <rFont val="Calibri"/>
        <family val="2"/>
        <scheme val="minor"/>
      </rPr>
      <t xml:space="preserve"> - ISAI ZUÑIGA MENESES NANPACK (QRO.) BDB LOGISTICA</t>
    </r>
  </si>
  <si>
    <t>ABRIL'26</t>
  </si>
  <si>
    <t>ALICIA ANAHI PALOMINO COVARRUBIAS</t>
  </si>
  <si>
    <t>PACA9208078G5</t>
  </si>
  <si>
    <t>b8447363-1d97-4347-9b8c-7de87d838010</t>
  </si>
  <si>
    <t>OSCAR MARTÍNEZ</t>
  </si>
  <si>
    <r>
      <t xml:space="preserve">COMODATO                                 Oscar Martínez - 81 3408 4375 </t>
    </r>
    <r>
      <rPr>
        <b/>
        <u/>
        <sz val="10"/>
        <color rgb="FF0070C0"/>
        <rFont val="Calibri Light"/>
        <family val="2"/>
        <scheme val="major"/>
      </rPr>
      <t>meni240384@hotmail.com</t>
    </r>
  </si>
  <si>
    <t xml:space="preserve">CLIENTE NUEVO 29-MARZO-2025 COBRAR EN ABRIL PROP. </t>
  </si>
  <si>
    <t>KAREN OFELIA MATA DELGADILLO - JOSE LUIS CASTRO</t>
  </si>
  <si>
    <r>
      <t xml:space="preserve">Jose Luis Castro - 81 1476 3584 </t>
    </r>
    <r>
      <rPr>
        <b/>
        <u/>
        <sz val="10"/>
        <color rgb="FF0070C0"/>
        <rFont val="Calibri Light"/>
        <family val="2"/>
        <scheme val="major"/>
      </rPr>
      <t>karenmata.tmd@gmail.com</t>
    </r>
  </si>
  <si>
    <t xml:space="preserve">JOSE LUIS CASTRO        81 1476 3584 </t>
  </si>
  <si>
    <t>OSCAR MARTINEZ</t>
  </si>
  <si>
    <t>OSCAR MARTINEZ               81 3408 4375</t>
  </si>
  <si>
    <t>DODGE RAM BLANCO RE-2707-B #5057</t>
  </si>
  <si>
    <t>FREIGHTLINER AZUL 63-BF-6W 2001</t>
  </si>
  <si>
    <t>EQUIPO E INSTALACIÓN $1,950.00+IVA=$2,262.00 MENSUALIDAD $300.00+IVA=$348.00</t>
  </si>
  <si>
    <t>CLIENTES NUEVOS</t>
  </si>
  <si>
    <t>KAREN OFELIA MATA DELGADILLO</t>
  </si>
  <si>
    <t>MADK780324FA5</t>
  </si>
  <si>
    <t>COB. MAR'25: 1 SERVICIO DE PAQUETERIA Y 1 VISITA EN FALSO FORANEA</t>
  </si>
  <si>
    <t>apalomino@plasarlogistic.com</t>
  </si>
  <si>
    <t>ALICIA ANAHI PALOMINO COVARRUBIAS - BDB LOGISTICA</t>
  </si>
  <si>
    <t xml:space="preserve">NO COBRADO PORQUE EQUIPO NO QUEDO, FUERON 2 VECES </t>
  </si>
  <si>
    <t xml:space="preserve">PAGO EL 29-MARZO-2025 POR TRANSFERENCIA </t>
  </si>
  <si>
    <t>*VISITA EN FALSO</t>
  </si>
  <si>
    <t>*DES-INSTALACION</t>
  </si>
  <si>
    <t>EXC200 AMARILLO</t>
  </si>
  <si>
    <t>KW BLANCO</t>
  </si>
  <si>
    <t>PR-2935-B</t>
  </si>
  <si>
    <t>221-DM-2</t>
  </si>
  <si>
    <t>PAGO EL 29-MARZO-2025 POR TRANSFERDECIA</t>
  </si>
  <si>
    <t>PAGO EL 29-MARZO-2025 POR TRANSFERRECIA</t>
  </si>
  <si>
    <t>PAGO OS 29-MARZO-2025 POR TRANSFERDESCIA</t>
  </si>
  <si>
    <t>PAGO OS 29-MARZO-2025 POR TRANSFERRECIA</t>
  </si>
  <si>
    <t>GABRIELA TORRES</t>
  </si>
  <si>
    <t>EQUIPO E INSTALACIÓN $1,700.00+IVA=$1,972.00 MENSUALIDAD CON BOTON DE PANICO $300.00+IVA=$348.00</t>
  </si>
  <si>
    <t>ADRIANA BEATRIZ CHAPA CASTILLO</t>
  </si>
  <si>
    <t>CACX7211189U2</t>
  </si>
  <si>
    <t>ee63c76f-b506-49a1-98af-dfedb35a9e4e</t>
  </si>
  <si>
    <t>cd98bb22-2904-4e11-8dba-c165bb29311e</t>
  </si>
  <si>
    <r>
      <t xml:space="preserve">ADRIANA BEATRIZ CHAPA CASTILLO - </t>
    </r>
    <r>
      <rPr>
        <b/>
        <sz val="10"/>
        <color theme="1"/>
        <rFont val="Calibri"/>
        <family val="2"/>
        <scheme val="minor"/>
      </rPr>
      <t>RAMIRO RODRIGUEZ VEGA</t>
    </r>
  </si>
  <si>
    <t>Ramiro Rodriguez - 81 1516 4825 transportes_rdz@yahoo.com</t>
  </si>
  <si>
    <t>ADRIANA BEATRIZ CHAPA CASTILLO - RAMIRO RODRIGUEZ VEGA</t>
  </si>
  <si>
    <t>RAMIRO VEGA                   81 1516 4825</t>
  </si>
  <si>
    <t>VOLVO BLANCO 80-AL-7G UNIDAD 80</t>
  </si>
  <si>
    <t xml:space="preserve">JOSE LUIS ENVIO BAJA </t>
  </si>
  <si>
    <r>
      <rPr>
        <sz val="11"/>
        <rFont val="Calibri"/>
        <family val="2"/>
        <scheme val="minor"/>
      </rPr>
      <t>Contacto:</t>
    </r>
    <r>
      <rPr>
        <b/>
        <sz val="11"/>
        <rFont val="Calibri"/>
        <family val="2"/>
        <scheme val="minor"/>
      </rPr>
      <t xml:space="preserve"> Sergio Ediñho Arriaga Hdz                                     
</t>
    </r>
    <r>
      <rPr>
        <sz val="11"/>
        <rFont val="Calibri"/>
        <family val="2"/>
        <scheme val="minor"/>
      </rPr>
      <t>Teléfono:</t>
    </r>
    <r>
      <rPr>
        <b/>
        <sz val="11"/>
        <rFont val="Calibri"/>
        <family val="2"/>
        <scheme val="minor"/>
      </rPr>
      <t xml:space="preserve"> 81 2402 5624                                                       </t>
    </r>
    <r>
      <rPr>
        <u/>
        <sz val="11"/>
        <rFont val="Calibri"/>
        <family val="2"/>
        <scheme val="minor"/>
      </rPr>
      <t xml:space="preserve"> </t>
    </r>
    <r>
      <rPr>
        <b/>
        <u/>
        <sz val="11"/>
        <color rgb="FF0070C0"/>
        <rFont val="Calibri"/>
        <family val="2"/>
        <scheme val="minor"/>
      </rPr>
      <t>se.arriaga@hotmail.com</t>
    </r>
  </si>
  <si>
    <t>BAJA 31-MARZO-2025</t>
  </si>
  <si>
    <t>COB. ABR'25: 1 EQP. E INST. NUEVA Y 1 MENS. PROP. 24 DIAS</t>
  </si>
  <si>
    <t>COB. ABR'25: 1 RE-INST.</t>
  </si>
  <si>
    <t>COB. ABR'25: 1 DES-INST. Y 1 RE-INST.</t>
  </si>
  <si>
    <t>COB. ABR'25: 1 EQP. E INST. NUEVA Y 1 MENS. PROP. 20 DIAS</t>
  </si>
  <si>
    <t xml:space="preserve">COB. ABR'25: 1 REVISION </t>
  </si>
  <si>
    <t xml:space="preserve">COB. ABR'25: 2 EQP., 2 SEMESTRES, 2 SENSORES DE TEMPERATURA Y -2 BONIFCACION SOBRE SEMESTRE COBRAR EN AGOSTO 2025 PRIMERAS 10, EN SEPTIEMBRE 9 Y 2 EN OCTUBRE PAGARA POR SEMESTRE </t>
  </si>
  <si>
    <t>COB. ABR'25: 1 INST. NUEVA Y 1 MENS. PROP. 4 DIAS</t>
  </si>
  <si>
    <t>COB. ABR'25: 1 VISITA EN FALSO</t>
  </si>
  <si>
    <t xml:space="preserve">COB. ABR'25: 1 INST. NUEVA </t>
  </si>
  <si>
    <t>COB. ABR'25: 1 FINANCIAMIENTO DE DASH CAM MENS. 1/11</t>
  </si>
  <si>
    <t>PAGO 6 MENSUALIDADES ADELANTADAS COBRAR HASTA SEPTIEMBRE 2025</t>
  </si>
  <si>
    <t xml:space="preserve">COB. ABR'25: 1 MENS. PROP. COBRAR EN MAYO MENS. COMPL. PDTES. 1 INST. YA PAGADA,  SOLO COBRAR PROP. CUANDO SE LE INSTALE. </t>
  </si>
  <si>
    <t>COBRAR MENS. EN MAYO 2025</t>
  </si>
  <si>
    <t>COB. ABR'25: 1 MENS. PROP. 17 DIAS COBRAR EN MAYO MENS. COMPL.</t>
  </si>
  <si>
    <t>COB. ABR'25: 1 MENS. PROP. 18 DIAS COBRAR EN MAYO MENS. COMPL. PARA INTEGRACION DE WEB SERVICE</t>
  </si>
  <si>
    <t>COB. ABR'25: 1 MENS. PROP. 16 DIAS COBRAR EN MAYO MENS. COMPL.</t>
  </si>
  <si>
    <t>COB. ABR'25: 4 MENS. PROP. 27 DIAS COBRAR EN MAYO MENS. COMPL.</t>
  </si>
  <si>
    <t>COB. ABR'25: 1 EQP. E INST. NUEVA</t>
  </si>
  <si>
    <t>BAJA 01-ABRIL2025</t>
  </si>
  <si>
    <t>PDTE. MIGRACION AL SR. HECTOR ENRIQUE CABALLERO</t>
  </si>
  <si>
    <t>COB. ABR'25: 2 MENS. PROP 25 Y 19 DIAS, COBRAR EN MAYO MENS. COMPL.</t>
  </si>
  <si>
    <r>
      <t xml:space="preserve">Rogelio Cantu - 81 3118 7830  </t>
    </r>
    <r>
      <rPr>
        <b/>
        <u/>
        <sz val="10"/>
        <color rgb="FF0070C0"/>
        <rFont val="Calibri Light"/>
        <family val="2"/>
        <scheme val="major"/>
      </rPr>
      <t>rogeliopc1124@gmail.com</t>
    </r>
  </si>
  <si>
    <t>COB. ABR'25: 7 DES-INST. Y 1 REVISION</t>
  </si>
  <si>
    <t>7c168602-d419-4366-ab04-c0a2c39392ce</t>
  </si>
  <si>
    <t>5d80200c-f2e0-4e4d-963e-01f622e7ed30</t>
  </si>
  <si>
    <t>6fbf9100-b935-4861-8dd8-02190856e321</t>
  </si>
  <si>
    <t>5168e420-5a3f-48cf-8e98-93ba3516ba06</t>
  </si>
  <si>
    <t>9952bc9f-ad26-45be-bc88-fef8b1fdce20</t>
  </si>
  <si>
    <t>2e4a608b-cd99-4d3b-925e-dc9e99d1293f</t>
  </si>
  <si>
    <t>e1b5999f-129f-4745-ac63-29a2e22a5ea8</t>
  </si>
  <si>
    <t>7fc59c94-25ab-41f1-adf7-b782f388fa6d</t>
  </si>
  <si>
    <t>ed049ac0-751b-4bb0-bd77-4c9a6ac785b6</t>
  </si>
  <si>
    <t>d54d4369-f4e4-4eaa-9525-5fc66d99f6dc</t>
  </si>
  <si>
    <t>2b629b8e-26eb-498a-874b-1303f24b7ee0</t>
  </si>
  <si>
    <t>32d2927c-c337-4593-bbed-5f839e84fd0d</t>
  </si>
  <si>
    <t xml:space="preserve"> 8e8683fa-6a53-4ff4-bd4c-cef1111f2724</t>
  </si>
  <si>
    <t>734ea839-9e39-42c9-b83c-e419e38d3ceb</t>
  </si>
  <si>
    <t>def14208-1689-48cb-a598-1e64e6adec41</t>
  </si>
  <si>
    <t>ad8c6b20-199a-48c8-9ffe-b43fc05ce050</t>
  </si>
  <si>
    <t>5d064041-b59c-432b-a603-6164a9e8cfac</t>
  </si>
  <si>
    <t>1d4b5924-9c86-4b42-849a-a32e7d4ea63b</t>
  </si>
  <si>
    <t>73b142f8-4a28-4d3e-9226-dbf3049e1006</t>
  </si>
  <si>
    <t>701c639b-539b-4551-b9fe-5ebb806edd20</t>
  </si>
  <si>
    <t>b14da2db-e984-4bc9-a4f0-df8b6b951518</t>
  </si>
  <si>
    <t>798e962e-639b-4d15-ab19-44e153d74443</t>
  </si>
  <si>
    <t>9398a0ab-dd5b-4cbf-8689-a730cbf3529f</t>
  </si>
  <si>
    <t>83505e30-dd7f-45a9-8dad-356864ce9a17</t>
  </si>
  <si>
    <t>8e7974f9-4188-4082-81f7-6fdd118bffe3</t>
  </si>
  <si>
    <t>1e7001d3-1568-4bb1-bed6-ac0c12f48f9e</t>
  </si>
  <si>
    <t>cc834c02-3ede-488c-a8bf-ef154e105a23</t>
  </si>
  <si>
    <t>c0a8f475-9c17-444a-8e2b-87ea593f223f</t>
  </si>
  <si>
    <t>a937550a-082b-4170-9e27-61c3c23eca45</t>
  </si>
  <si>
    <t>bd441d68-ce00-4ca5-8e36-5b750378bae8</t>
  </si>
  <si>
    <t xml:space="preserve"> 2a76e704-1e0d-485c-a15f-7ffd82261e34</t>
  </si>
  <si>
    <t>5102f078-e72c-4e9f-a51d-a20883e14acf</t>
  </si>
  <si>
    <t>8b63d70d-8ff2-4320-b15f-3892e963ee85</t>
  </si>
  <si>
    <t>bcdecd4d-6aba-4082-a58a-ee2c0721e279</t>
  </si>
  <si>
    <t>bf675db1-5ea8-4968-91c9-753c92d31a04</t>
  </si>
  <si>
    <t>cf6b2c6c-be64-46f0-89b4-b09a89e299e3</t>
  </si>
  <si>
    <t>ccf5ce2a-768b-4b96-aafc-464d26899346</t>
  </si>
  <si>
    <t>d3c3592d-3121-455a-983b-6e0d8fae7dde</t>
  </si>
  <si>
    <t>ce1f7286-621f-455f-92cc-7603e163c347</t>
  </si>
  <si>
    <t>b0e7c79b-7e27-4953-88cd-847662ff11f4</t>
  </si>
  <si>
    <t>e0b87606-ac35-4eb9-8794-cc497f7cc358</t>
  </si>
  <si>
    <t>5dae7a41-2072-4551-b72d-349c66c681f0</t>
  </si>
  <si>
    <t>35db1e52-8d1e-40d7-9bd1-8f020f513b53</t>
  </si>
  <si>
    <t>f51ef4d5-152b-4cb4-9c8f-32521bfd15e2</t>
  </si>
  <si>
    <t>0149e4a7-a877-462f-9873-5b92303822f2</t>
  </si>
  <si>
    <t>635c28de-fc81-4f49-810e-bfce8fef99dc</t>
  </si>
  <si>
    <t>LVI170630MEA</t>
  </si>
  <si>
    <t>ed5ea6d5-24cb-4c97-989a-f7064e8d4f82</t>
  </si>
  <si>
    <t>90adf10f-3607-4a87-b841-84ec119a7931</t>
  </si>
  <si>
    <t>dd222031-5cf3-4c28-8cfa-16416ce40028</t>
  </si>
  <si>
    <t>96bf3f51-b435-41e5-b348-5e96bf4a18ff</t>
  </si>
  <si>
    <t>bd7efba3-5928-44ef-b0c8-e310f92d26fc</t>
  </si>
  <si>
    <t xml:space="preserve"> fac121ed-4ec2-4c20-b09c-3553af92d238</t>
  </si>
  <si>
    <t>77a0895b-099b-479f-ab24-d3c809fe8755</t>
  </si>
  <si>
    <t>0d7e6545-a172-40a2-ac80-8742d8b81738</t>
  </si>
  <si>
    <t>d387033a-a96e-4b3b-9074-6d3dfd0db535</t>
  </si>
  <si>
    <t>bda52dbd-4524-4564-8e96-e12735d3c118</t>
  </si>
  <si>
    <t>fe63f0fc-6fd2-411b-9df8-d495a3e39828</t>
  </si>
  <si>
    <t>5a231648-33ab-467e-9997-eebfab533a94</t>
  </si>
  <si>
    <t>a5a13fc1-a60b-4ad2-80b2-50c1e8b1166c</t>
  </si>
  <si>
    <t>11672c1b-fe0f-4342-b8d1-b4bafdc0f2ee</t>
  </si>
  <si>
    <r>
      <rPr>
        <sz val="10"/>
        <color theme="1"/>
        <rFont val="Calibri Light"/>
        <family val="2"/>
        <scheme val="major"/>
      </rPr>
      <t xml:space="preserve">Julio Torres - 81 1913 9749    </t>
    </r>
    <r>
      <rPr>
        <b/>
        <sz val="10"/>
        <color theme="1"/>
        <rFont val="Calibri Light"/>
        <family val="2"/>
        <scheme val="major"/>
      </rPr>
      <t xml:space="preserve">                 Isela Montemayor - 81 3862 9436 </t>
    </r>
    <r>
      <rPr>
        <b/>
        <u/>
        <sz val="10"/>
        <color rgb="FF0070C0"/>
        <rFont val="Calibri Light"/>
        <family val="2"/>
        <scheme val="major"/>
      </rPr>
      <t>juliotorres0023@gmail.com</t>
    </r>
  </si>
  <si>
    <r>
      <t xml:space="preserve">COMODATO                                                  </t>
    </r>
    <r>
      <rPr>
        <b/>
        <sz val="10"/>
        <color theme="1"/>
        <rFont val="Calibri Light"/>
        <family val="2"/>
        <scheme val="major"/>
      </rPr>
      <t xml:space="preserve">Edgar Garza - 81 1029 1017   </t>
    </r>
    <r>
      <rPr>
        <b/>
        <u/>
        <sz val="10"/>
        <color rgb="FF0070C0"/>
        <rFont val="Calibri Light"/>
        <family val="2"/>
        <scheme val="major"/>
      </rPr>
      <t xml:space="preserve">Aexpresmata@gmail.com </t>
    </r>
    <r>
      <rPr>
        <b/>
        <sz val="10"/>
        <color theme="1"/>
        <rFont val="Calibri Light"/>
        <family val="2"/>
        <scheme val="major"/>
      </rPr>
      <t xml:space="preserve">  </t>
    </r>
    <r>
      <rPr>
        <sz val="10"/>
        <color theme="1"/>
        <rFont val="Calibri Light"/>
        <family val="2"/>
        <scheme val="major"/>
      </rPr>
      <t xml:space="preserve">                   </t>
    </r>
  </si>
  <si>
    <r>
      <t xml:space="preserve">Ramiro Rodriguez - 81 1516 4825 </t>
    </r>
    <r>
      <rPr>
        <b/>
        <u/>
        <sz val="10"/>
        <color rgb="FF0070C0"/>
        <rFont val="Calibri Light"/>
        <family val="2"/>
        <scheme val="major"/>
      </rPr>
      <t>transportes_rdz@yahoo.com</t>
    </r>
  </si>
  <si>
    <t>BAJA 02-ABRIL-2025</t>
  </si>
  <si>
    <r>
      <t xml:space="preserve">Jonathan Cepeda - 81 1413 1312 </t>
    </r>
    <r>
      <rPr>
        <b/>
        <u/>
        <sz val="11"/>
        <color rgb="FF0070C0"/>
        <rFont val="Calibri"/>
        <family val="2"/>
        <scheme val="minor"/>
      </rPr>
      <t>jona.cepeda@hotmail.com</t>
    </r>
  </si>
  <si>
    <r>
      <t xml:space="preserve">Hector Tovar - 81 1538 0208 </t>
    </r>
    <r>
      <rPr>
        <b/>
        <u/>
        <sz val="11"/>
        <color rgb="FF0070C0"/>
        <rFont val="Calibri"/>
        <family val="2"/>
        <scheme val="minor"/>
      </rPr>
      <t>tovarron@hotmail.com</t>
    </r>
  </si>
  <si>
    <t>YA NO LE DIO SERVICIO A BDB</t>
  </si>
  <si>
    <t>UNIDAD EN TALLER</t>
  </si>
  <si>
    <t>29620e69-a04a-4894-89a9-ce85ba7e37f6</t>
  </si>
  <si>
    <t>ec046da9-4553-486b-b599-c15e25a68b96</t>
  </si>
  <si>
    <t>56bcee1d-e9ac-46e7-aa3c-aa682a0c7b7d</t>
  </si>
  <si>
    <t>77f26d5a-1075-4df4-8dd8-0c84ce804707</t>
  </si>
  <si>
    <t>261a31b4-c18c-4f4e-8ad6-52ecb09145dc</t>
  </si>
  <si>
    <t>b14a2d55-5b11-4967-adba-0225df12c8d2</t>
  </si>
  <si>
    <t>3adf103d-4aeb-4c55-83aa-848d7c0e752b</t>
  </si>
  <si>
    <t>5423a5e1-35e4-4180-916f-2952d7fbbb36</t>
  </si>
  <si>
    <t>b304e5b5-c250-4220-8297-9f28a2127a1c</t>
  </si>
  <si>
    <t>457c8dac-444a-4e76-b06e-82b21e4341f2</t>
  </si>
  <si>
    <t>82d4ed41-35a5-4402-afaa-1aa5d9ad46ba</t>
  </si>
  <si>
    <t>1ce62780-0b45-4768-9b34-b0b1b06172c3</t>
  </si>
  <si>
    <t>e99debcb-b103-4246-a503-5b179f9f3425</t>
  </si>
  <si>
    <t>b822d7c5-a2fa-48d9-bfea-d533244f5442</t>
  </si>
  <si>
    <t>415c9f0c-8e26-4ccd-9c06-d088f97648cd</t>
  </si>
  <si>
    <t>42fac7b1-0f9e-4235-80e9-daa77b4a8fbe</t>
  </si>
  <si>
    <t>b10df44d-77e6-41cd-b88b-57883bec0049</t>
  </si>
  <si>
    <t>f5e090f0-be2a-4433-9507-01eb29165b30</t>
  </si>
  <si>
    <t>a68bf65c-38f6-4c3b-9d68-91a9f766aa9a</t>
  </si>
  <si>
    <t xml:space="preserve"> 07e5a0e2-20d6-4530-a2be-f99543ba414c</t>
  </si>
  <si>
    <t>21999f73-65e7-41cc-b997-18779f76d86d</t>
  </si>
  <si>
    <t>7514de80-1aa8-459d-8d25-0c7707fa6d16</t>
  </si>
  <si>
    <t>3c06db3f-6c4b-4d05-9177-a7181f55a94c</t>
  </si>
  <si>
    <t xml:space="preserve"> 5399ae9f-679f-4ebe-bfdc-1952f0b56f61</t>
  </si>
  <si>
    <t>81756c3f-9459-42f1-a54b-4d51b06616c0</t>
  </si>
  <si>
    <t>b2fa0d02-ad4f-4a08-9f85-bf89b0fa20aa</t>
  </si>
  <si>
    <t>19357f4c-cbb8-461f-be75-87a9e4a0b2d0</t>
  </si>
  <si>
    <t>31ea4c0b-5e94-4050-8762-991ffc530b06</t>
  </si>
  <si>
    <t>18600419-4225-4be4-af3b-7ffaa20a8ec2</t>
  </si>
  <si>
    <t>8fcc3c0d-5631-48dc-be0d-5bdb1a4c1067</t>
  </si>
  <si>
    <t>bce7506a-17fe-4d6a-9319-34e419eb0043</t>
  </si>
  <si>
    <t>0f4f7318-7607-45c6-b3c3-c3e3af7776a8</t>
  </si>
  <si>
    <t>b07aaa87-4e40-4ddd-9f81-0e0960272fc0</t>
  </si>
  <si>
    <t>938b14c4-aef0-4923-b1f6-fada18dace02</t>
  </si>
  <si>
    <t xml:space="preserve"> fbac8c10-4a5b-4ff5-a1f7-b186ec30b556</t>
  </si>
  <si>
    <t>1f1b65a6-4d59-4f9f-8241-4a2c5e7b8ef3</t>
  </si>
  <si>
    <t>3c456313-1fc1-4a72-8ee6-fe0522699dfd</t>
  </si>
  <si>
    <t>a1afdb08-fdea-4018-aa7f-1dbc25e52606</t>
  </si>
  <si>
    <t>f44c041d-2138-40bf-8e54-3c9ff6d08dee</t>
  </si>
  <si>
    <t>064680bf-0c81-4126-a72b-1512f20bff3c</t>
  </si>
  <si>
    <t>COB. ABR'25: INTEGRACION DE WEB SERVICE</t>
  </si>
  <si>
    <t>VICTOR MENDEZ</t>
  </si>
  <si>
    <t>MOTO BLANCO</t>
  </si>
  <si>
    <t>13SFU3</t>
  </si>
  <si>
    <t>VICTOR MENDEZ - 81 1774 3074</t>
  </si>
  <si>
    <t>VICTOR MENDEZ CTE. PREPAGO</t>
  </si>
  <si>
    <t>HECTOR CABALLERO</t>
  </si>
  <si>
    <t>HECTOR CABALLERO CTE. PREPAGO</t>
  </si>
  <si>
    <t>MG GRIS</t>
  </si>
  <si>
    <t>SUG-869-B</t>
  </si>
  <si>
    <t>COB. ABR'25: 4 ANUALIDADES</t>
  </si>
  <si>
    <t>FERNANDO ARAIZA ANUALIDAD SIMS</t>
  </si>
  <si>
    <t>HERRAMIENTAS MECANICAS UNIVERSALES</t>
  </si>
  <si>
    <t>HMU810909370</t>
  </si>
  <si>
    <t>dad27393-99bd-4524-9b19-98345612acb7</t>
  </si>
  <si>
    <t>3da31e37-366c-4326-8ec1-2cc87e67345f</t>
  </si>
  <si>
    <t>COB. ABR'25: 1 EQP. E INST. NUEVA, PAGO A ELIUD EN EFECTIVO</t>
  </si>
  <si>
    <t>SERGIO CISNEROS</t>
  </si>
  <si>
    <t>CLIENTE NUEVO 04-ABRIL-2025 PAGO EN EFECTIVO A OSCAR COBRAR EN MAYO PROP. 26 DIAS</t>
  </si>
  <si>
    <t xml:space="preserve">SERGIO CISNEROS 82 6125 4809 </t>
  </si>
  <si>
    <t>INSTALACIÓN $550.00                                      MENSUALIDAD $300.00</t>
  </si>
  <si>
    <t>VICTOR MENDEZ             81 1774 3074</t>
  </si>
  <si>
    <t>MOTO BLANCO 13SFU3</t>
  </si>
  <si>
    <t>CLIENTE NUEVO 01-ABRIL-2025 COB. ABR'25: 1 EQP. E INST. NUEVA</t>
  </si>
  <si>
    <t>DODGE RAM BLANCO RH-5161-B 2006</t>
  </si>
  <si>
    <t>DANIEL ESCAMILLA</t>
  </si>
  <si>
    <r>
      <t xml:space="preserve">COMODATO                           Daniel Escamilla - 81 1278 8395 </t>
    </r>
    <r>
      <rPr>
        <b/>
        <u/>
        <sz val="10"/>
        <color rgb="FF0070C0"/>
        <rFont val="Calibri Light"/>
        <family val="2"/>
        <scheme val="major"/>
      </rPr>
      <t>atencionviajero@gmail.com</t>
    </r>
  </si>
  <si>
    <t>CLIENTE NUEVO 07-ABRIL-2025, COBRAR EN MAYO MENS. PROP. 23 DIAS</t>
  </si>
  <si>
    <t xml:space="preserve">DANIEL ESCAMILLA 81 1278 8395 </t>
  </si>
  <si>
    <t>COB. ABR'25: 1 INST. NUEVA</t>
  </si>
  <si>
    <t xml:space="preserve">COB. ABR'25: 1 EQP. E INST. NUEVA Y 1 MENS. PROP. COBRAR EN MAYO MENS. COMPL. </t>
  </si>
  <si>
    <t xml:space="preserve">COB. ABR'25: 1 EQP. E INST. NUEVA Y 1 MENS. PROP. 26 DIAS COBRAR EN MAYO MENS, COMPL. </t>
  </si>
  <si>
    <t xml:space="preserve"> b032e7e8-b050-4212-8329-4bb44d10345b</t>
  </si>
  <si>
    <t>caabdf53-9569-4f4d-9900-dcfd856c1ca7</t>
  </si>
  <si>
    <t>2cce1851-9121-4558-8300-d511ad822496</t>
  </si>
  <si>
    <t xml:space="preserve"> 426cff35-ddec-4a45-ac3e-a61467e96a93</t>
  </si>
  <si>
    <t>742e69a1-24e6-457e-8722-3ff7c4952e96</t>
  </si>
  <si>
    <r>
      <rPr>
        <b/>
        <sz val="11"/>
        <rFont val="Calibri"/>
        <family val="2"/>
        <scheme val="minor"/>
      </rPr>
      <t xml:space="preserve">33 3814 9969  Rocio Elizabeth Palomino - 33 2200 5037 </t>
    </r>
    <r>
      <rPr>
        <b/>
        <u/>
        <sz val="11"/>
        <color theme="10"/>
        <rFont val="Calibri"/>
        <family val="2"/>
        <scheme val="minor"/>
      </rPr>
      <t>apalomino@plasarlogistic.com</t>
    </r>
  </si>
  <si>
    <t>CLIENTE NUEVO 04-ABRIL-2025COBRAR EN MAYO PROP. 26 DIAS</t>
  </si>
  <si>
    <t xml:space="preserve">ROCIO ELIZABETH            33 2200 5037 </t>
  </si>
  <si>
    <t>NISSAN BLANCO HW-3944-A</t>
  </si>
  <si>
    <r>
      <t xml:space="preserve">Dania Salazar - 81 3381 4857                     Isabel Salazar - 81 1814 7220 </t>
    </r>
    <r>
      <rPr>
        <b/>
        <u/>
        <sz val="10"/>
        <color rgb="FF0070C0"/>
        <rFont val="Calibri Light"/>
        <family val="2"/>
        <scheme val="major"/>
      </rPr>
      <t xml:space="preserve">idaliaisabel74@hotmail.com </t>
    </r>
  </si>
  <si>
    <t xml:space="preserve">RETIRO REALIZADO POR JOSE LUIS </t>
  </si>
  <si>
    <t xml:space="preserve">CLIENTE NUEVO 31-MARZO-2025 COBRAR EN MENS. EN MAYO </t>
  </si>
  <si>
    <t xml:space="preserve">CLIENTE NUEVO 31-MARZO-2025 COBRAR MENS. EN MAYO </t>
  </si>
  <si>
    <t>INSTALACIÓN $549.00                                       MENSUALIDAD $300.00</t>
  </si>
  <si>
    <r>
      <t xml:space="preserve">COMODATO                                                      </t>
    </r>
    <r>
      <rPr>
        <b/>
        <sz val="10"/>
        <color theme="1"/>
        <rFont val="Calibri Light"/>
        <family val="2"/>
        <scheme val="major"/>
      </rPr>
      <t xml:space="preserve">Anel Monroy - 773 132 8093  </t>
    </r>
    <r>
      <rPr>
        <sz val="10"/>
        <color theme="1"/>
        <rFont val="Calibri Light"/>
        <family val="2"/>
        <scheme val="major"/>
      </rPr>
      <t xml:space="preserve">                                    Fermin Uribe Ramos - 
7732188379   </t>
    </r>
    <r>
      <rPr>
        <b/>
        <sz val="10"/>
        <color theme="1"/>
        <rFont val="Calibri Light"/>
        <family val="2"/>
        <scheme val="major"/>
      </rPr>
      <t xml:space="preserve">   </t>
    </r>
    <r>
      <rPr>
        <sz val="10"/>
        <color theme="1"/>
        <rFont val="Calibri Light"/>
        <family val="2"/>
        <scheme val="major"/>
      </rPr>
      <t xml:space="preserve">                                                  Alejandro - 77 1393 3704</t>
    </r>
    <r>
      <rPr>
        <b/>
        <sz val="10"/>
        <color theme="1"/>
        <rFont val="Calibri Light"/>
        <family val="2"/>
        <scheme val="major"/>
      </rPr>
      <t xml:space="preserve"> </t>
    </r>
    <r>
      <rPr>
        <b/>
        <u/>
        <sz val="10"/>
        <color rgb="FF0070C0"/>
        <rFont val="Calibri Light"/>
        <family val="2"/>
        <scheme val="major"/>
      </rPr>
      <t>eber.sannicolas@sitelecom.lat</t>
    </r>
  </si>
  <si>
    <t xml:space="preserve">PAGO EN EFECTIVO A JOSE LUIS </t>
  </si>
  <si>
    <t>1- JETOUR X70 PLUS GRIS 2023 SUJ-444-B                                         2- NISSAN MARCH BLANCO 2022 RSK-402-C                                       3- HONDA CITY AZUL RKX-297-C</t>
  </si>
  <si>
    <t>ANTONIO RAMIREZ - REFRIGERADOS AREZ</t>
  </si>
  <si>
    <t xml:space="preserve">ANTONIO RAMIREZ 84 4611 0065 </t>
  </si>
  <si>
    <t>EQUIPO $2,800.00                                                                                   MENSUALIDAD $270.00</t>
  </si>
  <si>
    <t>CTE. JAVIER GZZ TECNICO SALTILLO</t>
  </si>
  <si>
    <t>KW BLANCO/ROJO ES-4701-D</t>
  </si>
  <si>
    <t>MAQUINARIA Y EQUIPO OPTIMUS</t>
  </si>
  <si>
    <t>MEO220308MMA</t>
  </si>
  <si>
    <t>4d63a12d-2e16-4b96-9471-91cfee83647d</t>
  </si>
  <si>
    <t xml:space="preserve">ABRIL SE LE FACTURA A NOMBRE DE MAQUINARIA Y EQUIPO OPTIMUS </t>
  </si>
  <si>
    <r>
      <rPr>
        <sz val="10"/>
        <rFont val="Calibri Light"/>
        <family val="2"/>
        <scheme val="major"/>
      </rPr>
      <t xml:space="preserve">Contacto: </t>
    </r>
    <r>
      <rPr>
        <b/>
        <sz val="10"/>
        <rFont val="Calibri Light"/>
        <family val="2"/>
        <scheme val="major"/>
      </rPr>
      <t xml:space="preserve">Alejandro Garza                         </t>
    </r>
    <r>
      <rPr>
        <sz val="10"/>
        <rFont val="Calibri Light"/>
        <family val="2"/>
        <scheme val="major"/>
      </rPr>
      <t>Teléfono</t>
    </r>
    <r>
      <rPr>
        <b/>
        <sz val="10"/>
        <rFont val="Calibri Light"/>
        <family val="2"/>
        <scheme val="major"/>
      </rPr>
      <t>: 81 8200 4521</t>
    </r>
  </si>
  <si>
    <t xml:space="preserve">COB. ABR'25: 1 EQP. E INST. NUEVA Y SALDO PDTE. </t>
  </si>
  <si>
    <t>ALEJANDRO GARZA MARTINEZ</t>
  </si>
  <si>
    <t>MARTIN MORIN</t>
  </si>
  <si>
    <t>MARTIN MORIN               81 1588 7954</t>
  </si>
  <si>
    <r>
      <t xml:space="preserve">Martin Morin - 81 1588 7954 </t>
    </r>
    <r>
      <rPr>
        <b/>
        <u/>
        <sz val="10"/>
        <color rgb="FF0070C0"/>
        <rFont val="Calibri Light"/>
        <family val="2"/>
        <scheme val="major"/>
      </rPr>
      <t>martincmorin@hotmail.com</t>
    </r>
  </si>
  <si>
    <t>INSTALACIÓN $550.00                                       MENSUALIDAD $300.00</t>
  </si>
  <si>
    <t xml:space="preserve">MARTIN MORIN </t>
  </si>
  <si>
    <t>ALICIA ANAHI PALOMINO COVARRUBIAS - BDB LOGISTICA JALISCO</t>
  </si>
  <si>
    <t>LUMER S.A. DE C.V.</t>
  </si>
  <si>
    <t>LUM930623HI7</t>
  </si>
  <si>
    <t>39a920bb-652b-44c9-977d-8439b2d7b329</t>
  </si>
  <si>
    <t>LUMER S.A. DE C.V. - CESAR CADENA</t>
  </si>
  <si>
    <t xml:space="preserve">CLIENTE NUEVO 12-ABRIL-2025 CTE. PREPAGO </t>
  </si>
  <si>
    <t>CTE. PREPAGO                       Cesar Cardenas - 81 1635 6092 cct.cadena@gmail.com</t>
  </si>
  <si>
    <t xml:space="preserve">CESAR CADENA              81 1635 6092 </t>
  </si>
  <si>
    <t>EQUIPO $1,600.00+IVA=$1,856.00</t>
  </si>
  <si>
    <t>TOYOTA COROLLA BLANCO RNF-082-B</t>
  </si>
  <si>
    <t xml:space="preserve">COB. ABR'25: BAJA 1 UNIDAD </t>
  </si>
  <si>
    <t>JOEL TORRES</t>
  </si>
  <si>
    <t>SERVICIOS</t>
  </si>
  <si>
    <t xml:space="preserve">COB. ABR'25: SOLO SERVICIO DE 2 RE-INSTALACION </t>
  </si>
  <si>
    <t>CESAR CADENA - 81 1635 6092</t>
  </si>
  <si>
    <t>TOYOTA COROLLA BLANCO</t>
  </si>
  <si>
    <t>RNF-082-B</t>
  </si>
  <si>
    <t xml:space="preserve">COB. ABR'25: 25 ANUALIDADES Y 1 ANUALIDAD PROP. DE SIMS, BAJA 9 SIMS </t>
  </si>
  <si>
    <t>DA DE BAJA 9 SIMS</t>
  </si>
  <si>
    <t>CLIENTE NUEVO 14-ABRIL-2025</t>
  </si>
  <si>
    <t>SANTOS HUERTA              81 3385 3100</t>
  </si>
  <si>
    <r>
      <t xml:space="preserve">COMODATO                               Santos Huerta - 81 3385 3100 </t>
    </r>
    <r>
      <rPr>
        <b/>
        <u/>
        <sz val="10"/>
        <color rgb="FF0070C0"/>
        <rFont val="Calibri Light"/>
        <family val="2"/>
        <scheme val="major"/>
      </rPr>
      <t>josesantosmx1@gmail.com</t>
    </r>
  </si>
  <si>
    <t>VW JETTA 2016 NEGRO STM-187-B</t>
  </si>
  <si>
    <t xml:space="preserve">COB. ABR'25: 160 MENS., 3 RE-INST., 6 DES-INST., 2 VISITA EN FALSO, 1 REVISION Y 1 SALDO PDTE DE MARZO </t>
  </si>
  <si>
    <t>COB. ABR'25: 1 EQP. E INST. NUEVA, 2 RE-INST. Y 2 DES-INST.</t>
  </si>
  <si>
    <t>COB. ABR'25: 1 DES-INST. Y 1 EQP. E INST. NUEVA</t>
  </si>
  <si>
    <t>COB. ABR'25: INTEGRACION DE WEB SERVICE POR 15 UNIDADES</t>
  </si>
  <si>
    <t>COB. ABR'25: MTY: 9 INST., 1 RE-INST., 2 DES-INST. Y 3 VISITA EN FALSO SALTILLO: 1 INST., 3 DES-INST. Y 1 VISITA EN FALSO</t>
  </si>
  <si>
    <t xml:space="preserve">ACCESORIOS PARO DE MOTOR Y BOTON DE PANICO </t>
  </si>
  <si>
    <t xml:space="preserve">SE AGREGO 1 REVISION </t>
  </si>
  <si>
    <t>COB. ABR'25: 6 ACCESORIOS PARO DE MOTOR Y BOTON DE PANICO Y 1 REVISION DE UNIDAD</t>
  </si>
  <si>
    <t>feb06111-6b6c-4ec0-b568-ace0257f13ca</t>
  </si>
  <si>
    <t>e1acd0b8-6644-451c-989d-45fc3b634586</t>
  </si>
  <si>
    <t>671d7a6a-4f40-4790-967c-1910528d89a6</t>
  </si>
  <si>
    <t>33635749-57da-4126-bff8-579dd9a26051</t>
  </si>
  <si>
    <t>a4c5ca5e-a8db-4b01-ba72-412a2dd6f7a9</t>
  </si>
  <si>
    <t>93c84358-1bf2-41e0-b07d-a22739eeb1e7</t>
  </si>
  <si>
    <t>JOSE SANTOS HUERTA</t>
  </si>
  <si>
    <t>BRANDON FLORES</t>
  </si>
  <si>
    <t xml:space="preserve">BRANDON FLORES     81 2201 3792 </t>
  </si>
  <si>
    <t>FORD RANGER ROJO RB-7268-B 2011 CAJA SECA</t>
  </si>
  <si>
    <t>35f4b844-49ee-4581-ae33-b2f41e651d8c</t>
  </si>
  <si>
    <t xml:space="preserve">Jose Luis Almaguer - 826 158 9531 </t>
  </si>
  <si>
    <t xml:space="preserve">CLIENTE NUEVO 16-ABRIL-2025 PAGO EN EFECTIVO A ELIUD </t>
  </si>
  <si>
    <t xml:space="preserve">PDTE. DES-INSTALAR EQUIPO </t>
  </si>
  <si>
    <r>
      <rPr>
        <sz val="10"/>
        <color rgb="FFFF0000"/>
        <rFont val="Calibri Light"/>
        <family val="2"/>
        <scheme val="major"/>
      </rPr>
      <t xml:space="preserve">Raquel - 81 1016 0126  </t>
    </r>
    <r>
      <rPr>
        <sz val="10"/>
        <color theme="1"/>
        <rFont val="Calibri Light"/>
        <family val="2"/>
        <scheme val="major"/>
      </rPr>
      <t xml:space="preserve">                                               </t>
    </r>
    <r>
      <rPr>
        <b/>
        <sz val="10"/>
        <color theme="1"/>
        <rFont val="Calibri Light"/>
        <family val="2"/>
        <scheme val="major"/>
      </rPr>
      <t>Jose Luis Azpeitia - 81 1699 4116</t>
    </r>
    <r>
      <rPr>
        <sz val="10"/>
        <color theme="1"/>
        <rFont val="Calibri Light"/>
        <family val="2"/>
        <scheme val="major"/>
      </rPr>
      <t xml:space="preserve">
</t>
    </r>
    <r>
      <rPr>
        <sz val="10"/>
        <color rgb="FFFF0000"/>
        <rFont val="Calibri Light"/>
        <family val="2"/>
        <scheme val="major"/>
      </rPr>
      <t>Andrés Martínez - 811 301 5807</t>
    </r>
    <r>
      <rPr>
        <sz val="10"/>
        <color theme="1"/>
        <rFont val="Calibri Light"/>
        <family val="2"/>
        <scheme val="major"/>
      </rPr>
      <t xml:space="preserve">
</t>
    </r>
    <r>
      <rPr>
        <b/>
        <u/>
        <sz val="10"/>
        <color theme="4" tint="-0.249977111117893"/>
        <rFont val="Calibri Light"/>
        <family val="2"/>
        <scheme val="major"/>
      </rPr>
      <t xml:space="preserve">karla.castillo@grupocensere.com; andres.martinez@mosere.com; </t>
    </r>
  </si>
  <si>
    <t>MAYO'26</t>
  </si>
  <si>
    <t>FACTURACIÓN MAYO 2025</t>
  </si>
  <si>
    <t>MULTIMEDIOS S.A. DE C.V.</t>
  </si>
  <si>
    <t>MUL0711147NA</t>
  </si>
  <si>
    <t>44106982-cc0c-4dc6-a63c-b50957acc3ae</t>
  </si>
  <si>
    <t>9ee0f21c-8412-4843-bad8-5afca99bae86</t>
  </si>
  <si>
    <t xml:space="preserve">CLIENTE NUEVO 22-ABRIL-2025 COBRAR EN MAYO MENS. PROP. 07 DIAS </t>
  </si>
  <si>
    <t>MIGUEL BAILEY                 81 1795 3724</t>
  </si>
  <si>
    <t>INSTALACIÓN $549.00+IVA=$636.84                  MENSUALIDAD $229.00+IVA=$265.64</t>
  </si>
  <si>
    <t>INSTALACIÓN $549.00+IVA=$636.84                  MENSUALIDAD $299.00+IVA=$346.84</t>
  </si>
  <si>
    <t>BANDAS Y SERVICIOS MALBER</t>
  </si>
  <si>
    <t>ALEJANDRO FUENTES 81 1012 1010</t>
  </si>
  <si>
    <t xml:space="preserve">BANDAS Y SERVICIOS MALBER - ALEJANDRO FUENTES </t>
  </si>
  <si>
    <r>
      <t xml:space="preserve">COMODATO                                Miguel Bailey - 81 1795 3724 Moises Rodriguez - 81 1130 6115 </t>
    </r>
    <r>
      <rPr>
        <b/>
        <u/>
        <sz val="10"/>
        <color rgb="FF0070C0"/>
        <rFont val="Calibri Light"/>
        <family val="2"/>
        <scheme val="major"/>
      </rPr>
      <t>moises.rodriguez@multimedios.com; orlando.garcia@multimedios.com; miguel.bailey@multimedios.com; armando.guzman@multimedios.com</t>
    </r>
  </si>
  <si>
    <t>BSM170517KX0</t>
  </si>
  <si>
    <t>COBRANZA MAYO 2025</t>
  </si>
  <si>
    <t>MAYO'2025</t>
  </si>
  <si>
    <t>IMPORTE MAYO´2025</t>
  </si>
  <si>
    <t>Recuperación del 01 al 04</t>
  </si>
  <si>
    <t>Recuperación del 05 al 11</t>
  </si>
  <si>
    <t>Recuperación del 12 al 18</t>
  </si>
  <si>
    <t>Recuperación del 19 al 25</t>
  </si>
  <si>
    <t>Recuperación del 26 al 31</t>
  </si>
  <si>
    <t>FACTURAS MAYO 2025</t>
  </si>
  <si>
    <t>REMISIONES MAYO 2025</t>
  </si>
  <si>
    <r>
      <t xml:space="preserve">COMODATO                                 Martin Morin - 81 1588 7954 </t>
    </r>
    <r>
      <rPr>
        <b/>
        <u/>
        <sz val="10"/>
        <color rgb="FF0070C0"/>
        <rFont val="Calibri Light"/>
        <family val="2"/>
        <scheme val="major"/>
      </rPr>
      <t>martincmorin@hotmail.com</t>
    </r>
  </si>
  <si>
    <r>
      <rPr>
        <sz val="10"/>
        <color theme="1"/>
        <rFont val="Calibri Light"/>
        <family val="2"/>
        <scheme val="major"/>
      </rPr>
      <t xml:space="preserve">COMODATO                                                     </t>
    </r>
    <r>
      <rPr>
        <b/>
        <sz val="10"/>
        <color theme="1"/>
        <rFont val="Calibri Light"/>
        <family val="2"/>
        <scheme val="major"/>
      </rPr>
      <t xml:space="preserve">Rosario Sanchez - 81 2161 6793 Antonio García - 81 1155 2769 </t>
    </r>
    <r>
      <rPr>
        <sz val="10"/>
        <color theme="1"/>
        <rFont val="Calibri Light"/>
        <family val="2"/>
        <scheme val="major"/>
      </rPr>
      <t>Email:</t>
    </r>
    <r>
      <rPr>
        <b/>
        <u/>
        <sz val="10"/>
        <color theme="4" tint="-0.249977111117893"/>
        <rFont val="Calibri Light"/>
        <family val="2"/>
        <scheme val="major"/>
      </rPr>
      <t>antoniotransgar@hotmail.es</t>
    </r>
  </si>
  <si>
    <t xml:space="preserve">CLIENTE NUEVO 11-ABRIL-2025, COBRAR EN MAYO MENS. PROP. 19 Y 7 DIAS </t>
  </si>
  <si>
    <t>1- NISSAN S10 CHASIS 2024 PY-0816-B                                               2- VW ROBUST GRIS PP-7296-B</t>
  </si>
  <si>
    <t>COB. MAY'25: 1 DES-INST.</t>
  </si>
  <si>
    <t>COB. MAY'25: 1 EQP. E INST. NUEVA Y 1 MENS. PROP. 25 DIAS</t>
  </si>
  <si>
    <t>COB. MAY'25: 1 INST. NUEVA Y 1 MENS. PROP. 22 DIAS</t>
  </si>
  <si>
    <t xml:space="preserve">COB. MAY'25: 1 REVISION </t>
  </si>
  <si>
    <t>COB. MAY'25: 1 FINANCIAMIENTO DE DASH CAM MENS. 2/11</t>
  </si>
  <si>
    <t>BAJA DE CLIENTE 30-ABRIL-2025 COB. ABR'25: 2 BAJAS</t>
  </si>
  <si>
    <r>
      <rPr>
        <b/>
        <sz val="11"/>
        <rFont val="Calibri"/>
        <family val="2"/>
        <scheme val="minor"/>
      </rPr>
      <t xml:space="preserve">(833) 217-3830 Ext. 101      </t>
    </r>
    <r>
      <rPr>
        <sz val="11"/>
        <rFont val="Calibri"/>
        <family val="2"/>
        <scheme val="minor"/>
      </rPr>
      <t>Email:</t>
    </r>
    <r>
      <rPr>
        <b/>
        <u/>
        <sz val="11"/>
        <color rgb="FF0070C0"/>
        <rFont val="Calibri"/>
        <family val="2"/>
        <scheme val="minor"/>
      </rPr>
      <t>Pamela@KROHNEMEXICO.com 'erika@krohnemexico.com'; 'israel@krohnemexico.com'; 'maricela@krohnemexico.com'</t>
    </r>
  </si>
  <si>
    <t>MIGRACIONES</t>
  </si>
  <si>
    <t>POR TEMA INTERNOS TUVIERON QUE REDUCIR GASTOS</t>
  </si>
  <si>
    <t>1 UNIDAD ES PREPAGO POR ESO SE COBRAN 5 y 1 MENSUALIDAD ES DE DASH CAM</t>
  </si>
  <si>
    <t xml:space="preserve">COBRAR EN AGOSTO 2025 PRIMERAS 10, EN SEPTIEMBRE 9 Y 2 EN OCTUBRE PAGARA POR SEMESTRE </t>
  </si>
  <si>
    <t>ANGEL ALEJANDRO SALAZAR DELGADO</t>
  </si>
  <si>
    <r>
      <t xml:space="preserve">Angel Salazar Delgado - 81 1278 3187 </t>
    </r>
    <r>
      <rPr>
        <b/>
        <u/>
        <sz val="10"/>
        <color rgb="FF0070C0"/>
        <rFont val="Calibri Light"/>
        <family val="2"/>
        <scheme val="major"/>
      </rPr>
      <t>aasd_mty@hotmail.com</t>
    </r>
  </si>
  <si>
    <t>CLIENTE NUEVO 23-ABRIL-2025 COBRAR EN MAYO 06 DIAS</t>
  </si>
  <si>
    <t>ANGEL ALEJANDRO 81 1278 3187</t>
  </si>
  <si>
    <t>EQUIPO E INSTALACIÓN $2,050.00+IVA=$2,378.00 MENSUALIDAD $300.00+IVA=$348.00</t>
  </si>
  <si>
    <t>JUAN RAMIREZ</t>
  </si>
  <si>
    <t>JUAN RAMIREZ          81 1655 8300</t>
  </si>
  <si>
    <r>
      <t xml:space="preserve">COMODATO                                    Juan Ramirez - 81 1655 8300 </t>
    </r>
    <r>
      <rPr>
        <b/>
        <u/>
        <sz val="10"/>
        <color rgb="FF0070C0"/>
        <rFont val="Calibri Light"/>
        <family val="2"/>
        <scheme val="major"/>
      </rPr>
      <t>jddra84@gmail.com</t>
    </r>
  </si>
  <si>
    <t>CLIENTE NUEVO 23-ABRIL-2025 PAGO EN EFECTIVO A ELIUD COBRAR EN MAYO 06 DIAS</t>
  </si>
  <si>
    <t>MAZDA 2 SPORT ROJO TGW-121-B</t>
  </si>
  <si>
    <t>VW VENTO GRIS SFB-020-A</t>
  </si>
  <si>
    <t>ROSY CHAVANA</t>
  </si>
  <si>
    <t xml:space="preserve">ROSY CHAVANA </t>
  </si>
  <si>
    <t>ROSY CHAVANA          81 1321 6964</t>
  </si>
  <si>
    <t>NISSAN MARCH BLANCO RSA-599-C</t>
  </si>
  <si>
    <t xml:space="preserve">PAGA A JOSE LUIS CON COMIDA PARA LUNA </t>
  </si>
  <si>
    <r>
      <rPr>
        <b/>
        <sz val="10"/>
        <color rgb="FFFF0000"/>
        <rFont val="Calibri Light"/>
        <family val="2"/>
        <scheme val="major"/>
      </rPr>
      <t>Aurora Banda - 818 259 6045
Mario Del Angel - 811 208 8585</t>
    </r>
    <r>
      <rPr>
        <sz val="10"/>
        <color theme="1"/>
        <rFont val="Calibri Light"/>
        <family val="2"/>
        <scheme val="major"/>
      </rPr>
      <t xml:space="preserve">
</t>
    </r>
    <r>
      <rPr>
        <b/>
        <sz val="10"/>
        <color theme="1"/>
        <rFont val="Calibri Light"/>
        <family val="2"/>
        <scheme val="major"/>
      </rPr>
      <t xml:space="preserve">Email: </t>
    </r>
    <r>
      <rPr>
        <b/>
        <u/>
        <sz val="10"/>
        <color rgb="FF0070C0"/>
        <rFont val="Calibri Light"/>
        <family val="2"/>
        <scheme val="major"/>
      </rPr>
      <t xml:space="preserve">admin@apfel.com.mx </t>
    </r>
  </si>
  <si>
    <t>SADA900708R27</t>
  </si>
  <si>
    <t>16f420dd-c12a-440c-8cbe-21bd67af8093</t>
  </si>
  <si>
    <t>13419cea-8661-42ab-8d46-6b11b19a7d7d</t>
  </si>
  <si>
    <t>cdb10dce-fc93-4d0a-ba35-a1b1ae0fedeb</t>
  </si>
  <si>
    <t>1078316f-b643-4c87-b60e-802844b9864d</t>
  </si>
  <si>
    <r>
      <t xml:space="preserve">COMODATO                                             Alejandro Fuentes - 81 1012 1010 </t>
    </r>
    <r>
      <rPr>
        <b/>
        <u/>
        <sz val="10"/>
        <color rgb="FF0070C0"/>
        <rFont val="Calibri Light"/>
        <family val="2"/>
        <scheme val="major"/>
      </rPr>
      <t>compras@malber.mx</t>
    </r>
  </si>
  <si>
    <t xml:space="preserve">COB. ABR'25; 3 EQP. NUEVO Y 1 VISITA EN FALSO, SE CANCELA HACER 2 CORTES POR TEMAS INTERNOS DE APFEL QUEDA SOLO CORTE DEL DIA 15 </t>
  </si>
  <si>
    <t>REYMOPACK S.A. DE C.V.</t>
  </si>
  <si>
    <t>REY180223TV2</t>
  </si>
  <si>
    <t>e6da81f5-f347-46f1-a373-7d61b87e7ad6</t>
  </si>
  <si>
    <t>ROCIO CASTILLO          81 8362 9872</t>
  </si>
  <si>
    <t>1- SUZUKI ERTIGA XL7 NEGRO TCD-220-B                                                 2-  SUZUKI ERTIGA XL7 NEGRO TCD-213-B                                     3-  SUZUKI ERTIGA XL7 NEGRO TCD-216-B                                         4- NISSAN VERSA NEGRO SUW-434-A                                              5-  SUZUKI ERTIGA XL7 NEGRO TCD-218-B                                          6-  SUZUKI ERTIGA XL7 NEGRO  TCD-219-B                                        7- NISSAN VERSA NEGRO SRP-950-A                                                     8- NISSAN VERSA SUW-433-A                                                                   9- SUZUKI ERTIGA XL7 NEGRO TCD-215-B                                        10- SUZUKI ERTIGA XL7 NEGRO TCD-222-B                                    11- SUZUKI ERTIGA XL7 NEGRO TCD-221-B                                         12- KAWASAKI MOTO BLANCO 95SAR4</t>
  </si>
  <si>
    <t>1- NISSAN ESTACA BLANCO RH-74-760                                                2- NISSAN NP 300 BLANCO RJ-41-676                                                3- CHEVROLET TORNADO BLANCO PN-2248-A                                    4- NISSAN FRONTIER BLANCO PZ-9237-A                                              5- NISSAN FRONTIER BLANCO RH-3224-B</t>
  </si>
  <si>
    <r>
      <t xml:space="preserve">COMODATO                                Rocio Castillo Morales - 81 8362 9872 </t>
    </r>
    <r>
      <rPr>
        <b/>
        <u/>
        <sz val="10"/>
        <color rgb="FF0070C0"/>
        <rFont val="Calibri Light"/>
        <family val="2"/>
        <scheme val="major"/>
      </rPr>
      <t>administracion@reymopack.com</t>
    </r>
  </si>
  <si>
    <r>
      <t xml:space="preserve">COMODATO                                  Rocio Castillo Morales - 81 8362 9872 </t>
    </r>
    <r>
      <rPr>
        <b/>
        <u/>
        <sz val="10"/>
        <color rgb="FF0070C0"/>
        <rFont val="Calibri Light"/>
        <family val="2"/>
        <scheme val="major"/>
      </rPr>
      <t>administracion@reymopack.com</t>
    </r>
  </si>
  <si>
    <t>DAVID CRUZ PEREZ</t>
  </si>
  <si>
    <r>
      <t xml:space="preserve">COMODATO                                  David Cruz Perez - 86 8182 5325 </t>
    </r>
    <r>
      <rPr>
        <b/>
        <u/>
        <sz val="10"/>
        <color rgb="FF0070C0"/>
        <rFont val="Calibri Light"/>
        <family val="2"/>
        <scheme val="major"/>
      </rPr>
      <t>dcruz.perz@hotmail.com</t>
    </r>
  </si>
  <si>
    <t>CLIENTE NUEVO 25-ABRIL-2025 PAGO EN EFECTIVO A ADRIAN , COBRAR EN MAYO MENS. PROP. 20 DIAS</t>
  </si>
  <si>
    <t>DAVID CRUZ PEREZ 86 8182 5325</t>
  </si>
  <si>
    <t>CHEVROLET BEAT GRIS XRU-622-C</t>
  </si>
  <si>
    <t>CLIENTE NUEVO 23-ABRIL-2025 COBRAR EN MAYO 08 DIAS</t>
  </si>
  <si>
    <t>OMAR RENE ROJAS GARCIA</t>
  </si>
  <si>
    <r>
      <t xml:space="preserve">Omar Rene Rojas - 81 8273 0469 </t>
    </r>
    <r>
      <rPr>
        <b/>
        <u/>
        <sz val="10"/>
        <color rgb="FF0070C0"/>
        <rFont val="Calibri Light"/>
        <family val="2"/>
        <scheme val="major"/>
      </rPr>
      <t>lizz1587@outlook.com</t>
    </r>
  </si>
  <si>
    <t>OMAR RENE ROJAS</t>
  </si>
  <si>
    <r>
      <t xml:space="preserve">COMODATO                                                      Edgar Guajardo - 8110620931
Arturo Asael - 8119386704  
</t>
    </r>
    <r>
      <rPr>
        <b/>
        <u/>
        <sz val="10"/>
        <color theme="4" tint="-0.249977111117893"/>
        <rFont val="Calibri Light"/>
        <family val="2"/>
        <scheme val="major"/>
      </rPr>
      <t xml:space="preserve">Edgar_holanda@hotmail.com; 
edgar.guajardo@tumoveo.mx; </t>
    </r>
  </si>
  <si>
    <r>
      <t xml:space="preserve">COMODATO                                 Sergio Cisneros - 82 6125 4809 </t>
    </r>
    <r>
      <rPr>
        <b/>
        <u/>
        <sz val="10"/>
        <color rgb="FF0070C0"/>
        <rFont val="Calibri Light"/>
        <family val="2"/>
        <scheme val="major"/>
      </rPr>
      <t>sergiocisiv@gmail.com</t>
    </r>
  </si>
  <si>
    <t>Contacto: Alejandro Garza                         Teléfono: 81 8200 4521</t>
  </si>
  <si>
    <r>
      <t xml:space="preserve">Alejandro Garcia - 81 2034 3938                      Nancy Paola Perales - 8118014266
</t>
    </r>
    <r>
      <rPr>
        <b/>
        <u/>
        <sz val="10"/>
        <color theme="4" tint="-0.249977111117893"/>
        <rFont val="Calibri Light"/>
        <family val="2"/>
        <scheme val="major"/>
      </rPr>
      <t xml:space="preserve">Alimentosregiopercam@gmail.com alimentosgupersacv@gmail.com </t>
    </r>
  </si>
  <si>
    <r>
      <t>Luis Gerardo Bolaños García - 811 027 0226 
Email:</t>
    </r>
    <r>
      <rPr>
        <b/>
        <u/>
        <sz val="10"/>
        <color theme="4" tint="-0.249977111117893"/>
        <rFont val="Calibri Light"/>
        <family val="2"/>
        <scheme val="major"/>
      </rPr>
      <t>expressgeral19@gmail.com</t>
    </r>
    <r>
      <rPr>
        <b/>
        <sz val="10"/>
        <color theme="1"/>
        <rFont val="Calibri Light"/>
        <family val="2"/>
        <scheme val="major"/>
      </rPr>
      <t xml:space="preserve">
</t>
    </r>
    <r>
      <rPr>
        <b/>
        <u/>
        <sz val="10"/>
        <color theme="4" tint="-0.249977111117893"/>
        <rFont val="Calibri Light"/>
        <family val="2"/>
        <scheme val="major"/>
      </rPr>
      <t xml:space="preserve">luismty0902@gmail.com </t>
    </r>
  </si>
  <si>
    <r>
      <t xml:space="preserve">COMODATO                                                  Edgar Garza - 81 1029 1017   </t>
    </r>
    <r>
      <rPr>
        <b/>
        <u/>
        <sz val="10"/>
        <color rgb="FF0070C0"/>
        <rFont val="Calibri Light"/>
        <family val="2"/>
        <scheme val="major"/>
      </rPr>
      <t xml:space="preserve">Aexpresmata@gmail.com </t>
    </r>
    <r>
      <rPr>
        <b/>
        <sz val="10"/>
        <color theme="1"/>
        <rFont val="Calibri Light"/>
        <family val="2"/>
        <scheme val="major"/>
      </rPr>
      <t xml:space="preserve">                     </t>
    </r>
  </si>
  <si>
    <r>
      <t>COMODATO                                                    Mane Troncoso -833 192 6706 Email:</t>
    </r>
    <r>
      <rPr>
        <b/>
        <u/>
        <sz val="10"/>
        <color rgb="FF0070C0"/>
        <rFont val="Calibri Light"/>
        <family val="2"/>
        <scheme val="major"/>
      </rPr>
      <t>admontubored@hotmail.com</t>
    </r>
  </si>
  <si>
    <r>
      <t>COMODATO                                                       Manuel Rico - 81 1811 0645 Email:</t>
    </r>
    <r>
      <rPr>
        <b/>
        <u/>
        <sz val="10"/>
        <color theme="4" tint="-0.249977111117893"/>
        <rFont val="Calibri Light"/>
        <family val="2"/>
        <scheme val="major"/>
      </rPr>
      <t xml:space="preserve">supervisorfumigaz@outlook.com </t>
    </r>
  </si>
  <si>
    <r>
      <t>Lydia Colunga - 81 1176 3598                                                       Edgar Valentin (Pagos) - 81 1970 7000 Email:</t>
    </r>
    <r>
      <rPr>
        <b/>
        <u/>
        <sz val="10"/>
        <color rgb="FF0070C0"/>
        <rFont val="Calibri Light"/>
        <family val="2"/>
        <scheme val="major"/>
      </rPr>
      <t>edgar.valentin@beone.mx                  lydia@beone.mx</t>
    </r>
  </si>
  <si>
    <r>
      <t>Josue Fernandez - 81 1977 0958 Email:</t>
    </r>
    <r>
      <rPr>
        <b/>
        <u/>
        <sz val="10"/>
        <color rgb="FF0070C0"/>
        <rFont val="Calibri Light"/>
        <family val="2"/>
        <scheme val="major"/>
      </rPr>
      <t>jfhz@icloud.com</t>
    </r>
  </si>
  <si>
    <r>
      <t>COMODATO                                                      Tania Reyes - 81 1631 2529                            Roberta Treviño - 81 1909 7008 Email:</t>
    </r>
    <r>
      <rPr>
        <b/>
        <u/>
        <sz val="10"/>
        <color rgb="FF0070C0"/>
        <rFont val="Calibri Light"/>
        <family val="2"/>
        <scheme val="major"/>
      </rPr>
      <t>facturas@carnesribhaus.com.mx robertaribhaus@gmail.com</t>
    </r>
  </si>
  <si>
    <r>
      <t>COMODATO                                                  Kelly Mayorga - 8112779070
Elizabeth Campos - 8116635976 
8181919205 Ext. 107 Email:</t>
    </r>
    <r>
      <rPr>
        <b/>
        <u/>
        <sz val="10"/>
        <color theme="4" tint="-0.249977111117893"/>
        <rFont val="Calibri Light"/>
        <family val="2"/>
        <scheme val="major"/>
      </rPr>
      <t>antonioespinosa@carpack.com.mx;
elizabeth@carpack.com.mx;
compras@carpack.com.mx; pagos@carpack.com.mx</t>
    </r>
  </si>
  <si>
    <r>
      <t>COMODATO                                                   Adrian Rivera - 81 2860 1814                                                        Email:</t>
    </r>
    <r>
      <rPr>
        <b/>
        <u/>
        <sz val="10"/>
        <color rgb="FF0070C0"/>
        <rFont val="Calibri Light"/>
        <family val="2"/>
        <scheme val="major"/>
      </rPr>
      <t>adrian.rmoxica75@gmail.com</t>
    </r>
  </si>
  <si>
    <r>
      <t xml:space="preserve">Candy - 81 2634 9644 </t>
    </r>
    <r>
      <rPr>
        <b/>
        <u/>
        <sz val="10"/>
        <color rgb="FF0070C0"/>
        <rFont val="Calibri Light"/>
        <family val="2"/>
        <scheme val="major"/>
      </rPr>
      <t>candymoreno@forzadelnorte.com</t>
    </r>
  </si>
  <si>
    <r>
      <t xml:space="preserve">Arturo Sifuentes - 811 521 3582
Email: </t>
    </r>
    <r>
      <rPr>
        <b/>
        <u/>
        <sz val="10"/>
        <color theme="4" tint="-0.249977111117893"/>
        <rFont val="Calibri Light"/>
        <family val="2"/>
        <scheme val="major"/>
      </rPr>
      <t>silvia-neri@hotmail.com;</t>
    </r>
    <r>
      <rPr>
        <b/>
        <sz val="10"/>
        <color theme="4" tint="-0.249977111117893"/>
        <rFont val="Calibri Light"/>
        <family val="2"/>
        <scheme val="major"/>
      </rPr>
      <t xml:space="preserve">
</t>
    </r>
    <r>
      <rPr>
        <b/>
        <u/>
        <sz val="10"/>
        <color theme="4" tint="-0.249977111117893"/>
        <rFont val="Calibri Light"/>
        <family val="2"/>
        <scheme val="major"/>
      </rPr>
      <t>ventas@acertrans.com.mx; logisticasifal@hotmail.com;</t>
    </r>
  </si>
  <si>
    <r>
      <t>COMODATO                                                          Daniel Cardenas - 81 2634 0402 Email:</t>
    </r>
    <r>
      <rPr>
        <b/>
        <u/>
        <sz val="10"/>
        <color theme="4" tint="-0.249977111117893"/>
        <rFont val="Calibri Light"/>
        <family val="2"/>
        <scheme val="major"/>
      </rPr>
      <t>recepcionfacturas@ciamaderera.com</t>
    </r>
  </si>
  <si>
    <r>
      <t>Elizabeth Renteria - 811 810 0155 Email:</t>
    </r>
    <r>
      <rPr>
        <b/>
        <u/>
        <sz val="10"/>
        <color theme="4" tint="-0.249977111117893"/>
        <rFont val="Calibri Light"/>
        <family val="2"/>
        <scheme val="major"/>
      </rPr>
      <t xml:space="preserve">e.lic@live.com.mx </t>
    </r>
  </si>
  <si>
    <r>
      <t>COMODATO                                                 Emmanuel Vazquez - 81 3055 7409 
Sonia Lugo (pagos) - 81 2141 0506
Email:</t>
    </r>
    <r>
      <rPr>
        <b/>
        <u/>
        <sz val="10"/>
        <color rgb="FF0070C0"/>
        <rFont val="Calibri Light"/>
        <family val="2"/>
        <scheme val="major"/>
      </rPr>
      <t>sandra@enderindustrial.com claudia@enderindustrial.com</t>
    </r>
    <r>
      <rPr>
        <b/>
        <u/>
        <sz val="10"/>
        <color theme="4" tint="-0.249977111117893"/>
        <rFont val="Calibri Light"/>
        <family val="2"/>
        <scheme val="major"/>
      </rPr>
      <t xml:space="preserve">
belen@enderindustrial.com facturas@enderindustrial.com; 
emmanuel@sinergix.net; </t>
    </r>
  </si>
  <si>
    <r>
      <t>Daniela Medellín - 81 1588 8485 Email:</t>
    </r>
    <r>
      <rPr>
        <b/>
        <u/>
        <sz val="10"/>
        <color rgb="FF0070C0"/>
        <rFont val="Calibri Light"/>
        <family val="2"/>
        <scheme val="major"/>
      </rPr>
      <t>monitoreo@endolaser.com.mx</t>
    </r>
  </si>
  <si>
    <r>
      <t xml:space="preserve">COMODATO                                                           Gabriela - 81 2077 4512                    Sergio Gonzalez - 81 8654 2753 </t>
    </r>
    <r>
      <rPr>
        <b/>
        <u/>
        <sz val="10"/>
        <color rgb="FF0070C0"/>
        <rFont val="Calibri Light"/>
        <family val="2"/>
        <scheme val="major"/>
      </rPr>
      <t>sergio.jr987@outlook.com</t>
    </r>
  </si>
  <si>
    <r>
      <t>Fernando Disatel - 81 1799 2490 Email:</t>
    </r>
    <r>
      <rPr>
        <b/>
        <u/>
        <sz val="10"/>
        <color theme="4" tint="-0.249977111117893"/>
        <rFont val="Calibri Light"/>
        <family val="2"/>
        <scheme val="major"/>
      </rPr>
      <t>frgm_76@hotmail.com</t>
    </r>
  </si>
  <si>
    <r>
      <t xml:space="preserve">COMODATO                                 Fernando Reyes - 81 1821 3781 Viridiana Flores - 81 1796 4130 </t>
    </r>
    <r>
      <rPr>
        <b/>
        <u/>
        <sz val="10"/>
        <color rgb="FF0070C0"/>
        <rFont val="Calibri Light"/>
        <family val="2"/>
        <scheme val="major"/>
      </rPr>
      <t>arnol84reyeshdz@gmail.com</t>
    </r>
  </si>
  <si>
    <r>
      <t>COMODATO                                                          Katty - 81 8208 7559 Email:</t>
    </r>
    <r>
      <rPr>
        <b/>
        <u/>
        <sz val="10"/>
        <color theme="4" tint="-0.249977111117893"/>
        <rFont val="Calibri Light"/>
        <family val="2"/>
        <scheme val="major"/>
      </rPr>
      <t>administracion@finpais.com.mx</t>
    </r>
  </si>
  <si>
    <r>
      <t xml:space="preserve">COMODATO                                                                                     Sr. Ariel - 81 1974 2676                  </t>
    </r>
    <r>
      <rPr>
        <b/>
        <u/>
        <sz val="10"/>
        <color rgb="FF0070C0"/>
        <rFont val="Calibri Light"/>
        <family val="2"/>
        <scheme val="major"/>
      </rPr>
      <t xml:space="preserve">fletesagl@gmail.com </t>
    </r>
  </si>
  <si>
    <r>
      <t xml:space="preserve">Georgina Gomez - 833 134 5812               Anahí Juarez - 833 104 3672 </t>
    </r>
    <r>
      <rPr>
        <b/>
        <u/>
        <sz val="10"/>
        <color theme="4" tint="-0.249977111117893"/>
        <rFont val="Calibri Light"/>
        <family val="2"/>
        <scheme val="major"/>
      </rPr>
      <t xml:space="preserve">
</t>
    </r>
    <r>
      <rPr>
        <b/>
        <sz val="10"/>
        <rFont val="Calibri Light"/>
        <family val="2"/>
        <scheme val="major"/>
      </rPr>
      <t>Email:</t>
    </r>
    <r>
      <rPr>
        <b/>
        <u/>
        <sz val="10"/>
        <color theme="4" tint="-0.249977111117893"/>
        <rFont val="Calibri Light"/>
        <family val="2"/>
        <scheme val="major"/>
      </rPr>
      <t>facturagmgr@gmail.com; anaiwork7@gmail.com</t>
    </r>
  </si>
  <si>
    <r>
      <t>Srta. Janeth Villa 81 8347 7712 / 
13 Ext. 106
Email:</t>
    </r>
    <r>
      <rPr>
        <b/>
        <u/>
        <sz val="10"/>
        <color theme="4" tint="-0.249977111117893"/>
        <rFont val="Calibri Light"/>
        <family val="2"/>
        <scheme val="major"/>
      </rPr>
      <t xml:space="preserve">fabiola.garcia@lsadministracion.com; </t>
    </r>
  </si>
  <si>
    <r>
      <t xml:space="preserve">COMODATO                                                        Gregory Martínez García                            81 1041 6798                                 </t>
    </r>
    <r>
      <rPr>
        <b/>
        <u/>
        <sz val="10"/>
        <color rgb="FF0070C0"/>
        <rFont val="Calibri Light"/>
        <family val="2"/>
        <scheme val="major"/>
      </rPr>
      <t>greck_090@hotmail.com</t>
    </r>
  </si>
  <si>
    <r>
      <t xml:space="preserve">Veronica Coronado- 812 165 1133 /                         811 957 5404              </t>
    </r>
    <r>
      <rPr>
        <b/>
        <sz val="10"/>
        <color theme="4"/>
        <rFont val="Calibri Light"/>
        <family val="2"/>
        <scheme val="major"/>
      </rPr>
      <t xml:space="preserve">           </t>
    </r>
    <r>
      <rPr>
        <b/>
        <sz val="10"/>
        <rFont val="Calibri Light"/>
        <family val="2"/>
        <scheme val="major"/>
      </rPr>
      <t xml:space="preserve"> Email:</t>
    </r>
    <r>
      <rPr>
        <b/>
        <u/>
        <sz val="10"/>
        <color theme="4" tint="-0.249977111117893"/>
        <rFont val="Calibri Light"/>
        <family val="2"/>
        <scheme val="major"/>
      </rPr>
      <t>garisav@hotmail.com</t>
    </r>
  </si>
  <si>
    <r>
      <t>Marisol Alvarado - 33 3486 8750 / Norma Navarro Oficina - 33 1401 2246                                                 33 1654 3312                                              Email:</t>
    </r>
    <r>
      <rPr>
        <b/>
        <u/>
        <sz val="10"/>
        <color rgb="FF0070C0"/>
        <rFont val="Calibri Light"/>
        <family val="2"/>
        <scheme val="major"/>
      </rPr>
      <t>azulitalia@live.com.mx</t>
    </r>
  </si>
  <si>
    <r>
      <rPr>
        <b/>
        <sz val="10"/>
        <rFont val="Calibri Light"/>
        <family val="2"/>
        <scheme val="major"/>
      </rPr>
      <t xml:space="preserve">Jessica Jasso </t>
    </r>
    <r>
      <rPr>
        <b/>
        <sz val="10"/>
        <color theme="1"/>
        <rFont val="Calibri Light"/>
        <family val="2"/>
        <scheme val="major"/>
      </rPr>
      <t>- 81 2002 4556 Email:</t>
    </r>
    <r>
      <rPr>
        <b/>
        <u/>
        <sz val="10"/>
        <color theme="4" tint="-0.249977111117893"/>
        <rFont val="Calibri Light"/>
        <family val="2"/>
        <scheme val="major"/>
      </rPr>
      <t>administracion@equiprestmx.com</t>
    </r>
  </si>
  <si>
    <r>
      <t>Karla Alvear - 81 1800 0233 Email:</t>
    </r>
    <r>
      <rPr>
        <b/>
        <u/>
        <sz val="10"/>
        <color rgb="FF0070C0"/>
        <rFont val="Calibri Light"/>
        <family val="2"/>
        <scheme val="major"/>
      </rPr>
      <t>Hec_alvear@hotmail.com</t>
    </r>
  </si>
  <si>
    <r>
      <t>Daniela Cabello - 81 8273 6437  Email:</t>
    </r>
    <r>
      <rPr>
        <b/>
        <u/>
        <sz val="10"/>
        <color rgb="FF0070C0"/>
        <rFont val="Calibri Light"/>
        <family val="2"/>
        <scheme val="major"/>
      </rPr>
      <t>julio.campos@carbograf.com 
marlene@carbograf.com</t>
    </r>
  </si>
  <si>
    <r>
      <rPr>
        <b/>
        <sz val="10"/>
        <rFont val="Calibri"/>
        <family val="2"/>
        <scheme val="minor"/>
      </rPr>
      <t xml:space="preserve">COMODATO                                    Ernesto Gómez - 81 2001 9256            </t>
    </r>
    <r>
      <rPr>
        <b/>
        <u/>
        <sz val="10"/>
        <color theme="10"/>
        <rFont val="Calibri"/>
        <family val="2"/>
        <scheme val="minor"/>
      </rPr>
      <t xml:space="preserve">                  ernesto.gomez@sanbox.com.mx</t>
    </r>
  </si>
  <si>
    <r>
      <rPr>
        <b/>
        <sz val="10"/>
        <rFont val="Calibri Light"/>
        <family val="2"/>
        <scheme val="major"/>
      </rPr>
      <t>Rosy - 812 354 1373</t>
    </r>
    <r>
      <rPr>
        <b/>
        <u/>
        <sz val="10"/>
        <color rgb="FF0070C0"/>
        <rFont val="Calibri Light"/>
        <family val="2"/>
        <scheme val="major"/>
      </rPr>
      <t xml:space="preserve">
</t>
    </r>
    <r>
      <rPr>
        <b/>
        <sz val="10"/>
        <rFont val="Calibri Light"/>
        <family val="2"/>
        <scheme val="major"/>
      </rPr>
      <t>Email:</t>
    </r>
    <r>
      <rPr>
        <b/>
        <u/>
        <sz val="10"/>
        <color theme="4" tint="-0.249977111117893"/>
        <rFont val="Calibri Light"/>
        <family val="2"/>
        <scheme val="major"/>
      </rPr>
      <t>rosa.sr@quinexus.mx;</t>
    </r>
  </si>
  <si>
    <r>
      <t>Javier Velazquez - 812 032 0493
Email:</t>
    </r>
    <r>
      <rPr>
        <b/>
        <u/>
        <sz val="10"/>
        <color theme="4" tint="-0.249977111117893"/>
        <rFont val="Calibri Light"/>
        <family val="2"/>
        <scheme val="major"/>
      </rPr>
      <t xml:space="preserve">fletesangelvelazquez@gmail.com </t>
    </r>
  </si>
  <si>
    <r>
      <t>Jose Angel Mendez Arriaga - 812 600 8976
Email:</t>
    </r>
    <r>
      <rPr>
        <b/>
        <u/>
        <sz val="10"/>
        <color theme="4" tint="-0.249977111117893"/>
        <rFont val="Calibri Light"/>
        <family val="2"/>
        <scheme val="major"/>
      </rPr>
      <t xml:space="preserve">jama_ca@hotmail.com </t>
    </r>
  </si>
  <si>
    <r>
      <t>Jose Toledo - 81 1015 9453 Email:</t>
    </r>
    <r>
      <rPr>
        <b/>
        <u/>
        <sz val="10"/>
        <color rgb="FF0070C0"/>
        <rFont val="Calibri Light"/>
        <family val="2"/>
        <scheme val="major"/>
      </rPr>
      <t>j.garcia@grupotranstech.com</t>
    </r>
  </si>
  <si>
    <r>
      <rPr>
        <b/>
        <sz val="10"/>
        <color theme="1"/>
        <rFont val="Calibri Light"/>
        <family val="2"/>
        <scheme val="major"/>
      </rPr>
      <t>COMODATO                                                     Antonio García - 81 1155 2769 Email:</t>
    </r>
    <r>
      <rPr>
        <b/>
        <u/>
        <sz val="10"/>
        <color theme="4" tint="-0.249977111117893"/>
        <rFont val="Calibri Light"/>
        <family val="2"/>
        <scheme val="major"/>
      </rPr>
      <t>antoniotransgar@hotmail.es</t>
    </r>
  </si>
  <si>
    <r>
      <t>Juan Cabriales - 81 2947 2650 Email:</t>
    </r>
    <r>
      <rPr>
        <b/>
        <u/>
        <sz val="10"/>
        <color theme="4" tint="-0.249977111117893"/>
        <rFont val="Calibri Light"/>
        <family val="2"/>
        <scheme val="major"/>
      </rPr>
      <t>transportes.rcd.diaz@gmail.com</t>
    </r>
  </si>
  <si>
    <r>
      <t>Ericka Ortega (Compras) - 81 1908 0591 Email:</t>
    </r>
    <r>
      <rPr>
        <b/>
        <u/>
        <sz val="10"/>
        <color theme="4" tint="-0.249977111117893"/>
        <rFont val="Calibri Light"/>
        <family val="2"/>
        <scheme val="major"/>
      </rPr>
      <t>trafico@lambi.com.mx
jrojas@lambi.com.mx
dquijas@lambi.com.mx</t>
    </r>
  </si>
  <si>
    <r>
      <t>Ignacio Gaxiola - 81 1624 4288   Email:</t>
    </r>
    <r>
      <rPr>
        <b/>
        <u/>
        <sz val="10"/>
        <color theme="4" tint="-0.249977111117893"/>
        <rFont val="Calibri Light"/>
        <family val="2"/>
        <scheme val="major"/>
      </rPr>
      <t>igaxiola@lemura.com.mx</t>
    </r>
  </si>
  <si>
    <r>
      <t>Luis Davila - 813 074 5638</t>
    </r>
    <r>
      <rPr>
        <b/>
        <sz val="10"/>
        <color rgb="FFFF0000"/>
        <rFont val="Calibri Light"/>
        <family val="2"/>
        <scheme val="major"/>
      </rPr>
      <t xml:space="preserve">
</t>
    </r>
    <r>
      <rPr>
        <b/>
        <sz val="10"/>
        <rFont val="Calibri Light"/>
        <family val="2"/>
        <scheme val="major"/>
      </rPr>
      <t>Email:</t>
    </r>
    <r>
      <rPr>
        <b/>
        <u/>
        <sz val="10"/>
        <color theme="4" tint="-0.249977111117893"/>
        <rFont val="Calibri Light"/>
        <family val="2"/>
        <scheme val="major"/>
      </rPr>
      <t xml:space="preserve">luisdavila1970@gmail.com </t>
    </r>
  </si>
  <si>
    <r>
      <t>Luis Javier Gonzalez Perez - 811 907 9148                            Email:</t>
    </r>
    <r>
      <rPr>
        <b/>
        <u/>
        <sz val="10"/>
        <color theme="4" tint="-0.249977111117893"/>
        <rFont val="Calibri Light"/>
        <family val="2"/>
        <scheme val="major"/>
      </rPr>
      <t>ljgonzalez3591@gmail.com</t>
    </r>
  </si>
  <si>
    <r>
      <t>Marine Mexico - 81 1994 9256                        Eduardo Ventura - 81 3090 4628 Email:</t>
    </r>
    <r>
      <rPr>
        <b/>
        <u/>
        <sz val="10"/>
        <color theme="4" tint="-0.249977111117893"/>
        <rFont val="Calibri Light"/>
        <family val="2"/>
        <scheme val="major"/>
      </rPr>
      <t>mendozael2003@yahoo.com</t>
    </r>
  </si>
  <si>
    <r>
      <t>Gerardo Nieto - 81 1184 1231 Email:</t>
    </r>
    <r>
      <rPr>
        <b/>
        <u/>
        <sz val="10"/>
        <color rgb="FF0070C0"/>
        <rFont val="Calibri Light"/>
        <family val="2"/>
        <scheme val="major"/>
      </rPr>
      <t xml:space="preserve">fizz98@hotmail.com consueloer@marmolemperador.com </t>
    </r>
  </si>
  <si>
    <r>
      <t>COMODATO                                                    Brenda Araujo - 81 3421 7089                                Ing. Antonio Martínez -81 1537 7636 Email:</t>
    </r>
    <r>
      <rPr>
        <b/>
        <u/>
        <sz val="10"/>
        <color rgb="FF0070C0"/>
        <rFont val="Calibri Light"/>
        <family val="2"/>
        <scheme val="major"/>
      </rPr>
      <t>facturas@myrconsa.mx</t>
    </r>
    <r>
      <rPr>
        <b/>
        <sz val="10"/>
        <color theme="1"/>
        <rFont val="Calibri Light"/>
        <family val="2"/>
        <scheme val="major"/>
      </rPr>
      <t xml:space="preserve"> </t>
    </r>
    <r>
      <rPr>
        <b/>
        <u/>
        <sz val="10"/>
        <color rgb="FF0070C0"/>
        <rFont val="Calibri Light"/>
        <family val="2"/>
        <scheme val="major"/>
      </rPr>
      <t>catalinac@myrconsa.mx antoniomtz@myrconsa.mx</t>
    </r>
  </si>
  <si>
    <r>
      <t>COMODATO                                                    Everardo Nuncio - 81 1823 3384                  Pagos Brenda Ocañas - 81 7654 2904/81 18 72 2728      Email:</t>
    </r>
    <r>
      <rPr>
        <b/>
        <u/>
        <sz val="10"/>
        <color rgb="FF0070C0"/>
        <rFont val="Calibri Light"/>
        <family val="2"/>
        <scheme val="major"/>
      </rPr>
      <t>oficina@mcjchillerservice.com</t>
    </r>
  </si>
  <si>
    <r>
      <t>COMODATO                                                        Miguel Angel Casas - 811 566 5492  Email:</t>
    </r>
    <r>
      <rPr>
        <b/>
        <u/>
        <sz val="10"/>
        <color theme="4" tint="-0.249977111117893"/>
        <rFont val="Calibri Light"/>
        <family val="2"/>
        <scheme val="major"/>
      </rPr>
      <t xml:space="preserve">mactransportacion@gmail.com </t>
    </r>
  </si>
  <si>
    <r>
      <t>COMODATO                                                    Elizabeth Garza - 81 8351 8283 ext.126
Eduardo Garza / Emeterio Vargas Email:</t>
    </r>
    <r>
      <rPr>
        <b/>
        <u/>
        <sz val="10"/>
        <color theme="4" tint="-0.249977111117893"/>
        <rFont val="Calibri Light"/>
        <family val="2"/>
        <scheme val="major"/>
      </rPr>
      <t xml:space="preserve">administracion@myatsa.com; evargas@moliendas.com;
egarza@moliendas.com; garzacavazos@hotmail.com </t>
    </r>
  </si>
  <si>
    <r>
      <t xml:space="preserve">COMODATO                                                         Aaron Arratia Aguilar - 81 2339 0793 </t>
    </r>
    <r>
      <rPr>
        <b/>
        <u/>
        <sz val="10"/>
        <color rgb="FF0070C0"/>
        <rFont val="Calibri Light"/>
        <family val="2"/>
        <scheme val="major"/>
      </rPr>
      <t>aaronarratiaaguilarisamel12@gmail.com</t>
    </r>
  </si>
  <si>
    <r>
      <t xml:space="preserve">COMODATO                                                               Pablo Rodriguez - 81 2010 3744 </t>
    </r>
    <r>
      <rPr>
        <b/>
        <u/>
        <sz val="10"/>
        <color rgb="FF0070C0"/>
        <rFont val="Calibri Light"/>
        <family val="2"/>
        <scheme val="major"/>
      </rPr>
      <t>pablordzmasper@hotmail.com</t>
    </r>
  </si>
  <si>
    <r>
      <t>Pablo E. Cadena Acevedo - 811 722 2636
Email:</t>
    </r>
    <r>
      <rPr>
        <b/>
        <u/>
        <sz val="10"/>
        <color theme="4" tint="-0.249977111117893"/>
        <rFont val="Calibri Light"/>
        <family val="2"/>
        <scheme val="major"/>
      </rPr>
      <t xml:space="preserve">docrem@hotmail.com </t>
    </r>
  </si>
  <si>
    <r>
      <t xml:space="preserve">COMODATO                                                Hugo Díaz - 81 1290 4608  </t>
    </r>
    <r>
      <rPr>
        <b/>
        <u/>
        <sz val="10"/>
        <color rgb="FF0070C0"/>
        <rFont val="Calibri Light"/>
        <family val="2"/>
        <scheme val="major"/>
      </rPr>
      <t xml:space="preserve">admin@bloquerafbk.com     </t>
    </r>
    <r>
      <rPr>
        <b/>
        <sz val="10"/>
        <color theme="1"/>
        <rFont val="Calibri Light"/>
        <family val="2"/>
        <scheme val="major"/>
      </rPr>
      <t xml:space="preserve">                </t>
    </r>
  </si>
  <si>
    <r>
      <rPr>
        <b/>
        <sz val="10"/>
        <rFont val="Calibri Light"/>
        <family val="2"/>
        <scheme val="major"/>
      </rPr>
      <t>Myrian Guerra - 811 636 1249                                    81  8359 4400 Email:</t>
    </r>
    <r>
      <rPr>
        <b/>
        <u/>
        <sz val="10"/>
        <color theme="10"/>
        <rFont val="Calibri Light"/>
        <family val="2"/>
        <scheme val="major"/>
      </rPr>
      <t xml:space="preserve">facturacion@quitakilos.com   adriana@quitakilos.com     </t>
    </r>
  </si>
  <si>
    <r>
      <rPr>
        <b/>
        <sz val="10"/>
        <rFont val="Calibri Light"/>
        <family val="2"/>
        <scheme val="major"/>
      </rPr>
      <t xml:space="preserve">COMODATO                                 Edgar Muro - 81 2255 3176 </t>
    </r>
    <r>
      <rPr>
        <b/>
        <u/>
        <sz val="10"/>
        <color theme="10"/>
        <rFont val="Calibri Light"/>
        <family val="2"/>
        <scheme val="major"/>
      </rPr>
      <t>transportesmuro@hotmail.com</t>
    </r>
  </si>
  <si>
    <r>
      <rPr>
        <b/>
        <sz val="10"/>
        <rFont val="Calibri Light"/>
        <family val="2"/>
        <scheme val="major"/>
      </rPr>
      <t>Cristel del Rio - 844 380 0154              Alfonso - 81 3643 2962 Email:</t>
    </r>
    <r>
      <rPr>
        <b/>
        <u/>
        <sz val="10"/>
        <color theme="10"/>
        <rFont val="Calibri Light"/>
        <family val="2"/>
        <scheme val="major"/>
      </rPr>
      <t>alonsogaspar578@gmail.com</t>
    </r>
  </si>
  <si>
    <r>
      <rPr>
        <b/>
        <sz val="10"/>
        <rFont val="Calibri Light"/>
        <family val="2"/>
        <scheme val="major"/>
      </rPr>
      <t xml:space="preserve">COMODATO                                                          Fabiola Ortiz - 81 8082 4502 </t>
    </r>
    <r>
      <rPr>
        <b/>
        <u/>
        <sz val="10"/>
        <color rgb="FF0070C0"/>
        <rFont val="Calibri Light"/>
        <family val="2"/>
        <scheme val="major"/>
      </rPr>
      <t>Reynol_menchaca94@hotmail.com fabiola.rojas15@hotmail.com</t>
    </r>
  </si>
  <si>
    <r>
      <rPr>
        <b/>
        <sz val="10"/>
        <rFont val="Calibri Light"/>
        <family val="2"/>
        <scheme val="major"/>
      </rPr>
      <t>Contacto: Nohemi Montemayor Teléfono: 81 1495 0269 Email:</t>
    </r>
    <r>
      <rPr>
        <b/>
        <u/>
        <sz val="10"/>
        <color rgb="FF0070C0"/>
        <rFont val="Calibri Light"/>
        <family val="2"/>
        <scheme val="major"/>
      </rPr>
      <t>daniela.ochoa@seiarquitectos.com claudia.martinez@seiarquitectos.com:</t>
    </r>
  </si>
  <si>
    <r>
      <t xml:space="preserve">Contacto: Cesar Rodriguez                      Teléfono:  81 3088 0606 </t>
    </r>
    <r>
      <rPr>
        <b/>
        <u/>
        <sz val="10"/>
        <color rgb="FF0070C0"/>
        <rFont val="Calibri Light"/>
        <family val="2"/>
        <scheme val="major"/>
      </rPr>
      <t>Proveedores@cbrlogistics.com</t>
    </r>
    <r>
      <rPr>
        <b/>
        <sz val="10"/>
        <color theme="1"/>
        <rFont val="Calibri Light"/>
        <family val="2"/>
        <scheme val="major"/>
      </rPr>
      <t xml:space="preserve"> </t>
    </r>
    <r>
      <rPr>
        <b/>
        <u/>
        <sz val="10"/>
        <color rgb="FF0070C0"/>
        <rFont val="Calibri Light"/>
        <family val="2"/>
        <scheme val="major"/>
      </rPr>
      <t>cesar.rdz@cbrlogistics.com</t>
    </r>
  </si>
  <si>
    <r>
      <t xml:space="preserve"> Sergio Leal - 811 155 5054 
Jazmín - 818 364 6871 Email:</t>
    </r>
    <r>
      <rPr>
        <b/>
        <u/>
        <sz val="10"/>
        <color theme="4" tint="-0.249977111117893"/>
        <rFont val="Calibri Light"/>
        <family val="2"/>
        <scheme val="major"/>
      </rPr>
      <t xml:space="preserve">bazoon_300@hotmail.com; 
clg.lgc@hotmail.com;
transportesmarsel@hotmail.com; </t>
    </r>
  </si>
  <si>
    <r>
      <t>Francisco Sanchez - 81 1421 3083 Email:</t>
    </r>
    <r>
      <rPr>
        <b/>
        <u/>
        <sz val="10"/>
        <color theme="4" tint="-0.249977111117893"/>
        <rFont val="Calibri Light"/>
        <family val="2"/>
        <scheme val="major"/>
      </rPr>
      <t>fsancheznoreste@hotmail.es</t>
    </r>
  </si>
  <si>
    <r>
      <t xml:space="preserve">Arturo Sifuentes - 811 521 3582
Silvia Neri Salazar - 811 044 7961
Email: </t>
    </r>
    <r>
      <rPr>
        <b/>
        <u/>
        <sz val="10"/>
        <color theme="4" tint="-0.249977111117893"/>
        <rFont val="Calibri Light"/>
        <family val="2"/>
        <scheme val="major"/>
      </rPr>
      <t>silvia-neri@hotmail.com;</t>
    </r>
    <r>
      <rPr>
        <b/>
        <sz val="10"/>
        <color theme="4" tint="-0.249977111117893"/>
        <rFont val="Calibri Light"/>
        <family val="2"/>
        <scheme val="major"/>
      </rPr>
      <t xml:space="preserve">
</t>
    </r>
    <r>
      <rPr>
        <b/>
        <u/>
        <sz val="10"/>
        <color theme="4" tint="-0.249977111117893"/>
        <rFont val="Calibri Light"/>
        <family val="2"/>
        <scheme val="major"/>
      </rPr>
      <t>ventas@acertrans.com.mx; logisticasifal@hotmail.com;</t>
    </r>
  </si>
  <si>
    <r>
      <t xml:space="preserve">COMODATO                                                      Anel Monroy - 773 132 8093                                      Fermin Uribe Ramos - 
7732188379                                                        Alejandro - 77 1393 3704 </t>
    </r>
    <r>
      <rPr>
        <b/>
        <u/>
        <sz val="10"/>
        <color rgb="FF0070C0"/>
        <rFont val="Calibri Light"/>
        <family val="2"/>
        <scheme val="major"/>
      </rPr>
      <t>eber.sannicolas@sitelecom.lat</t>
    </r>
  </si>
  <si>
    <r>
      <t>COMODATO                                                               Raul Hernandez - 811 2422 086                                                                  Julia Graciela Gzz. Sosa - 811 9082 914 Email:</t>
    </r>
    <r>
      <rPr>
        <b/>
        <u/>
        <sz val="10"/>
        <color theme="4" tint="-0.249977111117893"/>
        <rFont val="Calibri Light"/>
        <family val="2"/>
        <scheme val="major"/>
      </rPr>
      <t>gruastegmesa@construtecacero.com.mx julia@construtecacero.com.mx</t>
    </r>
  </si>
  <si>
    <r>
      <t>Argelio Arrambide - 8112446019  Email:</t>
    </r>
    <r>
      <rPr>
        <b/>
        <u/>
        <sz val="10"/>
        <color theme="4" tint="-0.249977111117893"/>
        <rFont val="Calibri Light"/>
        <family val="2"/>
        <scheme val="major"/>
      </rPr>
      <t>santaelenasadecv2021@gmail.com</t>
    </r>
  </si>
  <si>
    <r>
      <t xml:space="preserve">Roberto Cervantes - 811 910 8849                                              811 255 1586
</t>
    </r>
    <r>
      <rPr>
        <b/>
        <u/>
        <sz val="10"/>
        <color theme="4" tint="-0.249977111117893"/>
        <rFont val="Calibri Light"/>
        <family val="2"/>
        <scheme val="major"/>
      </rPr>
      <t xml:space="preserve">tdl.yohana@hotmail.com </t>
    </r>
  </si>
  <si>
    <r>
      <t>COMODATO                                                               8183558859
Srta. Cristina Lara - 8183545875 Email:</t>
    </r>
    <r>
      <rPr>
        <b/>
        <u/>
        <sz val="10"/>
        <color theme="4" tint="-0.249977111117893"/>
        <rFont val="Calibri Light"/>
        <family val="2"/>
        <scheme val="major"/>
      </rPr>
      <t xml:space="preserve">administracion@liftdepot.mx
montacargas_delagarza@hotmail.com </t>
    </r>
  </si>
  <si>
    <r>
      <rPr>
        <b/>
        <sz val="10"/>
        <color rgb="FFFF0000"/>
        <rFont val="Calibri Light"/>
        <family val="2"/>
        <scheme val="major"/>
      </rPr>
      <t>Aurora Banda - 818 259 6045
Mario Del Angel - 811 208 8585</t>
    </r>
    <r>
      <rPr>
        <b/>
        <sz val="10"/>
        <color theme="1"/>
        <rFont val="Calibri Light"/>
        <family val="2"/>
        <scheme val="major"/>
      </rPr>
      <t xml:space="preserve">
Email: </t>
    </r>
    <r>
      <rPr>
        <b/>
        <u/>
        <sz val="10"/>
        <color rgb="FF0070C0"/>
        <rFont val="Calibri Light"/>
        <family val="2"/>
        <scheme val="major"/>
      </rPr>
      <t xml:space="preserve">admin@apfel.com.mx </t>
    </r>
  </si>
  <si>
    <r>
      <t>Eduardo Quintero                                                    Javier Montemayor - 811 370 8479
Email:</t>
    </r>
    <r>
      <rPr>
        <b/>
        <u/>
        <sz val="10"/>
        <color theme="4" tint="-0.249977111117893"/>
        <rFont val="Calibri Light"/>
        <family val="2"/>
        <scheme val="major"/>
      </rPr>
      <t>javiermv@grupomercurio.com ejimenez@gpomercurio.com</t>
    </r>
  </si>
  <si>
    <r>
      <t>Lidia Hernández - 81 2298 3955                           José Hernández - 8135380343                      Yoselida Matute - 8126074089                           Lorena Carvajal - 8130521408</t>
    </r>
    <r>
      <rPr>
        <b/>
        <u/>
        <sz val="10"/>
        <color theme="4" tint="-0.249977111117893"/>
        <rFont val="Calibri Light"/>
        <family val="2"/>
        <scheme val="major"/>
      </rPr>
      <t xml:space="preserve">
jhernandez@bdbcompany.com;  bdbadministracion@bdbcompany.com;</t>
    </r>
    <r>
      <rPr>
        <b/>
        <sz val="10"/>
        <color theme="4" tint="-0.249977111117893"/>
        <rFont val="Calibri Light"/>
        <family val="2"/>
        <scheme val="major"/>
      </rPr>
      <t xml:space="preserve">                                </t>
    </r>
    <r>
      <rPr>
        <b/>
        <u/>
        <sz val="10"/>
        <color theme="4" tint="-0.249977111117893"/>
        <rFont val="Calibri Light"/>
        <family val="2"/>
        <scheme val="major"/>
      </rPr>
      <t xml:space="preserve">compras1@bdbcompany.com; administracion@bdbcompany.com </t>
    </r>
  </si>
  <si>
    <r>
      <t xml:space="preserve">COMODATO                                        Janeth Correa - 811 814 9656
Victor Torres - 811 497 7586
</t>
    </r>
    <r>
      <rPr>
        <b/>
        <u/>
        <sz val="10"/>
        <color theme="4" tint="-0.249977111117893"/>
        <rFont val="Calibri Light"/>
        <family val="2"/>
        <scheme val="major"/>
      </rPr>
      <t xml:space="preserve">pagos@molldelvalle.com; compras@molldelvalle.com </t>
    </r>
  </si>
  <si>
    <r>
      <t xml:space="preserve">Jesús Ochoa - 8186562103 
Mónica Quiroga - 8113508746
Raúl Quiroga - 8111865309
</t>
    </r>
    <r>
      <rPr>
        <b/>
        <u/>
        <sz val="10"/>
        <color theme="4" tint="-0.249977111117893"/>
        <rFont val="Calibri Light"/>
        <family val="2"/>
        <scheme val="major"/>
      </rPr>
      <t xml:space="preserve">monica.quiroga@integralservices.mx; raul.cruz@integralservices.mx facturacion@integralservices.mx; </t>
    </r>
  </si>
  <si>
    <r>
      <rPr>
        <b/>
        <sz val="10"/>
        <color rgb="FFFF0000"/>
        <rFont val="Calibri Light"/>
        <family val="2"/>
        <scheme val="major"/>
      </rPr>
      <t xml:space="preserve">Raquel - 81 1016 0126  </t>
    </r>
    <r>
      <rPr>
        <b/>
        <sz val="10"/>
        <color theme="1"/>
        <rFont val="Calibri Light"/>
        <family val="2"/>
        <scheme val="major"/>
      </rPr>
      <t xml:space="preserve">                                               Jose Luis Azpeitia - 81 1699 4116
</t>
    </r>
    <r>
      <rPr>
        <b/>
        <sz val="10"/>
        <color rgb="FFFF0000"/>
        <rFont val="Calibri Light"/>
        <family val="2"/>
        <scheme val="major"/>
      </rPr>
      <t>Andrés Martínez - 811 301 5807</t>
    </r>
    <r>
      <rPr>
        <b/>
        <sz val="10"/>
        <color theme="1"/>
        <rFont val="Calibri Light"/>
        <family val="2"/>
        <scheme val="major"/>
      </rPr>
      <t xml:space="preserve">
</t>
    </r>
    <r>
      <rPr>
        <b/>
        <u/>
        <sz val="10"/>
        <color theme="4" tint="-0.249977111117893"/>
        <rFont val="Calibri Light"/>
        <family val="2"/>
        <scheme val="major"/>
      </rPr>
      <t xml:space="preserve">karla.castillo@grupocensere.com; andres.martinez@mosere.com; </t>
    </r>
  </si>
  <si>
    <r>
      <t xml:space="preserve">Jose A. Treviño Rocha - 811 977 6190
</t>
    </r>
    <r>
      <rPr>
        <b/>
        <u/>
        <sz val="10"/>
        <color theme="4" tint="-0.249977111117893"/>
        <rFont val="Calibri Light"/>
        <family val="2"/>
        <scheme val="major"/>
      </rPr>
      <t xml:space="preserve">jose.trevr@gmail.com </t>
    </r>
  </si>
  <si>
    <r>
      <t xml:space="preserve">Luis Carlos Cabello Marroquin                                  8181 623142 
</t>
    </r>
    <r>
      <rPr>
        <b/>
        <u/>
        <sz val="10"/>
        <color theme="4" tint="-0.249977111117893"/>
        <rFont val="Calibri Light"/>
        <family val="2"/>
        <scheme val="major"/>
      </rPr>
      <t>veronica_flores2003@hotmail.com;</t>
    </r>
  </si>
  <si>
    <r>
      <t xml:space="preserve">Isai Zuñiga - 44 2321 1024 </t>
    </r>
    <r>
      <rPr>
        <b/>
        <u/>
        <sz val="10"/>
        <color rgb="FF0070C0"/>
        <rFont val="Calibri Light"/>
        <family val="2"/>
        <scheme val="major"/>
      </rPr>
      <t>paqueteriazm42@gmail.com</t>
    </r>
  </si>
  <si>
    <r>
      <t xml:space="preserve">Julio Picazo - 812 120 2564 
811 093 0071 / 811 616 0080
</t>
    </r>
    <r>
      <rPr>
        <b/>
        <u/>
        <sz val="10"/>
        <color theme="4" tint="-0.249977111117893"/>
        <rFont val="Calibri Light"/>
        <family val="2"/>
        <scheme val="major"/>
      </rPr>
      <t xml:space="preserve">jcp-deleon@hotmail.com </t>
    </r>
  </si>
  <si>
    <r>
      <t xml:space="preserve">Daniel Montemayor - 811 205 9083
</t>
    </r>
    <r>
      <rPr>
        <b/>
        <u/>
        <sz val="10"/>
        <color theme="4" tint="-0.249977111117893"/>
        <rFont val="Calibri Light"/>
        <family val="2"/>
        <scheme val="major"/>
      </rPr>
      <t>danielmv89@gmail.com</t>
    </r>
  </si>
  <si>
    <r>
      <t>Horacio Martínez - 812 690 4043</t>
    </r>
    <r>
      <rPr>
        <b/>
        <u/>
        <sz val="10"/>
        <color rgb="FFFF0000"/>
        <rFont val="Calibri Light"/>
        <family val="2"/>
        <scheme val="major"/>
      </rPr>
      <t xml:space="preserve">
</t>
    </r>
    <r>
      <rPr>
        <b/>
        <u/>
        <sz val="10"/>
        <color theme="4" tint="-0.249977111117893"/>
        <rFont val="Calibri Light"/>
        <family val="2"/>
        <scheme val="major"/>
      </rPr>
      <t xml:space="preserve"> ventas@marescargo.com;
administracion@marescargo.com;
operaciones@marescargo.com; </t>
    </r>
  </si>
  <si>
    <r>
      <t xml:space="preserve">Abelardo Diaz - 81 2364 2470 </t>
    </r>
    <r>
      <rPr>
        <b/>
        <u/>
        <sz val="10"/>
        <color rgb="FF0070C0"/>
        <rFont val="Calibri Light"/>
        <family val="2"/>
        <scheme val="major"/>
      </rPr>
      <t>abelardodiaz2909@gmail.com</t>
    </r>
  </si>
  <si>
    <r>
      <t xml:space="preserve">Alberto Córdova - 818 020 2311
</t>
    </r>
    <r>
      <rPr>
        <b/>
        <u/>
        <sz val="10"/>
        <color theme="4" tint="-0.249977111117893"/>
        <rFont val="Calibri Light"/>
        <family val="2"/>
        <scheme val="major"/>
      </rPr>
      <t xml:space="preserve">corsam3@prodigy.net.mx; </t>
    </r>
  </si>
  <si>
    <r>
      <t xml:space="preserve">Alberto Perez - 81811 82389                                Hugo Pagos - 828 148 5051  </t>
    </r>
    <r>
      <rPr>
        <b/>
        <u/>
        <sz val="10"/>
        <color theme="4" tint="-0.249977111117893"/>
        <rFont val="Calibri Light"/>
        <family val="2"/>
        <scheme val="major"/>
      </rPr>
      <t>ayabviga@hotmail.com</t>
    </r>
  </si>
  <si>
    <r>
      <t xml:space="preserve">Aldo Alvarado - 811208 2720 </t>
    </r>
    <r>
      <rPr>
        <b/>
        <u/>
        <sz val="10"/>
        <color rgb="FF0070C0"/>
        <rFont val="Calibri Light"/>
        <family val="2"/>
        <scheme val="major"/>
      </rPr>
      <t>aldoalvaradoa29@gmail.com</t>
    </r>
  </si>
  <si>
    <r>
      <t xml:space="preserve">COMODATO                                                             Azael Reyna - 81 1244 3252                                   </t>
    </r>
    <r>
      <rPr>
        <b/>
        <u/>
        <sz val="10"/>
        <color rgb="FF0070C0"/>
        <rFont val="Calibri Light"/>
        <family val="2"/>
        <scheme val="major"/>
      </rPr>
      <t>reynaasael76@gmail.com</t>
    </r>
  </si>
  <si>
    <r>
      <t xml:space="preserve">Katia Nava - 81 2179 0300 </t>
    </r>
    <r>
      <rPr>
        <b/>
        <u/>
        <sz val="10"/>
        <color rgb="FF0070C0"/>
        <rFont val="Calibri Light"/>
        <family val="2"/>
        <scheme val="major"/>
      </rPr>
      <t>admon.hd.22@gmail.com</t>
    </r>
  </si>
  <si>
    <r>
      <t>Cesar Tamez  81 8092</t>
    </r>
    <r>
      <rPr>
        <b/>
        <sz val="10"/>
        <rFont val="Calibri Light"/>
        <family val="2"/>
        <scheme val="major"/>
      </rPr>
      <t xml:space="preserve"> 7624 </t>
    </r>
    <r>
      <rPr>
        <b/>
        <u/>
        <sz val="10"/>
        <color theme="4" tint="-0.249977111117893"/>
        <rFont val="Calibri Light"/>
        <family val="2"/>
        <scheme val="major"/>
      </rPr>
      <t>Tamezguzmancesar@gmail.com</t>
    </r>
  </si>
  <si>
    <r>
      <t xml:space="preserve">COMODATO                                                      Eduardo Barranco - 81 1630 5133 </t>
    </r>
    <r>
      <rPr>
        <b/>
        <u/>
        <sz val="10"/>
        <color rgb="FF0070C0"/>
        <rFont val="Calibri Light"/>
        <family val="2"/>
        <scheme val="major"/>
      </rPr>
      <t>ebarrancon.eb@gmail.com</t>
    </r>
  </si>
  <si>
    <r>
      <t xml:space="preserve">Eduardo Cortez - 8120771535
</t>
    </r>
    <r>
      <rPr>
        <b/>
        <u/>
        <sz val="10"/>
        <color theme="4" tint="-0.249977111117893"/>
        <rFont val="Calibri Light"/>
        <family val="2"/>
        <scheme val="major"/>
      </rPr>
      <t xml:space="preserve">facemva@hotmail.com </t>
    </r>
  </si>
  <si>
    <r>
      <t xml:space="preserve">COMODATO                                                      Eduardo Sustaita - 83 3121 3231 </t>
    </r>
    <r>
      <rPr>
        <b/>
        <u/>
        <sz val="10"/>
        <color rgb="FF0070C0"/>
        <rFont val="Calibri Light"/>
        <family val="2"/>
        <scheme val="major"/>
      </rPr>
      <t>esustaita1995@gmail.com</t>
    </r>
    <r>
      <rPr>
        <b/>
        <sz val="10"/>
        <color theme="1"/>
        <rFont val="Calibri Light"/>
        <family val="2"/>
        <scheme val="major"/>
      </rPr>
      <t xml:space="preserve"> </t>
    </r>
  </si>
  <si>
    <r>
      <t xml:space="preserve">Eleazar Alfaro - 811 811 5684
</t>
    </r>
    <r>
      <rPr>
        <b/>
        <u/>
        <sz val="10"/>
        <color theme="4" tint="-0.249977111117893"/>
        <rFont val="Calibri Light"/>
        <family val="2"/>
        <scheme val="major"/>
      </rPr>
      <t xml:space="preserve">transportesyfletes@live.com </t>
    </r>
  </si>
  <si>
    <r>
      <t xml:space="preserve">Alexis Ruiz - 81 3264 7654                Elena Morales Valencia - 811 004 8906 
</t>
    </r>
    <r>
      <rPr>
        <b/>
        <u/>
        <sz val="10"/>
        <color theme="4" tint="-0.249977111117893"/>
        <rFont val="Calibri Light"/>
        <family val="2"/>
        <scheme val="major"/>
      </rPr>
      <t xml:space="preserve">elenajr2020@gmail.com; </t>
    </r>
  </si>
  <si>
    <r>
      <t xml:space="preserve">Eleodoro Aguirre - 81 4005 6755 </t>
    </r>
    <r>
      <rPr>
        <b/>
        <u/>
        <sz val="10"/>
        <color rgb="FF0070C0"/>
        <rFont val="Calibri Light"/>
        <family val="2"/>
        <scheme val="major"/>
      </rPr>
      <t>eleodoro.av@gmail.com</t>
    </r>
  </si>
  <si>
    <r>
      <t xml:space="preserve">COMODATO                                                      Jaquelin Peña - 81 2040 1612 </t>
    </r>
    <r>
      <rPr>
        <b/>
        <u/>
        <sz val="10"/>
        <color rgb="FF0070C0"/>
        <rFont val="Calibri Light"/>
        <family val="2"/>
        <scheme val="major"/>
      </rPr>
      <t>jocelynerivera87@gmail.com</t>
    </r>
  </si>
  <si>
    <r>
      <t>Monica Becerra - 811 358 5339</t>
    </r>
    <r>
      <rPr>
        <b/>
        <sz val="10"/>
        <color rgb="FFFF0000"/>
        <rFont val="Calibri Light"/>
        <family val="2"/>
        <scheme val="major"/>
      </rPr>
      <t xml:space="preserve">
</t>
    </r>
    <r>
      <rPr>
        <b/>
        <u/>
        <sz val="10"/>
        <color theme="4" tint="-0.249977111117893"/>
        <rFont val="Calibri Light"/>
        <family val="2"/>
        <scheme val="major"/>
      </rPr>
      <t xml:space="preserve">mony_gpe25@hotmail.com </t>
    </r>
  </si>
  <si>
    <r>
      <rPr>
        <b/>
        <sz val="10"/>
        <rFont val="Calibri Light"/>
        <family val="2"/>
        <scheme val="major"/>
      </rPr>
      <t xml:space="preserve">Israel - 8136216389                                                    Luis Lopez - 8182878631
Daniel - 8180780410 
</t>
    </r>
    <r>
      <rPr>
        <b/>
        <sz val="10"/>
        <color theme="4" tint="-0.249977111117893"/>
        <rFont val="Calibri Light"/>
        <family val="2"/>
        <scheme val="major"/>
      </rPr>
      <t>llopez@ttmonterrey.mx;
Thebenjass7@gmail.com;
facturacion@ttmonterrey.mx;</t>
    </r>
  </si>
  <si>
    <r>
      <t xml:space="preserve">Julio Torres - 81 1913 9749                     Isela Montemayor - 81 3862 9436 </t>
    </r>
    <r>
      <rPr>
        <b/>
        <u/>
        <sz val="10"/>
        <color rgb="FF0070C0"/>
        <rFont val="Calibri Light"/>
        <family val="2"/>
        <scheme val="major"/>
      </rPr>
      <t>juliotorres0023@gmail.com</t>
    </r>
  </si>
  <si>
    <r>
      <rPr>
        <b/>
        <sz val="10"/>
        <rFont val="Calibri Light"/>
        <family val="2"/>
        <scheme val="major"/>
      </rPr>
      <t>Rodrigo Alanis - 81 2861 1509 Email:</t>
    </r>
    <r>
      <rPr>
        <b/>
        <u/>
        <sz val="10"/>
        <color rgb="FF0070C0"/>
        <rFont val="Calibri Light"/>
        <family val="2"/>
        <scheme val="major"/>
      </rPr>
      <t xml:space="preserve">adrianaoranday@gmail.com </t>
    </r>
    <r>
      <rPr>
        <b/>
        <u/>
        <sz val="10"/>
        <color theme="10"/>
        <rFont val="Calibri Light"/>
        <family val="2"/>
        <scheme val="major"/>
      </rPr>
      <t>alanis_rodrigo@hotmail.com</t>
    </r>
  </si>
  <si>
    <r>
      <t>Humberto Villa - 81 1487 4381 Email:</t>
    </r>
    <r>
      <rPr>
        <b/>
        <u/>
        <sz val="10"/>
        <color rgb="FF0070C0"/>
        <rFont val="Calibri Light"/>
        <family val="2"/>
        <scheme val="major"/>
      </rPr>
      <t>daxsind@hotmail.com</t>
    </r>
  </si>
  <si>
    <r>
      <t xml:space="preserve">Carlos Gonzalez - 81 1975 0467 </t>
    </r>
    <r>
      <rPr>
        <b/>
        <u/>
        <sz val="10"/>
        <color rgb="FF0070C0"/>
        <rFont val="Calibri Light"/>
        <family val="2"/>
        <scheme val="major"/>
      </rPr>
      <t>carlitos_gzzb@hotmail.com</t>
    </r>
  </si>
  <si>
    <r>
      <t xml:space="preserve">Guillermo Villarreal - 81 8010 7260 </t>
    </r>
    <r>
      <rPr>
        <b/>
        <u/>
        <sz val="10"/>
        <color rgb="FF0070C0"/>
        <rFont val="Calibri Light"/>
        <family val="2"/>
        <scheme val="major"/>
      </rPr>
      <t>memo.villarreal82@gmail.com</t>
    </r>
  </si>
  <si>
    <r>
      <t xml:space="preserve">COMODATO                                                     Mauricio Elizondo - 81 8287 4346                                            Ricardo Widu - 81 1170 1555 </t>
    </r>
    <r>
      <rPr>
        <b/>
        <u/>
        <sz val="10"/>
        <color rgb="FF0070C0"/>
        <rFont val="Calibri Light"/>
        <family val="2"/>
        <scheme val="major"/>
      </rPr>
      <t>mauricioelz@gmail.com</t>
    </r>
  </si>
  <si>
    <r>
      <t xml:space="preserve">Patricio Rivas - 81 8254 4156 </t>
    </r>
    <r>
      <rPr>
        <b/>
        <u/>
        <sz val="10"/>
        <color rgb="FF0070C0"/>
        <rFont val="Calibri Light"/>
        <family val="2"/>
        <scheme val="major"/>
      </rPr>
      <t>patricio@rivas.com</t>
    </r>
  </si>
  <si>
    <r>
      <t xml:space="preserve">COMODATO                                               Brandon Flores - 81 2201 3792 </t>
    </r>
    <r>
      <rPr>
        <b/>
        <u/>
        <sz val="10"/>
        <color rgb="FF0070C0"/>
        <rFont val="Calibri Light"/>
        <family val="2"/>
        <scheme val="major"/>
      </rPr>
      <t>brandonflores06012002@gmail.com</t>
    </r>
  </si>
  <si>
    <r>
      <t xml:space="preserve">COMODATO                                  Rosy Chavana - 81 1321 6964 </t>
    </r>
    <r>
      <rPr>
        <b/>
        <u/>
        <sz val="10"/>
        <color rgb="FF0070C0"/>
        <rFont val="Calibri Light"/>
        <family val="2"/>
        <scheme val="major"/>
      </rPr>
      <t>rosychavana@gmail.com</t>
    </r>
  </si>
  <si>
    <t>NISSAN NP 300 BLANCO PJ-8376-A</t>
  </si>
  <si>
    <t>JOSE JUAN CONTRERAS GONZALEZ - JG MOTORS</t>
  </si>
  <si>
    <r>
      <t xml:space="preserve">Jose Juan Contreras - 81 2290 8575 </t>
    </r>
    <r>
      <rPr>
        <b/>
        <u/>
        <sz val="10"/>
        <color rgb="FF0070C0"/>
        <rFont val="Calibri Light"/>
        <family val="2"/>
        <scheme val="major"/>
      </rPr>
      <t>jose.juan.contreras0303@gmail.com</t>
    </r>
  </si>
  <si>
    <t>CLIENTE NUEVO 26-ABRIL-2025, ESQUEMA NO DEFINIDO PAGO EN EFECTIVO A JOSE LUIS COBRAR EN MAYO MENS. PROP 11 DIAS</t>
  </si>
  <si>
    <t>JOSE JUAN                         81 2290 8575</t>
  </si>
  <si>
    <t>EQUIPO E INSTALACIÓN $1,850.00                       MENSUALIDAD $250.00</t>
  </si>
  <si>
    <t xml:space="preserve">CHEVROLET SILVERADO PLATA </t>
  </si>
  <si>
    <t>MARCOS ERICK CAZARES LULE</t>
  </si>
  <si>
    <t xml:space="preserve">CLIENTE NUEVO 26-ABRIL-2025 COBRAR EN MAYO 11 DIAS </t>
  </si>
  <si>
    <t xml:space="preserve">CLIENTE NUEVO 26-ABRIL-2025 PAGARA 6 MESES, COBRAR EN NOVIEMBRE 6 MENS. Y 11 DIAS </t>
  </si>
  <si>
    <r>
      <t xml:space="preserve">Marcos Erick Lule - 81 8052 4316 </t>
    </r>
    <r>
      <rPr>
        <b/>
        <u/>
        <sz val="10"/>
        <color rgb="FF0070C0"/>
        <rFont val="Calibri Light"/>
        <family val="2"/>
        <scheme val="major"/>
      </rPr>
      <t>mcazareslule@gmail.com</t>
    </r>
  </si>
  <si>
    <t>MARCOS ERICK           81 8052 4316</t>
  </si>
  <si>
    <t>NISSAN VERSA GRIS RMR-177-B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</si>
</sst>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8" formatCode="&quot;$&quot;#,##0.00;[Red]\-&quot;$&quot;#,##0.00"/>
    <numFmt numFmtId="44" formatCode="_-&quot;$&quot;* #,##0.00_-;\-&quot;$&quot;* #,##0.00_-;_-&quot;$&quot;* &quot;-&quot;??_-;_-@_-"/>
    <numFmt numFmtId="43" formatCode="_-* #,##0.00_-;\-* #,##0.00_-;_-* &quot;-&quot;??_-;_-@_-"/>
    <numFmt numFmtId="164" formatCode="[$-80A]dddd\,\ dd&quot; de &quot;mmmm&quot; de &quot;yyyy;@"/>
    <numFmt numFmtId="165" formatCode="[$-F800]dddd\,\ mmmm\ dd\,\ yyyy"/>
  </numFmts>
  <fonts count="107" x14ac:knownFonts="1">
    <font>
      <sz val="11"/>
      <color theme="1"/>
      <name val="Calibri"/>
      <family val="2"/>
      <scheme val="minor"/>
    </font>
    <font>
      <sz val="11"/>
      <color theme="1"/>
      <name val="Calibri"/>
      <family val="2"/>
      <scheme val="minor"/>
    </font>
    <font>
      <b/>
      <sz val="11"/>
      <color theme="1"/>
      <name val="Calibri"/>
      <family val="2"/>
      <scheme val="minor"/>
    </font>
    <font>
      <b/>
      <u/>
      <sz val="13"/>
      <color theme="1"/>
      <name val="Calibri"/>
      <family val="2"/>
      <scheme val="minor"/>
    </font>
    <font>
      <b/>
      <sz val="13"/>
      <color theme="1"/>
      <name val="Calibri"/>
      <family val="2"/>
      <scheme val="minor"/>
    </font>
    <font>
      <b/>
      <sz val="12"/>
      <color theme="1"/>
      <name val="Calibri"/>
      <family val="2"/>
      <scheme val="minor"/>
    </font>
    <font>
      <b/>
      <sz val="14"/>
      <color theme="1"/>
      <name val="Calibri"/>
      <family val="2"/>
      <scheme val="minor"/>
    </font>
    <font>
      <u/>
      <sz val="11"/>
      <color theme="1"/>
      <name val="Arial"/>
      <family val="2"/>
    </font>
    <font>
      <b/>
      <sz val="10"/>
      <color theme="1"/>
      <name val="Calibri"/>
      <family val="2"/>
      <scheme val="minor"/>
    </font>
    <font>
      <b/>
      <u/>
      <sz val="10"/>
      <color theme="1"/>
      <name val="Calibri"/>
      <family val="2"/>
      <scheme val="minor"/>
    </font>
    <font>
      <b/>
      <u/>
      <sz val="10"/>
      <name val="Calibri"/>
      <family val="2"/>
      <scheme val="minor"/>
    </font>
    <font>
      <b/>
      <u/>
      <sz val="10"/>
      <color rgb="FFFF0000"/>
      <name val="Calibri"/>
      <family val="2"/>
      <scheme val="minor"/>
    </font>
    <font>
      <b/>
      <sz val="10"/>
      <color rgb="FFFF0000"/>
      <name val="Calibri"/>
      <family val="2"/>
      <scheme val="minor"/>
    </font>
    <font>
      <sz val="10"/>
      <color theme="1"/>
      <name val="Calibri"/>
      <family val="2"/>
      <scheme val="minor"/>
    </font>
    <font>
      <b/>
      <sz val="10"/>
      <color theme="3"/>
      <name val="Calibri"/>
      <family val="2"/>
      <scheme val="minor"/>
    </font>
    <font>
      <b/>
      <sz val="10"/>
      <color theme="4" tint="-0.249977111117893"/>
      <name val="Calibri"/>
      <family val="2"/>
      <scheme val="minor"/>
    </font>
    <font>
      <b/>
      <u/>
      <sz val="10"/>
      <color theme="4" tint="-0.249977111117893"/>
      <name val="Calibri"/>
      <family val="2"/>
      <scheme val="minor"/>
    </font>
    <font>
      <sz val="10"/>
      <color theme="4" tint="-0.249977111117893"/>
      <name val="Calibri"/>
      <family val="2"/>
      <scheme val="minor"/>
    </font>
    <font>
      <b/>
      <sz val="9"/>
      <color theme="1"/>
      <name val="Calibri"/>
      <family val="2"/>
      <scheme val="minor"/>
    </font>
    <font>
      <b/>
      <sz val="9"/>
      <color rgb="FFFF0000"/>
      <name val="Calibri"/>
      <family val="2"/>
      <scheme val="minor"/>
    </font>
    <font>
      <sz val="10"/>
      <name val="Calibri"/>
      <family val="2"/>
      <scheme val="minor"/>
    </font>
    <font>
      <sz val="10"/>
      <name val="Arial"/>
      <family val="2"/>
    </font>
    <font>
      <b/>
      <u/>
      <sz val="10"/>
      <name val="Arial"/>
      <family val="2"/>
    </font>
    <font>
      <b/>
      <sz val="10"/>
      <color theme="1"/>
      <name val="Arial"/>
      <family val="2"/>
    </font>
    <font>
      <b/>
      <sz val="9"/>
      <color theme="1"/>
      <name val="Arial"/>
      <family val="2"/>
    </font>
    <font>
      <b/>
      <sz val="9"/>
      <color rgb="FFFF0000"/>
      <name val="Arial"/>
      <family val="2"/>
    </font>
    <font>
      <sz val="9"/>
      <name val="Arial"/>
      <family val="2"/>
    </font>
    <font>
      <sz val="10"/>
      <color theme="1"/>
      <name val="Arial"/>
      <family val="2"/>
    </font>
    <font>
      <sz val="10"/>
      <color rgb="FFFF0000"/>
      <name val="Calibri"/>
      <family val="2"/>
      <scheme val="minor"/>
    </font>
    <font>
      <b/>
      <sz val="10"/>
      <name val="Calibri"/>
      <family val="2"/>
      <scheme val="minor"/>
    </font>
    <font>
      <sz val="9"/>
      <color theme="1"/>
      <name val="Calibri"/>
      <family val="2"/>
      <scheme val="minor"/>
    </font>
    <font>
      <u/>
      <sz val="11"/>
      <color theme="10"/>
      <name val="Calibri"/>
      <family val="2"/>
      <scheme val="minor"/>
    </font>
    <font>
      <b/>
      <sz val="10"/>
      <name val="Arial"/>
      <family val="2"/>
    </font>
    <font>
      <b/>
      <sz val="9"/>
      <name val="Arial"/>
      <family val="2"/>
    </font>
    <font>
      <b/>
      <sz val="10"/>
      <color rgb="FF0070C0"/>
      <name val="Calibri"/>
      <family val="2"/>
      <scheme val="minor"/>
    </font>
    <font>
      <u/>
      <sz val="10"/>
      <color theme="10"/>
      <name val="Calibri"/>
      <family val="2"/>
      <scheme val="minor"/>
    </font>
    <font>
      <b/>
      <sz val="10"/>
      <color theme="4"/>
      <name val="Calibri"/>
      <family val="2"/>
      <scheme val="minor"/>
    </font>
    <font>
      <b/>
      <u/>
      <sz val="10"/>
      <color rgb="FF0070C0"/>
      <name val="Calibri"/>
      <family val="2"/>
      <scheme val="minor"/>
    </font>
    <font>
      <sz val="10"/>
      <color theme="3"/>
      <name val="Calibri"/>
      <family val="2"/>
      <scheme val="minor"/>
    </font>
    <font>
      <sz val="8"/>
      <color rgb="FFFF0000"/>
      <name val="Calibri"/>
      <family val="2"/>
      <scheme val="minor"/>
    </font>
    <font>
      <sz val="9"/>
      <color theme="1"/>
      <name val="Arial"/>
      <family val="2"/>
    </font>
    <font>
      <sz val="11"/>
      <color theme="1"/>
      <name val="Arial"/>
      <family val="2"/>
    </font>
    <font>
      <b/>
      <sz val="11"/>
      <color theme="1"/>
      <name val="Arial"/>
      <family val="2"/>
    </font>
    <font>
      <b/>
      <u val="singleAccounting"/>
      <sz val="11"/>
      <color theme="1"/>
      <name val="Arial"/>
      <family val="2"/>
    </font>
    <font>
      <b/>
      <sz val="9"/>
      <color indexed="81"/>
      <name val="Tahoma"/>
      <family val="2"/>
    </font>
    <font>
      <sz val="9"/>
      <color indexed="81"/>
      <name val="Tahoma"/>
      <family val="2"/>
    </font>
    <font>
      <sz val="10"/>
      <color indexed="81"/>
      <name val="Tahoma"/>
      <family val="2"/>
    </font>
    <font>
      <b/>
      <sz val="10"/>
      <color indexed="81"/>
      <name val="Tahoma"/>
      <family val="2"/>
    </font>
    <font>
      <sz val="9"/>
      <color indexed="10"/>
      <name val="Tahoma"/>
      <family val="2"/>
    </font>
    <font>
      <b/>
      <sz val="10"/>
      <color indexed="10"/>
      <name val="Tahoma"/>
      <family val="2"/>
    </font>
    <font>
      <b/>
      <sz val="9"/>
      <color indexed="10"/>
      <name val="Tahoma"/>
      <family val="2"/>
    </font>
    <font>
      <b/>
      <u/>
      <sz val="9"/>
      <color indexed="81"/>
      <name val="Tahoma"/>
      <family val="2"/>
    </font>
    <font>
      <b/>
      <i/>
      <sz val="20"/>
      <name val="Arial"/>
      <family val="2"/>
    </font>
    <font>
      <b/>
      <sz val="14"/>
      <name val="Arial"/>
      <family val="2"/>
    </font>
    <font>
      <b/>
      <sz val="16"/>
      <color theme="0"/>
      <name val="Calibri"/>
      <family val="2"/>
      <scheme val="minor"/>
    </font>
    <font>
      <i/>
      <sz val="11"/>
      <color theme="1"/>
      <name val="Calibri"/>
      <family val="2"/>
      <scheme val="minor"/>
    </font>
    <font>
      <b/>
      <i/>
      <sz val="11"/>
      <color theme="1"/>
      <name val="Calibri"/>
      <family val="2"/>
      <scheme val="minor"/>
    </font>
    <font>
      <b/>
      <sz val="11"/>
      <color theme="1"/>
      <name val="Calibri"/>
      <family val="2"/>
    </font>
    <font>
      <b/>
      <sz val="11"/>
      <color rgb="FF0070C0"/>
      <name val="Calibri"/>
      <family val="2"/>
    </font>
    <font>
      <b/>
      <sz val="11"/>
      <color rgb="FFFF0000"/>
      <name val="Calibri"/>
      <family val="2"/>
      <scheme val="minor"/>
    </font>
    <font>
      <b/>
      <sz val="11"/>
      <color rgb="FF0070C0"/>
      <name val="Calibri"/>
      <family val="2"/>
      <scheme val="minor"/>
    </font>
    <font>
      <b/>
      <sz val="11"/>
      <name val="Calibri"/>
      <family val="2"/>
      <scheme val="minor"/>
    </font>
    <font>
      <b/>
      <sz val="11"/>
      <name val="Calibri"/>
      <family val="2"/>
    </font>
    <font>
      <b/>
      <sz val="11"/>
      <color rgb="FF000000"/>
      <name val="Calibri"/>
      <family val="2"/>
      <scheme val="minor"/>
    </font>
    <font>
      <sz val="12"/>
      <color theme="1"/>
      <name val="Calibri"/>
      <family val="2"/>
      <scheme val="minor"/>
    </font>
    <font>
      <b/>
      <sz val="11"/>
      <color theme="9" tint="-0.249977111117893"/>
      <name val="Calibri"/>
      <family val="2"/>
      <scheme val="minor"/>
    </font>
    <font>
      <b/>
      <sz val="14"/>
      <color rgb="FFFF0000"/>
      <name val="Calibri"/>
      <family val="2"/>
      <scheme val="minor"/>
    </font>
    <font>
      <b/>
      <sz val="12"/>
      <name val="Calibri"/>
      <family val="2"/>
      <scheme val="minor"/>
    </font>
    <font>
      <b/>
      <sz val="11"/>
      <color rgb="FF000000"/>
      <name val="Calibri"/>
      <family val="2"/>
    </font>
    <font>
      <sz val="12"/>
      <color rgb="FF000000"/>
      <name val="Calibri"/>
      <family val="2"/>
      <scheme val="minor"/>
    </font>
    <font>
      <sz val="11"/>
      <name val="Calibri"/>
      <family val="2"/>
      <scheme val="minor"/>
    </font>
    <font>
      <b/>
      <u val="singleAccounting"/>
      <sz val="12"/>
      <color rgb="FFFF0000"/>
      <name val="Calibri"/>
      <family val="2"/>
      <scheme val="minor"/>
    </font>
    <font>
      <b/>
      <sz val="10"/>
      <color theme="1"/>
      <name val="Leelawadee UI"/>
      <family val="2"/>
    </font>
    <font>
      <b/>
      <u/>
      <sz val="10"/>
      <color theme="1"/>
      <name val="Arial"/>
      <family val="2"/>
    </font>
    <font>
      <u/>
      <sz val="11"/>
      <name val="Calibri"/>
      <family val="2"/>
      <scheme val="minor"/>
    </font>
    <font>
      <b/>
      <u/>
      <sz val="11"/>
      <name val="Calibri"/>
      <family val="2"/>
      <scheme val="minor"/>
    </font>
    <font>
      <sz val="10"/>
      <color theme="1"/>
      <name val="Calibri Light"/>
      <family val="2"/>
      <scheme val="major"/>
    </font>
    <font>
      <b/>
      <sz val="10"/>
      <color theme="1"/>
      <name val="Calibri Light"/>
      <family val="2"/>
      <scheme val="major"/>
    </font>
    <font>
      <b/>
      <u/>
      <sz val="10"/>
      <color theme="4" tint="-0.249977111117893"/>
      <name val="Calibri Light"/>
      <family val="2"/>
      <scheme val="major"/>
    </font>
    <font>
      <sz val="10"/>
      <color theme="4" tint="-0.249977111117893"/>
      <name val="Calibri Light"/>
      <family val="2"/>
      <scheme val="major"/>
    </font>
    <font>
      <b/>
      <u/>
      <sz val="10"/>
      <color rgb="FF0070C0"/>
      <name val="Calibri Light"/>
      <family val="2"/>
      <scheme val="major"/>
    </font>
    <font>
      <u/>
      <sz val="10"/>
      <color theme="10"/>
      <name val="Calibri Light"/>
      <family val="2"/>
      <scheme val="major"/>
    </font>
    <font>
      <sz val="10"/>
      <name val="Calibri Light"/>
      <family val="2"/>
      <scheme val="major"/>
    </font>
    <font>
      <b/>
      <sz val="10"/>
      <name val="Calibri Light"/>
      <family val="2"/>
      <scheme val="major"/>
    </font>
    <font>
      <b/>
      <sz val="10"/>
      <color rgb="FF0070C0"/>
      <name val="Calibri Light"/>
      <family val="2"/>
      <scheme val="major"/>
    </font>
    <font>
      <sz val="10"/>
      <color theme="4"/>
      <name val="Calibri Light"/>
      <family val="2"/>
      <scheme val="major"/>
    </font>
    <font>
      <sz val="10"/>
      <color rgb="FFFF0000"/>
      <name val="Calibri Light"/>
      <family val="2"/>
      <scheme val="major"/>
    </font>
    <font>
      <b/>
      <u/>
      <sz val="10"/>
      <color theme="10"/>
      <name val="Calibri Light"/>
      <family val="2"/>
      <scheme val="major"/>
    </font>
    <font>
      <b/>
      <u/>
      <sz val="10"/>
      <color rgb="FF002060"/>
      <name val="Calibri Light"/>
      <family val="2"/>
      <scheme val="major"/>
    </font>
    <font>
      <b/>
      <sz val="10"/>
      <color theme="4" tint="-0.249977111117893"/>
      <name val="Calibri Light"/>
      <family val="2"/>
      <scheme val="major"/>
    </font>
    <font>
      <b/>
      <u/>
      <sz val="10"/>
      <color rgb="FFFF0000"/>
      <name val="Calibri Light"/>
      <family val="2"/>
      <scheme val="major"/>
    </font>
    <font>
      <b/>
      <u/>
      <sz val="10"/>
      <color theme="8" tint="-0.249977111117893"/>
      <name val="Calibri Light"/>
      <family val="2"/>
      <scheme val="major"/>
    </font>
    <font>
      <b/>
      <u/>
      <sz val="10"/>
      <name val="Calibri Light"/>
      <family val="2"/>
      <scheme val="major"/>
    </font>
    <font>
      <u/>
      <sz val="11"/>
      <color theme="1"/>
      <name val="Calibri"/>
      <family val="2"/>
      <scheme val="minor"/>
    </font>
    <font>
      <b/>
      <sz val="10"/>
      <color rgb="FFFF0000"/>
      <name val="Calibri Light"/>
      <family val="2"/>
      <scheme val="major"/>
    </font>
    <font>
      <b/>
      <sz val="10"/>
      <color rgb="FF000000"/>
      <name val="Calibri"/>
      <family val="2"/>
      <scheme val="minor"/>
    </font>
    <font>
      <u/>
      <sz val="10"/>
      <name val="Calibri"/>
      <family val="2"/>
      <scheme val="minor"/>
    </font>
    <font>
      <b/>
      <u/>
      <sz val="11"/>
      <color rgb="FF0070C0"/>
      <name val="Calibri"/>
      <family val="2"/>
      <scheme val="minor"/>
    </font>
    <font>
      <b/>
      <u/>
      <sz val="11"/>
      <color theme="4" tint="-0.249977111117893"/>
      <name val="Calibri"/>
      <family val="2"/>
      <scheme val="minor"/>
    </font>
    <font>
      <sz val="11"/>
      <color rgb="FF0070C0"/>
      <name val="Calibri"/>
      <family val="2"/>
      <scheme val="minor"/>
    </font>
    <font>
      <b/>
      <u/>
      <sz val="11"/>
      <color theme="1"/>
      <name val="Calibri"/>
      <family val="2"/>
      <scheme val="minor"/>
    </font>
    <font>
      <b/>
      <sz val="11"/>
      <color theme="4" tint="-0.249977111117893"/>
      <name val="Calibri"/>
      <family val="2"/>
      <scheme val="minor"/>
    </font>
    <font>
      <b/>
      <sz val="11"/>
      <name val="Arial"/>
      <family val="2"/>
    </font>
    <font>
      <b/>
      <sz val="20"/>
      <color theme="1"/>
      <name val="Calibri"/>
      <family val="2"/>
      <scheme val="minor"/>
    </font>
    <font>
      <b/>
      <u/>
      <sz val="11"/>
      <color theme="10"/>
      <name val="Calibri"/>
      <family val="2"/>
      <scheme val="minor"/>
    </font>
    <font>
      <b/>
      <sz val="10"/>
      <color theme="4"/>
      <name val="Calibri Light"/>
      <family val="2"/>
      <scheme val="major"/>
    </font>
    <font>
      <b/>
      <u/>
      <sz val="10"/>
      <color theme="10"/>
      <name val="Calibri"/>
      <family val="2"/>
      <scheme val="minor"/>
    </font>
  </fonts>
  <fills count="17">
    <fill>
      <patternFill patternType="none"/>
    </fill>
    <fill>
      <patternFill patternType="gray125"/>
    </fill>
    <fill>
      <patternFill patternType="solid">
        <fgColor theme="6" tint="0.39997558519241921"/>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C2AAEE"/>
        <bgColor indexed="64"/>
      </patternFill>
    </fill>
    <fill>
      <patternFill patternType="solid">
        <fgColor theme="8" tint="0.79998168889431442"/>
        <bgColor indexed="64"/>
      </patternFill>
    </fill>
    <fill>
      <patternFill patternType="solid">
        <fgColor rgb="FFECA74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2"/>
        <bgColor indexed="64"/>
      </patternFill>
    </fill>
    <fill>
      <patternFill patternType="solid">
        <fgColor theme="0" tint="-0.14999847407452621"/>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1" fillId="0" borderId="0" applyNumberFormat="0" applyFill="0" applyBorder="0" applyAlignment="0" applyProtection="0"/>
  </cellStyleXfs>
  <cellXfs count="449">
    <xf numFmtId="0" fontId="0" fillId="0" borderId="0" xfId="0"/>
    <xf numFmtId="0" fontId="2" fillId="0" borderId="0" xfId="0" applyFont="1" applyAlignment="1">
      <alignment horizontal="center" vertical="center"/>
    </xf>
    <xf numFmtId="0" fontId="3" fillId="2" borderId="0" xfId="0" applyFont="1" applyFill="1" applyAlignment="1">
      <alignment horizontal="center" vertical="center"/>
    </xf>
    <xf numFmtId="44" fontId="4" fillId="0" borderId="0" xfId="0" applyNumberFormat="1" applyFont="1" applyAlignment="1">
      <alignment horizontal="center" vertical="center"/>
    </xf>
    <xf numFmtId="44" fontId="4" fillId="0" borderId="0" xfId="0" applyNumberFormat="1" applyFont="1"/>
    <xf numFmtId="0" fontId="2" fillId="0" borderId="0" xfId="0" applyFont="1"/>
    <xf numFmtId="0" fontId="5" fillId="0" borderId="0" xfId="0" applyFont="1" applyAlignment="1">
      <alignment horizontal="center" vertical="center"/>
    </xf>
    <xf numFmtId="0" fontId="5" fillId="0" borderId="0" xfId="0" applyFont="1"/>
    <xf numFmtId="0" fontId="4" fillId="3" borderId="5" xfId="0" applyFont="1" applyFill="1" applyBorder="1" applyAlignment="1">
      <alignment horizontal="center" vertical="center"/>
    </xf>
    <xf numFmtId="0" fontId="6" fillId="3" borderId="6" xfId="0" applyFont="1" applyFill="1" applyBorder="1" applyAlignment="1">
      <alignment horizontal="center" vertical="center"/>
    </xf>
    <xf numFmtId="44" fontId="4" fillId="3" borderId="7" xfId="0" applyNumberFormat="1" applyFont="1" applyFill="1" applyBorder="1" applyAlignment="1">
      <alignment horizontal="center"/>
    </xf>
    <xf numFmtId="0" fontId="4" fillId="0" borderId="8" xfId="0" applyFont="1" applyBorder="1" applyAlignment="1">
      <alignment horizontal="center" vertical="center" wrapText="1"/>
    </xf>
    <xf numFmtId="0" fontId="4" fillId="0" borderId="8" xfId="0" applyFont="1" applyBorder="1" applyAlignment="1">
      <alignment horizontal="center"/>
    </xf>
    <xf numFmtId="44" fontId="4" fillId="0" borderId="8" xfId="0" applyNumberFormat="1" applyFont="1" applyBorder="1" applyAlignment="1">
      <alignment horizontal="center"/>
    </xf>
    <xf numFmtId="0" fontId="4" fillId="0" borderId="0" xfId="0" applyFont="1" applyAlignment="1">
      <alignment horizontal="center"/>
    </xf>
    <xf numFmtId="0" fontId="4" fillId="4" borderId="0" xfId="0" applyFont="1" applyFill="1" applyAlignment="1">
      <alignment horizontal="left" vertical="center" wrapText="1"/>
    </xf>
    <xf numFmtId="0" fontId="4" fillId="0" borderId="0" xfId="0" applyFont="1" applyAlignment="1">
      <alignment horizontal="center" vertical="center"/>
    </xf>
    <xf numFmtId="0" fontId="4" fillId="5" borderId="0" xfId="0" applyFont="1" applyFill="1" applyAlignment="1">
      <alignment horizontal="left" vertical="center" wrapText="1"/>
    </xf>
    <xf numFmtId="0" fontId="4" fillId="0" borderId="0" xfId="0" applyFont="1" applyAlignment="1">
      <alignment horizontal="center" vertical="center" wrapText="1"/>
    </xf>
    <xf numFmtId="0" fontId="3" fillId="0" borderId="0" xfId="0" applyFont="1" applyAlignment="1">
      <alignment vertical="center"/>
    </xf>
    <xf numFmtId="0" fontId="7" fillId="0" borderId="0" xfId="0" applyFont="1" applyAlignment="1">
      <alignment vertical="center"/>
    </xf>
    <xf numFmtId="0" fontId="11" fillId="0" borderId="0" xfId="2" applyNumberFormat="1" applyFont="1" applyBorder="1" applyAlignment="1">
      <alignment horizontal="center" vertical="center" wrapText="1"/>
    </xf>
    <xf numFmtId="0" fontId="11" fillId="0" borderId="0" xfId="2" applyNumberFormat="1" applyFont="1" applyFill="1" applyBorder="1" applyAlignment="1">
      <alignment horizontal="center" vertical="center" wrapText="1"/>
    </xf>
    <xf numFmtId="0" fontId="13" fillId="0" borderId="0" xfId="0" applyFont="1"/>
    <xf numFmtId="0" fontId="11" fillId="0" borderId="0" xfId="0" applyFont="1" applyAlignment="1">
      <alignment horizontal="center" vertical="center" wrapText="1"/>
    </xf>
    <xf numFmtId="44" fontId="8" fillId="0" borderId="0" xfId="2" applyFont="1" applyBorder="1" applyAlignment="1">
      <alignment horizontal="center" vertical="center" wrapText="1"/>
    </xf>
    <xf numFmtId="0" fontId="8" fillId="0" borderId="0" xfId="0" applyFont="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center" vertical="center" wrapText="1"/>
    </xf>
    <xf numFmtId="0" fontId="8" fillId="0" borderId="0" xfId="0" applyFont="1" applyAlignment="1">
      <alignment horizontal="center" vertical="center" wrapText="1"/>
    </xf>
    <xf numFmtId="44" fontId="19" fillId="0" borderId="0" xfId="2" applyFont="1" applyBorder="1" applyAlignment="1">
      <alignment horizontal="center" vertical="center" wrapText="1"/>
    </xf>
    <xf numFmtId="44" fontId="19" fillId="0" borderId="0" xfId="0" applyNumberFormat="1" applyFont="1" applyAlignment="1">
      <alignment horizontal="center" vertical="center"/>
    </xf>
    <xf numFmtId="44" fontId="12" fillId="0" borderId="0" xfId="2" applyFont="1" applyBorder="1" applyAlignment="1">
      <alignment horizontal="center" vertical="center" wrapText="1"/>
    </xf>
    <xf numFmtId="44" fontId="20" fillId="0" borderId="0" xfId="2" applyFont="1" applyBorder="1" applyAlignment="1">
      <alignment horizontal="center" vertical="center" wrapText="1"/>
    </xf>
    <xf numFmtId="44" fontId="13" fillId="0" borderId="0" xfId="2" applyFont="1" applyBorder="1" applyAlignment="1">
      <alignment horizontal="center" vertical="center"/>
    </xf>
    <xf numFmtId="8" fontId="13" fillId="0" borderId="0" xfId="2" applyNumberFormat="1" applyFont="1" applyBorder="1" applyAlignment="1">
      <alignment horizontal="center" vertical="center"/>
    </xf>
    <xf numFmtId="44" fontId="13" fillId="0" borderId="0" xfId="2" applyFont="1" applyFill="1" applyBorder="1" applyAlignment="1">
      <alignment horizontal="center" vertical="center" wrapText="1"/>
    </xf>
    <xf numFmtId="44" fontId="20" fillId="0" borderId="0" xfId="2" applyFont="1" applyFill="1" applyBorder="1" applyAlignment="1">
      <alignment horizontal="center" vertical="center" wrapText="1"/>
    </xf>
    <xf numFmtId="44" fontId="20" fillId="0" borderId="0" xfId="2" applyFont="1" applyFill="1" applyBorder="1" applyAlignment="1">
      <alignment horizontal="center" vertical="center"/>
    </xf>
    <xf numFmtId="16" fontId="8" fillId="0" borderId="0" xfId="0" applyNumberFormat="1" applyFont="1" applyAlignment="1">
      <alignment horizontal="center" vertical="center" wrapText="1"/>
    </xf>
    <xf numFmtId="44" fontId="8" fillId="0" borderId="0" xfId="2" applyFont="1" applyFill="1" applyBorder="1" applyAlignment="1">
      <alignment horizontal="center" vertical="center" wrapText="1"/>
    </xf>
    <xf numFmtId="44" fontId="13" fillId="0" borderId="0" xfId="2" applyFont="1" applyFill="1" applyBorder="1" applyAlignment="1">
      <alignment horizontal="center" vertical="center"/>
    </xf>
    <xf numFmtId="0" fontId="8" fillId="0" borderId="0" xfId="0" applyFont="1" applyAlignment="1">
      <alignment horizontal="left" vertical="center" wrapText="1"/>
    </xf>
    <xf numFmtId="0" fontId="23" fillId="0" borderId="0" xfId="0" applyFont="1" applyAlignment="1">
      <alignment horizontal="center" vertical="center" wrapText="1"/>
    </xf>
    <xf numFmtId="44" fontId="25" fillId="0" borderId="0" xfId="2" applyFont="1" applyBorder="1" applyAlignment="1">
      <alignment horizontal="center" vertical="center" wrapText="1"/>
    </xf>
    <xf numFmtId="44" fontId="25" fillId="0" borderId="0" xfId="0" applyNumberFormat="1" applyFont="1" applyAlignment="1">
      <alignment horizontal="center" vertical="center"/>
    </xf>
    <xf numFmtId="44" fontId="21" fillId="0" borderId="0" xfId="2" applyFont="1" applyBorder="1" applyAlignment="1">
      <alignment horizontal="center" vertical="center" wrapText="1"/>
    </xf>
    <xf numFmtId="44" fontId="26" fillId="0" borderId="0" xfId="2" applyFont="1" applyBorder="1" applyAlignment="1">
      <alignment horizontal="center" vertical="center" wrapText="1"/>
    </xf>
    <xf numFmtId="44" fontId="27" fillId="0" borderId="0" xfId="2" applyFont="1" applyBorder="1" applyAlignment="1">
      <alignment horizontal="center" vertical="center"/>
    </xf>
    <xf numFmtId="44" fontId="27" fillId="0" borderId="0" xfId="2" applyFont="1" applyBorder="1" applyAlignment="1">
      <alignment horizontal="center" vertical="center" wrapText="1"/>
    </xf>
    <xf numFmtId="8" fontId="27" fillId="0" borderId="0" xfId="2" applyNumberFormat="1" applyFont="1" applyBorder="1" applyAlignment="1">
      <alignment horizontal="center" vertical="center"/>
    </xf>
    <xf numFmtId="8" fontId="20" fillId="0" borderId="0" xfId="2" applyNumberFormat="1" applyFont="1" applyBorder="1" applyAlignment="1">
      <alignment horizontal="center" vertical="center" wrapText="1"/>
    </xf>
    <xf numFmtId="0" fontId="8" fillId="0" borderId="0" xfId="0" applyFont="1" applyAlignment="1">
      <alignment horizontal="left" vertical="top" wrapText="1"/>
    </xf>
    <xf numFmtId="44" fontId="13" fillId="0" borderId="0" xfId="2" applyFont="1" applyBorder="1" applyAlignment="1">
      <alignment horizontal="center" vertical="center" wrapText="1"/>
    </xf>
    <xf numFmtId="0" fontId="13" fillId="0" borderId="0" xfId="0" applyFont="1" applyAlignment="1">
      <alignment vertical="center" wrapText="1"/>
    </xf>
    <xf numFmtId="0" fontId="29" fillId="0" borderId="0" xfId="0" applyFont="1" applyAlignment="1">
      <alignment horizontal="center" vertical="center" wrapText="1"/>
    </xf>
    <xf numFmtId="0" fontId="8" fillId="0" borderId="0" xfId="2" applyNumberFormat="1" applyFont="1" applyFill="1" applyBorder="1" applyAlignment="1">
      <alignment horizontal="center" vertical="center" wrapText="1"/>
    </xf>
    <xf numFmtId="0" fontId="8" fillId="0" borderId="0" xfId="0" applyFont="1" applyAlignment="1">
      <alignment vertical="center" wrapText="1"/>
    </xf>
    <xf numFmtId="44" fontId="20" fillId="0" borderId="0" xfId="2" applyFont="1" applyBorder="1" applyAlignment="1">
      <alignment horizontal="center" vertical="center"/>
    </xf>
    <xf numFmtId="44" fontId="23" fillId="0" borderId="0" xfId="2" applyFont="1" applyFill="1" applyBorder="1" applyAlignment="1">
      <alignment horizontal="center" vertical="center" wrapText="1"/>
    </xf>
    <xf numFmtId="44" fontId="21" fillId="0" borderId="0" xfId="2" applyFont="1" applyBorder="1" applyAlignment="1">
      <alignment horizontal="center" vertical="center"/>
    </xf>
    <xf numFmtId="16" fontId="23" fillId="0" borderId="0" xfId="0" applyNumberFormat="1" applyFont="1" applyAlignment="1">
      <alignment horizontal="center" vertical="center" wrapText="1"/>
    </xf>
    <xf numFmtId="44" fontId="27" fillId="0" borderId="0" xfId="2" applyFont="1" applyFill="1" applyBorder="1" applyAlignment="1">
      <alignment horizontal="center" vertical="center" wrapText="1"/>
    </xf>
    <xf numFmtId="0" fontId="32" fillId="0" borderId="0" xfId="0" applyFont="1" applyAlignment="1">
      <alignment horizontal="center" vertical="center" wrapText="1"/>
    </xf>
    <xf numFmtId="44" fontId="25" fillId="0" borderId="0" xfId="2" applyFont="1" applyFill="1" applyBorder="1" applyAlignment="1">
      <alignment horizontal="center" vertical="center" wrapText="1"/>
    </xf>
    <xf numFmtId="44" fontId="21" fillId="0" borderId="0" xfId="2" applyFont="1" applyFill="1" applyBorder="1" applyAlignment="1">
      <alignment horizontal="center" vertical="center" wrapText="1"/>
    </xf>
    <xf numFmtId="44" fontId="26" fillId="0" borderId="0" xfId="2" applyFont="1" applyFill="1" applyBorder="1" applyAlignment="1">
      <alignment horizontal="center" vertical="center" wrapText="1"/>
    </xf>
    <xf numFmtId="44" fontId="27" fillId="0" borderId="0" xfId="2" applyFont="1" applyFill="1" applyBorder="1" applyAlignment="1">
      <alignment horizontal="center" vertical="center"/>
    </xf>
    <xf numFmtId="8" fontId="27" fillId="0" borderId="0" xfId="2" applyNumberFormat="1" applyFont="1" applyBorder="1" applyAlignment="1">
      <alignment horizontal="center" vertical="center" wrapText="1"/>
    </xf>
    <xf numFmtId="6" fontId="27" fillId="0" borderId="0" xfId="2" applyNumberFormat="1" applyFont="1" applyBorder="1" applyAlignment="1">
      <alignment horizontal="center" vertical="center"/>
    </xf>
    <xf numFmtId="44" fontId="32" fillId="0" borderId="0" xfId="0" applyNumberFormat="1" applyFont="1" applyAlignment="1">
      <alignment horizontal="center" vertical="center" wrapText="1"/>
    </xf>
    <xf numFmtId="44" fontId="26" fillId="0" borderId="0" xfId="2" applyFont="1" applyBorder="1" applyAlignment="1">
      <alignment horizontal="center" vertical="center"/>
    </xf>
    <xf numFmtId="43" fontId="21" fillId="0" borderId="0" xfId="1" applyFont="1" applyBorder="1" applyAlignment="1">
      <alignment horizontal="center" vertical="center" wrapText="1"/>
    </xf>
    <xf numFmtId="6" fontId="21" fillId="0" borderId="0" xfId="2" applyNumberFormat="1" applyFont="1" applyBorder="1" applyAlignment="1">
      <alignment horizontal="center" vertical="center" wrapText="1"/>
    </xf>
    <xf numFmtId="8" fontId="21" fillId="0" borderId="0" xfId="2" applyNumberFormat="1" applyFont="1" applyBorder="1" applyAlignment="1">
      <alignment horizontal="center" vertical="center" wrapText="1"/>
    </xf>
    <xf numFmtId="16" fontId="0" fillId="0" borderId="0" xfId="0" applyNumberFormat="1"/>
    <xf numFmtId="44" fontId="40" fillId="0" borderId="0" xfId="2" applyFont="1" applyBorder="1" applyAlignment="1">
      <alignment horizontal="center" vertical="center"/>
    </xf>
    <xf numFmtId="44" fontId="40" fillId="0" borderId="0" xfId="2" applyFont="1" applyBorder="1" applyAlignment="1">
      <alignment horizontal="center" vertical="center" wrapText="1"/>
    </xf>
    <xf numFmtId="0" fontId="13" fillId="0" borderId="0" xfId="0" applyFont="1" applyAlignment="1">
      <alignment vertical="top" wrapText="1"/>
    </xf>
    <xf numFmtId="0" fontId="41" fillId="0" borderId="0" xfId="0" applyFont="1" applyAlignment="1">
      <alignment horizontal="center" vertical="center" wrapText="1"/>
    </xf>
    <xf numFmtId="0" fontId="41" fillId="0" borderId="0" xfId="0" applyFont="1" applyAlignment="1">
      <alignment horizontal="left" vertical="center" wrapText="1"/>
    </xf>
    <xf numFmtId="0" fontId="40" fillId="0" borderId="0" xfId="0" applyFont="1" applyAlignment="1">
      <alignment horizontal="center" vertical="center" wrapText="1"/>
    </xf>
    <xf numFmtId="0" fontId="42" fillId="0" borderId="0" xfId="0" applyFont="1" applyAlignment="1">
      <alignment horizontal="center" vertical="center"/>
    </xf>
    <xf numFmtId="0" fontId="41" fillId="0" borderId="0" xfId="0" applyFont="1" applyAlignment="1">
      <alignment horizontal="center" vertical="center"/>
    </xf>
    <xf numFmtId="44" fontId="40" fillId="0" borderId="0" xfId="0" applyNumberFormat="1" applyFont="1" applyAlignment="1">
      <alignment horizontal="center" vertical="center"/>
    </xf>
    <xf numFmtId="44" fontId="23" fillId="0" borderId="0" xfId="2" applyFont="1" applyBorder="1" applyAlignment="1">
      <alignment horizontal="center" vertical="center"/>
    </xf>
    <xf numFmtId="44" fontId="25" fillId="0" borderId="0" xfId="2" applyFont="1" applyBorder="1" applyAlignment="1">
      <alignment horizontal="center" vertical="center"/>
    </xf>
    <xf numFmtId="44" fontId="43" fillId="0" borderId="0" xfId="2"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center"/>
    </xf>
    <xf numFmtId="0" fontId="2" fillId="0" borderId="0" xfId="0" applyFont="1" applyAlignment="1">
      <alignment horizontal="left" vertical="center" wrapText="1"/>
    </xf>
    <xf numFmtId="0" fontId="10" fillId="8" borderId="0" xfId="0" applyFont="1" applyFill="1" applyAlignment="1">
      <alignment horizontal="center" vertical="center"/>
    </xf>
    <xf numFmtId="0" fontId="10" fillId="8" borderId="0" xfId="0" applyFont="1" applyFill="1" applyAlignment="1">
      <alignment horizontal="center" vertical="center" wrapText="1"/>
    </xf>
    <xf numFmtId="0" fontId="22" fillId="8" borderId="0" xfId="0" applyFont="1" applyFill="1" applyAlignment="1">
      <alignment horizontal="center" vertical="center"/>
    </xf>
    <xf numFmtId="0" fontId="22" fillId="9" borderId="0" xfId="0" applyFont="1" applyFill="1" applyAlignment="1">
      <alignment horizontal="center" vertical="center"/>
    </xf>
    <xf numFmtId="0" fontId="22" fillId="9" borderId="0" xfId="0" applyFont="1" applyFill="1" applyAlignment="1">
      <alignment horizontal="center" vertical="center" wrapText="1"/>
    </xf>
    <xf numFmtId="0" fontId="10" fillId="9" borderId="0" xfId="0" applyFont="1" applyFill="1" applyAlignment="1">
      <alignment horizontal="center" vertical="center"/>
    </xf>
    <xf numFmtId="0" fontId="22" fillId="10" borderId="0" xfId="0" applyFont="1" applyFill="1" applyAlignment="1">
      <alignment horizontal="center" vertical="center"/>
    </xf>
    <xf numFmtId="0" fontId="32" fillId="10" borderId="0" xfId="3" applyFont="1" applyFill="1" applyBorder="1" applyAlignment="1">
      <alignment horizontal="center" vertical="center" wrapText="1"/>
    </xf>
    <xf numFmtId="0" fontId="6" fillId="6" borderId="8" xfId="0" applyFont="1" applyFill="1" applyBorder="1" applyAlignment="1">
      <alignment horizontal="center" vertical="center" wrapText="1"/>
    </xf>
    <xf numFmtId="1" fontId="6" fillId="6" borderId="8" xfId="0" applyNumberFormat="1" applyFont="1" applyFill="1" applyBorder="1" applyAlignment="1">
      <alignment horizontal="center" vertical="center"/>
    </xf>
    <xf numFmtId="44" fontId="6" fillId="6" borderId="8" xfId="2" applyFont="1" applyFill="1" applyBorder="1" applyAlignment="1">
      <alignment horizontal="center" vertical="center" wrapText="1"/>
    </xf>
    <xf numFmtId="164" fontId="6" fillId="6" borderId="8" xfId="0" applyNumberFormat="1" applyFont="1" applyFill="1" applyBorder="1" applyAlignment="1">
      <alignment horizontal="center" vertical="center" wrapText="1"/>
    </xf>
    <xf numFmtId="0" fontId="0" fillId="0" borderId="0" xfId="0" applyAlignment="1">
      <alignment horizontal="center" vertical="center"/>
    </xf>
    <xf numFmtId="0" fontId="2" fillId="3" borderId="8" xfId="0" applyFont="1" applyFill="1" applyBorder="1" applyAlignment="1">
      <alignment horizontal="center" vertical="center"/>
    </xf>
    <xf numFmtId="44" fontId="53" fillId="0" borderId="8" xfId="2" applyFont="1" applyFill="1" applyBorder="1" applyAlignment="1">
      <alignment horizontal="center" vertical="center"/>
    </xf>
    <xf numFmtId="165" fontId="53" fillId="0" borderId="8" xfId="2" applyNumberFormat="1" applyFont="1" applyFill="1" applyBorder="1" applyAlignment="1">
      <alignment horizontal="center" vertical="center"/>
    </xf>
    <xf numFmtId="44" fontId="53" fillId="0" borderId="8" xfId="2" applyFont="1" applyFill="1" applyBorder="1" applyAlignment="1">
      <alignment horizontal="center" vertical="center" wrapText="1"/>
    </xf>
    <xf numFmtId="44" fontId="53" fillId="0" borderId="9" xfId="2" applyFont="1" applyFill="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44" fontId="18" fillId="0" borderId="0" xfId="0" applyNumberFormat="1" applyFont="1" applyAlignment="1">
      <alignment horizontal="center" vertical="center" wrapText="1"/>
    </xf>
    <xf numFmtId="0" fontId="0" fillId="0" borderId="10" xfId="0" applyBorder="1" applyAlignment="1">
      <alignment horizontal="center" vertical="center"/>
    </xf>
    <xf numFmtId="0" fontId="55" fillId="0" borderId="10" xfId="0" applyFont="1" applyBorder="1" applyAlignment="1">
      <alignment horizontal="center" vertical="center"/>
    </xf>
    <xf numFmtId="0" fontId="55" fillId="0" borderId="0" xfId="0" applyFont="1"/>
    <xf numFmtId="0" fontId="56" fillId="0" borderId="10" xfId="0" applyFont="1" applyBorder="1" applyAlignment="1">
      <alignment horizontal="center" vertical="center"/>
    </xf>
    <xf numFmtId="44" fontId="2" fillId="0" borderId="8" xfId="2" applyFont="1" applyFill="1" applyBorder="1" applyAlignment="1">
      <alignment horizontal="center" vertical="center"/>
    </xf>
    <xf numFmtId="44" fontId="1" fillId="0" borderId="10" xfId="2" applyFont="1" applyBorder="1" applyAlignment="1">
      <alignment horizontal="center" vertical="center"/>
    </xf>
    <xf numFmtId="0" fontId="57" fillId="0" borderId="8" xfId="0" applyFont="1" applyBorder="1" applyAlignment="1">
      <alignment horizontal="left" vertical="center"/>
    </xf>
    <xf numFmtId="0" fontId="2" fillId="0" borderId="8" xfId="0" applyFont="1" applyBorder="1" applyAlignment="1">
      <alignment horizontal="left"/>
    </xf>
    <xf numFmtId="0" fontId="58" fillId="0" borderId="8" xfId="0" applyFont="1" applyBorder="1" applyAlignment="1">
      <alignment horizontal="left" vertical="center"/>
    </xf>
    <xf numFmtId="44" fontId="2" fillId="0" borderId="8" xfId="2" applyFont="1" applyBorder="1" applyAlignment="1">
      <alignment horizontal="center" vertical="center"/>
    </xf>
    <xf numFmtId="11"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2" fillId="12" borderId="0" xfId="0" applyFont="1" applyFill="1" applyAlignment="1">
      <alignment horizontal="center" vertical="center"/>
    </xf>
    <xf numFmtId="0" fontId="22" fillId="12" borderId="0" xfId="0" applyFont="1" applyFill="1" applyAlignment="1">
      <alignment horizontal="center" vertical="center" wrapText="1"/>
    </xf>
    <xf numFmtId="0" fontId="22" fillId="12" borderId="0" xfId="2" applyNumberFormat="1" applyFont="1" applyFill="1" applyBorder="1" applyAlignment="1">
      <alignment horizontal="center" vertical="center"/>
    </xf>
    <xf numFmtId="0" fontId="23" fillId="12" borderId="0" xfId="0" applyFont="1" applyFill="1" applyAlignment="1">
      <alignment horizontal="center" vertical="center"/>
    </xf>
    <xf numFmtId="165" fontId="0" fillId="0" borderId="10" xfId="0" applyNumberFormat="1" applyBorder="1" applyAlignment="1">
      <alignment horizontal="center" vertical="center"/>
    </xf>
    <xf numFmtId="0" fontId="0" fillId="0" borderId="10" xfId="0" applyBorder="1" applyAlignment="1">
      <alignment horizontal="center" vertical="center" wrapText="1"/>
    </xf>
    <xf numFmtId="44" fontId="0" fillId="0" borderId="10" xfId="2" applyFont="1" applyBorder="1" applyAlignment="1">
      <alignment horizontal="center" vertical="center"/>
    </xf>
    <xf numFmtId="0" fontId="59" fillId="0" borderId="8" xfId="0" applyFont="1" applyBorder="1" applyAlignment="1">
      <alignment horizontal="center" vertical="center"/>
    </xf>
    <xf numFmtId="44" fontId="2" fillId="0" borderId="0" xfId="2" applyFont="1"/>
    <xf numFmtId="0" fontId="2" fillId="0" borderId="8" xfId="0" applyFont="1" applyBorder="1" applyAlignment="1">
      <alignment horizontal="left" vertical="center" wrapText="1"/>
    </xf>
    <xf numFmtId="0" fontId="0" fillId="0" borderId="8" xfId="0" applyBorder="1" applyAlignment="1">
      <alignment horizontal="center" vertical="center"/>
    </xf>
    <xf numFmtId="0" fontId="60" fillId="0" borderId="8" xfId="0" applyFont="1" applyBorder="1" applyAlignment="1">
      <alignment horizontal="center" vertical="center"/>
    </xf>
    <xf numFmtId="165" fontId="2" fillId="0" borderId="0" xfId="0" applyNumberFormat="1" applyFont="1" applyAlignment="1">
      <alignment horizontal="center" vertical="center"/>
    </xf>
    <xf numFmtId="165" fontId="2" fillId="0" borderId="8" xfId="0" applyNumberFormat="1" applyFont="1" applyBorder="1" applyAlignment="1">
      <alignment horizontal="center" vertical="center"/>
    </xf>
    <xf numFmtId="44" fontId="2" fillId="0" borderId="0" xfId="2"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left" vertical="center"/>
    </xf>
    <xf numFmtId="0" fontId="2" fillId="0" borderId="8" xfId="0" applyFont="1" applyBorder="1" applyAlignment="1">
      <alignment horizontal="left" vertical="center"/>
    </xf>
    <xf numFmtId="44" fontId="2" fillId="3" borderId="8" xfId="2" applyFont="1" applyFill="1" applyBorder="1" applyAlignment="1">
      <alignment horizontal="center" vertical="center"/>
    </xf>
    <xf numFmtId="44" fontId="0" fillId="0" borderId="0" xfId="2" applyFont="1" applyAlignment="1">
      <alignment horizontal="center" vertical="center"/>
    </xf>
    <xf numFmtId="44" fontId="2" fillId="3" borderId="11" xfId="2" applyFont="1" applyFill="1" applyBorder="1" applyAlignment="1">
      <alignment horizontal="center" vertical="center"/>
    </xf>
    <xf numFmtId="0" fontId="13" fillId="0" borderId="10" xfId="0" applyFont="1" applyBorder="1" applyAlignment="1">
      <alignment horizontal="center" vertical="center" wrapText="1"/>
    </xf>
    <xf numFmtId="0" fontId="55" fillId="0" borderId="6" xfId="0" applyFont="1" applyBorder="1" applyAlignment="1">
      <alignment horizontal="center" vertical="center"/>
    </xf>
    <xf numFmtId="0" fontId="55" fillId="0" borderId="0" xfId="0" applyFont="1" applyAlignment="1">
      <alignment horizontal="center" vertical="center"/>
    </xf>
    <xf numFmtId="0" fontId="65" fillId="0" borderId="8" xfId="0" applyFont="1" applyBorder="1" applyAlignment="1">
      <alignment horizontal="center" vertical="center"/>
    </xf>
    <xf numFmtId="0" fontId="56" fillId="0" borderId="0" xfId="0" applyFont="1" applyAlignment="1">
      <alignment wrapText="1"/>
    </xf>
    <xf numFmtId="165" fontId="0" fillId="0" borderId="0" xfId="0" applyNumberFormat="1" applyAlignment="1">
      <alignment horizontal="center" vertical="center"/>
    </xf>
    <xf numFmtId="0" fontId="0" fillId="0" borderId="0" xfId="0" applyAlignment="1">
      <alignment horizontal="center" vertical="center" wrapText="1"/>
    </xf>
    <xf numFmtId="0" fontId="2" fillId="0" borderId="10" xfId="0" applyFont="1" applyBorder="1" applyAlignment="1">
      <alignment horizontal="center" vertical="center" wrapText="1"/>
    </xf>
    <xf numFmtId="165" fontId="0" fillId="0" borderId="10" xfId="0" applyNumberFormat="1" applyBorder="1" applyAlignment="1">
      <alignment horizontal="center" vertical="center" wrapText="1"/>
    </xf>
    <xf numFmtId="0" fontId="67" fillId="13" borderId="0" xfId="0" applyFont="1" applyFill="1" applyAlignment="1">
      <alignment horizontal="center" vertical="center"/>
    </xf>
    <xf numFmtId="44" fontId="2" fillId="0" borderId="8" xfId="2" applyFont="1" applyBorder="1"/>
    <xf numFmtId="0" fontId="2" fillId="0" borderId="13" xfId="0" applyFont="1" applyBorder="1" applyAlignment="1">
      <alignment horizontal="center" vertical="center"/>
    </xf>
    <xf numFmtId="165" fontId="0" fillId="0" borderId="8" xfId="0" applyNumberFormat="1" applyBorder="1" applyAlignment="1">
      <alignment horizontal="center" vertical="center"/>
    </xf>
    <xf numFmtId="0" fontId="0" fillId="0" borderId="8" xfId="0" applyBorder="1" applyAlignment="1">
      <alignment horizontal="center" vertical="center" wrapText="1"/>
    </xf>
    <xf numFmtId="0" fontId="55" fillId="0" borderId="10"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left" vertical="center"/>
    </xf>
    <xf numFmtId="0" fontId="0" fillId="0" borderId="0" xfId="0" applyAlignment="1">
      <alignment horizontal="left"/>
    </xf>
    <xf numFmtId="0" fontId="13" fillId="0" borderId="2" xfId="0" applyFont="1" applyBorder="1" applyAlignment="1">
      <alignment horizontal="center" vertical="center" wrapText="1"/>
    </xf>
    <xf numFmtId="0" fontId="60" fillId="0" borderId="14" xfId="0" applyFont="1" applyBorder="1" applyAlignment="1">
      <alignment horizontal="center" vertical="center"/>
    </xf>
    <xf numFmtId="0" fontId="2" fillId="0" borderId="0" xfId="0" applyFont="1" applyAlignment="1">
      <alignment horizontal="left"/>
    </xf>
    <xf numFmtId="0" fontId="2" fillId="0" borderId="4" xfId="0" applyFont="1" applyBorder="1" applyAlignment="1">
      <alignment horizontal="center" vertical="center" wrapText="1"/>
    </xf>
    <xf numFmtId="17" fontId="55" fillId="0" borderId="10" xfId="0" applyNumberFormat="1" applyFont="1" applyBorder="1" applyAlignment="1">
      <alignment horizontal="center" vertical="center"/>
    </xf>
    <xf numFmtId="0" fontId="2" fillId="0" borderId="8" xfId="0" applyFont="1" applyBorder="1" applyAlignment="1">
      <alignment horizontal="center"/>
    </xf>
    <xf numFmtId="0" fontId="6" fillId="6" borderId="8" xfId="0" applyFont="1" applyFill="1" applyBorder="1" applyAlignment="1">
      <alignment horizontal="left" vertical="center" wrapText="1"/>
    </xf>
    <xf numFmtId="0" fontId="35" fillId="0" borderId="10" xfId="3" applyFont="1" applyBorder="1" applyAlignment="1">
      <alignment horizontal="center" vertical="center" wrapText="1"/>
    </xf>
    <xf numFmtId="0" fontId="0" fillId="0" borderId="6" xfId="0" applyBorder="1" applyAlignment="1">
      <alignment horizontal="center" vertical="center"/>
    </xf>
    <xf numFmtId="44" fontId="0" fillId="0" borderId="6" xfId="2" applyFont="1" applyBorder="1" applyAlignment="1">
      <alignment horizontal="center" vertical="center"/>
    </xf>
    <xf numFmtId="0" fontId="21" fillId="0" borderId="10" xfId="2" applyNumberFormat="1" applyFont="1" applyBorder="1" applyAlignment="1">
      <alignment horizontal="center" vertical="center" wrapText="1"/>
    </xf>
    <xf numFmtId="0" fontId="13" fillId="0" borderId="10" xfId="0" applyFont="1" applyBorder="1" applyAlignment="1">
      <alignment horizontal="center" vertical="center"/>
    </xf>
    <xf numFmtId="0" fontId="21" fillId="0" borderId="10" xfId="0" applyFont="1" applyBorder="1" applyAlignment="1">
      <alignment horizontal="center" vertical="center"/>
    </xf>
    <xf numFmtId="0" fontId="16" fillId="0" borderId="10" xfId="0" applyFont="1" applyBorder="1" applyAlignment="1">
      <alignment horizontal="center" vertical="center" wrapText="1"/>
    </xf>
    <xf numFmtId="0" fontId="64" fillId="0" borderId="10" xfId="0" applyFont="1" applyBorder="1" applyAlignment="1">
      <alignment horizontal="center" vertical="center"/>
    </xf>
    <xf numFmtId="0" fontId="64" fillId="0" borderId="10" xfId="0" applyFont="1" applyBorder="1" applyAlignment="1">
      <alignment horizontal="center" vertical="center" wrapText="1"/>
    </xf>
    <xf numFmtId="0" fontId="69" fillId="0" borderId="10" xfId="0" applyFont="1" applyBorder="1" applyAlignment="1">
      <alignment horizontal="center" vertical="center" wrapText="1" readingOrder="1"/>
    </xf>
    <xf numFmtId="0" fontId="2" fillId="0" borderId="12" xfId="0" applyFont="1" applyBorder="1" applyAlignment="1">
      <alignment horizontal="left" vertical="center"/>
    </xf>
    <xf numFmtId="0" fontId="0" fillId="0" borderId="13" xfId="0" applyBorder="1" applyAlignment="1">
      <alignment horizontal="center" vertical="center"/>
    </xf>
    <xf numFmtId="165" fontId="2" fillId="0" borderId="13" xfId="0" applyNumberFormat="1" applyFont="1" applyBorder="1" applyAlignment="1">
      <alignment horizontal="center" vertical="center"/>
    </xf>
    <xf numFmtId="44" fontId="2" fillId="0" borderId="13" xfId="2" applyFont="1" applyBorder="1" applyAlignment="1">
      <alignment horizontal="center" vertical="center"/>
    </xf>
    <xf numFmtId="0" fontId="2" fillId="0" borderId="4" xfId="0" applyFont="1" applyBorder="1" applyAlignment="1">
      <alignment horizontal="center" wrapText="1"/>
    </xf>
    <xf numFmtId="0" fontId="0" fillId="0" borderId="6" xfId="0" applyBorder="1" applyAlignment="1">
      <alignment horizontal="center" vertical="center" wrapText="1"/>
    </xf>
    <xf numFmtId="165" fontId="0" fillId="0" borderId="6" xfId="0" applyNumberFormat="1" applyBorder="1" applyAlignment="1">
      <alignment horizontal="center" vertical="center"/>
    </xf>
    <xf numFmtId="0" fontId="55" fillId="0" borderId="10" xfId="0" applyFont="1" applyBorder="1" applyAlignment="1">
      <alignment horizontal="left" vertical="center"/>
    </xf>
    <xf numFmtId="0" fontId="0" fillId="0" borderId="13" xfId="0" applyBorder="1" applyAlignment="1">
      <alignment horizontal="center" vertical="center" wrapText="1"/>
    </xf>
    <xf numFmtId="0" fontId="2" fillId="0" borderId="6" xfId="0" applyFont="1" applyBorder="1" applyAlignment="1">
      <alignment horizontal="center" vertical="center"/>
    </xf>
    <xf numFmtId="44" fontId="41" fillId="0" borderId="0" xfId="2" applyFont="1" applyBorder="1" applyAlignment="1">
      <alignment horizontal="center" vertical="center"/>
    </xf>
    <xf numFmtId="0" fontId="13" fillId="0" borderId="6" xfId="0" applyFont="1" applyBorder="1" applyAlignment="1">
      <alignment horizontal="center" vertical="center" wrapText="1"/>
    </xf>
    <xf numFmtId="0" fontId="2" fillId="0" borderId="14" xfId="0" applyFont="1" applyBorder="1" applyAlignment="1">
      <alignment horizontal="left" vertical="center"/>
    </xf>
    <xf numFmtId="44" fontId="2" fillId="0" borderId="14" xfId="2" applyFont="1" applyFill="1" applyBorder="1" applyAlignment="1">
      <alignment horizontal="center" vertical="center"/>
    </xf>
    <xf numFmtId="14" fontId="2" fillId="0" borderId="14" xfId="0" applyNumberFormat="1" applyFont="1" applyBorder="1" applyAlignment="1">
      <alignment horizontal="center" vertical="center"/>
    </xf>
    <xf numFmtId="0" fontId="5" fillId="13" borderId="0" xfId="0" applyFont="1" applyFill="1" applyAlignment="1">
      <alignment horizontal="center" vertical="center"/>
    </xf>
    <xf numFmtId="44" fontId="5" fillId="13" borderId="0" xfId="2" applyFont="1" applyFill="1" applyBorder="1" applyAlignment="1">
      <alignment horizontal="center" vertical="center"/>
    </xf>
    <xf numFmtId="44" fontId="6" fillId="6" borderId="9" xfId="2" applyFont="1" applyFill="1" applyBorder="1" applyAlignment="1">
      <alignment horizontal="center" vertical="center" wrapText="1"/>
    </xf>
    <xf numFmtId="14" fontId="2" fillId="0" borderId="9" xfId="0" applyNumberFormat="1" applyFont="1" applyBorder="1" applyAlignment="1">
      <alignment horizontal="center" vertical="center"/>
    </xf>
    <xf numFmtId="44" fontId="71" fillId="0" borderId="8" xfId="2" applyFont="1" applyBorder="1" applyAlignment="1">
      <alignment horizontal="center" vertical="center"/>
    </xf>
    <xf numFmtId="0" fontId="5" fillId="0" borderId="8" xfId="0" applyFont="1" applyBorder="1" applyAlignment="1">
      <alignment horizontal="center" vertical="center" wrapText="1"/>
    </xf>
    <xf numFmtId="0" fontId="2" fillId="0" borderId="13" xfId="0" applyFont="1" applyBorder="1" applyAlignment="1">
      <alignment horizontal="left" vertical="center" wrapText="1"/>
    </xf>
    <xf numFmtId="0" fontId="8" fillId="0" borderId="8" xfId="0" applyFont="1" applyBorder="1" applyAlignment="1">
      <alignment horizontal="left" vertical="center" wrapText="1"/>
    </xf>
    <xf numFmtId="44" fontId="2" fillId="3" borderId="8" xfId="2" applyFont="1" applyFill="1" applyBorder="1" applyAlignment="1">
      <alignment horizontal="center" vertical="center" wrapText="1"/>
    </xf>
    <xf numFmtId="0" fontId="13" fillId="0" borderId="8" xfId="0" applyFont="1" applyBorder="1" applyAlignment="1">
      <alignment horizontal="left" vertical="center" wrapText="1"/>
    </xf>
    <xf numFmtId="0" fontId="8" fillId="13" borderId="0" xfId="0" applyFont="1" applyFill="1" applyAlignment="1">
      <alignment horizontal="left" vertical="center" wrapText="1"/>
    </xf>
    <xf numFmtId="0" fontId="0" fillId="0" borderId="0" xfId="0" applyAlignment="1">
      <alignment vertical="center"/>
    </xf>
    <xf numFmtId="44" fontId="2" fillId="0" borderId="8" xfId="2" applyFont="1" applyBorder="1" applyAlignment="1">
      <alignment vertical="center"/>
    </xf>
    <xf numFmtId="44" fontId="5" fillId="13" borderId="0" xfId="2" applyFont="1" applyFill="1" applyBorder="1" applyAlignment="1">
      <alignment vertical="center"/>
    </xf>
    <xf numFmtId="44" fontId="0" fillId="0" borderId="0" xfId="2" applyFont="1" applyAlignment="1">
      <alignment vertical="center"/>
    </xf>
    <xf numFmtId="0" fontId="61" fillId="15" borderId="0" xfId="0" applyFont="1" applyFill="1" applyAlignment="1">
      <alignment vertical="center"/>
    </xf>
    <xf numFmtId="0" fontId="2" fillId="15" borderId="0" xfId="0" applyFont="1" applyFill="1" applyAlignment="1">
      <alignment horizontal="center" vertical="center"/>
    </xf>
    <xf numFmtId="44" fontId="2" fillId="0" borderId="14" xfId="2" applyFont="1" applyBorder="1" applyAlignment="1">
      <alignment horizontal="center" vertical="center"/>
    </xf>
    <xf numFmtId="0" fontId="13" fillId="0" borderId="8" xfId="0" applyFont="1" applyBorder="1" applyAlignment="1">
      <alignment horizontal="left" vertical="center"/>
    </xf>
    <xf numFmtId="0" fontId="8" fillId="0" borderId="8" xfId="0" applyFont="1" applyBorder="1" applyAlignment="1">
      <alignment horizontal="left" vertical="center"/>
    </xf>
    <xf numFmtId="0" fontId="64" fillId="13" borderId="0" xfId="0" applyFont="1" applyFill="1" applyAlignment="1">
      <alignment horizontal="left" vertical="center"/>
    </xf>
    <xf numFmtId="0" fontId="13" fillId="0" borderId="0" xfId="0" applyFont="1" applyAlignment="1">
      <alignment horizontal="left" vertical="center"/>
    </xf>
    <xf numFmtId="0" fontId="2" fillId="0" borderId="8" xfId="0" applyFont="1" applyBorder="1" applyAlignment="1">
      <alignment horizontal="left" vertical="top" wrapText="1"/>
    </xf>
    <xf numFmtId="0" fontId="13" fillId="0" borderId="6" xfId="0" applyFont="1" applyBorder="1" applyAlignment="1">
      <alignment horizontal="center" vertical="center"/>
    </xf>
    <xf numFmtId="44" fontId="1" fillId="0" borderId="6" xfId="2" applyFont="1" applyBorder="1" applyAlignment="1">
      <alignment horizontal="center" vertical="center"/>
    </xf>
    <xf numFmtId="0" fontId="64" fillId="0" borderId="6" xfId="0" applyFont="1" applyBorder="1" applyAlignment="1">
      <alignment horizontal="center" vertical="center"/>
    </xf>
    <xf numFmtId="0" fontId="31" fillId="0" borderId="8" xfId="3" applyBorder="1" applyAlignment="1">
      <alignment horizontal="center" vertical="center" wrapText="1"/>
    </xf>
    <xf numFmtId="44" fontId="5" fillId="0" borderId="0" xfId="0" applyNumberFormat="1" applyFont="1"/>
    <xf numFmtId="0" fontId="8" fillId="0" borderId="8" xfId="0" applyFont="1" applyBorder="1" applyAlignment="1">
      <alignment horizontal="left" vertical="top" wrapText="1"/>
    </xf>
    <xf numFmtId="0" fontId="61" fillId="0" borderId="10" xfId="0" applyFont="1" applyBorder="1" applyAlignment="1">
      <alignment horizontal="center" vertical="center"/>
    </xf>
    <xf numFmtId="0" fontId="61" fillId="0" borderId="10" xfId="2" applyNumberFormat="1" applyFont="1" applyFill="1" applyBorder="1" applyAlignment="1">
      <alignment horizontal="center" vertical="center" wrapText="1"/>
    </xf>
    <xf numFmtId="0" fontId="61" fillId="0" borderId="10" xfId="0" applyFont="1" applyBorder="1" applyAlignment="1">
      <alignment horizontal="center" vertical="center" wrapText="1"/>
    </xf>
    <xf numFmtId="0" fontId="61" fillId="0" borderId="6" xfId="0" applyFont="1" applyBorder="1" applyAlignment="1">
      <alignment horizontal="center" vertical="center"/>
    </xf>
    <xf numFmtId="0" fontId="29" fillId="0" borderId="10" xfId="0" applyFont="1" applyBorder="1" applyAlignment="1">
      <alignment horizontal="center" vertical="center"/>
    </xf>
    <xf numFmtId="44" fontId="0" fillId="0" borderId="10" xfId="2" applyFont="1" applyBorder="1" applyAlignment="1">
      <alignment horizontal="center" vertical="center" wrapText="1"/>
    </xf>
    <xf numFmtId="0" fontId="56" fillId="0" borderId="6" xfId="0" applyFont="1" applyBorder="1" applyAlignment="1">
      <alignment horizontal="center" vertical="center"/>
    </xf>
    <xf numFmtId="0" fontId="0" fillId="0" borderId="10" xfId="2" applyNumberFormat="1" applyFont="1" applyBorder="1" applyAlignment="1">
      <alignment horizontal="center" vertical="center"/>
    </xf>
    <xf numFmtId="0" fontId="13" fillId="0" borderId="0" xfId="3" applyFont="1" applyBorder="1" applyAlignment="1">
      <alignment horizontal="center" vertical="center" wrapText="1"/>
    </xf>
    <xf numFmtId="44" fontId="11" fillId="0" borderId="0" xfId="0" applyNumberFormat="1" applyFont="1" applyAlignment="1">
      <alignment horizontal="center" vertical="center" wrapText="1"/>
    </xf>
    <xf numFmtId="0" fontId="6" fillId="3" borderId="2" xfId="0" applyFont="1" applyFill="1" applyBorder="1" applyAlignment="1">
      <alignment vertical="center"/>
    </xf>
    <xf numFmtId="0" fontId="6" fillId="3" borderId="3" xfId="0" applyFont="1" applyFill="1" applyBorder="1" applyAlignment="1">
      <alignment vertical="center"/>
    </xf>
    <xf numFmtId="0" fontId="6" fillId="3" borderId="1" xfId="0" applyFont="1" applyFill="1" applyBorder="1" applyAlignment="1">
      <alignment vertical="center"/>
    </xf>
    <xf numFmtId="0" fontId="6" fillId="3" borderId="13" xfId="0" applyFont="1" applyFill="1" applyBorder="1" applyAlignment="1">
      <alignment horizontal="center" vertical="center"/>
    </xf>
    <xf numFmtId="44" fontId="6" fillId="3" borderId="1" xfId="2" applyFont="1" applyFill="1" applyBorder="1" applyAlignment="1">
      <alignment horizontal="center" vertical="center"/>
    </xf>
    <xf numFmtId="0" fontId="6" fillId="3" borderId="13" xfId="0" applyFont="1" applyFill="1" applyBorder="1" applyAlignment="1">
      <alignment horizontal="center"/>
    </xf>
    <xf numFmtId="44" fontId="2" fillId="0" borderId="13" xfId="2" applyFont="1" applyBorder="1"/>
    <xf numFmtId="0" fontId="57" fillId="0" borderId="8" xfId="0" applyFont="1" applyBorder="1" applyAlignment="1">
      <alignment horizontal="center" vertical="center"/>
    </xf>
    <xf numFmtId="0" fontId="68" fillId="0" borderId="8" xfId="0" applyFont="1" applyBorder="1" applyAlignment="1">
      <alignment vertical="center" wrapText="1"/>
    </xf>
    <xf numFmtId="0" fontId="63" fillId="0" borderId="8" xfId="0" applyFont="1" applyBorder="1" applyAlignment="1">
      <alignment vertical="center" wrapText="1"/>
    </xf>
    <xf numFmtId="0" fontId="63" fillId="0" borderId="8" xfId="0" applyFont="1" applyBorder="1" applyAlignment="1">
      <alignment horizontal="center" vertical="center" wrapText="1"/>
    </xf>
    <xf numFmtId="0" fontId="62" fillId="0" borderId="8" xfId="0" applyFont="1" applyBorder="1" applyAlignment="1">
      <alignment horizontal="left" vertical="center"/>
    </xf>
    <xf numFmtId="0" fontId="63" fillId="0" borderId="8" xfId="0" applyFont="1" applyBorder="1" applyAlignment="1">
      <alignment vertical="center"/>
    </xf>
    <xf numFmtId="0" fontId="2" fillId="0" borderId="8" xfId="0" applyFont="1" applyBorder="1"/>
    <xf numFmtId="0" fontId="35" fillId="0" borderId="0" xfId="3" applyFont="1" applyBorder="1" applyAlignment="1">
      <alignment horizontal="center" vertical="center" wrapText="1"/>
    </xf>
    <xf numFmtId="165" fontId="70" fillId="0" borderId="10" xfId="0" applyNumberFormat="1" applyFont="1" applyBorder="1" applyAlignment="1">
      <alignment horizontal="center" vertical="center"/>
    </xf>
    <xf numFmtId="0" fontId="2" fillId="0" borderId="6" xfId="0" applyFont="1" applyBorder="1" applyAlignment="1">
      <alignment horizontal="center" vertical="center" wrapText="1"/>
    </xf>
    <xf numFmtId="0" fontId="61" fillId="0" borderId="0" xfId="0" applyFont="1" applyAlignment="1">
      <alignment vertical="center"/>
    </xf>
    <xf numFmtId="0" fontId="70" fillId="0" borderId="10" xfId="0" applyFont="1" applyBorder="1" applyAlignment="1">
      <alignment horizontal="center" vertical="center"/>
    </xf>
    <xf numFmtId="165" fontId="0" fillId="0" borderId="8" xfId="0" applyNumberFormat="1" applyBorder="1" applyAlignment="1">
      <alignment horizontal="center" vertical="center" wrapText="1"/>
    </xf>
    <xf numFmtId="0" fontId="2" fillId="10" borderId="0" xfId="0" applyFont="1" applyFill="1" applyAlignment="1">
      <alignment horizontal="center" vertical="center"/>
    </xf>
    <xf numFmtId="0" fontId="72" fillId="0" borderId="0" xfId="0" applyFont="1" applyAlignment="1">
      <alignment horizontal="left" vertical="center" wrapText="1"/>
    </xf>
    <xf numFmtId="165" fontId="2" fillId="0" borderId="14"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4" xfId="0" applyFont="1" applyBorder="1" applyAlignment="1">
      <alignment horizontal="center" vertical="center" wrapText="1"/>
    </xf>
    <xf numFmtId="0" fontId="0" fillId="0" borderId="11" xfId="0" applyBorder="1" applyAlignment="1">
      <alignment horizontal="center" vertical="center" wrapText="1"/>
    </xf>
    <xf numFmtId="0" fontId="55" fillId="0" borderId="6" xfId="0" applyFont="1" applyBorder="1" applyAlignment="1">
      <alignment horizontal="center" vertical="center" wrapText="1"/>
    </xf>
    <xf numFmtId="0" fontId="0" fillId="0" borderId="6" xfId="0" quotePrefix="1" applyBorder="1" applyAlignment="1">
      <alignment horizontal="center" vertical="center"/>
    </xf>
    <xf numFmtId="0" fontId="0" fillId="0" borderId="0" xfId="0" applyAlignment="1">
      <alignment horizontal="left" vertical="center"/>
    </xf>
    <xf numFmtId="0" fontId="55" fillId="0" borderId="0" xfId="0" applyFont="1" applyAlignment="1">
      <alignment horizontal="left" vertical="center"/>
    </xf>
    <xf numFmtId="0" fontId="5" fillId="0" borderId="0" xfId="0" applyFont="1" applyAlignment="1">
      <alignment horizontal="left"/>
    </xf>
    <xf numFmtId="44" fontId="8" fillId="0" borderId="0" xfId="2" applyFont="1" applyBorder="1" applyAlignment="1">
      <alignment horizontal="left" vertical="center" wrapText="1"/>
    </xf>
    <xf numFmtId="16" fontId="8" fillId="0" borderId="0" xfId="0" applyNumberFormat="1" applyFont="1" applyAlignment="1">
      <alignment horizontal="left" vertical="center" wrapText="1"/>
    </xf>
    <xf numFmtId="44" fontId="8" fillId="0" borderId="0" xfId="2" applyFont="1" applyFill="1" applyBorder="1" applyAlignment="1">
      <alignment horizontal="left" vertical="center" wrapText="1"/>
    </xf>
    <xf numFmtId="0" fontId="29" fillId="0" borderId="0" xfId="0" applyFont="1" applyAlignment="1">
      <alignment horizontal="left" vertical="center" wrapText="1"/>
    </xf>
    <xf numFmtId="0" fontId="8" fillId="0" borderId="0" xfId="2" applyNumberFormat="1" applyFont="1" applyFill="1" applyBorder="1" applyAlignment="1">
      <alignment horizontal="left" vertical="center" wrapText="1"/>
    </xf>
    <xf numFmtId="44" fontId="29" fillId="0" borderId="0" xfId="0" applyNumberFormat="1" applyFont="1" applyAlignment="1">
      <alignment horizontal="left" vertical="center" wrapText="1"/>
    </xf>
    <xf numFmtId="1" fontId="42" fillId="3" borderId="0" xfId="0" applyNumberFormat="1" applyFont="1" applyFill="1" applyAlignment="1">
      <alignment horizontal="left" vertical="center" wrapText="1"/>
    </xf>
    <xf numFmtId="0" fontId="2" fillId="3" borderId="2" xfId="0" applyFont="1" applyFill="1" applyBorder="1" applyAlignment="1">
      <alignment horizontal="center" vertical="center"/>
    </xf>
    <xf numFmtId="0" fontId="73" fillId="12" borderId="0" xfId="0" applyFont="1" applyFill="1" applyAlignment="1">
      <alignment horizontal="center" vertical="center"/>
    </xf>
    <xf numFmtId="44" fontId="2" fillId="0" borderId="8" xfId="2" applyFont="1" applyBorder="1" applyAlignment="1">
      <alignment horizontal="right" vertical="center"/>
    </xf>
    <xf numFmtId="0" fontId="0" fillId="0" borderId="8" xfId="0" applyBorder="1" applyAlignment="1">
      <alignment horizontal="center" wrapText="1"/>
    </xf>
    <xf numFmtId="0" fontId="13" fillId="0" borderId="14" xfId="0" applyFont="1" applyBorder="1" applyAlignment="1">
      <alignment horizontal="left" vertical="center"/>
    </xf>
    <xf numFmtId="0" fontId="64" fillId="0" borderId="8" xfId="0" applyFont="1" applyBorder="1" applyAlignment="1">
      <alignment horizontal="left" vertical="center"/>
    </xf>
    <xf numFmtId="14" fontId="2" fillId="0" borderId="8" xfId="2" applyNumberFormat="1" applyFont="1" applyFill="1" applyBorder="1" applyAlignment="1">
      <alignment horizontal="center" vertical="center"/>
    </xf>
    <xf numFmtId="0" fontId="2" fillId="0" borderId="4" xfId="0" applyFont="1" applyBorder="1" applyAlignment="1">
      <alignment horizontal="center" vertical="center"/>
    </xf>
    <xf numFmtId="44" fontId="60" fillId="0" borderId="8" xfId="2" applyFont="1" applyFill="1" applyBorder="1" applyAlignment="1">
      <alignment horizontal="center" vertical="center"/>
    </xf>
    <xf numFmtId="44" fontId="2" fillId="0" borderId="8" xfId="2" applyFont="1" applyFill="1" applyBorder="1"/>
    <xf numFmtId="165" fontId="2" fillId="0" borderId="12" xfId="0" applyNumberFormat="1" applyFont="1" applyBorder="1" applyAlignment="1">
      <alignment horizontal="center" vertical="center"/>
    </xf>
    <xf numFmtId="14" fontId="2" fillId="0" borderId="10" xfId="0" applyNumberFormat="1" applyFont="1" applyBorder="1" applyAlignment="1">
      <alignment horizontal="center" vertical="center"/>
    </xf>
    <xf numFmtId="44" fontId="0" fillId="0" borderId="10" xfId="0" applyNumberFormat="1" applyBorder="1" applyAlignment="1">
      <alignment horizontal="center" vertical="center" wrapText="1"/>
    </xf>
    <xf numFmtId="44" fontId="61" fillId="0" borderId="10" xfId="2" applyFont="1" applyBorder="1" applyAlignment="1">
      <alignment horizontal="center" vertical="center" wrapText="1"/>
    </xf>
    <xf numFmtId="0" fontId="70" fillId="0" borderId="10" xfId="3" applyFont="1" applyBorder="1" applyAlignment="1">
      <alignment horizontal="center" vertical="center" wrapText="1"/>
    </xf>
    <xf numFmtId="0" fontId="61" fillId="0" borderId="8" xfId="0" applyFont="1" applyBorder="1" applyAlignment="1">
      <alignment horizontal="center" vertical="center"/>
    </xf>
    <xf numFmtId="0" fontId="70" fillId="0" borderId="10" xfId="0" applyFont="1" applyBorder="1" applyAlignment="1">
      <alignment horizontal="center" vertical="center" wrapText="1"/>
    </xf>
    <xf numFmtId="0" fontId="74" fillId="0" borderId="10" xfId="3" applyFont="1" applyBorder="1" applyAlignment="1">
      <alignment horizontal="center" vertical="center" wrapText="1"/>
    </xf>
    <xf numFmtId="0" fontId="70" fillId="0" borderId="6" xfId="0" applyFont="1" applyBorder="1" applyAlignment="1">
      <alignment horizontal="center" vertical="center" wrapText="1"/>
    </xf>
    <xf numFmtId="0" fontId="75" fillId="0" borderId="6" xfId="3" applyFont="1" applyBorder="1" applyAlignment="1">
      <alignment horizontal="center" vertical="center"/>
    </xf>
    <xf numFmtId="0" fontId="75" fillId="0" borderId="10" xfId="0" applyFont="1" applyBorder="1" applyAlignment="1">
      <alignment horizontal="center" vertical="center" wrapText="1"/>
    </xf>
    <xf numFmtId="0" fontId="70" fillId="0" borderId="0" xfId="0" applyFont="1" applyAlignment="1">
      <alignment horizontal="center" vertical="center"/>
    </xf>
    <xf numFmtId="0" fontId="70" fillId="0" borderId="10" xfId="0" applyFont="1" applyBorder="1" applyAlignment="1">
      <alignment horizontal="center" vertical="top" wrapText="1"/>
    </xf>
    <xf numFmtId="0" fontId="2" fillId="0" borderId="0" xfId="0" applyFont="1" applyAlignment="1">
      <alignment horizontal="center" vertical="center" wrapText="1"/>
    </xf>
    <xf numFmtId="44" fontId="19" fillId="0" borderId="0" xfId="0" applyNumberFormat="1" applyFont="1" applyAlignment="1">
      <alignment horizontal="center" vertical="center" wrapText="1"/>
    </xf>
    <xf numFmtId="0" fontId="76" fillId="0" borderId="0" xfId="0" applyFont="1" applyAlignment="1">
      <alignment horizontal="center" vertical="center" wrapText="1"/>
    </xf>
    <xf numFmtId="0" fontId="81" fillId="0" borderId="0" xfId="3" applyFont="1" applyBorder="1" applyAlignment="1">
      <alignment horizontal="center" vertical="center" wrapText="1"/>
    </xf>
    <xf numFmtId="0" fontId="77" fillId="0" borderId="0" xfId="0" applyFont="1" applyAlignment="1">
      <alignment horizontal="center" vertical="center" wrapText="1"/>
    </xf>
    <xf numFmtId="0" fontId="80" fillId="0" borderId="0" xfId="0" quotePrefix="1" applyFont="1" applyAlignment="1">
      <alignment horizontal="center" vertical="center" wrapText="1"/>
    </xf>
    <xf numFmtId="0" fontId="88" fillId="0" borderId="0" xfId="0" applyFont="1" applyAlignment="1">
      <alignment horizontal="center" vertical="center" wrapText="1"/>
    </xf>
    <xf numFmtId="0" fontId="80" fillId="0" borderId="0" xfId="0" applyFont="1" applyAlignment="1">
      <alignment horizontal="center" vertical="center" wrapText="1"/>
    </xf>
    <xf numFmtId="0" fontId="76" fillId="0" borderId="0" xfId="0" applyFont="1" applyAlignment="1">
      <alignment horizontal="center" vertical="top" wrapText="1"/>
    </xf>
    <xf numFmtId="0" fontId="86" fillId="0" borderId="0" xfId="0" applyFont="1" applyAlignment="1">
      <alignment horizontal="center" vertical="center" wrapText="1"/>
    </xf>
    <xf numFmtId="0" fontId="82" fillId="0" borderId="0" xfId="3" applyFont="1" applyBorder="1" applyAlignment="1">
      <alignment horizontal="center" vertical="center" wrapText="1"/>
    </xf>
    <xf numFmtId="0" fontId="82" fillId="0" borderId="0" xfId="3" applyFont="1" applyBorder="1" applyAlignment="1">
      <alignment horizontal="center" vertical="top" wrapText="1"/>
    </xf>
    <xf numFmtId="0" fontId="83" fillId="0" borderId="0" xfId="3" applyFont="1" applyBorder="1" applyAlignment="1">
      <alignment horizontal="center" vertical="center" wrapText="1"/>
    </xf>
    <xf numFmtId="44" fontId="33" fillId="0" borderId="0" xfId="2" applyFont="1" applyBorder="1" applyAlignment="1">
      <alignment horizontal="center" vertical="center" wrapText="1"/>
    </xf>
    <xf numFmtId="44" fontId="32" fillId="0" borderId="0" xfId="2" applyFont="1" applyBorder="1" applyAlignment="1">
      <alignment horizontal="center" vertical="center" wrapText="1"/>
    </xf>
    <xf numFmtId="44" fontId="24" fillId="0" borderId="0" xfId="2" applyFont="1" applyBorder="1" applyAlignment="1">
      <alignment horizontal="center" vertical="center"/>
    </xf>
    <xf numFmtId="44" fontId="23" fillId="0" borderId="0" xfId="2" applyFont="1" applyBorder="1" applyAlignment="1">
      <alignment horizontal="center" vertical="center" wrapText="1"/>
    </xf>
    <xf numFmtId="6" fontId="23" fillId="0" borderId="0" xfId="2" applyNumberFormat="1" applyFont="1" applyBorder="1" applyAlignment="1">
      <alignment horizontal="center" vertical="center"/>
    </xf>
    <xf numFmtId="0" fontId="82" fillId="0" borderId="0" xfId="3" applyFont="1" applyFill="1" applyBorder="1" applyAlignment="1">
      <alignment horizontal="center" vertical="center" wrapText="1"/>
    </xf>
    <xf numFmtId="0" fontId="8" fillId="0" borderId="0" xfId="0" applyFont="1" applyAlignment="1">
      <alignment horizontal="left" vertical="center"/>
    </xf>
    <xf numFmtId="0" fontId="70" fillId="0" borderId="6" xfId="0" applyFont="1" applyBorder="1" applyAlignment="1">
      <alignment horizontal="center" vertical="center"/>
    </xf>
    <xf numFmtId="0" fontId="87" fillId="0" borderId="0" xfId="3" applyFont="1" applyFill="1" applyBorder="1" applyAlignment="1">
      <alignment horizontal="center" vertical="center" wrapText="1"/>
    </xf>
    <xf numFmtId="0" fontId="87" fillId="0" borderId="0" xfId="3" applyFont="1" applyBorder="1" applyAlignment="1">
      <alignment horizontal="center" vertical="center" wrapText="1"/>
    </xf>
    <xf numFmtId="0" fontId="93" fillId="0" borderId="10" xfId="0" applyFont="1" applyBorder="1" applyAlignment="1">
      <alignment horizontal="center" vertical="center" wrapText="1"/>
    </xf>
    <xf numFmtId="0" fontId="73" fillId="8" borderId="0" xfId="0" applyFont="1" applyFill="1" applyAlignment="1">
      <alignment horizontal="center" vertical="center"/>
    </xf>
    <xf numFmtId="0" fontId="56" fillId="0" borderId="10" xfId="0" applyFont="1" applyBorder="1" applyAlignment="1">
      <alignment horizontal="center" vertical="center" wrapText="1"/>
    </xf>
    <xf numFmtId="44" fontId="60" fillId="0" borderId="14" xfId="2" applyFont="1" applyFill="1" applyBorder="1" applyAlignment="1">
      <alignment horizontal="center" vertical="center"/>
    </xf>
    <xf numFmtId="14" fontId="2" fillId="0" borderId="14" xfId="2" applyNumberFormat="1" applyFont="1" applyFill="1" applyBorder="1" applyAlignment="1">
      <alignment horizontal="center" vertical="center"/>
    </xf>
    <xf numFmtId="0" fontId="20" fillId="0" borderId="10" xfId="3" applyFont="1" applyBorder="1" applyAlignment="1">
      <alignment horizontal="center" vertical="center" wrapText="1"/>
    </xf>
    <xf numFmtId="0" fontId="82" fillId="0" borderId="10" xfId="3" applyFont="1" applyBorder="1" applyAlignment="1">
      <alignment horizontal="center" vertical="center" wrapText="1"/>
    </xf>
    <xf numFmtId="165" fontId="0" fillId="0" borderId="13" xfId="0" applyNumberFormat="1" applyBorder="1" applyAlignment="1">
      <alignment horizontal="center" vertical="center"/>
    </xf>
    <xf numFmtId="0" fontId="66" fillId="0" borderId="13" xfId="2" applyNumberFormat="1" applyFont="1" applyFill="1" applyBorder="1" applyAlignment="1">
      <alignment horizontal="center"/>
    </xf>
    <xf numFmtId="0" fontId="2" fillId="0" borderId="13" xfId="0" applyFont="1" applyBorder="1" applyAlignment="1">
      <alignment horizontal="center" vertical="center" wrapText="1"/>
    </xf>
    <xf numFmtId="0" fontId="83" fillId="0" borderId="0" xfId="0" applyFont="1" applyAlignment="1">
      <alignment horizontal="center" vertical="center" wrapText="1"/>
    </xf>
    <xf numFmtId="0" fontId="94" fillId="0" borderId="0" xfId="0" applyFont="1" applyAlignment="1">
      <alignment horizontal="center" vertical="center" wrapText="1"/>
    </xf>
    <xf numFmtId="0" fontId="60" fillId="0" borderId="0" xfId="0" applyFont="1" applyAlignment="1">
      <alignment horizontal="center" vertical="center"/>
    </xf>
    <xf numFmtId="0" fontId="10" fillId="12" borderId="0" xfId="0" applyFont="1" applyFill="1" applyAlignment="1">
      <alignment horizontal="center" vertical="center"/>
    </xf>
    <xf numFmtId="0" fontId="12" fillId="0" borderId="0" xfId="0" applyFont="1" applyAlignment="1">
      <alignment horizontal="center" vertical="center" wrapText="1"/>
    </xf>
    <xf numFmtId="0" fontId="9" fillId="0" borderId="0" xfId="0" applyFont="1" applyAlignment="1">
      <alignment horizontal="center" vertical="center" wrapText="1"/>
    </xf>
    <xf numFmtId="44" fontId="10" fillId="0" borderId="0" xfId="2" applyFont="1" applyBorder="1" applyAlignment="1">
      <alignment horizontal="center" vertical="center" wrapText="1"/>
    </xf>
    <xf numFmtId="44" fontId="11" fillId="0" borderId="0" xfId="2" applyFont="1" applyBorder="1" applyAlignment="1">
      <alignment horizontal="center" vertical="center" wrapText="1"/>
    </xf>
    <xf numFmtId="0" fontId="4" fillId="0" borderId="0" xfId="0" applyFont="1" applyAlignment="1">
      <alignment horizontal="right" vertical="center" wrapText="1"/>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2" fillId="16" borderId="0" xfId="0" applyFont="1" applyFill="1" applyAlignment="1">
      <alignment vertical="center"/>
    </xf>
    <xf numFmtId="0" fontId="83" fillId="0" borderId="0" xfId="0" quotePrefix="1" applyFont="1" applyAlignment="1">
      <alignment horizontal="center" vertical="center" wrapText="1"/>
    </xf>
    <xf numFmtId="44" fontId="2" fillId="0" borderId="13" xfId="2" applyFont="1" applyFill="1" applyBorder="1" applyAlignment="1">
      <alignment horizontal="center" vertical="center"/>
    </xf>
    <xf numFmtId="44" fontId="4" fillId="0" borderId="0" xfId="0" applyNumberFormat="1" applyFont="1" applyAlignment="1">
      <alignment horizontal="center"/>
    </xf>
    <xf numFmtId="0" fontId="63" fillId="0" borderId="12" xfId="0" applyFont="1" applyBorder="1" applyAlignment="1">
      <alignment vertical="center" wrapText="1"/>
    </xf>
    <xf numFmtId="0" fontId="63" fillId="0" borderId="10" xfId="0" applyFont="1" applyBorder="1" applyAlignment="1">
      <alignment vertical="center" wrapText="1"/>
    </xf>
    <xf numFmtId="0" fontId="10" fillId="12" borderId="0" xfId="0" applyFont="1" applyFill="1" applyAlignment="1">
      <alignment horizontal="center" vertical="center" wrapText="1"/>
    </xf>
    <xf numFmtId="0" fontId="63" fillId="0" borderId="0" xfId="0" applyFont="1" applyAlignment="1">
      <alignment horizontal="left" vertical="center" readingOrder="1"/>
    </xf>
    <xf numFmtId="0" fontId="95" fillId="0" borderId="0" xfId="0" applyFont="1" applyAlignment="1">
      <alignment horizontal="left" vertical="center" wrapText="1" readingOrder="1"/>
    </xf>
    <xf numFmtId="0" fontId="63" fillId="0" borderId="0" xfId="0" applyFont="1"/>
    <xf numFmtId="0" fontId="2" fillId="0" borderId="12" xfId="0" applyFont="1" applyBorder="1" applyAlignment="1">
      <alignment horizontal="left" vertical="center" wrapText="1"/>
    </xf>
    <xf numFmtId="11" fontId="2" fillId="0" borderId="8" xfId="0" applyNumberFormat="1" applyFont="1" applyBorder="1" applyAlignment="1">
      <alignment horizontal="left"/>
    </xf>
    <xf numFmtId="0" fontId="61" fillId="0" borderId="10" xfId="0" applyFont="1" applyBorder="1" applyAlignment="1">
      <alignment horizontal="center" vertical="top" wrapText="1"/>
    </xf>
    <xf numFmtId="0" fontId="74" fillId="0" borderId="10" xfId="0" applyFont="1" applyBorder="1" applyAlignment="1">
      <alignment horizontal="center" vertical="center" wrapText="1"/>
    </xf>
    <xf numFmtId="0" fontId="74" fillId="0" borderId="10" xfId="3" applyFont="1" applyFill="1" applyBorder="1" applyAlignment="1">
      <alignment horizontal="center" vertical="center" wrapText="1"/>
    </xf>
    <xf numFmtId="0" fontId="2" fillId="0" borderId="8" xfId="0" applyFont="1" applyBorder="1" applyAlignment="1">
      <alignment vertical="center"/>
    </xf>
    <xf numFmtId="0" fontId="63" fillId="0" borderId="8" xfId="0" applyFont="1" applyBorder="1" applyAlignment="1">
      <alignment horizontal="left" vertical="center" readingOrder="1"/>
    </xf>
    <xf numFmtId="0" fontId="2" fillId="0" borderId="8" xfId="0" applyFont="1" applyBorder="1" applyAlignment="1">
      <alignment horizontal="left" vertical="top"/>
    </xf>
    <xf numFmtId="0" fontId="32" fillId="12" borderId="0" xfId="0" applyFont="1" applyFill="1" applyAlignment="1">
      <alignment horizontal="center" vertical="center"/>
    </xf>
    <xf numFmtId="0" fontId="0" fillId="0" borderId="0" xfId="0" applyAlignment="1">
      <alignment wrapText="1"/>
    </xf>
    <xf numFmtId="16" fontId="8" fillId="0" borderId="8" xfId="0" applyNumberFormat="1" applyFont="1" applyBorder="1" applyAlignment="1">
      <alignment horizontal="left" vertical="center"/>
    </xf>
    <xf numFmtId="44" fontId="8" fillId="0" borderId="8" xfId="2" applyFont="1" applyFill="1" applyBorder="1" applyAlignment="1">
      <alignment horizontal="left" vertical="center"/>
    </xf>
    <xf numFmtId="0" fontId="29" fillId="0" borderId="8" xfId="0" applyFont="1" applyBorder="1" applyAlignment="1">
      <alignment horizontal="left" vertical="center"/>
    </xf>
    <xf numFmtId="44" fontId="8" fillId="0" borderId="8" xfId="2" applyFont="1" applyBorder="1" applyAlignment="1">
      <alignment horizontal="left" vertical="center"/>
    </xf>
    <xf numFmtId="0" fontId="8" fillId="0" borderId="8" xfId="2" applyNumberFormat="1" applyFont="1" applyFill="1" applyBorder="1" applyAlignment="1">
      <alignment horizontal="left" vertical="center"/>
    </xf>
    <xf numFmtId="44" fontId="29" fillId="0" borderId="8" xfId="0" applyNumberFormat="1" applyFont="1" applyBorder="1" applyAlignment="1">
      <alignment horizontal="left" vertical="center"/>
    </xf>
    <xf numFmtId="0" fontId="75" fillId="0" borderId="10" xfId="3" applyFont="1" applyFill="1" applyBorder="1" applyAlignment="1">
      <alignment horizontal="center" vertical="center" wrapText="1"/>
    </xf>
    <xf numFmtId="0" fontId="96" fillId="0" borderId="0" xfId="3" applyFont="1" applyFill="1" applyBorder="1" applyAlignment="1">
      <alignment horizontal="center" vertical="center" wrapText="1"/>
    </xf>
    <xf numFmtId="0" fontId="29" fillId="8" borderId="0" xfId="0" applyFont="1" applyFill="1" applyAlignment="1">
      <alignment horizontal="center" vertical="center"/>
    </xf>
    <xf numFmtId="0" fontId="2" fillId="0" borderId="10" xfId="0" applyFont="1" applyBorder="1" applyAlignment="1">
      <alignment horizontal="left" vertical="center" wrapText="1"/>
    </xf>
    <xf numFmtId="0" fontId="61" fillId="0" borderId="10" xfId="2" applyNumberFormat="1" applyFont="1" applyFill="1" applyBorder="1" applyAlignment="1">
      <alignment horizontal="center" vertical="center"/>
    </xf>
    <xf numFmtId="0" fontId="99" fillId="0" borderId="8" xfId="0" applyFont="1" applyBorder="1" applyAlignment="1">
      <alignment horizontal="center" vertical="center"/>
    </xf>
    <xf numFmtId="14" fontId="0" fillId="0" borderId="8" xfId="0" applyNumberFormat="1" applyBorder="1" applyAlignment="1">
      <alignment horizontal="center" vertical="center"/>
    </xf>
    <xf numFmtId="44" fontId="2" fillId="0" borderId="11" xfId="2" applyFont="1" applyFill="1" applyBorder="1" applyAlignment="1">
      <alignment horizontal="center" vertical="center"/>
    </xf>
    <xf numFmtId="0" fontId="60" fillId="0" borderId="13" xfId="0" applyFont="1" applyBorder="1" applyAlignment="1">
      <alignment horizontal="center" vertical="center"/>
    </xf>
    <xf numFmtId="14" fontId="2" fillId="0" borderId="13" xfId="0" applyNumberFormat="1" applyFont="1" applyBorder="1" applyAlignment="1">
      <alignment horizontal="center" vertical="center"/>
    </xf>
    <xf numFmtId="0" fontId="13" fillId="0" borderId="13" xfId="0" applyFont="1" applyBorder="1" applyAlignment="1">
      <alignment horizontal="left" vertical="center"/>
    </xf>
    <xf numFmtId="0" fontId="5" fillId="13" borderId="15" xfId="0" applyFont="1" applyFill="1" applyBorder="1" applyAlignment="1">
      <alignment horizontal="center" vertical="center"/>
    </xf>
    <xf numFmtId="0" fontId="5" fillId="13" borderId="16" xfId="0" applyFont="1" applyFill="1" applyBorder="1" applyAlignment="1">
      <alignment horizontal="center" vertical="center"/>
    </xf>
    <xf numFmtId="44" fontId="5" fillId="13" borderId="16" xfId="2" applyFont="1" applyFill="1" applyBorder="1" applyAlignment="1">
      <alignment horizontal="center" vertical="center"/>
    </xf>
    <xf numFmtId="0" fontId="64" fillId="13" borderId="17" xfId="0" applyFont="1" applyFill="1" applyBorder="1" applyAlignment="1">
      <alignment horizontal="left" vertical="center"/>
    </xf>
    <xf numFmtId="0" fontId="100" fillId="0" borderId="0" xfId="0" applyFont="1" applyAlignment="1">
      <alignment vertical="center" wrapText="1"/>
    </xf>
    <xf numFmtId="11" fontId="2" fillId="0" borderId="0" xfId="0" applyNumberFormat="1" applyFont="1" applyAlignment="1">
      <alignment horizontal="center" vertical="center"/>
    </xf>
    <xf numFmtId="0" fontId="61" fillId="0" borderId="0" xfId="0" applyFont="1"/>
    <xf numFmtId="0" fontId="57" fillId="0" borderId="10" xfId="0" applyFont="1" applyBorder="1" applyAlignment="1">
      <alignment horizontal="left" vertical="center"/>
    </xf>
    <xf numFmtId="0" fontId="23" fillId="10" borderId="0" xfId="0" applyFont="1" applyFill="1" applyAlignment="1">
      <alignment horizontal="center" vertical="center"/>
    </xf>
    <xf numFmtId="16" fontId="8" fillId="0" borderId="8" xfId="0" applyNumberFormat="1" applyFont="1" applyBorder="1" applyAlignment="1">
      <alignment horizontal="left" vertical="center" wrapText="1"/>
    </xf>
    <xf numFmtId="0" fontId="29" fillId="0" borderId="8" xfId="0" applyFont="1" applyBorder="1" applyAlignment="1">
      <alignment horizontal="left" vertical="center" wrapText="1"/>
    </xf>
    <xf numFmtId="44" fontId="8" fillId="0" borderId="8" xfId="2" applyFont="1" applyFill="1" applyBorder="1" applyAlignment="1">
      <alignment horizontal="left" vertical="center" wrapText="1"/>
    </xf>
    <xf numFmtId="44" fontId="8" fillId="0" borderId="8" xfId="2" applyFont="1" applyBorder="1" applyAlignment="1">
      <alignment horizontal="left" vertical="center" wrapText="1"/>
    </xf>
    <xf numFmtId="0" fontId="8" fillId="0" borderId="8" xfId="2" applyNumberFormat="1" applyFont="1" applyFill="1" applyBorder="1" applyAlignment="1">
      <alignment horizontal="left" vertical="center" wrapText="1"/>
    </xf>
    <xf numFmtId="44" fontId="29" fillId="0" borderId="8" xfId="0" applyNumberFormat="1" applyFont="1" applyBorder="1" applyAlignment="1">
      <alignment horizontal="left" vertical="center" wrapText="1"/>
    </xf>
    <xf numFmtId="0" fontId="29" fillId="12" borderId="0" xfId="0" applyFont="1" applyFill="1" applyAlignment="1">
      <alignment horizontal="center" vertical="center"/>
    </xf>
    <xf numFmtId="0" fontId="2" fillId="0" borderId="7" xfId="0" applyFont="1" applyBorder="1" applyAlignment="1">
      <alignment horizontal="left" vertical="center" wrapText="1"/>
    </xf>
    <xf numFmtId="0" fontId="2" fillId="0" borderId="13" xfId="0" applyFont="1" applyBorder="1" applyAlignment="1">
      <alignment horizontal="center"/>
    </xf>
    <xf numFmtId="0" fontId="2" fillId="0" borderId="7" xfId="0" applyFont="1" applyBorder="1" applyAlignment="1">
      <alignment horizontal="left" vertical="center"/>
    </xf>
    <xf numFmtId="44" fontId="102" fillId="0" borderId="0" xfId="2" applyFont="1" applyBorder="1" applyAlignment="1">
      <alignment horizontal="center" vertical="center" wrapText="1"/>
    </xf>
    <xf numFmtId="0" fontId="31" fillId="0" borderId="0" xfId="3" applyBorder="1" applyAlignment="1">
      <alignment horizontal="center" vertical="center"/>
    </xf>
    <xf numFmtId="0" fontId="61" fillId="0" borderId="10" xfId="3" applyFont="1" applyBorder="1" applyAlignment="1">
      <alignment horizontal="center" vertical="center" wrapText="1"/>
    </xf>
    <xf numFmtId="0" fontId="8" fillId="12" borderId="0" xfId="0" applyFont="1" applyFill="1" applyAlignment="1">
      <alignment horizontal="center" vertical="center"/>
    </xf>
    <xf numFmtId="0" fontId="63" fillId="0" borderId="0" xfId="0" applyFont="1" applyAlignment="1">
      <alignment horizontal="left" vertical="center" wrapText="1" readingOrder="1"/>
    </xf>
    <xf numFmtId="0" fontId="2" fillId="0" borderId="13" xfId="0" applyFont="1" applyBorder="1" applyAlignment="1">
      <alignment horizontal="left" vertical="center"/>
    </xf>
    <xf numFmtId="0" fontId="59" fillId="0" borderId="13" xfId="0" applyFont="1" applyBorder="1" applyAlignment="1">
      <alignment horizontal="center" vertical="center"/>
    </xf>
    <xf numFmtId="0" fontId="64" fillId="13" borderId="18" xfId="0" applyFont="1" applyFill="1" applyBorder="1" applyAlignment="1">
      <alignment horizontal="left" vertical="center"/>
    </xf>
    <xf numFmtId="0" fontId="65" fillId="0" borderId="13" xfId="0" applyFont="1" applyBorder="1" applyAlignment="1">
      <alignment horizontal="center" vertical="center"/>
    </xf>
    <xf numFmtId="0" fontId="104" fillId="0" borderId="0" xfId="3" applyFont="1" applyBorder="1" applyAlignment="1">
      <alignment horizontal="center" vertical="center" wrapText="1"/>
    </xf>
    <xf numFmtId="0" fontId="0" fillId="12" borderId="0" xfId="0" applyFill="1" applyAlignment="1">
      <alignment horizontal="center" vertical="center"/>
    </xf>
    <xf numFmtId="0" fontId="63" fillId="0" borderId="8" xfId="0" applyFont="1" applyBorder="1" applyAlignment="1">
      <alignment horizontal="left" vertical="center" wrapText="1" readingOrder="1"/>
    </xf>
    <xf numFmtId="0" fontId="2" fillId="12" borderId="0" xfId="0" applyFont="1" applyFill="1" applyAlignment="1">
      <alignment horizontal="center" vertical="center"/>
    </xf>
    <xf numFmtId="0" fontId="8" fillId="0" borderId="0" xfId="0" applyFont="1" applyAlignment="1">
      <alignment vertical="top" wrapText="1"/>
    </xf>
    <xf numFmtId="0" fontId="32" fillId="12" borderId="0" xfId="2" applyNumberFormat="1" applyFont="1" applyFill="1" applyBorder="1" applyAlignment="1">
      <alignment horizontal="center" vertical="center"/>
    </xf>
    <xf numFmtId="49" fontId="57" fillId="0" borderId="9" xfId="0" applyNumberFormat="1" applyFont="1" applyBorder="1" applyAlignment="1">
      <alignment horizontal="center" vertical="center"/>
    </xf>
    <xf numFmtId="0" fontId="2" fillId="0" borderId="9" xfId="0" applyFont="1" applyBorder="1" applyAlignment="1">
      <alignment horizontal="center"/>
    </xf>
    <xf numFmtId="0" fontId="6" fillId="3" borderId="8" xfId="0" applyFont="1" applyFill="1" applyBorder="1" applyAlignment="1">
      <alignment horizontal="center" vertical="center"/>
    </xf>
    <xf numFmtId="0" fontId="97" fillId="0" borderId="10" xfId="0" quotePrefix="1" applyFont="1" applyBorder="1" applyAlignment="1">
      <alignment horizontal="center" vertical="center" wrapText="1"/>
    </xf>
    <xf numFmtId="14" fontId="2" fillId="0" borderId="0" xfId="0" applyNumberFormat="1" applyFont="1" applyAlignment="1">
      <alignment horizontal="center" vertical="center"/>
    </xf>
    <xf numFmtId="0" fontId="13" fillId="0" borderId="19" xfId="0" applyFont="1" applyBorder="1" applyAlignment="1">
      <alignment horizontal="left" vertical="center"/>
    </xf>
    <xf numFmtId="0" fontId="83" fillId="0" borderId="0" xfId="3" applyFont="1" applyBorder="1" applyAlignment="1">
      <alignment horizontal="center" vertical="top" wrapText="1"/>
    </xf>
    <xf numFmtId="0" fontId="77" fillId="0" borderId="0" xfId="0" applyFont="1" applyAlignment="1">
      <alignment horizontal="center" vertical="top" wrapText="1"/>
    </xf>
    <xf numFmtId="0" fontId="106" fillId="0" borderId="0" xfId="3" applyFont="1" applyBorder="1" applyAlignment="1">
      <alignment horizontal="center" vertical="center" wrapText="1"/>
    </xf>
    <xf numFmtId="0" fontId="83" fillId="0" borderId="0" xfId="3" applyFont="1" applyFill="1" applyBorder="1" applyAlignment="1">
      <alignment horizontal="center" vertical="center" wrapText="1"/>
    </xf>
    <xf numFmtId="0" fontId="24" fillId="0" borderId="0" xfId="0" applyFont="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right"/>
    </xf>
    <xf numFmtId="14" fontId="8" fillId="0" borderId="0" xfId="0" applyNumberFormat="1" applyFont="1" applyAlignment="1">
      <alignment horizontal="left"/>
    </xf>
    <xf numFmtId="0" fontId="8" fillId="0" borderId="0" xfId="0" applyFont="1" applyAlignment="1">
      <alignment horizontal="left"/>
    </xf>
    <xf numFmtId="0" fontId="9" fillId="0" borderId="0" xfId="0" applyFont="1" applyAlignment="1">
      <alignment horizontal="center" vertical="center" wrapText="1"/>
    </xf>
    <xf numFmtId="0" fontId="10" fillId="0" borderId="0" xfId="0" applyFont="1" applyAlignment="1">
      <alignment horizontal="left" vertical="center" wrapText="1"/>
    </xf>
    <xf numFmtId="44" fontId="11" fillId="0" borderId="0" xfId="2" applyFont="1" applyBorder="1" applyAlignment="1">
      <alignment horizontal="center" wrapText="1"/>
    </xf>
    <xf numFmtId="44" fontId="10" fillId="0" borderId="0" xfId="2" applyFont="1" applyBorder="1" applyAlignment="1">
      <alignment horizontal="center" vertical="center" wrapText="1"/>
    </xf>
    <xf numFmtId="44" fontId="11" fillId="0" borderId="0" xfId="2" applyFont="1" applyBorder="1" applyAlignment="1">
      <alignment horizontal="center" vertical="center" wrapText="1"/>
    </xf>
    <xf numFmtId="44" fontId="9" fillId="0" borderId="0" xfId="2" applyFont="1" applyBorder="1" applyAlignment="1">
      <alignment horizontal="center" vertical="center" wrapText="1"/>
    </xf>
    <xf numFmtId="0" fontId="4" fillId="0" borderId="4" xfId="0" applyFont="1" applyBorder="1" applyAlignment="1">
      <alignment horizontal="right" vertical="center"/>
    </xf>
    <xf numFmtId="0" fontId="4" fillId="0" borderId="0" xfId="0" applyFont="1" applyAlignment="1">
      <alignment horizontal="right" vertical="center"/>
    </xf>
    <xf numFmtId="0" fontId="4" fillId="0" borderId="0" xfId="0" applyFont="1" applyAlignment="1">
      <alignment horizontal="right" vertical="center" wrapText="1"/>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10" fillId="0" borderId="0" xfId="0" applyFont="1" applyAlignment="1">
      <alignment horizontal="center" vertical="center" wrapText="1"/>
    </xf>
    <xf numFmtId="0" fontId="100" fillId="3" borderId="15" xfId="0" applyFont="1" applyFill="1" applyBorder="1" applyAlignment="1">
      <alignment horizontal="center" vertical="center" wrapText="1"/>
    </xf>
    <xf numFmtId="0" fontId="100" fillId="3" borderId="16" xfId="0" applyFont="1" applyFill="1" applyBorder="1" applyAlignment="1">
      <alignment horizontal="center" vertical="center" wrapText="1"/>
    </xf>
    <xf numFmtId="0" fontId="100" fillId="3" borderId="17" xfId="0" applyFont="1" applyFill="1" applyBorder="1" applyAlignment="1">
      <alignment horizontal="center" vertical="center" wrapText="1"/>
    </xf>
    <xf numFmtId="44" fontId="52" fillId="11" borderId="8" xfId="2" applyFont="1" applyFill="1" applyBorder="1" applyAlignment="1">
      <alignment horizontal="center" vertical="center"/>
    </xf>
    <xf numFmtId="0" fontId="6" fillId="7" borderId="4" xfId="0" applyFont="1" applyFill="1" applyBorder="1" applyAlignment="1">
      <alignment horizontal="center" vertical="center"/>
    </xf>
    <xf numFmtId="0" fontId="6" fillId="7" borderId="0" xfId="0" applyFont="1" applyFill="1" applyAlignment="1">
      <alignment horizontal="center" vertical="center"/>
    </xf>
    <xf numFmtId="0" fontId="103" fillId="14" borderId="15" xfId="0" applyFont="1" applyFill="1" applyBorder="1" applyAlignment="1">
      <alignment horizontal="center" vertical="center"/>
    </xf>
    <xf numFmtId="0" fontId="103" fillId="14" borderId="16" xfId="0" applyFont="1" applyFill="1" applyBorder="1" applyAlignment="1">
      <alignment horizontal="center" vertical="center"/>
    </xf>
    <xf numFmtId="0" fontId="103" fillId="14" borderId="17" xfId="0" applyFont="1" applyFill="1" applyBorder="1" applyAlignment="1">
      <alignment horizontal="center" vertical="center"/>
    </xf>
    <xf numFmtId="0" fontId="54" fillId="5" borderId="8" xfId="0" applyFont="1" applyFill="1" applyBorder="1" applyAlignment="1">
      <alignment horizontal="center" vertical="center"/>
    </xf>
  </cellXfs>
  <cellStyles count="4">
    <cellStyle name="Hipervínculo" xfId="3" builtinId="8"/>
    <cellStyle name="Millares" xfId="1" builtinId="3"/>
    <cellStyle name="Moneda" xfId="2" builtinId="4"/>
    <cellStyle name="Normal" xfId="0" builtinId="0"/>
  </cellStyles>
  <dxfs count="19">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colors>
    <mruColors>
      <color rgb="FFECA742"/>
      <color rgb="FFC2AA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19</xdr:col>
      <xdr:colOff>304800</xdr:colOff>
      <xdr:row>6</xdr:row>
      <xdr:rowOff>114300</xdr:rowOff>
    </xdr:to>
    <xdr:sp macro="" textlink="">
      <xdr:nvSpPr>
        <xdr:cNvPr id="2" name="AutoShape 185" descr="blob:https://web.whatsapp.com/d7587185-4682-4cdb-babd-272af14eca5a">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8324850" y="144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19</xdr:col>
      <xdr:colOff>304800</xdr:colOff>
      <xdr:row>6</xdr:row>
      <xdr:rowOff>114300</xdr:rowOff>
    </xdr:to>
    <xdr:sp macro="" textlink="">
      <xdr:nvSpPr>
        <xdr:cNvPr id="2" name="AutoShape 185" descr="blob:https://web.whatsapp.com/d7587185-4682-4cdb-babd-272af14eca5a">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067675" y="9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19</xdr:col>
      <xdr:colOff>304800</xdr:colOff>
      <xdr:row>6</xdr:row>
      <xdr:rowOff>114300</xdr:rowOff>
    </xdr:to>
    <xdr:sp macro="" textlink="">
      <xdr:nvSpPr>
        <xdr:cNvPr id="2" name="AutoShape 185" descr="blob:https://web.whatsapp.com/d7587185-4682-4cdb-babd-272af14eca5a">
          <a:extLst>
            <a:ext uri="{FF2B5EF4-FFF2-40B4-BE49-F238E27FC236}">
              <a16:creationId xmlns:a16="http://schemas.microsoft.com/office/drawing/2014/main" id="{00000000-0008-0000-0200-000002000000}"/>
            </a:ext>
          </a:extLst>
        </xdr:cNvPr>
        <xdr:cNvSpPr>
          <a:spLocks noChangeAspect="1" noChangeArrowheads="1"/>
        </xdr:cNvSpPr>
      </xdr:nvSpPr>
      <xdr:spPr bwMode="auto">
        <a:xfrm>
          <a:off x="8220075" y="9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19</xdr:col>
      <xdr:colOff>304800</xdr:colOff>
      <xdr:row>6</xdr:row>
      <xdr:rowOff>114300</xdr:rowOff>
    </xdr:to>
    <xdr:sp macro="" textlink="">
      <xdr:nvSpPr>
        <xdr:cNvPr id="2" name="AutoShape 185" descr="blob:https://web.whatsapp.com/d7587185-4682-4cdb-babd-272af14eca5a">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8477250" y="9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19</xdr:col>
      <xdr:colOff>304800</xdr:colOff>
      <xdr:row>6</xdr:row>
      <xdr:rowOff>114300</xdr:rowOff>
    </xdr:to>
    <xdr:sp macro="" textlink="">
      <xdr:nvSpPr>
        <xdr:cNvPr id="2" name="AutoShape 185" descr="blob:https://web.whatsapp.com/d7587185-4682-4cdb-babd-272af14eca5a">
          <a:extLst>
            <a:ext uri="{FF2B5EF4-FFF2-40B4-BE49-F238E27FC236}">
              <a16:creationId xmlns:a16="http://schemas.microsoft.com/office/drawing/2014/main" id="{00000000-0008-0000-0400-000002000000}"/>
            </a:ext>
          </a:extLst>
        </xdr:cNvPr>
        <xdr:cNvSpPr>
          <a:spLocks noChangeAspect="1" noChangeArrowheads="1"/>
        </xdr:cNvSpPr>
      </xdr:nvSpPr>
      <xdr:spPr bwMode="auto">
        <a:xfrm>
          <a:off x="8201025"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esktop\COBRANZA\ARCHIVOS%20COBRANZA\COBRANZA%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
      <sheetName val="FEBRERO"/>
      <sheetName val="MARZO"/>
      <sheetName val="ABRIL"/>
      <sheetName val="MAYO"/>
      <sheetName val="JUNIO"/>
      <sheetName val="JULIO"/>
      <sheetName val="AGOSTO"/>
      <sheetName val="SEPTIEMBRE"/>
      <sheetName val="OCTUBRE"/>
      <sheetName val="NOVIEMBRE"/>
      <sheetName val="DICIEMBRE"/>
      <sheetName val="FACTURAS"/>
      <sheetName val="FACTURA5"/>
      <sheetName val="REMISIONES"/>
      <sheetName val="PREPAGOS"/>
      <sheetName val="ANUALIDADES"/>
      <sheetName val="NUEVOS"/>
      <sheetName val="BAJA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8">
          <cell r="BA18">
            <v>-128</v>
          </cell>
        </row>
        <row r="19">
          <cell r="BA19">
            <v>0</v>
          </cell>
        </row>
        <row r="20">
          <cell r="BA20">
            <v>0</v>
          </cell>
        </row>
        <row r="21">
          <cell r="BA21">
            <v>-0.39520000000266009</v>
          </cell>
        </row>
        <row r="22">
          <cell r="BA22">
            <v>-1.8189894035458565E-12</v>
          </cell>
        </row>
        <row r="23">
          <cell r="BA23">
            <v>-3.1999999935123924E-3</v>
          </cell>
        </row>
        <row r="24">
          <cell r="BA24">
            <v>-0.39520000000266009</v>
          </cell>
        </row>
        <row r="25">
          <cell r="BA25">
            <v>0</v>
          </cell>
        </row>
        <row r="26">
          <cell r="BA26">
            <v>3.2000000055631972E-3</v>
          </cell>
        </row>
        <row r="27">
          <cell r="BA27">
            <v>3.9999999989959178E-3</v>
          </cell>
        </row>
        <row r="28">
          <cell r="BA28">
            <v>2.8000000004340109E-3</v>
          </cell>
        </row>
        <row r="29">
          <cell r="BA29">
            <v>2900</v>
          </cell>
        </row>
        <row r="30">
          <cell r="BA30">
            <v>0</v>
          </cell>
        </row>
        <row r="31">
          <cell r="BA31">
            <v>-3480</v>
          </cell>
        </row>
        <row r="32">
          <cell r="BA32">
            <v>0</v>
          </cell>
        </row>
        <row r="33">
          <cell r="BA33">
            <v>1.2000000001535227E-3</v>
          </cell>
        </row>
        <row r="34">
          <cell r="BA34">
            <v>0</v>
          </cell>
        </row>
        <row r="35">
          <cell r="BA35">
            <v>0</v>
          </cell>
        </row>
        <row r="36">
          <cell r="BA36">
            <v>1.2000000006082701E-3</v>
          </cell>
        </row>
        <row r="37">
          <cell r="BA37">
            <v>0</v>
          </cell>
        </row>
        <row r="38">
          <cell r="BA38">
            <v>-753.99240000000054</v>
          </cell>
        </row>
        <row r="39">
          <cell r="BA39">
            <v>9.0949470177292824E-13</v>
          </cell>
        </row>
        <row r="40">
          <cell r="BA40">
            <v>4.0000000035433914E-4</v>
          </cell>
        </row>
        <row r="41">
          <cell r="BA41">
            <v>0</v>
          </cell>
        </row>
        <row r="42">
          <cell r="BA42">
            <v>3220.0259999999871</v>
          </cell>
        </row>
        <row r="43">
          <cell r="BA43">
            <v>348</v>
          </cell>
        </row>
        <row r="44">
          <cell r="BA44">
            <v>2598.3956000000003</v>
          </cell>
        </row>
        <row r="45">
          <cell r="BA45">
            <v>0</v>
          </cell>
        </row>
        <row r="46">
          <cell r="BA46">
            <v>9.0949470177292824E-13</v>
          </cell>
        </row>
        <row r="47">
          <cell r="BA47">
            <v>2.8000000056636054E-3</v>
          </cell>
        </row>
        <row r="48">
          <cell r="BA48">
            <v>696</v>
          </cell>
        </row>
        <row r="49">
          <cell r="BA49">
            <v>0</v>
          </cell>
        </row>
        <row r="50">
          <cell r="BA50">
            <v>-3.9999999899009708E-4</v>
          </cell>
        </row>
        <row r="51">
          <cell r="BA51">
            <v>0</v>
          </cell>
        </row>
        <row r="52">
          <cell r="BA52">
            <v>0</v>
          </cell>
        </row>
        <row r="53">
          <cell r="BA53">
            <v>0</v>
          </cell>
        </row>
        <row r="54">
          <cell r="BA54">
            <v>0</v>
          </cell>
        </row>
        <row r="55">
          <cell r="BA55">
            <v>-3.9999999989959178E-4</v>
          </cell>
        </row>
        <row r="56">
          <cell r="BA56">
            <v>0</v>
          </cell>
        </row>
        <row r="58">
          <cell r="BA58">
            <v>1525.006400000002</v>
          </cell>
        </row>
        <row r="59">
          <cell r="BA59">
            <v>6.8212102632969618E-13</v>
          </cell>
        </row>
        <row r="60">
          <cell r="BA60">
            <v>-4.7999999997045961E-3</v>
          </cell>
        </row>
        <row r="61">
          <cell r="BA61">
            <v>2598.4</v>
          </cell>
        </row>
        <row r="62">
          <cell r="BA62">
            <v>0</v>
          </cell>
        </row>
        <row r="63">
          <cell r="BA63">
            <v>2.2737367544323206E-13</v>
          </cell>
        </row>
        <row r="64">
          <cell r="BA64">
            <v>6.799999999202555E-3</v>
          </cell>
        </row>
        <row r="65">
          <cell r="BA65">
            <v>-3.9999999989959178E-4</v>
          </cell>
        </row>
        <row r="66">
          <cell r="BA66">
            <v>0</v>
          </cell>
        </row>
        <row r="67">
          <cell r="BA67">
            <v>0</v>
          </cell>
        </row>
        <row r="68">
          <cell r="BA68">
            <v>0</v>
          </cell>
        </row>
        <row r="69">
          <cell r="BA69">
            <v>0</v>
          </cell>
        </row>
        <row r="70">
          <cell r="BA70">
            <v>2.0000000140498742E-3</v>
          </cell>
        </row>
        <row r="71">
          <cell r="BA71">
            <v>0</v>
          </cell>
        </row>
        <row r="72">
          <cell r="BA72">
            <v>-7.9999999981055225E-3</v>
          </cell>
        </row>
        <row r="73">
          <cell r="BA73">
            <v>-866.51999999999782</v>
          </cell>
        </row>
        <row r="74">
          <cell r="BA74">
            <v>0</v>
          </cell>
        </row>
        <row r="75">
          <cell r="BA75">
            <v>3190.0027999999993</v>
          </cell>
        </row>
        <row r="76">
          <cell r="BA76">
            <v>0</v>
          </cell>
        </row>
        <row r="77">
          <cell r="BA77">
            <v>1.1999999996987754E-3</v>
          </cell>
        </row>
        <row r="78">
          <cell r="BA78">
            <v>1.1999999996987754E-3</v>
          </cell>
        </row>
        <row r="81">
          <cell r="BA81">
            <v>-1.1999999987892807E-3</v>
          </cell>
        </row>
        <row r="82">
          <cell r="BA82">
            <v>2784.0048000000006</v>
          </cell>
        </row>
        <row r="83">
          <cell r="BA83">
            <v>0</v>
          </cell>
        </row>
        <row r="84">
          <cell r="BA84">
            <v>0</v>
          </cell>
        </row>
        <row r="85">
          <cell r="BA85">
            <v>4.7999999987951014E-3</v>
          </cell>
        </row>
        <row r="87">
          <cell r="BA87">
            <v>-4.400000000032378E-3</v>
          </cell>
        </row>
        <row r="88">
          <cell r="BA88">
            <v>4.5474735088646412E-13</v>
          </cell>
        </row>
        <row r="89">
          <cell r="BA89">
            <v>0</v>
          </cell>
        </row>
        <row r="90">
          <cell r="BA90">
            <v>0</v>
          </cell>
        </row>
        <row r="91">
          <cell r="BA91">
            <v>290</v>
          </cell>
        </row>
        <row r="92">
          <cell r="BA92">
            <v>0</v>
          </cell>
        </row>
        <row r="93">
          <cell r="BA93">
            <v>-8.4799999995084363E-2</v>
          </cell>
        </row>
        <row r="94">
          <cell r="BA94">
            <v>-8.7999999996100087E-3</v>
          </cell>
        </row>
        <row r="95">
          <cell r="BA95">
            <v>4.5474735088646412E-13</v>
          </cell>
        </row>
        <row r="96">
          <cell r="BA96">
            <v>0</v>
          </cell>
        </row>
        <row r="97">
          <cell r="BA97">
            <v>2909.6628000000001</v>
          </cell>
        </row>
        <row r="98">
          <cell r="BA98">
            <v>-6</v>
          </cell>
        </row>
        <row r="99">
          <cell r="BA99">
            <v>4.0000000171858119E-3</v>
          </cell>
        </row>
        <row r="100">
          <cell r="BA100">
            <v>0</v>
          </cell>
        </row>
        <row r="101">
          <cell r="BA101">
            <v>0</v>
          </cell>
        </row>
        <row r="102">
          <cell r="BA102">
            <v>1.0913936421275139E-11</v>
          </cell>
        </row>
        <row r="103">
          <cell r="BA103">
            <v>0</v>
          </cell>
        </row>
        <row r="104">
          <cell r="BA104">
            <v>-4.3999999979860149E-3</v>
          </cell>
        </row>
        <row r="105">
          <cell r="BA105">
            <v>0</v>
          </cell>
        </row>
        <row r="106">
          <cell r="BA106">
            <v>0</v>
          </cell>
        </row>
        <row r="107">
          <cell r="BA107">
            <v>-2.2000000026309863E-2</v>
          </cell>
        </row>
        <row r="108">
          <cell r="BA108">
            <v>346.84</v>
          </cell>
        </row>
        <row r="109">
          <cell r="BA109">
            <v>9.0949470177292824E-13</v>
          </cell>
        </row>
        <row r="110">
          <cell r="BA110">
            <v>-1.8189894035458565E-12</v>
          </cell>
        </row>
        <row r="111">
          <cell r="BA111">
            <v>216.52679999999509</v>
          </cell>
        </row>
        <row r="112">
          <cell r="BA112">
            <v>0</v>
          </cell>
        </row>
        <row r="113">
          <cell r="BA113">
            <v>-1.8189894035458565E-12</v>
          </cell>
        </row>
        <row r="114">
          <cell r="BA114">
            <v>0</v>
          </cell>
        </row>
        <row r="115">
          <cell r="BA115">
            <v>5146.92</v>
          </cell>
        </row>
        <row r="116">
          <cell r="BA116">
            <v>7.9999999798019417E-4</v>
          </cell>
        </row>
        <row r="117">
          <cell r="BA117">
            <v>0</v>
          </cell>
        </row>
        <row r="118">
          <cell r="BA118">
            <v>-250</v>
          </cell>
        </row>
        <row r="119">
          <cell r="BA119">
            <v>-1.999999999998181E-2</v>
          </cell>
        </row>
        <row r="120">
          <cell r="BA120">
            <v>1262</v>
          </cell>
        </row>
        <row r="121">
          <cell r="BA121">
            <v>0</v>
          </cell>
        </row>
        <row r="122">
          <cell r="BA122">
            <v>-450</v>
          </cell>
        </row>
        <row r="123">
          <cell r="BA123">
            <v>-0.2000000000007276</v>
          </cell>
        </row>
        <row r="124">
          <cell r="BA124">
            <v>0</v>
          </cell>
        </row>
        <row r="125">
          <cell r="BA125">
            <v>250</v>
          </cell>
        </row>
        <row r="127">
          <cell r="BA127">
            <v>0</v>
          </cell>
        </row>
        <row r="128">
          <cell r="BA128">
            <v>348</v>
          </cell>
        </row>
        <row r="129">
          <cell r="BA129">
            <v>0</v>
          </cell>
        </row>
        <row r="130">
          <cell r="BA130">
            <v>0</v>
          </cell>
        </row>
        <row r="131">
          <cell r="BA131">
            <v>0</v>
          </cell>
        </row>
        <row r="133">
          <cell r="BA133">
            <v>2250</v>
          </cell>
        </row>
        <row r="134">
          <cell r="BA134">
            <v>0</v>
          </cell>
        </row>
        <row r="135">
          <cell r="BA135">
            <v>0</v>
          </cell>
        </row>
        <row r="136">
          <cell r="BA136">
            <v>-52</v>
          </cell>
        </row>
        <row r="137">
          <cell r="BA137">
            <v>300</v>
          </cell>
        </row>
        <row r="138">
          <cell r="BA138">
            <v>0</v>
          </cell>
        </row>
        <row r="139">
          <cell r="BA139">
            <v>0</v>
          </cell>
        </row>
        <row r="140">
          <cell r="BA140">
            <v>0</v>
          </cell>
        </row>
        <row r="141">
          <cell r="BA141">
            <v>0</v>
          </cell>
        </row>
        <row r="142">
          <cell r="BA142">
            <v>0</v>
          </cell>
        </row>
        <row r="143">
          <cell r="BA143">
            <v>0</v>
          </cell>
        </row>
        <row r="144">
          <cell r="BA144">
            <v>0</v>
          </cell>
        </row>
        <row r="145">
          <cell r="BA145">
            <v>0</v>
          </cell>
        </row>
        <row r="146">
          <cell r="BA146">
            <v>-4.3999999998050043E-3</v>
          </cell>
        </row>
        <row r="147">
          <cell r="BA147">
            <v>-1</v>
          </cell>
        </row>
        <row r="148">
          <cell r="BA148">
            <v>0</v>
          </cell>
        </row>
        <row r="149">
          <cell r="BA149">
            <v>600</v>
          </cell>
        </row>
        <row r="150">
          <cell r="BA150">
            <v>0</v>
          </cell>
        </row>
        <row r="151">
          <cell r="BA151">
            <v>0</v>
          </cell>
        </row>
        <row r="152">
          <cell r="BA152">
            <v>-350.40000000000003</v>
          </cell>
        </row>
        <row r="153">
          <cell r="BA153">
            <v>696</v>
          </cell>
        </row>
        <row r="154">
          <cell r="BA154">
            <v>0</v>
          </cell>
        </row>
        <row r="157">
          <cell r="BA157">
            <v>13200</v>
          </cell>
        </row>
        <row r="158">
          <cell r="BA158">
            <v>-1</v>
          </cell>
        </row>
        <row r="159">
          <cell r="BA159">
            <v>-111</v>
          </cell>
        </row>
        <row r="161">
          <cell r="BA161">
            <v>0</v>
          </cell>
        </row>
        <row r="162">
          <cell r="BA162">
            <v>0</v>
          </cell>
        </row>
        <row r="163">
          <cell r="BA163">
            <v>-1</v>
          </cell>
        </row>
        <row r="164">
          <cell r="BA164">
            <v>0</v>
          </cell>
        </row>
        <row r="165">
          <cell r="BA165">
            <v>0</v>
          </cell>
        </row>
        <row r="166">
          <cell r="BA166">
            <v>0</v>
          </cell>
        </row>
        <row r="167">
          <cell r="BA167">
            <v>-250.25439999999981</v>
          </cell>
        </row>
        <row r="168">
          <cell r="BA168">
            <v>0</v>
          </cell>
        </row>
        <row r="169">
          <cell r="BA169">
            <v>-50</v>
          </cell>
        </row>
        <row r="170">
          <cell r="BA170">
            <v>0</v>
          </cell>
        </row>
        <row r="171">
          <cell r="BA171">
            <v>2700</v>
          </cell>
        </row>
        <row r="172">
          <cell r="BA172">
            <v>0</v>
          </cell>
        </row>
        <row r="173">
          <cell r="BA173">
            <v>-3.3400000000001455</v>
          </cell>
        </row>
        <row r="174">
          <cell r="BA174">
            <v>0</v>
          </cell>
        </row>
        <row r="175">
          <cell r="BA175">
            <v>0</v>
          </cell>
        </row>
        <row r="176">
          <cell r="BA176">
            <v>0</v>
          </cell>
        </row>
        <row r="177">
          <cell r="BA177">
            <v>250</v>
          </cell>
        </row>
        <row r="178">
          <cell r="BA178">
            <v>348</v>
          </cell>
        </row>
        <row r="179">
          <cell r="BA179">
            <v>2750</v>
          </cell>
        </row>
        <row r="180">
          <cell r="BA180">
            <v>0</v>
          </cell>
        </row>
        <row r="181">
          <cell r="BA181">
            <v>0</v>
          </cell>
        </row>
        <row r="182">
          <cell r="BA182">
            <v>0</v>
          </cell>
        </row>
        <row r="183">
          <cell r="BA183">
            <v>1.1368683772161603E-13</v>
          </cell>
        </row>
        <row r="184">
          <cell r="BA184">
            <v>0</v>
          </cell>
        </row>
        <row r="185">
          <cell r="BA185">
            <v>0</v>
          </cell>
        </row>
        <row r="186">
          <cell r="BA186">
            <v>0</v>
          </cell>
        </row>
        <row r="187">
          <cell r="BA187">
            <v>0</v>
          </cell>
        </row>
        <row r="188">
          <cell r="BA188">
            <v>1200</v>
          </cell>
        </row>
        <row r="189">
          <cell r="BA189">
            <v>0</v>
          </cell>
        </row>
        <row r="190">
          <cell r="BA190">
            <v>0</v>
          </cell>
        </row>
        <row r="191">
          <cell r="BA191">
            <v>0</v>
          </cell>
        </row>
        <row r="192">
          <cell r="BA192">
            <v>-2.2737367544323206E-13</v>
          </cell>
        </row>
        <row r="194">
          <cell r="BA194">
            <v>0</v>
          </cell>
        </row>
        <row r="195">
          <cell r="BA195">
            <v>0</v>
          </cell>
        </row>
        <row r="196">
          <cell r="BA196">
            <v>-900</v>
          </cell>
        </row>
        <row r="197">
          <cell r="BA197">
            <v>0</v>
          </cell>
        </row>
        <row r="198">
          <cell r="BA198">
            <v>600</v>
          </cell>
        </row>
        <row r="199">
          <cell r="BA199">
            <v>0</v>
          </cell>
        </row>
        <row r="200">
          <cell r="BA200">
            <v>-0.1000000000003638</v>
          </cell>
        </row>
        <row r="201">
          <cell r="BA201">
            <v>0</v>
          </cell>
        </row>
        <row r="202">
          <cell r="BA202">
            <v>-0.73000000000047294</v>
          </cell>
        </row>
        <row r="203">
          <cell r="BA203">
            <v>-3.3399999999999181</v>
          </cell>
        </row>
        <row r="204">
          <cell r="BA204">
            <v>0</v>
          </cell>
        </row>
        <row r="209">
          <cell r="BA209">
            <v>0</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mailto:Proatam.admon@gmail.com" TargetMode="External"/><Relationship Id="rId7" Type="http://schemas.openxmlformats.org/officeDocument/2006/relationships/drawing" Target="../drawings/drawing1.xml"/><Relationship Id="rId2" Type="http://schemas.openxmlformats.org/officeDocument/2006/relationships/hyperlink" Target="mailto:daniela.ochoa@seiarquitectos.com" TargetMode="External"/><Relationship Id="rId1" Type="http://schemas.openxmlformats.org/officeDocument/2006/relationships/hyperlink" Target="mailto:facturacion@quitakilos.com" TargetMode="External"/><Relationship Id="rId6" Type="http://schemas.openxmlformats.org/officeDocument/2006/relationships/printerSettings" Target="../printerSettings/printerSettings1.bin"/><Relationship Id="rId5" Type="http://schemas.openxmlformats.org/officeDocument/2006/relationships/hyperlink" Target="mailto:ernesto.gomez@sanbox.com.mx" TargetMode="External"/><Relationship Id="rId4" Type="http://schemas.openxmlformats.org/officeDocument/2006/relationships/hyperlink" Target="mailto:ernesto.gomez@sanbox.com.mx"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mailto:ernesto.gomez@sanbox.com.mx" TargetMode="External"/><Relationship Id="rId7" Type="http://schemas.openxmlformats.org/officeDocument/2006/relationships/drawing" Target="../drawings/drawing2.xml"/><Relationship Id="rId2" Type="http://schemas.openxmlformats.org/officeDocument/2006/relationships/hyperlink" Target="mailto:daniela.ochoa@seiarquitectos.com" TargetMode="External"/><Relationship Id="rId1" Type="http://schemas.openxmlformats.org/officeDocument/2006/relationships/hyperlink" Target="mailto:facturacion@quitakilos.com" TargetMode="External"/><Relationship Id="rId6" Type="http://schemas.openxmlformats.org/officeDocument/2006/relationships/printerSettings" Target="../printerSettings/printerSettings2.bin"/><Relationship Id="rId5" Type="http://schemas.openxmlformats.org/officeDocument/2006/relationships/hyperlink" Target="mailto:se.arriaga@hotmail.com" TargetMode="External"/><Relationship Id="rId4" Type="http://schemas.openxmlformats.org/officeDocument/2006/relationships/hyperlink" Target="mailto:ernesto.gomez@sanbox.com.mx" TargetMode="External"/><Relationship Id="rId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mailto:ernesto.gomez@sanbox.com.mx" TargetMode="External"/><Relationship Id="rId7" Type="http://schemas.openxmlformats.org/officeDocument/2006/relationships/printerSettings" Target="../printerSettings/printerSettings3.bin"/><Relationship Id="rId2" Type="http://schemas.openxmlformats.org/officeDocument/2006/relationships/hyperlink" Target="mailto:daniela.ochoa@seiarquitectos.com" TargetMode="External"/><Relationship Id="rId1" Type="http://schemas.openxmlformats.org/officeDocument/2006/relationships/hyperlink" Target="mailto:facturacion@quitakilos.com" TargetMode="External"/><Relationship Id="rId6" Type="http://schemas.openxmlformats.org/officeDocument/2006/relationships/hyperlink" Target="mailto:apalomino@plasarlogistic.com" TargetMode="External"/><Relationship Id="rId5" Type="http://schemas.openxmlformats.org/officeDocument/2006/relationships/hyperlink" Target="mailto:se.arriaga@hotmail.com" TargetMode="External"/><Relationship Id="rId10" Type="http://schemas.openxmlformats.org/officeDocument/2006/relationships/comments" Target="../comments3.xml"/><Relationship Id="rId4" Type="http://schemas.openxmlformats.org/officeDocument/2006/relationships/hyperlink" Target="mailto:ernesto.gomez@sanbox.com.mx" TargetMode="External"/><Relationship Id="rId9"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mailto:ernesto.gomez@sanbox.com.mx" TargetMode="External"/><Relationship Id="rId7" Type="http://schemas.openxmlformats.org/officeDocument/2006/relationships/drawing" Target="../drawings/drawing4.xml"/><Relationship Id="rId2" Type="http://schemas.openxmlformats.org/officeDocument/2006/relationships/hyperlink" Target="mailto:daniela.ochoa@seiarquitectos.com" TargetMode="External"/><Relationship Id="rId1" Type="http://schemas.openxmlformats.org/officeDocument/2006/relationships/hyperlink" Target="mailto:facturacion@quitakilos.com" TargetMode="External"/><Relationship Id="rId6" Type="http://schemas.openxmlformats.org/officeDocument/2006/relationships/printerSettings" Target="../printerSettings/printerSettings4.bin"/><Relationship Id="rId5" Type="http://schemas.openxmlformats.org/officeDocument/2006/relationships/hyperlink" Target="mailto:apalomino@plasarlogistic.com" TargetMode="External"/><Relationship Id="rId4" Type="http://schemas.openxmlformats.org/officeDocument/2006/relationships/hyperlink" Target="mailto:ernesto.gomez@sanbox.com.mx" TargetMode="External"/><Relationship Id="rId9" Type="http://schemas.openxmlformats.org/officeDocument/2006/relationships/comments" Target="../comments4.xml"/></Relationships>
</file>

<file path=xl/worksheets/_rels/sheet5.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mailto:ernesto.gomez@sanbox.com.mx" TargetMode="External"/><Relationship Id="rId7" Type="http://schemas.openxmlformats.org/officeDocument/2006/relationships/vmlDrawing" Target="../drawings/vmlDrawing5.vml"/><Relationship Id="rId2" Type="http://schemas.openxmlformats.org/officeDocument/2006/relationships/hyperlink" Target="mailto:daniela.ochoa@seiarquitectos.com" TargetMode="External"/><Relationship Id="rId1" Type="http://schemas.openxmlformats.org/officeDocument/2006/relationships/hyperlink" Target="mailto:facturacion@quitakilos.com" TargetMode="External"/><Relationship Id="rId6" Type="http://schemas.openxmlformats.org/officeDocument/2006/relationships/drawing" Target="../drawings/drawing5.xml"/><Relationship Id="rId5" Type="http://schemas.openxmlformats.org/officeDocument/2006/relationships/hyperlink" Target="mailto:apalomino@plasarlogistic.com" TargetMode="External"/><Relationship Id="rId4" Type="http://schemas.openxmlformats.org/officeDocument/2006/relationships/hyperlink" Target="mailto:ernesto.gomez@sanbox.com.m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mailto:enriquemay@hotmail.com" TargetMode="External"/><Relationship Id="rId2" Type="http://schemas.openxmlformats.org/officeDocument/2006/relationships/hyperlink" Target="mailto:enriquemay@hotmail.com" TargetMode="External"/><Relationship Id="rId1" Type="http://schemas.openxmlformats.org/officeDocument/2006/relationships/hyperlink" Target="mailto:enriquemay@hotmail.com" TargetMode="External"/><Relationship Id="rId6" Type="http://schemas.openxmlformats.org/officeDocument/2006/relationships/comments" Target="../comments10.xml"/><Relationship Id="rId5" Type="http://schemas.openxmlformats.org/officeDocument/2006/relationships/vmlDrawing" Target="../drawings/vmlDrawing10.vml"/><Relationship Id="rId4"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0.bin"/><Relationship Id="rId1" Type="http://schemas.openxmlformats.org/officeDocument/2006/relationships/hyperlink" Target="mailto:daniela.ochoa@seiarquitectos.com" TargetMode="External"/><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8" Type="http://schemas.openxmlformats.org/officeDocument/2006/relationships/vmlDrawing" Target="../drawings/vmlDrawing12.vml"/><Relationship Id="rId3" Type="http://schemas.openxmlformats.org/officeDocument/2006/relationships/hyperlink" Target="mailto:se.arriaga@hotmail.com" TargetMode="External"/><Relationship Id="rId7" Type="http://schemas.openxmlformats.org/officeDocument/2006/relationships/printerSettings" Target="../printerSettings/printerSettings11.bin"/><Relationship Id="rId2" Type="http://schemas.openxmlformats.org/officeDocument/2006/relationships/hyperlink" Target="mailto:pablordzmasper@hotmail.com" TargetMode="External"/><Relationship Id="rId1" Type="http://schemas.openxmlformats.org/officeDocument/2006/relationships/hyperlink" Target="mailto:karlasauceda04@gmail.com" TargetMode="External"/><Relationship Id="rId6" Type="http://schemas.openxmlformats.org/officeDocument/2006/relationships/hyperlink" Target="mailto:se.arriaga@hotmail.com" TargetMode="External"/><Relationship Id="rId5" Type="http://schemas.openxmlformats.org/officeDocument/2006/relationships/hyperlink" Target="mailto:Proatam.admon@gmail.com" TargetMode="External"/><Relationship Id="rId4" Type="http://schemas.openxmlformats.org/officeDocument/2006/relationships/hyperlink" Target="mailto:mmkwgzz@hotmail.com" TargetMode="External"/><Relationship Id="rId9"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16"/>
  <sheetViews>
    <sheetView tabSelected="1" zoomScale="70" zoomScaleNormal="70" workbookViewId="0">
      <pane xSplit="21" ySplit="17" topLeftCell="AZ175" activePane="bottomRight" state="frozenSplit"/>
      <selection pane="topRight" activeCell="AB1" sqref="AB1"/>
      <selection pane="bottomLeft" activeCell="A19" sqref="A19"/>
      <selection pane="bottomRight" activeCell="BB136" sqref="BB136"/>
    </sheetView>
  </sheetViews>
  <sheetFormatPr baseColWidth="10" defaultColWidth="11.453125" defaultRowHeight="14.5" x14ac:dyDescent="0.35"/>
  <cols>
    <col min="1" max="1" width="4.81640625" style="1" customWidth="1"/>
    <col min="2" max="2" width="28" style="91" customWidth="1"/>
    <col min="3" max="3" width="50.54296875" hidden="1" customWidth="1"/>
    <col min="4" max="4" width="33.81640625" style="90" customWidth="1"/>
    <col min="5" max="5" width="8.453125" customWidth="1"/>
    <col min="6" max="6" width="13.1796875" customWidth="1"/>
    <col min="7" max="7" width="13.7265625" customWidth="1"/>
    <col min="8" max="8" width="15" hidden="1" customWidth="1"/>
    <col min="9" max="9" width="18.81640625" hidden="1" customWidth="1"/>
    <col min="10" max="10" width="14.1796875" hidden="1" customWidth="1"/>
    <col min="11" max="11" width="15.453125" hidden="1" customWidth="1"/>
    <col min="12" max="12" width="15.26953125" hidden="1" customWidth="1"/>
    <col min="13" max="13" width="14.7265625" hidden="1" customWidth="1"/>
    <col min="14" max="14" width="14" hidden="1" customWidth="1"/>
    <col min="15" max="15" width="16.26953125" hidden="1" customWidth="1"/>
    <col min="16" max="16" width="17.453125" hidden="1" customWidth="1"/>
    <col min="17" max="18" width="13.81640625" hidden="1" customWidth="1"/>
    <col min="19" max="19" width="19" customWidth="1"/>
    <col min="20" max="20" width="15.26953125" customWidth="1"/>
    <col min="21" max="21" width="15.453125" customWidth="1"/>
    <col min="22" max="52" width="11.453125" customWidth="1"/>
    <col min="53" max="53" width="18.7265625" customWidth="1"/>
    <col min="54" max="54" width="34" style="163" customWidth="1"/>
    <col min="55" max="55" width="20.1796875" customWidth="1"/>
  </cols>
  <sheetData>
    <row r="1" spans="1:55" s="5" customFormat="1" ht="18" customHeight="1" x14ac:dyDescent="0.35">
      <c r="A1" s="1"/>
      <c r="C1" s="161"/>
      <c r="E1" s="337"/>
      <c r="F1" s="337"/>
      <c r="G1" s="337"/>
      <c r="H1" s="337"/>
      <c r="I1" s="337"/>
      <c r="J1" s="337"/>
      <c r="K1" s="337"/>
      <c r="L1" s="337"/>
      <c r="M1" s="337"/>
      <c r="N1" s="337"/>
      <c r="O1" s="337"/>
      <c r="P1" s="337"/>
      <c r="Q1" s="337"/>
      <c r="R1" s="337"/>
      <c r="BB1" s="166"/>
    </row>
    <row r="2" spans="1:55" s="5" customFormat="1" ht="15" customHeight="1" x14ac:dyDescent="0.4">
      <c r="A2" s="1"/>
      <c r="B2" s="2" t="s">
        <v>2547</v>
      </c>
      <c r="D2" s="3">
        <f>SUM(S2+S3+S4+S5+S6+S7+S8+S9+S10+S11+S12+D5+S13)</f>
        <v>623596.22999999986</v>
      </c>
      <c r="E2" s="434" t="s">
        <v>1703</v>
      </c>
      <c r="F2" s="434"/>
      <c r="G2" s="434"/>
      <c r="H2" s="434"/>
      <c r="I2" s="434"/>
      <c r="J2" s="434"/>
      <c r="K2" s="434"/>
      <c r="L2" s="434"/>
      <c r="M2" s="434"/>
      <c r="N2" s="434"/>
      <c r="O2" s="434"/>
      <c r="P2" s="434"/>
      <c r="Q2" s="434"/>
      <c r="R2" s="434"/>
      <c r="S2" s="4">
        <f>G214</f>
        <v>45163.987200000018</v>
      </c>
      <c r="BB2" s="166"/>
    </row>
    <row r="3" spans="1:55" s="5" customFormat="1" ht="15" customHeight="1" x14ac:dyDescent="0.4">
      <c r="A3" s="1"/>
      <c r="E3" s="433" t="s">
        <v>1704</v>
      </c>
      <c r="F3" s="433"/>
      <c r="G3" s="433"/>
      <c r="H3" s="433"/>
      <c r="I3" s="433"/>
      <c r="J3" s="433"/>
      <c r="K3" s="433"/>
      <c r="L3" s="433"/>
      <c r="M3" s="433"/>
      <c r="N3" s="433"/>
      <c r="O3" s="433"/>
      <c r="P3" s="433"/>
      <c r="Q3" s="433"/>
      <c r="R3" s="433"/>
      <c r="S3" s="4">
        <f>H214</f>
        <v>0</v>
      </c>
      <c r="BB3" s="166"/>
    </row>
    <row r="4" spans="1:55" s="7" customFormat="1" ht="15" customHeight="1" x14ac:dyDescent="0.4">
      <c r="A4" s="6"/>
      <c r="B4" s="435" t="s">
        <v>1715</v>
      </c>
      <c r="C4" s="436"/>
      <c r="D4" s="437"/>
      <c r="E4" s="432" t="s">
        <v>1705</v>
      </c>
      <c r="F4" s="433"/>
      <c r="G4" s="433"/>
      <c r="H4" s="433"/>
      <c r="I4" s="433"/>
      <c r="J4" s="433"/>
      <c r="K4" s="433"/>
      <c r="L4" s="433"/>
      <c r="M4" s="433"/>
      <c r="N4" s="433"/>
      <c r="O4" s="433"/>
      <c r="P4" s="433"/>
      <c r="Q4" s="433"/>
      <c r="R4" s="433"/>
      <c r="S4" s="4">
        <f>I214</f>
        <v>0</v>
      </c>
      <c r="W4" s="5"/>
      <c r="BB4" s="265"/>
    </row>
    <row r="5" spans="1:55" s="7" customFormat="1" ht="15" customHeight="1" x14ac:dyDescent="0.4">
      <c r="A5" s="6"/>
      <c r="B5" s="8" t="s">
        <v>1716</v>
      </c>
      <c r="C5" s="9"/>
      <c r="D5" s="10">
        <f>S214+T214+U214</f>
        <v>578432.24279999989</v>
      </c>
      <c r="E5" s="432" t="s">
        <v>1706</v>
      </c>
      <c r="F5" s="433"/>
      <c r="G5" s="433"/>
      <c r="H5" s="433"/>
      <c r="I5" s="433"/>
      <c r="J5" s="433"/>
      <c r="K5" s="433"/>
      <c r="L5" s="433"/>
      <c r="M5" s="433"/>
      <c r="N5" s="433"/>
      <c r="O5" s="433"/>
      <c r="P5" s="433"/>
      <c r="Q5" s="433"/>
      <c r="R5" s="433"/>
      <c r="S5" s="4">
        <f>J214</f>
        <v>0</v>
      </c>
      <c r="W5" s="5"/>
      <c r="BB5" s="265"/>
    </row>
    <row r="6" spans="1:55" s="7" customFormat="1" ht="15" customHeight="1" x14ac:dyDescent="0.4">
      <c r="A6" s="6"/>
      <c r="B6" s="11" t="s">
        <v>1771</v>
      </c>
      <c r="C6" s="12"/>
      <c r="D6" s="13">
        <f>SUM(V214:Z214)</f>
        <v>7187</v>
      </c>
      <c r="E6" s="432" t="s">
        <v>1707</v>
      </c>
      <c r="F6" s="433"/>
      <c r="G6" s="433"/>
      <c r="H6" s="433"/>
      <c r="I6" s="433"/>
      <c r="J6" s="433"/>
      <c r="K6" s="433"/>
      <c r="L6" s="433"/>
      <c r="M6" s="433"/>
      <c r="N6" s="433"/>
      <c r="O6" s="433"/>
      <c r="P6" s="433"/>
      <c r="Q6" s="433"/>
      <c r="R6" s="433"/>
      <c r="S6" s="4">
        <f>K214</f>
        <v>0</v>
      </c>
      <c r="T6"/>
      <c r="W6" s="5"/>
      <c r="BB6" s="265"/>
    </row>
    <row r="7" spans="1:55" s="7" customFormat="1" ht="15" customHeight="1" x14ac:dyDescent="0.4">
      <c r="A7" s="6"/>
      <c r="B7" s="11" t="s">
        <v>1772</v>
      </c>
      <c r="C7" s="12"/>
      <c r="D7" s="13">
        <f>SUM(AA214:AG214)</f>
        <v>155765.9</v>
      </c>
      <c r="E7" s="432" t="s">
        <v>1708</v>
      </c>
      <c r="F7" s="433"/>
      <c r="G7" s="433"/>
      <c r="H7" s="433"/>
      <c r="I7" s="433"/>
      <c r="J7" s="433"/>
      <c r="K7" s="433"/>
      <c r="L7" s="433"/>
      <c r="M7" s="433"/>
      <c r="N7" s="433"/>
      <c r="O7" s="433"/>
      <c r="P7" s="433"/>
      <c r="Q7" s="433"/>
      <c r="R7" s="433"/>
      <c r="S7" s="4">
        <f>L214</f>
        <v>0</v>
      </c>
      <c r="W7" s="5"/>
      <c r="BB7" s="265"/>
    </row>
    <row r="8" spans="1:55" s="7" customFormat="1" ht="15" customHeight="1" x14ac:dyDescent="0.4">
      <c r="A8" s="6"/>
      <c r="B8" s="11" t="s">
        <v>1773</v>
      </c>
      <c r="C8" s="12"/>
      <c r="D8" s="13">
        <f>SUM(AH214:AN214)</f>
        <v>258118.96</v>
      </c>
      <c r="E8" s="432" t="s">
        <v>1709</v>
      </c>
      <c r="F8" s="433"/>
      <c r="G8" s="433"/>
      <c r="H8" s="433"/>
      <c r="I8" s="433"/>
      <c r="J8" s="433"/>
      <c r="K8" s="433"/>
      <c r="L8" s="433"/>
      <c r="M8" s="433"/>
      <c r="N8" s="433"/>
      <c r="O8" s="433"/>
      <c r="P8" s="433"/>
      <c r="Q8" s="433"/>
      <c r="R8" s="433"/>
      <c r="S8" s="4">
        <f>M214</f>
        <v>0</v>
      </c>
      <c r="W8" s="5"/>
      <c r="BB8" s="265"/>
    </row>
    <row r="9" spans="1:55" s="7" customFormat="1" ht="15" customHeight="1" x14ac:dyDescent="0.4">
      <c r="A9" s="6"/>
      <c r="B9" s="11" t="s">
        <v>1774</v>
      </c>
      <c r="C9" s="12"/>
      <c r="D9" s="13">
        <f>SUM(AO214:AU214)</f>
        <v>92161.09</v>
      </c>
      <c r="E9" s="432" t="s">
        <v>1710</v>
      </c>
      <c r="F9" s="433"/>
      <c r="G9" s="433"/>
      <c r="H9" s="433"/>
      <c r="I9" s="433"/>
      <c r="J9" s="433"/>
      <c r="K9" s="433"/>
      <c r="L9" s="433"/>
      <c r="M9" s="433"/>
      <c r="N9" s="433"/>
      <c r="O9" s="433"/>
      <c r="P9" s="433"/>
      <c r="Q9" s="433"/>
      <c r="R9" s="433"/>
      <c r="S9" s="4">
        <f>N214</f>
        <v>0</v>
      </c>
      <c r="Z9"/>
      <c r="BB9" s="265"/>
    </row>
    <row r="10" spans="1:55" s="7" customFormat="1" ht="15" customHeight="1" x14ac:dyDescent="0.4">
      <c r="A10" s="6"/>
      <c r="B10" s="11" t="s">
        <v>1775</v>
      </c>
      <c r="C10" s="12"/>
      <c r="D10" s="13">
        <f>SUM(AV214:AZ214)</f>
        <v>55053.97</v>
      </c>
      <c r="E10" s="432" t="s">
        <v>1711</v>
      </c>
      <c r="F10" s="433"/>
      <c r="G10" s="433"/>
      <c r="H10" s="433"/>
      <c r="I10" s="433"/>
      <c r="J10" s="433"/>
      <c r="K10" s="433"/>
      <c r="L10" s="433"/>
      <c r="M10" s="433"/>
      <c r="N10" s="433"/>
      <c r="O10" s="433"/>
      <c r="P10" s="433"/>
      <c r="Q10" s="433"/>
      <c r="R10" s="433"/>
      <c r="S10" s="4">
        <f>O214</f>
        <v>0</v>
      </c>
      <c r="BB10" s="265"/>
    </row>
    <row r="11" spans="1:55" s="7" customFormat="1" ht="15" customHeight="1" x14ac:dyDescent="0.4">
      <c r="A11" s="6"/>
      <c r="B11" s="18"/>
      <c r="C11" s="14"/>
      <c r="D11" s="343"/>
      <c r="E11" s="433" t="s">
        <v>1712</v>
      </c>
      <c r="F11" s="433"/>
      <c r="G11" s="433"/>
      <c r="H11" s="433"/>
      <c r="I11" s="433"/>
      <c r="J11" s="433"/>
      <c r="K11" s="433"/>
      <c r="L11" s="433"/>
      <c r="M11" s="433"/>
      <c r="N11" s="433"/>
      <c r="O11" s="433"/>
      <c r="P11" s="433"/>
      <c r="Q11" s="433"/>
      <c r="R11" s="433"/>
      <c r="S11" s="4">
        <f>P214</f>
        <v>0</v>
      </c>
      <c r="BB11" s="265"/>
    </row>
    <row r="12" spans="1:55" s="7" customFormat="1" ht="15" customHeight="1" x14ac:dyDescent="0.4">
      <c r="A12" s="6"/>
      <c r="B12" s="16"/>
      <c r="C12" s="14"/>
      <c r="D12" s="223"/>
      <c r="E12" s="433" t="s">
        <v>1713</v>
      </c>
      <c r="F12" s="433"/>
      <c r="G12" s="433"/>
      <c r="H12" s="433"/>
      <c r="I12" s="433"/>
      <c r="J12" s="433"/>
      <c r="K12" s="433"/>
      <c r="L12" s="433"/>
      <c r="M12" s="433"/>
      <c r="N12" s="433"/>
      <c r="O12" s="433"/>
      <c r="P12" s="433"/>
      <c r="Q12" s="433"/>
      <c r="R12" s="433"/>
      <c r="S12" s="4">
        <f>Q214</f>
        <v>0</v>
      </c>
      <c r="BB12" s="265"/>
    </row>
    <row r="13" spans="1:55" s="7" customFormat="1" ht="15" customHeight="1" x14ac:dyDescent="0.4">
      <c r="A13" s="6"/>
      <c r="B13" s="15" t="s">
        <v>0</v>
      </c>
      <c r="C13" s="16"/>
      <c r="D13" s="3">
        <f>SUM(D6:D11)</f>
        <v>568286.91999999993</v>
      </c>
      <c r="E13" s="423" t="s">
        <v>1714</v>
      </c>
      <c r="F13" s="423"/>
      <c r="G13" s="423"/>
      <c r="H13" s="423"/>
      <c r="I13" s="423"/>
      <c r="J13" s="423"/>
      <c r="K13" s="423"/>
      <c r="L13" s="423"/>
      <c r="M13" s="423"/>
      <c r="N13" s="423"/>
      <c r="O13" s="423"/>
      <c r="P13" s="423"/>
      <c r="Q13" s="423"/>
      <c r="R13" s="423"/>
      <c r="S13" s="4">
        <f>R214</f>
        <v>0</v>
      </c>
      <c r="BB13" s="265"/>
    </row>
    <row r="14" spans="1:55" s="7" customFormat="1" ht="15.75" customHeight="1" x14ac:dyDescent="0.4">
      <c r="A14" s="6"/>
      <c r="B14" s="17" t="s">
        <v>1</v>
      </c>
      <c r="C14" s="16"/>
      <c r="D14" s="3">
        <f>D2-D13</f>
        <v>55309.309999999939</v>
      </c>
      <c r="E14" s="423" t="s">
        <v>149</v>
      </c>
      <c r="F14" s="423"/>
      <c r="G14" s="423"/>
      <c r="H14" s="423"/>
      <c r="I14" s="423"/>
      <c r="J14" s="423"/>
      <c r="K14" s="423"/>
      <c r="L14" s="423"/>
      <c r="M14" s="423"/>
      <c r="N14" s="423"/>
      <c r="O14" s="423"/>
      <c r="P14" s="423"/>
      <c r="Q14" s="423"/>
      <c r="R14" s="423"/>
      <c r="S14" s="4">
        <f>SUM(S2:S13)</f>
        <v>45163.987200000018</v>
      </c>
      <c r="BB14" s="265"/>
    </row>
    <row r="15" spans="1:55" s="5" customFormat="1" ht="16.5" customHeight="1" x14ac:dyDescent="0.4">
      <c r="A15" s="1"/>
      <c r="B15" s="18"/>
      <c r="C15" s="14"/>
      <c r="D15" s="14"/>
      <c r="F15" s="19"/>
      <c r="G15" s="19"/>
      <c r="H15" s="19"/>
      <c r="I15" s="19"/>
      <c r="J15" s="19"/>
      <c r="K15" s="20"/>
      <c r="L15" s="19"/>
      <c r="M15" s="19"/>
      <c r="N15" s="19"/>
      <c r="O15" s="19"/>
      <c r="P15" s="19"/>
      <c r="Q15" s="19"/>
      <c r="R15" s="19"/>
      <c r="BB15" s="166"/>
    </row>
    <row r="16" spans="1:55" s="23" customFormat="1" ht="17.25" customHeight="1" x14ac:dyDescent="0.3">
      <c r="A16" s="424" t="s">
        <v>2</v>
      </c>
      <c r="B16" s="426" t="s">
        <v>3</v>
      </c>
      <c r="C16" s="426" t="s">
        <v>4</v>
      </c>
      <c r="D16" s="426" t="s">
        <v>5</v>
      </c>
      <c r="E16" s="427" t="s">
        <v>6</v>
      </c>
      <c r="F16" s="427" t="s">
        <v>7</v>
      </c>
      <c r="G16" s="428" t="s">
        <v>800</v>
      </c>
      <c r="H16" s="428"/>
      <c r="I16" s="428"/>
      <c r="J16" s="428"/>
      <c r="K16" s="428"/>
      <c r="L16" s="428"/>
      <c r="M16" s="428"/>
      <c r="N16" s="428"/>
      <c r="O16" s="428"/>
      <c r="P16" s="428"/>
      <c r="Q16" s="428"/>
      <c r="R16" s="428"/>
      <c r="S16" s="429" t="s">
        <v>1702</v>
      </c>
      <c r="T16" s="429" t="s">
        <v>8</v>
      </c>
      <c r="U16" s="429" t="s">
        <v>9</v>
      </c>
      <c r="V16" s="21">
        <v>1</v>
      </c>
      <c r="W16" s="21">
        <v>2</v>
      </c>
      <c r="X16" s="21">
        <v>3</v>
      </c>
      <c r="Y16" s="21">
        <v>4</v>
      </c>
      <c r="Z16" s="21">
        <v>5</v>
      </c>
      <c r="AA16" s="21">
        <v>6</v>
      </c>
      <c r="AB16" s="21">
        <v>7</v>
      </c>
      <c r="AC16" s="21">
        <v>8</v>
      </c>
      <c r="AD16" s="21">
        <v>9</v>
      </c>
      <c r="AE16" s="21">
        <v>10</v>
      </c>
      <c r="AF16" s="21">
        <v>11</v>
      </c>
      <c r="AG16" s="21">
        <v>12</v>
      </c>
      <c r="AH16" s="21">
        <v>13</v>
      </c>
      <c r="AI16" s="21">
        <v>14</v>
      </c>
      <c r="AJ16" s="21">
        <v>15</v>
      </c>
      <c r="AK16" s="22">
        <v>16</v>
      </c>
      <c r="AL16" s="21">
        <v>17</v>
      </c>
      <c r="AM16" s="21">
        <v>18</v>
      </c>
      <c r="AN16" s="21">
        <v>19</v>
      </c>
      <c r="AO16" s="21">
        <v>20</v>
      </c>
      <c r="AP16" s="21">
        <v>21</v>
      </c>
      <c r="AQ16" s="21">
        <v>22</v>
      </c>
      <c r="AR16" s="21">
        <v>23</v>
      </c>
      <c r="AS16" s="21">
        <v>24</v>
      </c>
      <c r="AT16" s="21">
        <v>25</v>
      </c>
      <c r="AU16" s="21">
        <v>26</v>
      </c>
      <c r="AV16" s="21">
        <v>27</v>
      </c>
      <c r="AW16" s="21">
        <v>28</v>
      </c>
      <c r="AX16" s="21">
        <v>29</v>
      </c>
      <c r="AY16" s="21">
        <v>30</v>
      </c>
      <c r="AZ16" s="21">
        <v>31</v>
      </c>
      <c r="BA16" s="430" t="s">
        <v>10</v>
      </c>
      <c r="BB16" s="431" t="s">
        <v>11</v>
      </c>
      <c r="BC16" s="422" t="s">
        <v>12</v>
      </c>
    </row>
    <row r="17" spans="1:55" s="23" customFormat="1" ht="17.25" customHeight="1" x14ac:dyDescent="0.3">
      <c r="A17" s="425"/>
      <c r="B17" s="426"/>
      <c r="C17" s="426"/>
      <c r="D17" s="426"/>
      <c r="E17" s="427"/>
      <c r="F17" s="427"/>
      <c r="G17" s="24">
        <v>2024</v>
      </c>
      <c r="H17" s="336" t="s">
        <v>13</v>
      </c>
      <c r="I17" s="336" t="s">
        <v>14</v>
      </c>
      <c r="J17" s="336" t="s">
        <v>15</v>
      </c>
      <c r="K17" s="336" t="s">
        <v>16</v>
      </c>
      <c r="L17" s="336" t="s">
        <v>17</v>
      </c>
      <c r="M17" s="336" t="s">
        <v>18</v>
      </c>
      <c r="N17" s="336" t="s">
        <v>19</v>
      </c>
      <c r="O17" s="336" t="s">
        <v>20</v>
      </c>
      <c r="P17" s="336" t="s">
        <v>21</v>
      </c>
      <c r="Q17" s="336" t="s">
        <v>22</v>
      </c>
      <c r="R17" s="336" t="s">
        <v>150</v>
      </c>
      <c r="S17" s="429"/>
      <c r="T17" s="429"/>
      <c r="U17" s="429"/>
      <c r="V17" s="25" t="s">
        <v>28</v>
      </c>
      <c r="W17" s="25" t="s">
        <v>23</v>
      </c>
      <c r="X17" s="25" t="s">
        <v>24</v>
      </c>
      <c r="Y17" s="25" t="s">
        <v>25</v>
      </c>
      <c r="Z17" s="25" t="s">
        <v>26</v>
      </c>
      <c r="AA17" s="25" t="s">
        <v>27</v>
      </c>
      <c r="AB17" s="25" t="s">
        <v>28</v>
      </c>
      <c r="AC17" s="25" t="s">
        <v>28</v>
      </c>
      <c r="AD17" s="25" t="s">
        <v>23</v>
      </c>
      <c r="AE17" s="25" t="s">
        <v>24</v>
      </c>
      <c r="AF17" s="25" t="s">
        <v>25</v>
      </c>
      <c r="AG17" s="25" t="s">
        <v>26</v>
      </c>
      <c r="AH17" s="25" t="s">
        <v>27</v>
      </c>
      <c r="AI17" s="25" t="s">
        <v>28</v>
      </c>
      <c r="AJ17" s="25" t="s">
        <v>28</v>
      </c>
      <c r="AK17" s="25" t="s">
        <v>23</v>
      </c>
      <c r="AL17" s="25" t="s">
        <v>24</v>
      </c>
      <c r="AM17" s="25" t="s">
        <v>25</v>
      </c>
      <c r="AN17" s="25" t="s">
        <v>26</v>
      </c>
      <c r="AO17" s="25" t="s">
        <v>27</v>
      </c>
      <c r="AP17" s="25" t="s">
        <v>28</v>
      </c>
      <c r="AQ17" s="25" t="s">
        <v>28</v>
      </c>
      <c r="AR17" s="25" t="s">
        <v>23</v>
      </c>
      <c r="AS17" s="25" t="s">
        <v>24</v>
      </c>
      <c r="AT17" s="25" t="s">
        <v>25</v>
      </c>
      <c r="AU17" s="25" t="s">
        <v>26</v>
      </c>
      <c r="AV17" s="25" t="s">
        <v>27</v>
      </c>
      <c r="AW17" s="25" t="s">
        <v>28</v>
      </c>
      <c r="AX17" s="25" t="s">
        <v>28</v>
      </c>
      <c r="AY17" s="25" t="s">
        <v>23</v>
      </c>
      <c r="AZ17" s="25" t="s">
        <v>24</v>
      </c>
      <c r="BA17" s="430"/>
      <c r="BB17" s="431"/>
      <c r="BC17" s="422"/>
    </row>
    <row r="18" spans="1:55" s="23" customFormat="1" ht="68.25" customHeight="1" x14ac:dyDescent="0.3">
      <c r="A18" s="26">
        <v>1</v>
      </c>
      <c r="B18" s="43" t="s">
        <v>1720</v>
      </c>
      <c r="C18" s="28"/>
      <c r="D18" s="299" t="s">
        <v>1232</v>
      </c>
      <c r="E18" s="92">
        <v>1</v>
      </c>
      <c r="F18" s="30" t="s">
        <v>30</v>
      </c>
      <c r="G18" s="112">
        <f>[1]DICIEMBRE!$BA$91</f>
        <v>290</v>
      </c>
      <c r="H18" s="31"/>
      <c r="I18" s="31"/>
      <c r="J18" s="32"/>
      <c r="K18" s="33"/>
      <c r="L18" s="32"/>
      <c r="M18" s="32"/>
      <c r="N18" s="336"/>
      <c r="O18" s="32"/>
      <c r="P18" s="33"/>
      <c r="Q18" s="31"/>
      <c r="R18" s="31"/>
      <c r="S18" s="59">
        <f>(250*0.16+250)*E18</f>
        <v>290</v>
      </c>
      <c r="T18" s="34"/>
      <c r="U18" s="34"/>
      <c r="V18" s="35"/>
      <c r="W18" s="35"/>
      <c r="X18" s="35"/>
      <c r="Y18" s="35"/>
      <c r="Z18" s="36"/>
      <c r="AA18" s="35"/>
      <c r="AB18" s="35"/>
      <c r="AC18" s="54"/>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3">
        <f>SUM(G18+S18+T18-U18-V18-W18-X18-Y18-Z18-AA18-AB18-AC18-AD18-AE18-AF18-AG18-AH18-AI18-AJ18-AK18-AL18-AM18-AN18-AO18-AP18-AQ18-AR18-AS18-AT18-AU18-AV18-AW18-AX18-AY18-AZ18)</f>
        <v>580</v>
      </c>
      <c r="BB18" s="43"/>
    </row>
    <row r="19" spans="1:55" ht="78" customHeight="1" x14ac:dyDescent="0.35">
      <c r="A19" s="26">
        <v>2</v>
      </c>
      <c r="B19" s="27" t="s">
        <v>1721</v>
      </c>
      <c r="C19" s="28" t="s">
        <v>133</v>
      </c>
      <c r="D19" s="298" t="s">
        <v>1498</v>
      </c>
      <c r="E19" s="94">
        <v>20</v>
      </c>
      <c r="F19" s="60" t="s">
        <v>33</v>
      </c>
      <c r="G19" s="112">
        <f>[1]DICIEMBRE!$BA$21</f>
        <v>-0.39520000000266009</v>
      </c>
      <c r="H19" s="45"/>
      <c r="I19" s="45"/>
      <c r="J19" s="32"/>
      <c r="K19" s="33"/>
      <c r="L19" s="336"/>
      <c r="M19" s="32"/>
      <c r="N19" s="32"/>
      <c r="O19" s="33"/>
      <c r="P19" s="31"/>
      <c r="Q19" s="31"/>
      <c r="R19" s="31"/>
      <c r="S19" s="47">
        <f>(300*0.16+300)*E19</f>
        <v>6960</v>
      </c>
      <c r="T19" s="47">
        <f>1500*0.16+1500</f>
        <v>1740</v>
      </c>
      <c r="U19" s="48"/>
      <c r="V19" s="49"/>
      <c r="W19" s="49"/>
      <c r="X19" s="49"/>
      <c r="Y19" s="49"/>
      <c r="Z19" s="49"/>
      <c r="AA19" s="49"/>
      <c r="AB19" s="49"/>
      <c r="AC19" s="49"/>
      <c r="AD19" s="50"/>
      <c r="AE19" s="49"/>
      <c r="AF19" s="49"/>
      <c r="AG19" s="51"/>
      <c r="AH19" s="49">
        <v>8700</v>
      </c>
      <c r="AI19" s="49"/>
      <c r="AJ19" s="49"/>
      <c r="AK19" s="49"/>
      <c r="AL19" s="49"/>
      <c r="AM19" s="49"/>
      <c r="AN19" s="49"/>
      <c r="AO19" s="49"/>
      <c r="AP19" s="49"/>
      <c r="AQ19" s="49"/>
      <c r="AR19" s="49"/>
      <c r="AS19" s="49"/>
      <c r="AT19" s="49"/>
      <c r="AU19" s="49"/>
      <c r="AV19" s="49"/>
      <c r="AW19" s="49"/>
      <c r="AX19" s="49"/>
      <c r="AY19" s="49"/>
      <c r="AZ19" s="49"/>
      <c r="BA19" s="33">
        <f>SUM(G19+S19+T19-U19-V19-W19-X19-Y19-Z19-AA19-AB19-AC19-AD19-AE19-AF19-AG19-AH19-AI19-AJ19-AK19-AL19-AM19-AN19-AO19-AP19-AQ19-AR19-AS19-AT19-AU19-AV19-AW19-AX19-AY19-AZ19)</f>
        <v>-0.39520000000266009</v>
      </c>
      <c r="BB19" s="268" t="s">
        <v>1791</v>
      </c>
    </row>
    <row r="20" spans="1:55" s="23" customFormat="1" ht="69" customHeight="1" x14ac:dyDescent="0.3">
      <c r="A20" s="26">
        <v>3</v>
      </c>
      <c r="B20" s="43" t="s">
        <v>1722</v>
      </c>
      <c r="C20" s="53" t="s">
        <v>52</v>
      </c>
      <c r="D20" s="298" t="s">
        <v>1223</v>
      </c>
      <c r="E20" s="92">
        <v>5</v>
      </c>
      <c r="F20" s="56" t="s">
        <v>30</v>
      </c>
      <c r="G20" s="112">
        <f>[1]DICIEMBRE!$BA$75</f>
        <v>3190.0027999999993</v>
      </c>
      <c r="H20" s="31"/>
      <c r="I20" s="31"/>
      <c r="J20" s="32"/>
      <c r="K20" s="33"/>
      <c r="L20" s="336"/>
      <c r="M20" s="32"/>
      <c r="N20" s="336"/>
      <c r="O20" s="32"/>
      <c r="P20" s="33"/>
      <c r="Q20" s="31"/>
      <c r="R20" s="31"/>
      <c r="S20" s="34">
        <f>(280*0.16+280)*E20</f>
        <v>1624</v>
      </c>
      <c r="T20" s="34">
        <f>450*0.16+450</f>
        <v>522</v>
      </c>
      <c r="U20" s="34"/>
      <c r="V20" s="35"/>
      <c r="W20" s="35"/>
      <c r="X20" s="35"/>
      <c r="Y20" s="54"/>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v>5336</v>
      </c>
      <c r="AX20" s="35"/>
      <c r="AY20" s="35"/>
      <c r="AZ20" s="35"/>
      <c r="BA20" s="33">
        <f t="shared" ref="BA20:BA82" si="0">SUM(G20+S20+T20-U20-V20-W20-X20-Y20-Z20-AA20-AB20-AC20-AD20-AE20-AF20-AG20-AH20-AI20-AJ20-AK20-AL20-AM20-AN20-AO20-AP20-AQ20-AR20-AS20-AT20-AU20-AV20-AW20-AX20-AY20-AZ20)</f>
        <v>2.7999999992971425E-3</v>
      </c>
      <c r="BB20" s="269" t="s">
        <v>1779</v>
      </c>
    </row>
    <row r="21" spans="1:55" s="23" customFormat="1" ht="57.75" customHeight="1" x14ac:dyDescent="0.3">
      <c r="A21" s="26">
        <v>4</v>
      </c>
      <c r="B21" s="43" t="s">
        <v>375</v>
      </c>
      <c r="C21" s="28" t="s">
        <v>380</v>
      </c>
      <c r="D21" s="298" t="s">
        <v>1199</v>
      </c>
      <c r="E21" s="92">
        <v>3</v>
      </c>
      <c r="F21" s="30" t="s">
        <v>30</v>
      </c>
      <c r="G21" s="112">
        <f>[1]DICIEMBRE!$BA$23</f>
        <v>-3.1999999935123924E-3</v>
      </c>
      <c r="H21" s="31"/>
      <c r="I21" s="31"/>
      <c r="J21" s="32"/>
      <c r="K21" s="32"/>
      <c r="L21" s="32"/>
      <c r="M21" s="32"/>
      <c r="N21" s="32"/>
      <c r="O21" s="32"/>
      <c r="P21" s="31"/>
      <c r="Q21" s="31"/>
      <c r="R21" s="31"/>
      <c r="S21" s="38">
        <f>(299*0.16+299)*E21</f>
        <v>1040.52</v>
      </c>
      <c r="T21" s="39"/>
      <c r="U21" s="39"/>
      <c r="V21" s="37"/>
      <c r="W21" s="37"/>
      <c r="X21" s="37"/>
      <c r="Y21" s="37"/>
      <c r="Z21" s="37"/>
      <c r="AA21" s="37"/>
      <c r="AB21" s="37"/>
      <c r="AC21" s="37"/>
      <c r="AD21" s="37"/>
      <c r="AE21" s="37"/>
      <c r="AF21" s="37"/>
      <c r="AG21" s="37"/>
      <c r="AH21" s="37"/>
      <c r="AI21" s="37"/>
      <c r="AJ21" s="37">
        <v>1040.52</v>
      </c>
      <c r="AK21" s="35"/>
      <c r="AL21" s="37"/>
      <c r="AM21" s="37"/>
      <c r="AN21" s="37"/>
      <c r="AO21" s="37"/>
      <c r="AP21" s="37"/>
      <c r="AQ21" s="37"/>
      <c r="AR21" s="37"/>
      <c r="AS21" s="37"/>
      <c r="AT21" s="37"/>
      <c r="AU21" s="37"/>
      <c r="AV21" s="37"/>
      <c r="AW21" s="37"/>
      <c r="AX21" s="37"/>
      <c r="AY21" s="37"/>
      <c r="AZ21" s="37"/>
      <c r="BA21" s="33">
        <f t="shared" si="0"/>
        <v>-3.1999999935123924E-3</v>
      </c>
      <c r="BB21" s="43"/>
    </row>
    <row r="22" spans="1:55" s="23" customFormat="1" ht="57.75" customHeight="1" x14ac:dyDescent="0.3">
      <c r="A22" s="26">
        <v>5</v>
      </c>
      <c r="B22" s="43" t="s">
        <v>750</v>
      </c>
      <c r="C22" s="28"/>
      <c r="D22" s="298" t="s">
        <v>1273</v>
      </c>
      <c r="E22" s="92">
        <v>10</v>
      </c>
      <c r="F22" s="30" t="s">
        <v>30</v>
      </c>
      <c r="G22" s="234">
        <f>[1]DICIEMBRE!$BA$24</f>
        <v>-0.39520000000266009</v>
      </c>
      <c r="H22" s="31"/>
      <c r="I22" s="31"/>
      <c r="J22" s="32"/>
      <c r="K22" s="32"/>
      <c r="L22" s="32"/>
      <c r="M22" s="32"/>
      <c r="N22" s="32"/>
      <c r="O22" s="33"/>
      <c r="P22" s="33"/>
      <c r="Q22" s="31"/>
      <c r="R22" s="31"/>
      <c r="S22" s="38">
        <f>(270*0.16+270)*E22</f>
        <v>3132</v>
      </c>
      <c r="T22" s="39"/>
      <c r="U22" s="39"/>
      <c r="V22" s="37"/>
      <c r="W22" s="37"/>
      <c r="X22" s="37"/>
      <c r="Y22" s="37"/>
      <c r="Z22" s="37"/>
      <c r="AA22" s="37">
        <v>3132</v>
      </c>
      <c r="AB22" s="37"/>
      <c r="AC22" s="37"/>
      <c r="AD22" s="37"/>
      <c r="AE22" s="37"/>
      <c r="AF22" s="37"/>
      <c r="AG22" s="37"/>
      <c r="AH22" s="37"/>
      <c r="AI22" s="37"/>
      <c r="AJ22" s="37"/>
      <c r="AK22" s="35"/>
      <c r="AL22" s="37"/>
      <c r="AM22" s="37"/>
      <c r="AN22" s="37"/>
      <c r="AO22" s="37"/>
      <c r="AP22" s="37"/>
      <c r="AQ22" s="37"/>
      <c r="AR22" s="37"/>
      <c r="AS22" s="37"/>
      <c r="AT22" s="37"/>
      <c r="AU22" s="37"/>
      <c r="AV22" s="37"/>
      <c r="AW22" s="37"/>
      <c r="AX22" s="37"/>
      <c r="AY22" s="37"/>
      <c r="AZ22" s="37"/>
      <c r="BA22" s="33">
        <f t="shared" si="0"/>
        <v>-0.39520000000266009</v>
      </c>
      <c r="BB22" s="43"/>
    </row>
    <row r="23" spans="1:55" s="23" customFormat="1" ht="69.75" customHeight="1" x14ac:dyDescent="0.3">
      <c r="A23" s="26">
        <v>6</v>
      </c>
      <c r="B23" s="43" t="s">
        <v>1723</v>
      </c>
      <c r="C23" s="53" t="s">
        <v>39</v>
      </c>
      <c r="D23" s="298" t="s">
        <v>1209</v>
      </c>
      <c r="E23" s="92">
        <v>2</v>
      </c>
      <c r="F23" s="30" t="s">
        <v>30</v>
      </c>
      <c r="G23" s="234">
        <f>[1]DICIEMBRE!$BA$48</f>
        <v>696</v>
      </c>
      <c r="H23" s="31"/>
      <c r="I23" s="31"/>
      <c r="J23" s="32"/>
      <c r="K23" s="32"/>
      <c r="L23" s="32"/>
      <c r="M23" s="32"/>
      <c r="N23" s="32"/>
      <c r="O23" s="33"/>
      <c r="P23" s="31"/>
      <c r="Q23" s="31"/>
      <c r="R23" s="31"/>
      <c r="S23" s="34">
        <f>(300*0.16+300)*1</f>
        <v>348</v>
      </c>
      <c r="T23" s="34"/>
      <c r="U23" s="34"/>
      <c r="V23" s="34"/>
      <c r="W23" s="34"/>
      <c r="X23" s="34"/>
      <c r="Y23" s="34"/>
      <c r="Z23" s="52"/>
      <c r="AA23" s="34"/>
      <c r="AB23" s="34"/>
      <c r="AC23" s="34"/>
      <c r="AD23" s="34"/>
      <c r="AE23" s="34"/>
      <c r="AF23" s="34"/>
      <c r="AG23" s="34"/>
      <c r="AH23" s="34"/>
      <c r="AI23" s="34"/>
      <c r="AJ23" s="34"/>
      <c r="AK23" s="38"/>
      <c r="AL23" s="34"/>
      <c r="AM23" s="34"/>
      <c r="AN23" s="34"/>
      <c r="AO23" s="34"/>
      <c r="AP23" s="34"/>
      <c r="AQ23" s="34"/>
      <c r="AR23" s="34">
        <v>348</v>
      </c>
      <c r="AS23" s="34"/>
      <c r="AT23" s="34"/>
      <c r="AU23" s="34"/>
      <c r="AV23" s="34"/>
      <c r="AW23" s="34"/>
      <c r="AX23" s="34"/>
      <c r="AY23" s="34"/>
      <c r="AZ23" s="34"/>
      <c r="BA23" s="33">
        <f t="shared" si="0"/>
        <v>696</v>
      </c>
      <c r="BB23" s="43" t="s">
        <v>1589</v>
      </c>
    </row>
    <row r="24" spans="1:55" s="23" customFormat="1" ht="87.75" customHeight="1" x14ac:dyDescent="0.3">
      <c r="A24" s="26">
        <v>7</v>
      </c>
      <c r="B24" s="43" t="s">
        <v>779</v>
      </c>
      <c r="C24" s="28"/>
      <c r="D24" s="298" t="s">
        <v>1200</v>
      </c>
      <c r="E24" s="92">
        <v>1</v>
      </c>
      <c r="F24" s="30" t="s">
        <v>30</v>
      </c>
      <c r="G24" s="112">
        <f>[1]DICIEMBRE!$BA$25</f>
        <v>0</v>
      </c>
      <c r="H24" s="31"/>
      <c r="I24" s="31"/>
      <c r="J24" s="32"/>
      <c r="K24" s="33"/>
      <c r="L24" s="336"/>
      <c r="M24" s="336"/>
      <c r="N24" s="336"/>
      <c r="O24" s="32"/>
      <c r="P24" s="31"/>
      <c r="Q24" s="31"/>
      <c r="R24" s="31"/>
      <c r="S24" s="38">
        <f>250*0.16+250</f>
        <v>290</v>
      </c>
      <c r="T24" s="39"/>
      <c r="U24" s="39"/>
      <c r="V24" s="37"/>
      <c r="W24" s="37"/>
      <c r="X24" s="37"/>
      <c r="Y24" s="37"/>
      <c r="Z24" s="37"/>
      <c r="AA24" s="37">
        <v>290</v>
      </c>
      <c r="AB24" s="37"/>
      <c r="AC24" s="37"/>
      <c r="AD24" s="37"/>
      <c r="AE24" s="37"/>
      <c r="AF24" s="37"/>
      <c r="AG24" s="37"/>
      <c r="AH24" s="37"/>
      <c r="AI24" s="37"/>
      <c r="AJ24" s="37"/>
      <c r="AK24" s="35"/>
      <c r="AL24" s="37"/>
      <c r="AM24" s="37"/>
      <c r="AN24" s="37"/>
      <c r="AO24" s="37"/>
      <c r="AP24" s="37"/>
      <c r="AQ24" s="37"/>
      <c r="AR24" s="37"/>
      <c r="AS24" s="37"/>
      <c r="AT24" s="37"/>
      <c r="AU24" s="37"/>
      <c r="AV24" s="37"/>
      <c r="AW24" s="37"/>
      <c r="AX24" s="37"/>
      <c r="AY24" s="37"/>
      <c r="AZ24" s="37"/>
      <c r="BA24" s="33">
        <f t="shared" si="0"/>
        <v>0</v>
      </c>
      <c r="BB24" s="43"/>
    </row>
    <row r="25" spans="1:55" s="23" customFormat="1" ht="51" customHeight="1" x14ac:dyDescent="0.3">
      <c r="A25" s="26">
        <v>8</v>
      </c>
      <c r="B25" s="43" t="s">
        <v>1724</v>
      </c>
      <c r="C25" s="28"/>
      <c r="D25" s="298" t="s">
        <v>1217</v>
      </c>
      <c r="E25" s="92">
        <v>5</v>
      </c>
      <c r="F25" s="30" t="s">
        <v>30</v>
      </c>
      <c r="G25" s="234">
        <f>[1]DICIEMBRE!$BA$64</f>
        <v>6.799999999202555E-3</v>
      </c>
      <c r="H25" s="31"/>
      <c r="I25" s="31"/>
      <c r="J25" s="32"/>
      <c r="K25" s="32"/>
      <c r="L25" s="32"/>
      <c r="M25" s="32"/>
      <c r="N25" s="32"/>
      <c r="O25" s="33"/>
      <c r="P25" s="31"/>
      <c r="Q25" s="31"/>
      <c r="R25" s="31"/>
      <c r="S25" s="34">
        <f>(250*0.16+250)*E25</f>
        <v>1450</v>
      </c>
      <c r="T25" s="34"/>
      <c r="U25" s="34"/>
      <c r="V25" s="35"/>
      <c r="W25" s="35"/>
      <c r="X25" s="35"/>
      <c r="Y25" s="35"/>
      <c r="Z25" s="35"/>
      <c r="AA25" s="35">
        <v>1450</v>
      </c>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3">
        <f t="shared" si="0"/>
        <v>6.799999999202555E-3</v>
      </c>
      <c r="BB25" s="43"/>
    </row>
    <row r="26" spans="1:55" s="23" customFormat="1" ht="74.25" customHeight="1" x14ac:dyDescent="0.3">
      <c r="A26" s="26">
        <v>9</v>
      </c>
      <c r="B26" s="43" t="s">
        <v>783</v>
      </c>
      <c r="C26" s="28"/>
      <c r="D26" s="298" t="s">
        <v>1674</v>
      </c>
      <c r="E26" s="92">
        <v>5</v>
      </c>
      <c r="F26" s="30" t="s">
        <v>30</v>
      </c>
      <c r="G26" s="112">
        <f>[1]DICIEMBRE!$BA$27</f>
        <v>3.9999999989959178E-3</v>
      </c>
      <c r="H26" s="31"/>
      <c r="I26" s="31"/>
      <c r="J26" s="32"/>
      <c r="K26" s="32"/>
      <c r="L26" s="32"/>
      <c r="M26" s="32"/>
      <c r="N26" s="32"/>
      <c r="O26" s="33"/>
      <c r="P26" s="31"/>
      <c r="Q26" s="31"/>
      <c r="R26" s="31"/>
      <c r="S26" s="38">
        <f>(279*0.16+279)*E26</f>
        <v>1618.1999999999998</v>
      </c>
      <c r="T26" s="39"/>
      <c r="U26" s="39"/>
      <c r="V26" s="37"/>
      <c r="W26" s="37"/>
      <c r="X26" s="37"/>
      <c r="Y26" s="37"/>
      <c r="Z26" s="37"/>
      <c r="AA26" s="37">
        <v>1618.2</v>
      </c>
      <c r="AB26" s="37"/>
      <c r="AC26" s="37"/>
      <c r="AD26" s="37"/>
      <c r="AE26" s="37"/>
      <c r="AF26" s="37"/>
      <c r="AG26" s="37"/>
      <c r="AH26" s="37"/>
      <c r="AI26" s="37"/>
      <c r="AJ26" s="37"/>
      <c r="AK26" s="35"/>
      <c r="AL26" s="37"/>
      <c r="AM26" s="37"/>
      <c r="AN26" s="37"/>
      <c r="AO26" s="37"/>
      <c r="AP26" s="37"/>
      <c r="AQ26" s="37"/>
      <c r="AR26" s="37"/>
      <c r="AS26" s="37"/>
      <c r="AT26" s="37"/>
      <c r="AU26" s="37"/>
      <c r="AV26" s="37"/>
      <c r="AW26" s="37"/>
      <c r="AX26" s="37"/>
      <c r="AY26" s="37"/>
      <c r="AZ26" s="37"/>
      <c r="BA26" s="33">
        <f t="shared" si="0"/>
        <v>3.9999999987685442E-3</v>
      </c>
      <c r="BB26" s="43"/>
    </row>
    <row r="27" spans="1:55" s="23" customFormat="1" ht="138.75" customHeight="1" x14ac:dyDescent="0.3">
      <c r="A27" s="26">
        <v>10</v>
      </c>
      <c r="B27" s="27" t="s">
        <v>31</v>
      </c>
      <c r="C27" s="28" t="s">
        <v>287</v>
      </c>
      <c r="D27" s="298" t="s">
        <v>1201</v>
      </c>
      <c r="E27" s="93">
        <v>5</v>
      </c>
      <c r="F27" s="40" t="s">
        <v>30</v>
      </c>
      <c r="G27" s="234">
        <f>[1]DICIEMBRE!$BA$28</f>
        <v>2.8000000004340109E-3</v>
      </c>
      <c r="H27" s="31"/>
      <c r="I27" s="31"/>
      <c r="J27" s="32"/>
      <c r="K27" s="33"/>
      <c r="L27" s="336"/>
      <c r="M27" s="336"/>
      <c r="N27" s="336"/>
      <c r="O27" s="32"/>
      <c r="P27" s="33"/>
      <c r="Q27" s="31"/>
      <c r="R27" s="31"/>
      <c r="S27" s="34">
        <f>(280*0.16+280)*E27</f>
        <v>1624</v>
      </c>
      <c r="T27" s="34">
        <f>500*0.16+500</f>
        <v>580</v>
      </c>
      <c r="U27" s="34">
        <v>324.8</v>
      </c>
      <c r="V27" s="35"/>
      <c r="W27" s="35"/>
      <c r="X27" s="35"/>
      <c r="Y27" s="35"/>
      <c r="Z27" s="35"/>
      <c r="AA27" s="36"/>
      <c r="AB27" s="35"/>
      <c r="AC27" s="35"/>
      <c r="AD27" s="35"/>
      <c r="AE27" s="35"/>
      <c r="AF27" s="35"/>
      <c r="AG27" s="35"/>
      <c r="AH27" s="35"/>
      <c r="AI27" s="35"/>
      <c r="AJ27" s="35">
        <v>1879.2</v>
      </c>
      <c r="AK27" s="37"/>
      <c r="AL27" s="35"/>
      <c r="AM27" s="35"/>
      <c r="AN27" s="35"/>
      <c r="AO27" s="35"/>
      <c r="AP27" s="35"/>
      <c r="AQ27" s="35"/>
      <c r="AR27" s="35"/>
      <c r="AS27" s="35"/>
      <c r="AT27" s="35"/>
      <c r="AU27" s="35"/>
      <c r="AV27" s="35"/>
      <c r="AW27" s="35"/>
      <c r="AX27" s="35"/>
      <c r="AY27" s="35"/>
      <c r="AZ27" s="35"/>
      <c r="BA27" s="33">
        <f t="shared" si="0"/>
        <v>2.8000000002066372E-3</v>
      </c>
      <c r="BB27" s="267" t="s">
        <v>1778</v>
      </c>
    </row>
    <row r="28" spans="1:55" s="23" customFormat="1" ht="90" customHeight="1" x14ac:dyDescent="0.3">
      <c r="A28" s="26">
        <v>11</v>
      </c>
      <c r="B28" s="43" t="s">
        <v>1725</v>
      </c>
      <c r="C28" s="28" t="s">
        <v>484</v>
      </c>
      <c r="D28" s="298" t="s">
        <v>1198</v>
      </c>
      <c r="E28" s="92">
        <v>4</v>
      </c>
      <c r="F28" s="30" t="s">
        <v>30</v>
      </c>
      <c r="G28" s="234">
        <f>[1]DICIEMBRE!$BA$20</f>
        <v>0</v>
      </c>
      <c r="H28" s="31"/>
      <c r="I28" s="31"/>
      <c r="J28" s="32"/>
      <c r="K28" s="32"/>
      <c r="L28" s="32"/>
      <c r="M28" s="32"/>
      <c r="N28" s="32"/>
      <c r="O28" s="32"/>
      <c r="P28" s="33"/>
      <c r="Q28" s="31"/>
      <c r="R28" s="31"/>
      <c r="S28" s="34">
        <f>(300*0.16+300)*E28</f>
        <v>1392</v>
      </c>
      <c r="T28" s="34"/>
      <c r="U28" s="34"/>
      <c r="V28" s="35"/>
      <c r="W28" s="35"/>
      <c r="X28" s="35"/>
      <c r="Y28" s="35"/>
      <c r="Z28" s="36"/>
      <c r="AA28" s="35"/>
      <c r="AB28" s="35">
        <v>1392</v>
      </c>
      <c r="AC28" s="35"/>
      <c r="AD28" s="35"/>
      <c r="AE28" s="35"/>
      <c r="AF28" s="35"/>
      <c r="AG28" s="35"/>
      <c r="AH28" s="35"/>
      <c r="AI28" s="35"/>
      <c r="AJ28" s="35"/>
      <c r="AK28" s="37"/>
      <c r="AL28" s="35"/>
      <c r="AM28" s="35"/>
      <c r="AN28" s="35"/>
      <c r="AO28" s="35"/>
      <c r="AP28" s="35"/>
      <c r="AQ28" s="35"/>
      <c r="AR28" s="35"/>
      <c r="AS28" s="35"/>
      <c r="AT28" s="35"/>
      <c r="AU28" s="35"/>
      <c r="AV28" s="35"/>
      <c r="AW28" s="35"/>
      <c r="AX28" s="35"/>
      <c r="AY28" s="35"/>
      <c r="AZ28" s="35"/>
      <c r="BA28" s="33">
        <f t="shared" si="0"/>
        <v>0</v>
      </c>
      <c r="BB28" s="43"/>
    </row>
    <row r="29" spans="1:55" s="23" customFormat="1" ht="92.25" customHeight="1" x14ac:dyDescent="0.3">
      <c r="A29" s="26">
        <v>12</v>
      </c>
      <c r="B29" s="43" t="s">
        <v>1352</v>
      </c>
      <c r="C29" s="28"/>
      <c r="D29" s="300" t="s">
        <v>1499</v>
      </c>
      <c r="E29" s="93">
        <v>5</v>
      </c>
      <c r="F29" s="30" t="s">
        <v>30</v>
      </c>
      <c r="G29" s="112">
        <f>[1]DICIEMBRE!$BA$31</f>
        <v>-3480</v>
      </c>
      <c r="H29" s="31"/>
      <c r="I29" s="31"/>
      <c r="J29" s="32"/>
      <c r="K29" s="32"/>
      <c r="L29" s="32"/>
      <c r="M29" s="32"/>
      <c r="N29" s="32"/>
      <c r="O29" s="33"/>
      <c r="P29" s="31"/>
      <c r="Q29" s="31"/>
      <c r="R29" s="31"/>
      <c r="S29" s="34">
        <f>(300*0.16+300)*E29</f>
        <v>1740</v>
      </c>
      <c r="T29" s="34"/>
      <c r="U29" s="34"/>
      <c r="V29" s="34"/>
      <c r="W29" s="34"/>
      <c r="X29" s="34"/>
      <c r="Y29" s="34"/>
      <c r="Z29" s="34"/>
      <c r="AA29" s="34"/>
      <c r="AB29" s="34"/>
      <c r="AC29" s="34"/>
      <c r="AD29" s="34"/>
      <c r="AE29" s="34"/>
      <c r="AF29" s="34"/>
      <c r="AG29" s="34"/>
      <c r="AH29" s="34"/>
      <c r="AI29" s="34"/>
      <c r="AJ29" s="34"/>
      <c r="AK29" s="38"/>
      <c r="AL29" s="34"/>
      <c r="AM29" s="34"/>
      <c r="AN29" s="34"/>
      <c r="AO29" s="34"/>
      <c r="AP29" s="34"/>
      <c r="AQ29" s="34"/>
      <c r="AR29" s="34"/>
      <c r="AS29" s="34"/>
      <c r="AT29" s="34"/>
      <c r="AU29" s="34"/>
      <c r="AV29" s="34"/>
      <c r="AW29" s="34"/>
      <c r="AX29" s="34"/>
      <c r="AY29" s="34"/>
      <c r="AZ29" s="34"/>
      <c r="BA29" s="33">
        <f t="shared" si="0"/>
        <v>-1740</v>
      </c>
      <c r="BB29" s="43" t="s">
        <v>1673</v>
      </c>
    </row>
    <row r="30" spans="1:55" s="23" customFormat="1" ht="91.5" customHeight="1" x14ac:dyDescent="0.3">
      <c r="A30" s="26">
        <v>13</v>
      </c>
      <c r="B30" s="43" t="s">
        <v>1726</v>
      </c>
      <c r="C30" s="334"/>
      <c r="D30" s="298" t="s">
        <v>1197</v>
      </c>
      <c r="E30" s="93">
        <v>5</v>
      </c>
      <c r="F30" s="30" t="s">
        <v>30</v>
      </c>
      <c r="G30" s="234">
        <f>[1]DICIEMBRE!$BA$18</f>
        <v>-128</v>
      </c>
      <c r="H30" s="336"/>
      <c r="I30" s="336"/>
      <c r="J30" s="336"/>
      <c r="K30" s="33"/>
      <c r="L30" s="336"/>
      <c r="M30" s="336"/>
      <c r="N30" s="336"/>
      <c r="O30" s="33"/>
      <c r="P30" s="33"/>
      <c r="Q30" s="31"/>
      <c r="R30" s="31"/>
      <c r="S30" s="34">
        <f>(350*0.16+350)*E30</f>
        <v>2030</v>
      </c>
      <c r="T30" s="335"/>
      <c r="U30" s="335"/>
      <c r="V30" s="25"/>
      <c r="X30" s="25"/>
      <c r="Y30" s="25"/>
      <c r="Z30" s="25"/>
      <c r="AA30" s="25"/>
      <c r="AB30" s="25"/>
      <c r="AC30" s="54"/>
      <c r="AD30" s="25"/>
      <c r="AE30" s="25"/>
      <c r="AF30" s="25"/>
      <c r="AG30" s="25"/>
      <c r="AH30" s="25"/>
      <c r="AI30" s="25"/>
      <c r="AJ30" s="25"/>
      <c r="AK30" s="25"/>
      <c r="AL30" s="25"/>
      <c r="AM30" s="25"/>
      <c r="AN30" s="25"/>
      <c r="AO30" s="25"/>
      <c r="AP30" s="25"/>
      <c r="AQ30" s="25"/>
      <c r="AR30" s="25"/>
      <c r="AS30" s="25">
        <v>2030</v>
      </c>
      <c r="AT30" s="25"/>
      <c r="AU30" s="25"/>
      <c r="AV30" s="25"/>
      <c r="AW30" s="25"/>
      <c r="AX30" s="25"/>
      <c r="AY30" s="25"/>
      <c r="AZ30" s="25"/>
      <c r="BA30" s="33">
        <f t="shared" si="0"/>
        <v>-128</v>
      </c>
      <c r="BB30" s="266"/>
      <c r="BC30" s="333"/>
    </row>
    <row r="31" spans="1:55" s="23" customFormat="1" ht="52.5" customHeight="1" x14ac:dyDescent="0.3">
      <c r="A31" s="26">
        <v>14</v>
      </c>
      <c r="B31" s="43" t="s">
        <v>1727</v>
      </c>
      <c r="C31" s="53"/>
      <c r="D31" s="298" t="s">
        <v>1225</v>
      </c>
      <c r="E31" s="92">
        <v>5</v>
      </c>
      <c r="F31" s="56" t="s">
        <v>30</v>
      </c>
      <c r="G31" s="112">
        <f>[1]DICIEMBRE!$BA$77</f>
        <v>1.1999999996987754E-3</v>
      </c>
      <c r="H31" s="31"/>
      <c r="I31" s="31"/>
      <c r="J31" s="32"/>
      <c r="K31" s="32"/>
      <c r="L31" s="32"/>
      <c r="M31" s="32"/>
      <c r="N31" s="32"/>
      <c r="O31" s="33"/>
      <c r="P31" s="33"/>
      <c r="Q31" s="31"/>
      <c r="R31" s="31"/>
      <c r="S31" s="34">
        <f>(250*0.16+250)*4+(300*0.16+300)*1</f>
        <v>1508</v>
      </c>
      <c r="T31" s="34"/>
      <c r="U31" s="34"/>
      <c r="V31" s="35"/>
      <c r="W31" s="35"/>
      <c r="X31" s="35"/>
      <c r="Y31" s="54"/>
      <c r="Z31" s="35"/>
      <c r="AA31" s="35">
        <v>1508</v>
      </c>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3">
        <f t="shared" si="0"/>
        <v>1.1999999996987754E-3</v>
      </c>
      <c r="BB31" s="269"/>
    </row>
    <row r="32" spans="1:55" s="23" customFormat="1" ht="92.25" customHeight="1" x14ac:dyDescent="0.3">
      <c r="A32" s="26">
        <v>15</v>
      </c>
      <c r="B32" s="43" t="s">
        <v>1632</v>
      </c>
      <c r="C32" s="28"/>
      <c r="D32" s="303" t="s">
        <v>1641</v>
      </c>
      <c r="E32" s="93">
        <v>6</v>
      </c>
      <c r="F32" s="30" t="s">
        <v>35</v>
      </c>
      <c r="G32" s="234">
        <f>[1]DICIEMBRE!$BA$32</f>
        <v>0</v>
      </c>
      <c r="H32" s="31"/>
      <c r="I32" s="31"/>
      <c r="J32" s="32"/>
      <c r="K32" s="32"/>
      <c r="L32" s="32"/>
      <c r="M32" s="32"/>
      <c r="N32" s="32"/>
      <c r="O32" s="33"/>
      <c r="P32" s="31"/>
      <c r="Q32" s="31"/>
      <c r="R32" s="31"/>
      <c r="S32" s="34">
        <f>(279*0.16+279)*E32</f>
        <v>1941.84</v>
      </c>
      <c r="T32" s="34">
        <f>1658.1*0.16+1658.1</f>
        <v>1923.396</v>
      </c>
      <c r="U32" s="34"/>
      <c r="V32" s="34"/>
      <c r="W32" s="34"/>
      <c r="X32" s="34"/>
      <c r="Y32" s="34"/>
      <c r="Z32" s="34"/>
      <c r="AA32" s="34"/>
      <c r="AB32" s="34">
        <v>3865.24</v>
      </c>
      <c r="AC32" s="34"/>
      <c r="AD32" s="34"/>
      <c r="AE32" s="34"/>
      <c r="AF32" s="34"/>
      <c r="AG32" s="34"/>
      <c r="AH32" s="34"/>
      <c r="AI32" s="34"/>
      <c r="AJ32" s="34"/>
      <c r="AK32" s="38"/>
      <c r="AL32" s="34"/>
      <c r="AM32" s="34"/>
      <c r="AN32" s="34"/>
      <c r="AO32" s="34"/>
      <c r="AP32" s="34"/>
      <c r="AQ32" s="34"/>
      <c r="AR32" s="34"/>
      <c r="AS32" s="34"/>
      <c r="AT32" s="34"/>
      <c r="AU32" s="34"/>
      <c r="AV32" s="34"/>
      <c r="AW32" s="34"/>
      <c r="AX32" s="34"/>
      <c r="AY32" s="34"/>
      <c r="AZ32" s="34"/>
      <c r="BA32" s="33">
        <f t="shared" si="0"/>
        <v>-3.9999999999054126E-3</v>
      </c>
      <c r="BB32" s="43" t="s">
        <v>1785</v>
      </c>
    </row>
    <row r="33" spans="1:54" s="23" customFormat="1" ht="33" customHeight="1" x14ac:dyDescent="0.3">
      <c r="A33" s="26">
        <v>16</v>
      </c>
      <c r="B33" s="43" t="s">
        <v>1728</v>
      </c>
      <c r="C33" s="28"/>
      <c r="D33" s="298" t="s">
        <v>1215</v>
      </c>
      <c r="E33" s="92">
        <v>2</v>
      </c>
      <c r="F33" s="30"/>
      <c r="G33" s="112">
        <f>[1]DICIEMBRE!$BA$61</f>
        <v>2598.4</v>
      </c>
      <c r="H33" s="31"/>
      <c r="I33" s="31"/>
      <c r="J33" s="32"/>
      <c r="K33" s="33"/>
      <c r="L33" s="336"/>
      <c r="M33" s="32"/>
      <c r="N33" s="336"/>
      <c r="O33" s="32"/>
      <c r="P33" s="31"/>
      <c r="Q33" s="31"/>
      <c r="R33" s="31"/>
      <c r="S33" s="34"/>
      <c r="T33" s="34"/>
      <c r="U33" s="34"/>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3">
        <f t="shared" si="0"/>
        <v>2598.4</v>
      </c>
      <c r="BB33" s="43" t="s">
        <v>456</v>
      </c>
    </row>
    <row r="34" spans="1:54" s="23" customFormat="1" ht="83.25" customHeight="1" x14ac:dyDescent="0.3">
      <c r="A34" s="26">
        <v>17</v>
      </c>
      <c r="B34" s="43" t="s">
        <v>1729</v>
      </c>
      <c r="C34" s="53"/>
      <c r="D34" s="300" t="s">
        <v>1500</v>
      </c>
      <c r="E34" s="320">
        <v>9</v>
      </c>
      <c r="F34" s="41" t="s">
        <v>30</v>
      </c>
      <c r="G34" s="234">
        <f>[1]DICIEMBRE!$BA$34</f>
        <v>0</v>
      </c>
      <c r="H34" s="31"/>
      <c r="I34" s="31"/>
      <c r="J34" s="32"/>
      <c r="K34" s="32"/>
      <c r="L34" s="32"/>
      <c r="M34" s="32"/>
      <c r="N34" s="32"/>
      <c r="O34" s="32"/>
      <c r="P34" s="31"/>
      <c r="Q34" s="31"/>
      <c r="R34" s="31"/>
      <c r="S34" s="38">
        <v>0</v>
      </c>
      <c r="T34" s="38"/>
      <c r="U34" s="35"/>
      <c r="V34" s="35"/>
      <c r="W34" s="35"/>
      <c r="X34" s="35"/>
      <c r="Y34" s="35"/>
      <c r="Z34" s="35"/>
      <c r="AA34" s="35"/>
      <c r="AB34" s="35"/>
      <c r="AC34" s="35"/>
      <c r="AD34" s="35"/>
      <c r="AE34" s="35"/>
      <c r="AF34" s="35"/>
      <c r="AG34" s="35"/>
      <c r="AH34" s="35"/>
      <c r="AI34" s="35"/>
      <c r="AJ34" s="35"/>
      <c r="AK34" s="42"/>
      <c r="AL34" s="35"/>
      <c r="AM34" s="35"/>
      <c r="AN34" s="35"/>
      <c r="AO34" s="35"/>
      <c r="AP34" s="35"/>
      <c r="AQ34" s="35"/>
      <c r="AR34" s="35"/>
      <c r="AS34" s="35"/>
      <c r="AT34" s="35"/>
      <c r="AU34" s="35"/>
      <c r="AV34" s="35"/>
      <c r="AW34" s="35"/>
      <c r="AX34" s="35"/>
      <c r="AY34" s="35"/>
      <c r="AZ34" s="35"/>
      <c r="BA34" s="33">
        <f t="shared" si="0"/>
        <v>0</v>
      </c>
      <c r="BB34" s="268" t="s">
        <v>2001</v>
      </c>
    </row>
    <row r="35" spans="1:54" ht="37.5" customHeight="1" x14ac:dyDescent="0.35">
      <c r="A35" s="26">
        <v>18</v>
      </c>
      <c r="B35" s="43" t="s">
        <v>1274</v>
      </c>
      <c r="C35" s="28"/>
      <c r="D35" s="300" t="s">
        <v>1070</v>
      </c>
      <c r="E35" s="94">
        <v>1</v>
      </c>
      <c r="F35" s="44" t="s">
        <v>30</v>
      </c>
      <c r="G35" s="112">
        <f>[1]DICIEMBRE!$BA$35</f>
        <v>0</v>
      </c>
      <c r="H35" s="45"/>
      <c r="I35" s="45"/>
      <c r="J35" s="32"/>
      <c r="K35" s="32"/>
      <c r="L35" s="32"/>
      <c r="M35" s="32"/>
      <c r="N35" s="32"/>
      <c r="O35" s="33"/>
      <c r="P35" s="33"/>
      <c r="Q35" s="31"/>
      <c r="R35" s="31"/>
      <c r="S35" s="47">
        <f>(250*0.16+250)*E35</f>
        <v>290</v>
      </c>
      <c r="T35" s="47"/>
      <c r="U35" s="48"/>
      <c r="V35" s="49"/>
      <c r="W35" s="49"/>
      <c r="X35" s="49"/>
      <c r="Y35" s="49"/>
      <c r="Z35" s="49"/>
      <c r="AA35" s="49"/>
      <c r="AB35" s="49"/>
      <c r="AC35" s="49"/>
      <c r="AD35" s="49"/>
      <c r="AE35" s="50">
        <v>290</v>
      </c>
      <c r="AF35" s="49"/>
      <c r="AG35" s="49"/>
      <c r="AH35" s="49"/>
      <c r="AI35" s="49"/>
      <c r="AJ35" s="49"/>
      <c r="AK35" s="49"/>
      <c r="AL35" s="49"/>
      <c r="AM35" s="49"/>
      <c r="AN35" s="49"/>
      <c r="AO35" s="49"/>
      <c r="AP35" s="49"/>
      <c r="AQ35" s="49"/>
      <c r="AR35" s="49"/>
      <c r="AS35" s="49"/>
      <c r="AT35" s="49"/>
      <c r="AU35" s="49"/>
      <c r="AV35" s="49"/>
      <c r="AW35" s="49"/>
      <c r="AX35" s="49"/>
      <c r="AY35" s="49"/>
      <c r="AZ35" s="49"/>
      <c r="BA35" s="33">
        <f t="shared" si="0"/>
        <v>0</v>
      </c>
      <c r="BB35" s="43"/>
    </row>
    <row r="36" spans="1:54" s="23" customFormat="1" ht="57.75" customHeight="1" x14ac:dyDescent="0.3">
      <c r="A36" s="26">
        <v>19</v>
      </c>
      <c r="B36" s="27" t="s">
        <v>36</v>
      </c>
      <c r="C36" s="28" t="s">
        <v>37</v>
      </c>
      <c r="D36" s="298" t="s">
        <v>1204</v>
      </c>
      <c r="E36" s="92">
        <v>2</v>
      </c>
      <c r="F36" s="30" t="s">
        <v>30</v>
      </c>
      <c r="G36" s="112">
        <f>[1]DICIEMBRE!$BA$37</f>
        <v>0</v>
      </c>
      <c r="H36" s="31"/>
      <c r="I36" s="31"/>
      <c r="J36" s="32"/>
      <c r="K36" s="33"/>
      <c r="L36" s="336"/>
      <c r="M36" s="336"/>
      <c r="N36" s="32"/>
      <c r="O36" s="32"/>
      <c r="P36" s="33"/>
      <c r="Q36" s="31"/>
      <c r="R36" s="31"/>
      <c r="S36" s="34">
        <f>(250*0.16+250)*E36</f>
        <v>580</v>
      </c>
      <c r="T36" s="34">
        <f>1850*0.16+1850</f>
        <v>2146</v>
      </c>
      <c r="U36" s="34"/>
      <c r="V36" s="34"/>
      <c r="W36" s="34"/>
      <c r="X36" s="34"/>
      <c r="Y36" s="34"/>
      <c r="Z36" s="52"/>
      <c r="AA36" s="34"/>
      <c r="AB36" s="34"/>
      <c r="AC36" s="34"/>
      <c r="AD36" s="34"/>
      <c r="AE36" s="34">
        <f>290+2436</f>
        <v>2726</v>
      </c>
      <c r="AF36" s="34"/>
      <c r="AG36" s="34"/>
      <c r="AH36" s="34"/>
      <c r="AI36" s="34"/>
      <c r="AJ36" s="34"/>
      <c r="AK36" s="38"/>
      <c r="AL36" s="34"/>
      <c r="AM36" s="34"/>
      <c r="AN36" s="34"/>
      <c r="AO36" s="34"/>
      <c r="AP36" s="34"/>
      <c r="AQ36" s="34"/>
      <c r="AR36" s="34"/>
      <c r="AS36" s="34"/>
      <c r="AT36" s="34"/>
      <c r="AU36" s="34"/>
      <c r="AV36" s="34"/>
      <c r="AW36" s="34"/>
      <c r="AX36" s="34"/>
      <c r="AY36" s="34"/>
      <c r="AZ36" s="34"/>
      <c r="BA36" s="33">
        <f>SUM(G36+S36+T36-U36-V36-W36-X36-Y36-Z36-AA36-AB36-AC36-AD36-AE36-AF36-AG36-AH36-AI36-AJ36-AK36-AL36-AM36-AN36-AO36-AP36-AQ36-AR36-AS36-AT36-AU36-AV36-AW36-AX36-AY36-AZ36)</f>
        <v>0</v>
      </c>
      <c r="BB36" s="43" t="s">
        <v>1912</v>
      </c>
    </row>
    <row r="37" spans="1:54" s="23" customFormat="1" ht="90" customHeight="1" x14ac:dyDescent="0.3">
      <c r="A37" s="26">
        <v>20</v>
      </c>
      <c r="B37" s="27" t="s">
        <v>291</v>
      </c>
      <c r="C37" s="28" t="s">
        <v>292</v>
      </c>
      <c r="D37" s="298" t="s">
        <v>1205</v>
      </c>
      <c r="E37" s="92">
        <v>7</v>
      </c>
      <c r="F37" s="40" t="s">
        <v>30</v>
      </c>
      <c r="G37" s="234">
        <f>[1]DICIEMBRE!$BA$38</f>
        <v>-753.99240000000054</v>
      </c>
      <c r="H37" s="31"/>
      <c r="I37" s="31"/>
      <c r="J37" s="32"/>
      <c r="K37" s="32"/>
      <c r="L37" s="32"/>
      <c r="M37" s="32"/>
      <c r="N37" s="32"/>
      <c r="O37" s="33"/>
      <c r="P37" s="31"/>
      <c r="Q37" s="31"/>
      <c r="R37" s="31"/>
      <c r="S37" s="34">
        <f>(350*0.16+350)*E37</f>
        <v>2842</v>
      </c>
      <c r="T37" s="34"/>
      <c r="U37" s="34"/>
      <c r="V37" s="35"/>
      <c r="W37" s="54"/>
      <c r="X37" s="35"/>
      <c r="Y37" s="35"/>
      <c r="Z37" s="35"/>
      <c r="AA37" s="35"/>
      <c r="AB37" s="35"/>
      <c r="AC37" s="35"/>
      <c r="AD37" s="35"/>
      <c r="AE37" s="35">
        <v>2842</v>
      </c>
      <c r="AF37" s="35"/>
      <c r="AG37" s="35"/>
      <c r="AH37" s="35"/>
      <c r="AI37" s="35"/>
      <c r="AJ37" s="35"/>
      <c r="AK37" s="35"/>
      <c r="AL37" s="35"/>
      <c r="AM37" s="35"/>
      <c r="AN37" s="35"/>
      <c r="AO37" s="35"/>
      <c r="AP37" s="35"/>
      <c r="AQ37" s="35"/>
      <c r="AR37" s="35"/>
      <c r="AS37" s="35"/>
      <c r="AT37" s="35"/>
      <c r="AU37" s="35"/>
      <c r="AV37" s="35"/>
      <c r="AW37" s="35"/>
      <c r="AX37" s="35"/>
      <c r="AY37" s="35"/>
      <c r="AZ37" s="35"/>
      <c r="BA37" s="33">
        <f t="shared" si="0"/>
        <v>-753.99240000000054</v>
      </c>
      <c r="BB37" s="267"/>
    </row>
    <row r="38" spans="1:54" s="23" customFormat="1" ht="78" customHeight="1" x14ac:dyDescent="0.3">
      <c r="A38" s="26">
        <v>21</v>
      </c>
      <c r="B38" s="43" t="s">
        <v>1730</v>
      </c>
      <c r="C38" s="27"/>
      <c r="D38" s="298" t="s">
        <v>1213</v>
      </c>
      <c r="E38" s="92">
        <v>4</v>
      </c>
      <c r="F38" s="30" t="s">
        <v>30</v>
      </c>
      <c r="G38" s="112">
        <f>[1]DICIEMBRE!$BA$59</f>
        <v>6.8212102632969618E-13</v>
      </c>
      <c r="H38" s="31"/>
      <c r="I38" s="31"/>
      <c r="J38" s="32"/>
      <c r="K38" s="32"/>
      <c r="L38" s="32"/>
      <c r="M38" s="336"/>
      <c r="N38" s="32"/>
      <c r="O38" s="32"/>
      <c r="P38" s="31"/>
      <c r="Q38" s="31"/>
      <c r="R38" s="31"/>
      <c r="S38" s="34">
        <f>(249*0.16+249)*E38</f>
        <v>1155.3600000000001</v>
      </c>
      <c r="T38" s="35"/>
      <c r="U38" s="35"/>
      <c r="V38" s="35"/>
      <c r="W38" s="35"/>
      <c r="X38" s="35"/>
      <c r="Y38" s="35"/>
      <c r="Z38" s="35"/>
      <c r="AA38" s="35"/>
      <c r="AB38" s="35"/>
      <c r="AC38" s="35"/>
      <c r="AD38" s="35"/>
      <c r="AE38" s="35">
        <v>1155.3599999999999</v>
      </c>
      <c r="AF38" s="35"/>
      <c r="AG38" s="35"/>
      <c r="AH38" s="35"/>
      <c r="AI38" s="35"/>
      <c r="AJ38" s="35"/>
      <c r="AK38" s="42"/>
      <c r="AL38" s="35"/>
      <c r="AM38" s="35"/>
      <c r="AN38" s="35"/>
      <c r="AO38" s="35"/>
      <c r="AP38" s="35"/>
      <c r="AQ38" s="35"/>
      <c r="AR38" s="35"/>
      <c r="AS38" s="35"/>
      <c r="AT38" s="35"/>
      <c r="AU38" s="35"/>
      <c r="AV38" s="35"/>
      <c r="AW38" s="35"/>
      <c r="AX38" s="35"/>
      <c r="AY38" s="35"/>
      <c r="AZ38" s="35"/>
      <c r="BA38" s="33">
        <f t="shared" si="0"/>
        <v>9.0949470177292824E-13</v>
      </c>
      <c r="BB38" s="43"/>
    </row>
    <row r="39" spans="1:54" s="23" customFormat="1" ht="65.25" customHeight="1" x14ac:dyDescent="0.3">
      <c r="A39" s="26">
        <v>22</v>
      </c>
      <c r="B39" s="43" t="s">
        <v>1446</v>
      </c>
      <c r="C39" s="53"/>
      <c r="D39" s="298" t="s">
        <v>1502</v>
      </c>
      <c r="E39" s="94">
        <v>2</v>
      </c>
      <c r="F39" s="44" t="s">
        <v>30</v>
      </c>
      <c r="G39" s="112">
        <f>[1]DICIEMBRE!$BA$41</f>
        <v>0</v>
      </c>
      <c r="H39" s="45"/>
      <c r="I39" s="45"/>
      <c r="J39" s="32"/>
      <c r="K39" s="32"/>
      <c r="L39" s="32"/>
      <c r="M39" s="336"/>
      <c r="N39" s="32"/>
      <c r="O39" s="33"/>
      <c r="P39" s="31"/>
      <c r="Q39" s="31"/>
      <c r="R39" s="31"/>
      <c r="S39" s="47">
        <f>(300*0.16+300)*2</f>
        <v>696</v>
      </c>
      <c r="T39" s="34"/>
      <c r="U39" s="34"/>
      <c r="V39" s="34"/>
      <c r="W39" s="34"/>
      <c r="X39" s="34"/>
      <c r="Y39" s="34"/>
      <c r="Z39" s="52"/>
      <c r="AA39" s="34"/>
      <c r="AB39" s="34"/>
      <c r="AC39" s="34"/>
      <c r="AD39" s="34"/>
      <c r="AE39" s="34"/>
      <c r="AF39" s="34"/>
      <c r="AG39" s="34"/>
      <c r="AH39" s="34">
        <v>696</v>
      </c>
      <c r="AI39" s="34"/>
      <c r="AJ39" s="34"/>
      <c r="AK39" s="38"/>
      <c r="AL39" s="34"/>
      <c r="AM39" s="34"/>
      <c r="AN39" s="34"/>
      <c r="AO39" s="34"/>
      <c r="AP39" s="34"/>
      <c r="AQ39" s="34"/>
      <c r="AR39" s="34"/>
      <c r="AS39" s="34"/>
      <c r="AT39" s="34"/>
      <c r="AU39" s="34"/>
      <c r="AV39" s="34"/>
      <c r="AW39" s="34"/>
      <c r="AX39" s="34"/>
      <c r="AY39" s="34"/>
      <c r="AZ39" s="34"/>
      <c r="BA39" s="33">
        <f t="shared" si="0"/>
        <v>0</v>
      </c>
      <c r="BB39" s="43" t="s">
        <v>1588</v>
      </c>
    </row>
    <row r="40" spans="1:54" s="23" customFormat="1" ht="72" customHeight="1" x14ac:dyDescent="0.3">
      <c r="A40" s="26">
        <v>23</v>
      </c>
      <c r="B40" s="43" t="s">
        <v>960</v>
      </c>
      <c r="C40" s="43" t="s">
        <v>252</v>
      </c>
      <c r="D40" s="300" t="s">
        <v>1207</v>
      </c>
      <c r="E40" s="92">
        <v>674</v>
      </c>
      <c r="F40" s="30" t="s">
        <v>30</v>
      </c>
      <c r="G40" s="234">
        <f>[1]DICIEMBRE!$BA$42</f>
        <v>3220.0259999999871</v>
      </c>
      <c r="H40" s="31"/>
      <c r="I40" s="31"/>
      <c r="J40" s="32"/>
      <c r="K40" s="32"/>
      <c r="L40" s="32"/>
      <c r="M40" s="32"/>
      <c r="N40" s="32"/>
      <c r="O40" s="33"/>
      <c r="P40" s="33"/>
      <c r="Q40" s="31"/>
      <c r="R40" s="31"/>
      <c r="S40" s="34">
        <f>(38.8*0.16+38.8)*E40</f>
        <v>30335.391999999996</v>
      </c>
      <c r="T40" s="34">
        <f>38.8*0.16+38.8</f>
        <v>45.007999999999996</v>
      </c>
      <c r="U40" s="34"/>
      <c r="V40" s="34"/>
      <c r="W40" s="34"/>
      <c r="X40" s="34"/>
      <c r="Y40" s="34"/>
      <c r="Z40" s="52"/>
      <c r="AA40" s="34"/>
      <c r="AB40" s="34"/>
      <c r="AC40" s="34"/>
      <c r="AD40" s="34"/>
      <c r="AE40" s="34"/>
      <c r="AF40" s="34"/>
      <c r="AG40" s="34"/>
      <c r="AH40" s="34"/>
      <c r="AI40" s="34"/>
      <c r="AJ40" s="34"/>
      <c r="AK40" s="38"/>
      <c r="AL40" s="34"/>
      <c r="AM40" s="34"/>
      <c r="AN40" s="34"/>
      <c r="AO40" s="34">
        <v>30380.400000000001</v>
      </c>
      <c r="AP40" s="34"/>
      <c r="AQ40" s="34"/>
      <c r="AR40" s="34"/>
      <c r="AS40" s="34"/>
      <c r="AT40" s="34"/>
      <c r="AU40" s="34"/>
      <c r="AV40" s="34"/>
      <c r="AW40" s="34"/>
      <c r="AX40" s="34"/>
      <c r="AY40" s="34"/>
      <c r="AZ40" s="34"/>
      <c r="BA40" s="33">
        <f t="shared" si="0"/>
        <v>3220.0259999999835</v>
      </c>
      <c r="BB40" s="43" t="s">
        <v>1928</v>
      </c>
    </row>
    <row r="41" spans="1:54" s="23" customFormat="1" ht="72" customHeight="1" x14ac:dyDescent="0.3">
      <c r="A41" s="26">
        <v>24</v>
      </c>
      <c r="B41" s="43" t="s">
        <v>1453</v>
      </c>
      <c r="C41" s="43"/>
      <c r="D41" s="300" t="s">
        <v>1503</v>
      </c>
      <c r="E41" s="92">
        <v>1</v>
      </c>
      <c r="F41" s="30" t="s">
        <v>30</v>
      </c>
      <c r="G41" s="112">
        <f>[1]DICIEMBRE!$BA$43</f>
        <v>348</v>
      </c>
      <c r="H41" s="31"/>
      <c r="I41" s="31"/>
      <c r="J41" s="32"/>
      <c r="K41" s="32"/>
      <c r="L41" s="32"/>
      <c r="M41" s="32"/>
      <c r="N41" s="32"/>
      <c r="O41" s="33"/>
      <c r="P41" s="33"/>
      <c r="Q41" s="31"/>
      <c r="R41" s="31"/>
      <c r="S41" s="34">
        <f>(300*0.16+300)*E41</f>
        <v>348</v>
      </c>
      <c r="T41" s="34"/>
      <c r="U41" s="34"/>
      <c r="V41" s="34"/>
      <c r="W41" s="34"/>
      <c r="X41" s="34"/>
      <c r="Y41" s="34"/>
      <c r="Z41" s="52"/>
      <c r="AA41" s="34"/>
      <c r="AB41" s="34">
        <v>696</v>
      </c>
      <c r="AC41" s="34"/>
      <c r="AD41" s="34"/>
      <c r="AE41" s="34"/>
      <c r="AF41" s="34"/>
      <c r="AG41" s="34"/>
      <c r="AH41" s="34"/>
      <c r="AI41" s="34"/>
      <c r="AJ41" s="34"/>
      <c r="AK41" s="38"/>
      <c r="AL41" s="34"/>
      <c r="AM41" s="34"/>
      <c r="AN41" s="34"/>
      <c r="AO41" s="34"/>
      <c r="AP41" s="34"/>
      <c r="AQ41" s="34"/>
      <c r="AR41" s="34"/>
      <c r="AS41" s="34"/>
      <c r="AT41" s="34"/>
      <c r="AU41" s="34"/>
      <c r="AV41" s="34"/>
      <c r="AW41" s="34"/>
      <c r="AX41" s="34"/>
      <c r="AY41" s="34"/>
      <c r="AZ41" s="34"/>
      <c r="BA41" s="33">
        <f t="shared" si="0"/>
        <v>0</v>
      </c>
      <c r="BB41" s="43"/>
    </row>
    <row r="42" spans="1:54" s="23" customFormat="1" ht="57.75" customHeight="1" x14ac:dyDescent="0.3">
      <c r="A42" s="26">
        <v>25</v>
      </c>
      <c r="B42" s="43" t="s">
        <v>428</v>
      </c>
      <c r="C42" s="28" t="s">
        <v>429</v>
      </c>
      <c r="D42" s="298" t="s">
        <v>1208</v>
      </c>
      <c r="E42" s="92">
        <v>7</v>
      </c>
      <c r="F42" s="30" t="s">
        <v>30</v>
      </c>
      <c r="G42" s="234">
        <f>[1]DICIEMBRE!$BA$44</f>
        <v>2598.3956000000003</v>
      </c>
      <c r="H42" s="31"/>
      <c r="I42" s="31"/>
      <c r="J42" s="32"/>
      <c r="K42" s="32"/>
      <c r="L42" s="32"/>
      <c r="M42" s="32"/>
      <c r="N42" s="336"/>
      <c r="O42" s="32"/>
      <c r="P42" s="31"/>
      <c r="Q42" s="31"/>
      <c r="R42" s="31"/>
      <c r="S42" s="34">
        <f>(320*0.16+320)*E42</f>
        <v>2598.4</v>
      </c>
      <c r="T42" s="34">
        <f>250*0.16+250</f>
        <v>290</v>
      </c>
      <c r="U42" s="34"/>
      <c r="V42" s="34"/>
      <c r="W42" s="34"/>
      <c r="X42" s="34"/>
      <c r="Y42" s="34"/>
      <c r="Z42" s="52"/>
      <c r="AA42" s="34"/>
      <c r="AB42" s="34"/>
      <c r="AC42" s="34"/>
      <c r="AD42" s="34"/>
      <c r="AE42" s="34"/>
      <c r="AF42" s="34"/>
      <c r="AG42" s="34"/>
      <c r="AH42" s="34"/>
      <c r="AI42" s="34"/>
      <c r="AJ42" s="34"/>
      <c r="AK42" s="38"/>
      <c r="AL42" s="34"/>
      <c r="AM42" s="34"/>
      <c r="AN42" s="34"/>
      <c r="AO42" s="34"/>
      <c r="AP42" s="34"/>
      <c r="AQ42" s="34"/>
      <c r="AR42" s="34"/>
      <c r="AS42" s="34"/>
      <c r="AT42" s="34"/>
      <c r="AU42" s="34"/>
      <c r="AV42" s="34"/>
      <c r="AW42" s="34"/>
      <c r="AX42" s="34"/>
      <c r="AY42" s="34"/>
      <c r="AZ42" s="34"/>
      <c r="BA42" s="33">
        <f t="shared" si="0"/>
        <v>5486.7956000000004</v>
      </c>
      <c r="BB42" s="43" t="s">
        <v>1784</v>
      </c>
    </row>
    <row r="43" spans="1:54" s="23" customFormat="1" ht="57.75" customHeight="1" x14ac:dyDescent="0.3">
      <c r="A43" s="26">
        <v>26</v>
      </c>
      <c r="B43" s="43" t="s">
        <v>1685</v>
      </c>
      <c r="C43" s="28"/>
      <c r="D43" s="300" t="s">
        <v>1686</v>
      </c>
      <c r="E43" s="92">
        <v>2</v>
      </c>
      <c r="F43" s="30"/>
      <c r="G43" s="112">
        <f>[1]DICIEMBRE!$BA$45</f>
        <v>0</v>
      </c>
      <c r="H43" s="31"/>
      <c r="I43" s="31"/>
      <c r="J43" s="32"/>
      <c r="K43" s="32"/>
      <c r="L43" s="32"/>
      <c r="M43" s="32"/>
      <c r="N43" s="336"/>
      <c r="O43" s="32"/>
      <c r="P43" s="31"/>
      <c r="Q43" s="31"/>
      <c r="R43" s="31"/>
      <c r="S43" s="34">
        <f>(154.66*0.16+154.66)*E43</f>
        <v>358.81119999999999</v>
      </c>
      <c r="T43" s="34">
        <f>2490*0.16+2490</f>
        <v>2888.4</v>
      </c>
      <c r="U43" s="34"/>
      <c r="V43" s="34"/>
      <c r="W43" s="34"/>
      <c r="X43" s="34"/>
      <c r="Y43" s="34"/>
      <c r="Z43" s="52"/>
      <c r="AA43" s="34"/>
      <c r="AB43" s="34">
        <v>358.81</v>
      </c>
      <c r="AC43" s="34"/>
      <c r="AD43" s="34"/>
      <c r="AE43" s="34"/>
      <c r="AF43" s="34"/>
      <c r="AG43" s="34"/>
      <c r="AH43" s="34"/>
      <c r="AI43" s="34"/>
      <c r="AJ43" s="34"/>
      <c r="AK43" s="38"/>
      <c r="AL43" s="34">
        <v>2888.4</v>
      </c>
      <c r="AM43" s="34"/>
      <c r="AN43" s="34"/>
      <c r="AO43" s="34"/>
      <c r="AP43" s="34"/>
      <c r="AQ43" s="34"/>
      <c r="AR43" s="34"/>
      <c r="AS43" s="34"/>
      <c r="AT43" s="34"/>
      <c r="AU43" s="34"/>
      <c r="AV43" s="34"/>
      <c r="AW43" s="34"/>
      <c r="AX43" s="34"/>
      <c r="AY43" s="34"/>
      <c r="AZ43" s="34"/>
      <c r="BA43" s="33">
        <f t="shared" si="0"/>
        <v>1.2000000001535227E-3</v>
      </c>
      <c r="BB43" s="43" t="s">
        <v>1961</v>
      </c>
    </row>
    <row r="44" spans="1:54" s="23" customFormat="1" ht="57.75" customHeight="1" x14ac:dyDescent="0.3">
      <c r="A44" s="26">
        <v>27</v>
      </c>
      <c r="B44" s="43" t="s">
        <v>1493</v>
      </c>
      <c r="C44" s="28"/>
      <c r="D44" s="298" t="s">
        <v>1504</v>
      </c>
      <c r="E44" s="92">
        <v>14</v>
      </c>
      <c r="F44" s="30" t="s">
        <v>30</v>
      </c>
      <c r="G44" s="234">
        <f>[1]DICIEMBRE!$BA$46</f>
        <v>9.0949470177292824E-13</v>
      </c>
      <c r="H44" s="31"/>
      <c r="I44" s="31"/>
      <c r="J44" s="32"/>
      <c r="K44" s="32"/>
      <c r="L44" s="32"/>
      <c r="M44" s="32"/>
      <c r="N44" s="336"/>
      <c r="O44" s="32"/>
      <c r="P44" s="31"/>
      <c r="Q44" s="31"/>
      <c r="R44" s="31"/>
      <c r="S44" s="34">
        <f>(300*0.16+300)*E44</f>
        <v>4872</v>
      </c>
      <c r="T44" s="34"/>
      <c r="U44" s="34"/>
      <c r="V44" s="34"/>
      <c r="W44" s="34"/>
      <c r="X44" s="34"/>
      <c r="Y44" s="34"/>
      <c r="Z44" s="52"/>
      <c r="AA44" s="34"/>
      <c r="AB44" s="34"/>
      <c r="AC44" s="34"/>
      <c r="AD44" s="34"/>
      <c r="AE44" s="34">
        <v>4872</v>
      </c>
      <c r="AF44" s="34"/>
      <c r="AG44" s="34"/>
      <c r="AH44" s="34"/>
      <c r="AI44" s="34"/>
      <c r="AJ44" s="34"/>
      <c r="AK44" s="38"/>
      <c r="AL44" s="34"/>
      <c r="AM44" s="34"/>
      <c r="AN44" s="34"/>
      <c r="AO44" s="34"/>
      <c r="AP44" s="34"/>
      <c r="AQ44" s="34"/>
      <c r="AR44" s="34"/>
      <c r="AS44" s="34"/>
      <c r="AT44" s="34"/>
      <c r="AU44" s="34"/>
      <c r="AV44" s="34"/>
      <c r="AW44" s="34"/>
      <c r="AX44" s="34"/>
      <c r="AY44" s="34"/>
      <c r="AZ44" s="34"/>
      <c r="BA44" s="33">
        <f t="shared" si="0"/>
        <v>9.0949470177292824E-13</v>
      </c>
      <c r="BB44" s="43"/>
    </row>
    <row r="45" spans="1:54" s="23" customFormat="1" ht="69.75" customHeight="1" x14ac:dyDescent="0.3">
      <c r="A45" s="26">
        <v>28</v>
      </c>
      <c r="B45" s="43" t="s">
        <v>1936</v>
      </c>
      <c r="C45" s="28"/>
      <c r="D45" s="300" t="s">
        <v>1960</v>
      </c>
      <c r="E45" s="92">
        <v>20</v>
      </c>
      <c r="F45" s="30" t="s">
        <v>30</v>
      </c>
      <c r="G45" s="234"/>
      <c r="H45" s="31"/>
      <c r="I45" s="31"/>
      <c r="J45" s="32"/>
      <c r="K45" s="32"/>
      <c r="L45" s="32"/>
      <c r="M45" s="32"/>
      <c r="N45" s="336"/>
      <c r="O45" s="32"/>
      <c r="P45" s="31"/>
      <c r="Q45" s="31"/>
      <c r="R45" s="31"/>
      <c r="S45" s="34">
        <f>(279*0.16+279)*E45</f>
        <v>6472.7999999999993</v>
      </c>
      <c r="T45" s="34">
        <f>(549*0.16+549)*20</f>
        <v>12736.800000000001</v>
      </c>
      <c r="U45" s="34"/>
      <c r="V45" s="34"/>
      <c r="W45" s="34"/>
      <c r="X45" s="34"/>
      <c r="Y45" s="34"/>
      <c r="Z45" s="52"/>
      <c r="AA45" s="34"/>
      <c r="AB45" s="34"/>
      <c r="AC45" s="34"/>
      <c r="AD45" s="34"/>
      <c r="AE45" s="34"/>
      <c r="AF45" s="34"/>
      <c r="AG45" s="34"/>
      <c r="AH45" s="34"/>
      <c r="AI45" s="34"/>
      <c r="AJ45" s="34"/>
      <c r="AK45" s="38"/>
      <c r="AL45" s="34"/>
      <c r="AM45" s="34"/>
      <c r="AN45" s="34"/>
      <c r="AO45" s="34">
        <v>9604.7999999999993</v>
      </c>
      <c r="AP45" s="34"/>
      <c r="AQ45" s="34"/>
      <c r="AR45" s="34"/>
      <c r="AS45" s="34"/>
      <c r="AT45" s="34"/>
      <c r="AU45" s="34"/>
      <c r="AV45" s="34"/>
      <c r="AW45" s="34"/>
      <c r="AX45" s="34"/>
      <c r="AY45" s="34"/>
      <c r="AZ45" s="34"/>
      <c r="BA45" s="33">
        <f t="shared" si="0"/>
        <v>9604.7999999999993</v>
      </c>
      <c r="BB45" s="43" t="s">
        <v>1937</v>
      </c>
    </row>
    <row r="46" spans="1:54" s="23" customFormat="1" ht="80.25" customHeight="1" x14ac:dyDescent="0.3">
      <c r="A46" s="26">
        <v>29</v>
      </c>
      <c r="B46" s="27" t="s">
        <v>42</v>
      </c>
      <c r="C46" s="28" t="s">
        <v>253</v>
      </c>
      <c r="D46" s="298" t="s">
        <v>1313</v>
      </c>
      <c r="E46" s="92">
        <v>14</v>
      </c>
      <c r="F46" s="40" t="s">
        <v>30</v>
      </c>
      <c r="G46" s="234">
        <f>[1]DICIEMBRE!$BA$50</f>
        <v>-3.9999999899009708E-4</v>
      </c>
      <c r="H46" s="31"/>
      <c r="I46" s="31"/>
      <c r="J46" s="32"/>
      <c r="K46" s="33"/>
      <c r="L46" s="336"/>
      <c r="M46" s="336"/>
      <c r="N46" s="32"/>
      <c r="O46" s="32"/>
      <c r="P46" s="31"/>
      <c r="Q46" s="31"/>
      <c r="R46" s="31"/>
      <c r="S46" s="34">
        <f>(250*0.16+250)*E46</f>
        <v>4060</v>
      </c>
      <c r="T46" s="34"/>
      <c r="U46" s="34"/>
      <c r="V46" s="35"/>
      <c r="W46" s="54"/>
      <c r="X46" s="35"/>
      <c r="Y46" s="35"/>
      <c r="Z46" s="35"/>
      <c r="AA46" s="35"/>
      <c r="AB46" s="35">
        <v>4060</v>
      </c>
      <c r="AC46" s="35"/>
      <c r="AD46" s="35"/>
      <c r="AE46" s="35"/>
      <c r="AF46" s="35"/>
      <c r="AG46" s="35"/>
      <c r="AH46" s="35"/>
      <c r="AI46" s="36"/>
      <c r="AJ46" s="35"/>
      <c r="AK46" s="35"/>
      <c r="AL46" s="35"/>
      <c r="AM46" s="35"/>
      <c r="AN46" s="35"/>
      <c r="AO46" s="35"/>
      <c r="AP46" s="35"/>
      <c r="AQ46" s="35"/>
      <c r="AR46" s="35"/>
      <c r="AS46" s="35"/>
      <c r="AT46" s="35"/>
      <c r="AU46" s="35"/>
      <c r="AV46" s="35"/>
      <c r="AW46" s="35"/>
      <c r="AX46" s="35"/>
      <c r="AY46" s="35"/>
      <c r="AZ46" s="35"/>
      <c r="BA46" s="33">
        <f t="shared" si="0"/>
        <v>-3.9999999899009708E-4</v>
      </c>
      <c r="BB46" s="267"/>
    </row>
    <row r="47" spans="1:54" s="23" customFormat="1" ht="83.25" customHeight="1" x14ac:dyDescent="0.3">
      <c r="A47" s="26">
        <v>30</v>
      </c>
      <c r="B47" s="27" t="s">
        <v>43</v>
      </c>
      <c r="C47" s="28" t="s">
        <v>44</v>
      </c>
      <c r="D47" s="298" t="s">
        <v>1211</v>
      </c>
      <c r="E47" s="92">
        <v>1</v>
      </c>
      <c r="F47" s="30" t="s">
        <v>30</v>
      </c>
      <c r="G47" s="234">
        <f>[1]DICIEMBRE!$BA$52</f>
        <v>0</v>
      </c>
      <c r="H47" s="31"/>
      <c r="I47" s="31"/>
      <c r="J47" s="32"/>
      <c r="K47" s="32"/>
      <c r="L47" s="32"/>
      <c r="M47" s="32"/>
      <c r="N47" s="336"/>
      <c r="O47" s="32"/>
      <c r="P47" s="31"/>
      <c r="Q47" s="31"/>
      <c r="R47" s="31"/>
      <c r="S47" s="34">
        <v>348</v>
      </c>
      <c r="T47" s="35"/>
      <c r="U47" s="35"/>
      <c r="V47" s="35"/>
      <c r="W47" s="35"/>
      <c r="X47" s="35"/>
      <c r="Y47" s="35"/>
      <c r="Z47" s="35"/>
      <c r="AA47" s="35"/>
      <c r="AB47" s="35"/>
      <c r="AC47" s="35"/>
      <c r="AD47" s="35"/>
      <c r="AE47" s="35"/>
      <c r="AF47" s="35"/>
      <c r="AG47" s="35"/>
      <c r="AH47" s="35"/>
      <c r="AI47" s="35"/>
      <c r="AJ47" s="35"/>
      <c r="AK47" s="42"/>
      <c r="AL47" s="35"/>
      <c r="AM47" s="35"/>
      <c r="AN47" s="35"/>
      <c r="AO47" s="35"/>
      <c r="AP47" s="35">
        <v>348</v>
      </c>
      <c r="AQ47" s="35"/>
      <c r="AR47" s="35"/>
      <c r="AS47" s="35"/>
      <c r="AT47" s="35"/>
      <c r="AU47" s="35"/>
      <c r="AV47" s="35"/>
      <c r="AW47" s="35"/>
      <c r="AX47" s="35"/>
      <c r="AY47" s="35"/>
      <c r="AZ47" s="35"/>
      <c r="BA47" s="33">
        <f t="shared" si="0"/>
        <v>0</v>
      </c>
      <c r="BB47" s="43"/>
    </row>
    <row r="48" spans="1:54" s="23" customFormat="1" ht="78" customHeight="1" x14ac:dyDescent="0.3">
      <c r="A48" s="26">
        <v>31</v>
      </c>
      <c r="B48" s="27" t="s">
        <v>45</v>
      </c>
      <c r="C48" s="27" t="s">
        <v>46</v>
      </c>
      <c r="D48" s="298" t="s">
        <v>1211</v>
      </c>
      <c r="E48" s="92">
        <v>2</v>
      </c>
      <c r="F48" s="30" t="s">
        <v>30</v>
      </c>
      <c r="G48" s="112">
        <f>[1]DICIEMBRE!$BA$53</f>
        <v>0</v>
      </c>
      <c r="H48" s="31"/>
      <c r="I48" s="31"/>
      <c r="J48" s="32"/>
      <c r="K48" s="33"/>
      <c r="L48" s="336"/>
      <c r="M48" s="336"/>
      <c r="N48" s="32"/>
      <c r="O48" s="32"/>
      <c r="P48" s="33"/>
      <c r="Q48" s="31"/>
      <c r="R48" s="31"/>
      <c r="S48" s="34">
        <v>696</v>
      </c>
      <c r="T48" s="35"/>
      <c r="U48" s="35"/>
      <c r="V48" s="35"/>
      <c r="W48" s="35"/>
      <c r="X48" s="35"/>
      <c r="Y48" s="35"/>
      <c r="Z48" s="35"/>
      <c r="AA48" s="35"/>
      <c r="AB48" s="35"/>
      <c r="AC48" s="35"/>
      <c r="AD48" s="35"/>
      <c r="AE48" s="35"/>
      <c r="AF48" s="35"/>
      <c r="AG48" s="35"/>
      <c r="AH48" s="35"/>
      <c r="AI48" s="35"/>
      <c r="AJ48" s="35"/>
      <c r="AK48" s="42"/>
      <c r="AL48" s="35">
        <v>696</v>
      </c>
      <c r="AM48" s="35"/>
      <c r="AN48" s="35"/>
      <c r="AO48" s="35"/>
      <c r="AP48" s="35"/>
      <c r="AQ48" s="35"/>
      <c r="AR48" s="35"/>
      <c r="AS48" s="35"/>
      <c r="AT48" s="35"/>
      <c r="AU48" s="35"/>
      <c r="AV48" s="35"/>
      <c r="AW48" s="35"/>
      <c r="AX48" s="35"/>
      <c r="AY48" s="35"/>
      <c r="AZ48" s="35"/>
      <c r="BA48" s="33">
        <f t="shared" si="0"/>
        <v>0</v>
      </c>
      <c r="BB48" s="43"/>
    </row>
    <row r="49" spans="1:54" s="23" customFormat="1" ht="78" customHeight="1" x14ac:dyDescent="0.3">
      <c r="A49" s="26">
        <v>32</v>
      </c>
      <c r="B49" s="43" t="s">
        <v>1458</v>
      </c>
      <c r="C49" s="27"/>
      <c r="D49" s="298" t="s">
        <v>1507</v>
      </c>
      <c r="E49" s="92">
        <v>3</v>
      </c>
      <c r="F49" s="30" t="s">
        <v>30</v>
      </c>
      <c r="G49" s="234">
        <f>[1]DICIEMBRE!$BA$54</f>
        <v>0</v>
      </c>
      <c r="H49" s="31"/>
      <c r="I49" s="31"/>
      <c r="J49" s="32"/>
      <c r="K49" s="33"/>
      <c r="L49" s="336"/>
      <c r="M49" s="336"/>
      <c r="N49" s="32"/>
      <c r="O49" s="32"/>
      <c r="P49" s="33"/>
      <c r="Q49" s="31"/>
      <c r="R49" s="31"/>
      <c r="S49" s="34">
        <f>(300*0.16+300)*E49</f>
        <v>1044</v>
      </c>
      <c r="T49" s="35"/>
      <c r="U49" s="35"/>
      <c r="V49" s="35"/>
      <c r="W49" s="35"/>
      <c r="X49" s="35"/>
      <c r="Y49" s="35"/>
      <c r="Z49" s="35"/>
      <c r="AA49" s="35"/>
      <c r="AB49" s="35">
        <v>1044</v>
      </c>
      <c r="AC49" s="35"/>
      <c r="AD49" s="35"/>
      <c r="AE49" s="35"/>
      <c r="AF49" s="35"/>
      <c r="AG49" s="35"/>
      <c r="AH49" s="35"/>
      <c r="AI49" s="35"/>
      <c r="AJ49" s="35"/>
      <c r="AK49" s="42"/>
      <c r="AL49" s="35"/>
      <c r="AM49" s="35"/>
      <c r="AN49" s="35"/>
      <c r="AO49" s="35"/>
      <c r="AP49" s="35"/>
      <c r="AQ49" s="35"/>
      <c r="AR49" s="35"/>
      <c r="AS49" s="35"/>
      <c r="AT49" s="35"/>
      <c r="AU49" s="35"/>
      <c r="AV49" s="35"/>
      <c r="AW49" s="35"/>
      <c r="AX49" s="35"/>
      <c r="AY49" s="35"/>
      <c r="AZ49" s="35"/>
      <c r="BA49" s="33">
        <f t="shared" si="0"/>
        <v>0</v>
      </c>
      <c r="BB49" s="43"/>
    </row>
    <row r="50" spans="1:54" s="23" customFormat="1" ht="71.25" customHeight="1" x14ac:dyDescent="0.3">
      <c r="A50" s="26">
        <v>33</v>
      </c>
      <c r="B50" s="27" t="s">
        <v>40</v>
      </c>
      <c r="C50" s="28" t="s">
        <v>41</v>
      </c>
      <c r="D50" s="298" t="s">
        <v>1210</v>
      </c>
      <c r="E50" s="92">
        <v>3</v>
      </c>
      <c r="F50" s="30" t="s">
        <v>30</v>
      </c>
      <c r="G50" s="112">
        <f>[1]DICIEMBRE!$BA$49</f>
        <v>0</v>
      </c>
      <c r="H50" s="45"/>
      <c r="I50" s="45"/>
      <c r="J50" s="46"/>
      <c r="K50" s="32"/>
      <c r="L50" s="32"/>
      <c r="M50" s="32"/>
      <c r="N50" s="336"/>
      <c r="O50" s="32"/>
      <c r="P50" s="33"/>
      <c r="Q50" s="31"/>
      <c r="R50" s="31"/>
      <c r="S50" s="34">
        <f>(300*0.16+300)*E50</f>
        <v>1044</v>
      </c>
      <c r="T50" s="34"/>
      <c r="U50" s="34"/>
      <c r="V50" s="34"/>
      <c r="W50" s="34"/>
      <c r="X50" s="34"/>
      <c r="Y50" s="34"/>
      <c r="Z50" s="52"/>
      <c r="AA50" s="34"/>
      <c r="AB50" s="34"/>
      <c r="AC50" s="34"/>
      <c r="AD50" s="34"/>
      <c r="AE50" s="34"/>
      <c r="AF50" s="34"/>
      <c r="AG50" s="34"/>
      <c r="AH50" s="34"/>
      <c r="AI50" s="34"/>
      <c r="AJ50" s="34"/>
      <c r="AK50" s="38"/>
      <c r="AL50" s="34">
        <v>1044</v>
      </c>
      <c r="AM50" s="34"/>
      <c r="AN50" s="34"/>
      <c r="AO50" s="34"/>
      <c r="AP50" s="34"/>
      <c r="AQ50" s="34"/>
      <c r="AR50" s="34"/>
      <c r="AS50" s="34"/>
      <c r="AT50" s="34"/>
      <c r="AU50" s="34"/>
      <c r="AV50" s="34"/>
      <c r="AW50" s="34"/>
      <c r="AX50" s="34"/>
      <c r="AY50" s="34"/>
      <c r="AZ50" s="34"/>
      <c r="BA50" s="33">
        <f t="shared" si="0"/>
        <v>0</v>
      </c>
      <c r="BB50" s="43"/>
    </row>
    <row r="51" spans="1:54" s="23" customFormat="1" ht="78" customHeight="1" x14ac:dyDescent="0.3">
      <c r="A51" s="26">
        <v>34</v>
      </c>
      <c r="B51" s="43" t="s">
        <v>780</v>
      </c>
      <c r="C51" s="27"/>
      <c r="D51" s="298" t="s">
        <v>1248</v>
      </c>
      <c r="E51" s="92">
        <v>4</v>
      </c>
      <c r="F51" s="30" t="s">
        <v>30</v>
      </c>
      <c r="G51" s="234">
        <f>[1]DICIEMBRE!$BA$56</f>
        <v>0</v>
      </c>
      <c r="H51" s="31"/>
      <c r="I51" s="31"/>
      <c r="J51" s="32"/>
      <c r="K51" s="32"/>
      <c r="L51" s="32"/>
      <c r="M51" s="32"/>
      <c r="N51" s="336"/>
      <c r="O51" s="32"/>
      <c r="P51" s="33"/>
      <c r="Q51" s="31"/>
      <c r="R51" s="31"/>
      <c r="S51" s="34">
        <f>(300*0.16+300)*E51</f>
        <v>1392</v>
      </c>
      <c r="T51" s="35"/>
      <c r="U51" s="35"/>
      <c r="V51" s="35"/>
      <c r="W51" s="35"/>
      <c r="X51" s="35"/>
      <c r="Y51" s="35"/>
      <c r="Z51" s="35"/>
      <c r="AA51" s="35"/>
      <c r="AB51" s="35">
        <v>1392</v>
      </c>
      <c r="AC51" s="35"/>
      <c r="AD51" s="35"/>
      <c r="AE51" s="35"/>
      <c r="AF51" s="35"/>
      <c r="AG51" s="35"/>
      <c r="AH51" s="35"/>
      <c r="AI51" s="35"/>
      <c r="AJ51" s="35"/>
      <c r="AK51" s="42"/>
      <c r="AL51" s="35"/>
      <c r="AM51" s="35"/>
      <c r="AN51" s="35"/>
      <c r="AO51" s="35"/>
      <c r="AP51" s="35"/>
      <c r="AQ51" s="35"/>
      <c r="AR51" s="35"/>
      <c r="AS51" s="35"/>
      <c r="AT51" s="35"/>
      <c r="AU51" s="35"/>
      <c r="AV51" s="35"/>
      <c r="AW51" s="35"/>
      <c r="AX51" s="35"/>
      <c r="AY51" s="35"/>
      <c r="AZ51" s="35"/>
      <c r="BA51" s="33">
        <f t="shared" si="0"/>
        <v>0</v>
      </c>
      <c r="BB51" s="43"/>
    </row>
    <row r="52" spans="1:54" s="23" customFormat="1" ht="57.75" customHeight="1" x14ac:dyDescent="0.3">
      <c r="A52" s="26">
        <v>35</v>
      </c>
      <c r="B52" s="43" t="s">
        <v>1731</v>
      </c>
      <c r="C52" s="28" t="s">
        <v>558</v>
      </c>
      <c r="D52" s="298" t="s">
        <v>1501</v>
      </c>
      <c r="E52" s="92">
        <v>3</v>
      </c>
      <c r="F52" s="30" t="s">
        <v>30</v>
      </c>
      <c r="G52" s="112">
        <f>[1]DICIEMBRE!$BA$39</f>
        <v>9.0949470177292824E-13</v>
      </c>
      <c r="H52" s="31"/>
      <c r="I52" s="31"/>
      <c r="J52" s="32"/>
      <c r="K52" s="32"/>
      <c r="L52" s="32"/>
      <c r="M52" s="32"/>
      <c r="N52" s="336"/>
      <c r="O52" s="32"/>
      <c r="P52" s="33"/>
      <c r="Q52" s="31"/>
      <c r="R52" s="31"/>
      <c r="S52" s="34">
        <f>(250*0.16+250)*E52</f>
        <v>870</v>
      </c>
      <c r="T52" s="34"/>
      <c r="U52" s="34"/>
      <c r="V52" s="34"/>
      <c r="W52" s="34"/>
      <c r="X52" s="34"/>
      <c r="Y52" s="34"/>
      <c r="Z52" s="52"/>
      <c r="AA52" s="34"/>
      <c r="AB52" s="34"/>
      <c r="AC52" s="34">
        <v>870</v>
      </c>
      <c r="AD52" s="34"/>
      <c r="AE52" s="34"/>
      <c r="AF52" s="34"/>
      <c r="AG52" s="34"/>
      <c r="AH52" s="34"/>
      <c r="AI52" s="34"/>
      <c r="AJ52" s="34"/>
      <c r="AK52" s="38"/>
      <c r="AL52" s="34"/>
      <c r="AM52" s="34"/>
      <c r="AN52" s="34"/>
      <c r="AO52" s="34"/>
      <c r="AP52" s="34"/>
      <c r="AQ52" s="34"/>
      <c r="AR52" s="34"/>
      <c r="AS52" s="34"/>
      <c r="AT52" s="34"/>
      <c r="AU52" s="34"/>
      <c r="AV52" s="34"/>
      <c r="AW52" s="34"/>
      <c r="AX52" s="34"/>
      <c r="AY52" s="34"/>
      <c r="AZ52" s="34"/>
      <c r="BA52" s="33">
        <f t="shared" si="0"/>
        <v>9.0949470177292824E-13</v>
      </c>
      <c r="BB52" s="43"/>
    </row>
    <row r="53" spans="1:54" s="23" customFormat="1" ht="45.75" customHeight="1" x14ac:dyDescent="0.3">
      <c r="A53" s="26">
        <v>36</v>
      </c>
      <c r="B53" s="43" t="s">
        <v>1733</v>
      </c>
      <c r="C53" s="28" t="s">
        <v>559</v>
      </c>
      <c r="D53" s="298" t="s">
        <v>1219</v>
      </c>
      <c r="E53" s="92">
        <v>1</v>
      </c>
      <c r="F53" s="30" t="s">
        <v>30</v>
      </c>
      <c r="G53" s="112">
        <f>[1]DICIEMBRE!$BA$67</f>
        <v>0</v>
      </c>
      <c r="H53" s="31"/>
      <c r="I53" s="31"/>
      <c r="J53" s="32"/>
      <c r="K53" s="32"/>
      <c r="L53" s="32"/>
      <c r="M53" s="336"/>
      <c r="N53" s="32"/>
      <c r="O53" s="32"/>
      <c r="P53" s="31"/>
      <c r="Q53" s="31"/>
      <c r="R53" s="31"/>
      <c r="S53" s="34">
        <f>(300*0.16+300)*E53</f>
        <v>348</v>
      </c>
      <c r="T53" s="34"/>
      <c r="U53" s="34"/>
      <c r="V53" s="35"/>
      <c r="W53" s="35"/>
      <c r="X53" s="35"/>
      <c r="Y53" s="35"/>
      <c r="Z53" s="35"/>
      <c r="AA53" s="35"/>
      <c r="AB53" s="35"/>
      <c r="AC53" s="35"/>
      <c r="AD53" s="35"/>
      <c r="AE53" s="35"/>
      <c r="AF53" s="35"/>
      <c r="AG53" s="35"/>
      <c r="AH53" s="35"/>
      <c r="AI53" s="35"/>
      <c r="AJ53" s="35"/>
      <c r="AK53" s="35"/>
      <c r="AL53" s="35"/>
      <c r="AM53" s="35"/>
      <c r="AN53" s="35"/>
      <c r="AO53" s="35">
        <v>348</v>
      </c>
      <c r="AP53" s="35"/>
      <c r="AQ53" s="35"/>
      <c r="AR53" s="35"/>
      <c r="AS53" s="35"/>
      <c r="AT53" s="35"/>
      <c r="AU53" s="35"/>
      <c r="AV53" s="35"/>
      <c r="AW53" s="35"/>
      <c r="AX53" s="35"/>
      <c r="AY53" s="35"/>
      <c r="AZ53" s="35"/>
      <c r="BA53" s="33">
        <f t="shared" si="0"/>
        <v>0</v>
      </c>
      <c r="BB53" s="43"/>
    </row>
    <row r="54" spans="1:54" s="23" customFormat="1" ht="74.25" customHeight="1" x14ac:dyDescent="0.3">
      <c r="A54" s="26">
        <v>37</v>
      </c>
      <c r="B54" s="43" t="s">
        <v>1734</v>
      </c>
      <c r="C54" s="28" t="s">
        <v>246</v>
      </c>
      <c r="D54" s="298" t="s">
        <v>1653</v>
      </c>
      <c r="E54" s="92">
        <v>4</v>
      </c>
      <c r="F54" s="30" t="s">
        <v>30</v>
      </c>
      <c r="G54" s="234">
        <f>[1]DICIEMBRE!$BA$26</f>
        <v>3.2000000055631972E-3</v>
      </c>
      <c r="H54" s="31"/>
      <c r="I54" s="31"/>
      <c r="J54" s="32"/>
      <c r="K54" s="32"/>
      <c r="L54" s="32"/>
      <c r="M54" s="32"/>
      <c r="N54" s="32"/>
      <c r="O54" s="32"/>
      <c r="P54" s="33"/>
      <c r="Q54" s="31"/>
      <c r="R54" s="31"/>
      <c r="S54" s="38">
        <f>(349*0.16+349)*E54</f>
        <v>1619.3600000000001</v>
      </c>
      <c r="T54" s="39"/>
      <c r="U54" s="39"/>
      <c r="V54" s="37"/>
      <c r="W54" s="37"/>
      <c r="X54" s="37"/>
      <c r="Y54" s="37"/>
      <c r="Z54" s="37"/>
      <c r="AA54" s="37"/>
      <c r="AB54" s="37"/>
      <c r="AC54" s="37"/>
      <c r="AD54" s="37"/>
      <c r="AE54" s="37"/>
      <c r="AF54" s="37"/>
      <c r="AG54" s="37"/>
      <c r="AH54" s="37"/>
      <c r="AI54" s="37"/>
      <c r="AJ54" s="37"/>
      <c r="AK54" s="35"/>
      <c r="AL54" s="37"/>
      <c r="AM54" s="37"/>
      <c r="AN54" s="37"/>
      <c r="AO54" s="37"/>
      <c r="AP54" s="37"/>
      <c r="AQ54" s="37"/>
      <c r="AR54" s="37">
        <v>1619.36</v>
      </c>
      <c r="AS54" s="37"/>
      <c r="AT54" s="37"/>
      <c r="AU54" s="37"/>
      <c r="AV54" s="37"/>
      <c r="AW54" s="37"/>
      <c r="AX54" s="37"/>
      <c r="AY54" s="37"/>
      <c r="AZ54" s="37"/>
      <c r="BA54" s="33">
        <f t="shared" si="0"/>
        <v>3.2000000057905709E-3</v>
      </c>
      <c r="BB54" s="43"/>
    </row>
    <row r="55" spans="1:54" s="23" customFormat="1" ht="78" customHeight="1" x14ac:dyDescent="0.3">
      <c r="A55" s="26">
        <v>38</v>
      </c>
      <c r="B55" s="43" t="s">
        <v>1415</v>
      </c>
      <c r="C55" s="27"/>
      <c r="D55" s="249" t="s">
        <v>1508</v>
      </c>
      <c r="E55" s="92">
        <v>12</v>
      </c>
      <c r="F55" s="30" t="s">
        <v>30</v>
      </c>
      <c r="G55" s="234">
        <f>[1]DICIEMBRE!$BA$58</f>
        <v>1525.006400000002</v>
      </c>
      <c r="H55" s="31"/>
      <c r="I55" s="31"/>
      <c r="J55" s="32"/>
      <c r="K55" s="32"/>
      <c r="L55" s="32"/>
      <c r="M55" s="32"/>
      <c r="N55" s="336"/>
      <c r="O55" s="32"/>
      <c r="P55" s="33"/>
      <c r="Q55" s="31"/>
      <c r="R55" s="31"/>
      <c r="S55" s="34">
        <f>(250*0.16+250)*E55</f>
        <v>3480</v>
      </c>
      <c r="T55" s="35"/>
      <c r="U55" s="35"/>
      <c r="V55" s="35"/>
      <c r="W55" s="35"/>
      <c r="X55" s="35"/>
      <c r="Y55" s="35"/>
      <c r="Z55" s="35"/>
      <c r="AA55" s="35"/>
      <c r="AB55" s="35"/>
      <c r="AC55" s="35">
        <v>3480</v>
      </c>
      <c r="AD55" s="35"/>
      <c r="AE55" s="35"/>
      <c r="AF55" s="35"/>
      <c r="AG55" s="35"/>
      <c r="AH55" s="35">
        <v>1525.01</v>
      </c>
      <c r="AI55" s="35"/>
      <c r="AJ55" s="35"/>
      <c r="AK55" s="42"/>
      <c r="AL55" s="35"/>
      <c r="AM55" s="35"/>
      <c r="AN55" s="35"/>
      <c r="AO55" s="35"/>
      <c r="AP55" s="35"/>
      <c r="AQ55" s="35"/>
      <c r="AR55" s="35"/>
      <c r="AS55" s="35"/>
      <c r="AT55" s="35"/>
      <c r="AU55" s="35"/>
      <c r="AV55" s="35"/>
      <c r="AW55" s="35"/>
      <c r="AX55" s="35"/>
      <c r="AY55" s="35"/>
      <c r="AZ55" s="35"/>
      <c r="BA55" s="33">
        <f t="shared" si="0"/>
        <v>-3.5999999979594577E-3</v>
      </c>
      <c r="BB55" s="43"/>
    </row>
    <row r="56" spans="1:54" s="23" customFormat="1" ht="68.25" customHeight="1" x14ac:dyDescent="0.3">
      <c r="A56" s="26">
        <v>39</v>
      </c>
      <c r="B56" s="27" t="s">
        <v>1735</v>
      </c>
      <c r="C56" s="28" t="s">
        <v>123</v>
      </c>
      <c r="D56" s="298" t="s">
        <v>1229</v>
      </c>
      <c r="E56" s="94">
        <v>7</v>
      </c>
      <c r="F56" s="44" t="s">
        <v>30</v>
      </c>
      <c r="G56" s="112">
        <f>[1]DICIEMBRE!$BA$85</f>
        <v>4.7999999987951014E-3</v>
      </c>
      <c r="H56" s="45"/>
      <c r="I56" s="45"/>
      <c r="J56" s="32"/>
      <c r="K56" s="32"/>
      <c r="L56" s="32"/>
      <c r="M56" s="32"/>
      <c r="N56" s="336"/>
      <c r="O56" s="32"/>
      <c r="P56" s="33"/>
      <c r="Q56" s="31"/>
      <c r="R56" s="31"/>
      <c r="S56" s="47">
        <f>(220*0.16+220)*E56</f>
        <v>1786.3999999999999</v>
      </c>
      <c r="T56" s="75">
        <f>3900*0.16+3900</f>
        <v>4524</v>
      </c>
      <c r="U56" s="78"/>
      <c r="V56" s="35"/>
      <c r="W56" s="35"/>
      <c r="X56" s="35"/>
      <c r="Y56" s="35"/>
      <c r="Z56" s="36"/>
      <c r="AA56" s="35"/>
      <c r="AB56" s="35"/>
      <c r="AC56" s="54"/>
      <c r="AD56" s="35"/>
      <c r="AE56" s="35">
        <v>6310.4</v>
      </c>
      <c r="AF56" s="35"/>
      <c r="AG56" s="35"/>
      <c r="AH56" s="35"/>
      <c r="AI56" s="35"/>
      <c r="AJ56" s="35"/>
      <c r="AK56" s="35"/>
      <c r="AL56" s="35"/>
      <c r="AM56" s="35"/>
      <c r="AN56" s="35"/>
      <c r="AO56" s="35"/>
      <c r="AP56" s="35"/>
      <c r="AQ56" s="35"/>
      <c r="AR56" s="35"/>
      <c r="AS56" s="35"/>
      <c r="AT56" s="35"/>
      <c r="AU56" s="35"/>
      <c r="AV56" s="35"/>
      <c r="AW56" s="35"/>
      <c r="AX56" s="35"/>
      <c r="AY56" s="35"/>
      <c r="AZ56" s="35"/>
      <c r="BA56" s="33">
        <f t="shared" si="0"/>
        <v>4.7999999987951014E-3</v>
      </c>
      <c r="BB56" s="43" t="s">
        <v>1892</v>
      </c>
    </row>
    <row r="57" spans="1:54" s="23" customFormat="1" ht="78" x14ac:dyDescent="0.3">
      <c r="A57" s="26">
        <v>40</v>
      </c>
      <c r="B57" s="27" t="s">
        <v>48</v>
      </c>
      <c r="C57" s="28" t="s">
        <v>49</v>
      </c>
      <c r="D57" s="298" t="s">
        <v>1214</v>
      </c>
      <c r="E57" s="92">
        <v>4</v>
      </c>
      <c r="F57" s="30" t="s">
        <v>30</v>
      </c>
      <c r="G57" s="234">
        <f>[1]DICIEMBRE!$BA$60</f>
        <v>-4.7999999997045961E-3</v>
      </c>
      <c r="H57" s="31"/>
      <c r="I57" s="31"/>
      <c r="J57" s="32"/>
      <c r="K57" s="32"/>
      <c r="L57" s="32"/>
      <c r="M57" s="32"/>
      <c r="N57" s="32"/>
      <c r="O57" s="33"/>
      <c r="P57" s="33"/>
      <c r="Q57" s="31"/>
      <c r="R57" s="31"/>
      <c r="S57" s="34">
        <f>(330*0.16+330)*E57</f>
        <v>1531.2</v>
      </c>
      <c r="T57" s="34"/>
      <c r="U57" s="34"/>
      <c r="V57" s="35"/>
      <c r="W57" s="35"/>
      <c r="X57" s="35"/>
      <c r="Y57" s="35"/>
      <c r="Z57" s="35"/>
      <c r="AA57" s="35">
        <v>1531.2</v>
      </c>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3">
        <f t="shared" si="0"/>
        <v>-4.7999999997045961E-3</v>
      </c>
      <c r="BB57" s="43"/>
    </row>
    <row r="58" spans="1:54" s="23" customFormat="1" ht="81" customHeight="1" x14ac:dyDescent="0.3">
      <c r="A58" s="26">
        <v>41</v>
      </c>
      <c r="B58" s="43" t="s">
        <v>1736</v>
      </c>
      <c r="C58" s="28"/>
      <c r="D58" s="303" t="s">
        <v>1031</v>
      </c>
      <c r="E58" s="92">
        <v>1</v>
      </c>
      <c r="F58" s="40" t="s">
        <v>30</v>
      </c>
      <c r="G58" s="234">
        <f>[1]DICIEMBRE!$BA$100</f>
        <v>0</v>
      </c>
      <c r="H58" s="31"/>
      <c r="I58" s="31"/>
      <c r="J58" s="32"/>
      <c r="K58" s="33"/>
      <c r="L58" s="32"/>
      <c r="M58" s="32"/>
      <c r="N58" s="32"/>
      <c r="O58" s="32"/>
      <c r="P58" s="31"/>
      <c r="Q58" s="31"/>
      <c r="R58" s="31"/>
      <c r="S58" s="34">
        <f>300*0.16+300</f>
        <v>348</v>
      </c>
      <c r="T58" s="34"/>
      <c r="U58" s="34"/>
      <c r="V58" s="35"/>
      <c r="W58" s="54"/>
      <c r="X58" s="35"/>
      <c r="Y58" s="35"/>
      <c r="Z58" s="35"/>
      <c r="AA58" s="35"/>
      <c r="AB58" s="35"/>
      <c r="AC58" s="35">
        <v>348</v>
      </c>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3">
        <f t="shared" si="0"/>
        <v>0</v>
      </c>
      <c r="BB58" s="267"/>
    </row>
    <row r="59" spans="1:54" ht="43.5" customHeight="1" x14ac:dyDescent="0.35">
      <c r="A59" s="26">
        <v>42</v>
      </c>
      <c r="B59" s="43" t="s">
        <v>1737</v>
      </c>
      <c r="C59" s="53" t="s">
        <v>128</v>
      </c>
      <c r="D59" s="298" t="s">
        <v>1234</v>
      </c>
      <c r="E59" s="94">
        <v>4</v>
      </c>
      <c r="F59" s="44" t="s">
        <v>30</v>
      </c>
      <c r="G59" s="234">
        <f>[1]DICIEMBRE!$BA$98</f>
        <v>-6</v>
      </c>
      <c r="H59" s="45"/>
      <c r="I59" s="45"/>
      <c r="J59" s="32"/>
      <c r="K59" s="32"/>
      <c r="L59" s="336"/>
      <c r="M59" s="32"/>
      <c r="N59" s="336"/>
      <c r="O59" s="32"/>
      <c r="P59" s="31"/>
      <c r="Q59" s="31"/>
      <c r="R59" s="31"/>
      <c r="S59" s="47">
        <f>(300*0.16+300)*E59</f>
        <v>1392</v>
      </c>
      <c r="T59" s="47"/>
      <c r="U59" s="48"/>
      <c r="V59" s="49"/>
      <c r="W59" s="49"/>
      <c r="X59" s="49"/>
      <c r="Y59" s="49"/>
      <c r="Z59" s="49"/>
      <c r="AA59" s="49"/>
      <c r="AB59" s="49">
        <v>1392</v>
      </c>
      <c r="AC59" s="69"/>
      <c r="AD59" s="49"/>
      <c r="AE59" s="50"/>
      <c r="AF59" s="49"/>
      <c r="AG59" s="49"/>
      <c r="AH59" s="49"/>
      <c r="AI59" s="49"/>
      <c r="AJ59" s="49"/>
      <c r="AK59" s="49"/>
      <c r="AL59" s="49"/>
      <c r="AM59" s="49"/>
      <c r="AN59" s="49"/>
      <c r="AO59" s="49"/>
      <c r="AP59" s="49"/>
      <c r="AQ59" s="49"/>
      <c r="AR59" s="49"/>
      <c r="AS59" s="49"/>
      <c r="AT59" s="49"/>
      <c r="AU59" s="49"/>
      <c r="AV59" s="49"/>
      <c r="AW59" s="49"/>
      <c r="AX59" s="49"/>
      <c r="AY59" s="49"/>
      <c r="AZ59" s="49"/>
      <c r="BA59" s="33">
        <f t="shared" si="0"/>
        <v>-6</v>
      </c>
      <c r="BB59" s="43"/>
    </row>
    <row r="60" spans="1:54" s="23" customFormat="1" ht="51" customHeight="1" x14ac:dyDescent="0.3">
      <c r="A60" s="26">
        <v>43</v>
      </c>
      <c r="B60" s="43" t="s">
        <v>1306</v>
      </c>
      <c r="C60" s="28"/>
      <c r="D60" s="298" t="s">
        <v>1216</v>
      </c>
      <c r="E60" s="92">
        <v>2</v>
      </c>
      <c r="F60" s="30" t="s">
        <v>30</v>
      </c>
      <c r="G60" s="112">
        <f>[1]DICIEMBRE!$BA$63</f>
        <v>2.2737367544323206E-13</v>
      </c>
      <c r="H60" s="31"/>
      <c r="I60" s="31"/>
      <c r="J60" s="32"/>
      <c r="K60" s="32"/>
      <c r="L60" s="32"/>
      <c r="M60" s="336"/>
      <c r="N60" s="32"/>
      <c r="O60" s="32"/>
      <c r="P60" s="33"/>
      <c r="Q60" s="31"/>
      <c r="R60" s="31"/>
      <c r="S60" s="34">
        <f>(330*0.16+330)*E60</f>
        <v>765.6</v>
      </c>
      <c r="T60" s="34"/>
      <c r="U60" s="34"/>
      <c r="V60" s="35"/>
      <c r="W60" s="35"/>
      <c r="X60" s="35"/>
      <c r="Y60" s="35"/>
      <c r="Z60" s="35"/>
      <c r="AA60" s="35"/>
      <c r="AB60" s="35"/>
      <c r="AC60" s="35">
        <v>765.6</v>
      </c>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3">
        <f t="shared" si="0"/>
        <v>2.2737367544323206E-13</v>
      </c>
      <c r="BB60" s="43"/>
    </row>
    <row r="61" spans="1:54" s="23" customFormat="1" ht="81" customHeight="1" x14ac:dyDescent="0.3">
      <c r="A61" s="26">
        <v>44</v>
      </c>
      <c r="B61" s="43" t="s">
        <v>1739</v>
      </c>
      <c r="C61" s="28" t="s">
        <v>61</v>
      </c>
      <c r="D61" s="302" t="s">
        <v>1235</v>
      </c>
      <c r="E61" s="92">
        <v>14</v>
      </c>
      <c r="F61" s="40" t="s">
        <v>30</v>
      </c>
      <c r="G61" s="112">
        <f>[1]DICIEMBRE!$BA$99</f>
        <v>4.0000000171858119E-3</v>
      </c>
      <c r="H61" s="31"/>
      <c r="I61" s="31"/>
      <c r="J61" s="32"/>
      <c r="K61" s="32"/>
      <c r="L61" s="32"/>
      <c r="M61" s="336"/>
      <c r="N61" s="32"/>
      <c r="O61" s="33"/>
      <c r="P61" s="33"/>
      <c r="Q61" s="31"/>
      <c r="R61" s="31"/>
      <c r="S61" s="34">
        <f>(289*0.16+289)*E61</f>
        <v>4693.3600000000006</v>
      </c>
      <c r="T61" s="34"/>
      <c r="U61" s="34"/>
      <c r="V61" s="35"/>
      <c r="W61" s="54"/>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3">
        <f>SUM(G61+S61+T61-U61-V61-W61-X61-Y61-Z61-AA61-AB61-AC61-AD61-AE61-AF61-AG61-AH61-AI61-AJ61-AK61-AL61-AM61-AN61-AO61-AP61-AQ61-AR61-AS61-AT61-AU61-AV61-AW61-AX61-AY61-AZ61)</f>
        <v>4693.3640000000178</v>
      </c>
      <c r="BB61" s="267"/>
    </row>
    <row r="62" spans="1:54" s="23" customFormat="1" ht="58.5" customHeight="1" x14ac:dyDescent="0.3">
      <c r="A62" s="26">
        <v>45</v>
      </c>
      <c r="B62" s="43" t="s">
        <v>1740</v>
      </c>
      <c r="C62" s="28"/>
      <c r="D62" s="298" t="s">
        <v>1509</v>
      </c>
      <c r="E62" s="92">
        <v>1</v>
      </c>
      <c r="F62" s="30" t="s">
        <v>30</v>
      </c>
      <c r="G62" s="234">
        <f>[1]DICIEMBRE!$BA$62</f>
        <v>0</v>
      </c>
      <c r="H62" s="31"/>
      <c r="I62" s="31"/>
      <c r="J62" s="32"/>
      <c r="K62" s="33"/>
      <c r="L62" s="336"/>
      <c r="M62" s="32"/>
      <c r="N62" s="336"/>
      <c r="O62" s="32"/>
      <c r="P62" s="31"/>
      <c r="Q62" s="31"/>
      <c r="R62" s="31"/>
      <c r="S62" s="34"/>
      <c r="T62" s="34"/>
      <c r="U62" s="34"/>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3">
        <f t="shared" si="0"/>
        <v>0</v>
      </c>
      <c r="BB62" s="43" t="s">
        <v>1971</v>
      </c>
    </row>
    <row r="63" spans="1:54" s="23" customFormat="1" ht="51" customHeight="1" x14ac:dyDescent="0.3">
      <c r="A63" s="26">
        <v>46</v>
      </c>
      <c r="B63" s="43" t="s">
        <v>713</v>
      </c>
      <c r="C63" s="28"/>
      <c r="D63" s="298" t="s">
        <v>1218</v>
      </c>
      <c r="E63" s="92">
        <v>4</v>
      </c>
      <c r="F63" s="30" t="s">
        <v>30</v>
      </c>
      <c r="G63" s="112">
        <f>[1]DICIEMBRE!$BA$65</f>
        <v>-3.9999999989959178E-4</v>
      </c>
      <c r="H63" s="31"/>
      <c r="I63" s="31"/>
      <c r="J63" s="32"/>
      <c r="K63" s="32"/>
      <c r="L63" s="336"/>
      <c r="M63" s="32"/>
      <c r="N63" s="336"/>
      <c r="O63" s="32"/>
      <c r="P63" s="33"/>
      <c r="Q63" s="31"/>
      <c r="R63" s="31"/>
      <c r="S63" s="34">
        <f>(300*0.16+300)*E63</f>
        <v>1392</v>
      </c>
      <c r="T63" s="34">
        <f>2020*0.16+2020</f>
        <v>2343.1999999999998</v>
      </c>
      <c r="U63" s="34"/>
      <c r="V63" s="35"/>
      <c r="W63" s="35"/>
      <c r="X63" s="35"/>
      <c r="Y63" s="35"/>
      <c r="Z63" s="35"/>
      <c r="AA63" s="35"/>
      <c r="AB63" s="35">
        <v>3735.2</v>
      </c>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3">
        <f t="shared" si="0"/>
        <v>-3.9999999989959178E-4</v>
      </c>
      <c r="BB63" s="43" t="s">
        <v>1785</v>
      </c>
    </row>
    <row r="64" spans="1:54" s="23" customFormat="1" ht="51" customHeight="1" x14ac:dyDescent="0.3">
      <c r="A64" s="26">
        <v>47</v>
      </c>
      <c r="B64" s="43" t="s">
        <v>1551</v>
      </c>
      <c r="C64" s="28"/>
      <c r="D64" s="300" t="s">
        <v>1552</v>
      </c>
      <c r="E64" s="92">
        <v>1</v>
      </c>
      <c r="F64" s="30" t="s">
        <v>30</v>
      </c>
      <c r="G64" s="234">
        <f>[1]DICIEMBRE!$BA$66</f>
        <v>0</v>
      </c>
      <c r="H64" s="31"/>
      <c r="I64" s="31"/>
      <c r="J64" s="32"/>
      <c r="K64" s="32"/>
      <c r="L64" s="336"/>
      <c r="M64" s="32"/>
      <c r="N64" s="336"/>
      <c r="O64" s="32"/>
      <c r="P64" s="33"/>
      <c r="Q64" s="31"/>
      <c r="R64" s="31"/>
      <c r="S64" s="34">
        <f>(200*0.16+200)*E64</f>
        <v>232</v>
      </c>
      <c r="T64" s="34"/>
      <c r="U64" s="34"/>
      <c r="V64" s="35"/>
      <c r="W64" s="35"/>
      <c r="X64" s="35"/>
      <c r="Y64" s="35"/>
      <c r="Z64" s="35"/>
      <c r="AA64" s="35"/>
      <c r="AB64" s="35"/>
      <c r="AC64" s="35"/>
      <c r="AD64" s="35"/>
      <c r="AE64" s="35"/>
      <c r="AF64" s="35"/>
      <c r="AG64" s="35"/>
      <c r="AH64" s="35"/>
      <c r="AI64" s="35">
        <v>232</v>
      </c>
      <c r="AJ64" s="35"/>
      <c r="AK64" s="35"/>
      <c r="AL64" s="35"/>
      <c r="AM64" s="35"/>
      <c r="AN64" s="35"/>
      <c r="AO64" s="35"/>
      <c r="AP64" s="35"/>
      <c r="AQ64" s="35"/>
      <c r="AR64" s="35"/>
      <c r="AS64" s="35"/>
      <c r="AT64" s="35"/>
      <c r="AU64" s="35"/>
      <c r="AV64" s="35"/>
      <c r="AW64" s="35"/>
      <c r="AX64" s="35"/>
      <c r="AY64" s="35"/>
      <c r="AZ64" s="35"/>
      <c r="BA64" s="33">
        <f t="shared" si="0"/>
        <v>0</v>
      </c>
      <c r="BB64" s="43"/>
    </row>
    <row r="65" spans="1:54" s="23" customFormat="1" ht="57" customHeight="1" x14ac:dyDescent="0.3">
      <c r="A65" s="26">
        <v>48</v>
      </c>
      <c r="B65" s="43" t="s">
        <v>693</v>
      </c>
      <c r="C65" s="28"/>
      <c r="D65" s="300" t="s">
        <v>1662</v>
      </c>
      <c r="E65" s="92">
        <v>1</v>
      </c>
      <c r="F65" s="30" t="s">
        <v>30</v>
      </c>
      <c r="G65" s="234">
        <f>[1]DICIEMBRE!$BA$68</f>
        <v>0</v>
      </c>
      <c r="H65" s="31"/>
      <c r="I65" s="31"/>
      <c r="J65" s="32"/>
      <c r="K65" s="32"/>
      <c r="L65" s="32"/>
      <c r="M65" s="336"/>
      <c r="N65" s="32"/>
      <c r="O65" s="32"/>
      <c r="P65" s="31"/>
      <c r="Q65" s="31"/>
      <c r="R65" s="31"/>
      <c r="S65" s="34">
        <f>(300*0.16+300)*E65</f>
        <v>348</v>
      </c>
      <c r="T65" s="34"/>
      <c r="U65" s="34"/>
      <c r="V65" s="35"/>
      <c r="W65" s="35"/>
      <c r="X65" s="35"/>
      <c r="Y65" s="35"/>
      <c r="Z65" s="35"/>
      <c r="AA65" s="35"/>
      <c r="AB65" s="35"/>
      <c r="AC65" s="35">
        <v>348</v>
      </c>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3">
        <f t="shared" si="0"/>
        <v>0</v>
      </c>
      <c r="BB65" s="43"/>
    </row>
    <row r="66" spans="1:54" s="23" customFormat="1" ht="74.25" customHeight="1" x14ac:dyDescent="0.3">
      <c r="A66" s="26">
        <v>49</v>
      </c>
      <c r="B66" s="43" t="s">
        <v>1621</v>
      </c>
      <c r="C66" s="28"/>
      <c r="D66" s="300" t="s">
        <v>1622</v>
      </c>
      <c r="E66" s="92">
        <v>1</v>
      </c>
      <c r="F66" s="30" t="s">
        <v>30</v>
      </c>
      <c r="G66" s="112">
        <f>[1]DICIEMBRE!$BA$69</f>
        <v>0</v>
      </c>
      <c r="H66" s="31"/>
      <c r="I66" s="31"/>
      <c r="J66" s="32"/>
      <c r="K66" s="32"/>
      <c r="L66" s="32"/>
      <c r="M66" s="336"/>
      <c r="N66" s="32"/>
      <c r="O66" s="32"/>
      <c r="P66" s="31"/>
      <c r="Q66" s="31"/>
      <c r="R66" s="31"/>
      <c r="S66" s="34">
        <f>(250*0.16+250)*E66</f>
        <v>290</v>
      </c>
      <c r="T66" s="34"/>
      <c r="U66" s="34"/>
      <c r="V66" s="35"/>
      <c r="W66" s="35"/>
      <c r="X66" s="35"/>
      <c r="Y66" s="35"/>
      <c r="Z66" s="35"/>
      <c r="AA66" s="35"/>
      <c r="AB66" s="35"/>
      <c r="AC66" s="35"/>
      <c r="AD66" s="35"/>
      <c r="AE66" s="35"/>
      <c r="AF66" s="35"/>
      <c r="AG66" s="35"/>
      <c r="AH66" s="35">
        <v>290</v>
      </c>
      <c r="AI66" s="35"/>
      <c r="AJ66" s="35"/>
      <c r="AK66" s="35"/>
      <c r="AL66" s="35"/>
      <c r="AM66" s="35"/>
      <c r="AN66" s="35"/>
      <c r="AO66" s="35"/>
      <c r="AP66" s="35"/>
      <c r="AQ66" s="35"/>
      <c r="AR66" s="35"/>
      <c r="AS66" s="35"/>
      <c r="AT66" s="35"/>
      <c r="AU66" s="35"/>
      <c r="AV66" s="35"/>
      <c r="AW66" s="35"/>
      <c r="AX66" s="35"/>
      <c r="AY66" s="35"/>
      <c r="AZ66" s="35"/>
      <c r="BA66" s="33">
        <f t="shared" si="0"/>
        <v>0</v>
      </c>
      <c r="BB66" s="43"/>
    </row>
    <row r="67" spans="1:54" s="23" customFormat="1" ht="71.25" customHeight="1" x14ac:dyDescent="0.3">
      <c r="A67" s="26">
        <v>50</v>
      </c>
      <c r="B67" s="43" t="s">
        <v>533</v>
      </c>
      <c r="C67" s="28" t="s">
        <v>560</v>
      </c>
      <c r="D67" s="301" t="s">
        <v>1220</v>
      </c>
      <c r="E67" s="92">
        <v>19</v>
      </c>
      <c r="F67" s="30" t="s">
        <v>30</v>
      </c>
      <c r="G67" s="234">
        <f>[1]DICIEMBRE!$BA$70</f>
        <v>2.0000000140498742E-3</v>
      </c>
      <c r="H67" s="31"/>
      <c r="I67" s="31"/>
      <c r="J67" s="32"/>
      <c r="K67" s="32"/>
      <c r="L67" s="32"/>
      <c r="M67" s="32"/>
      <c r="N67" s="32"/>
      <c r="O67" s="33"/>
      <c r="P67" s="33"/>
      <c r="Q67" s="31"/>
      <c r="R67" s="31"/>
      <c r="S67" s="34">
        <f>(249*0.16+249)*E67</f>
        <v>5487.9600000000009</v>
      </c>
      <c r="T67" s="34">
        <f>3299*0.16+3299</f>
        <v>3826.84</v>
      </c>
      <c r="U67" s="34"/>
      <c r="V67" s="35"/>
      <c r="W67" s="35"/>
      <c r="X67" s="35"/>
      <c r="Y67" s="35"/>
      <c r="Z67" s="35"/>
      <c r="AA67" s="35"/>
      <c r="AB67" s="35"/>
      <c r="AC67" s="35"/>
      <c r="AD67" s="35"/>
      <c r="AE67" s="35"/>
      <c r="AF67" s="35"/>
      <c r="AG67" s="35"/>
      <c r="AH67" s="35"/>
      <c r="AI67" s="35"/>
      <c r="AJ67" s="35"/>
      <c r="AK67" s="35"/>
      <c r="AL67" s="35">
        <v>9314.7999999999993</v>
      </c>
      <c r="AM67" s="35"/>
      <c r="AN67" s="35"/>
      <c r="AO67" s="35"/>
      <c r="AP67" s="35"/>
      <c r="AQ67" s="35"/>
      <c r="AR67" s="35"/>
      <c r="AS67" s="35"/>
      <c r="AT67" s="35"/>
      <c r="AU67" s="35"/>
      <c r="AV67" s="35"/>
      <c r="AW67" s="35"/>
      <c r="AX67" s="35"/>
      <c r="AY67" s="35"/>
      <c r="AZ67" s="35"/>
      <c r="BA67" s="33">
        <f t="shared" si="0"/>
        <v>2.0000000149593689E-3</v>
      </c>
      <c r="BB67" s="43" t="s">
        <v>1780</v>
      </c>
    </row>
    <row r="68" spans="1:54" s="23" customFormat="1" ht="71.25" customHeight="1" x14ac:dyDescent="0.3">
      <c r="A68" s="26">
        <v>51</v>
      </c>
      <c r="B68" s="43" t="s">
        <v>1676</v>
      </c>
      <c r="C68" s="28"/>
      <c r="D68" s="341" t="s">
        <v>1677</v>
      </c>
      <c r="E68" s="92">
        <v>2</v>
      </c>
      <c r="F68" s="30" t="s">
        <v>30</v>
      </c>
      <c r="G68" s="112">
        <f>[1]DICIEMBRE!$BA$71</f>
        <v>0</v>
      </c>
      <c r="H68" s="31"/>
      <c r="I68" s="31"/>
      <c r="J68" s="32"/>
      <c r="K68" s="32"/>
      <c r="L68" s="32"/>
      <c r="M68" s="32"/>
      <c r="N68" s="32"/>
      <c r="O68" s="33"/>
      <c r="P68" s="33"/>
      <c r="Q68" s="31"/>
      <c r="R68" s="31"/>
      <c r="S68" s="34">
        <f>(210*0.16+210)*E68</f>
        <v>487.2</v>
      </c>
      <c r="T68" s="34"/>
      <c r="U68" s="34"/>
      <c r="V68" s="35"/>
      <c r="W68" s="35"/>
      <c r="X68" s="35"/>
      <c r="Y68" s="35"/>
      <c r="Z68" s="35"/>
      <c r="AA68" s="35"/>
      <c r="AB68" s="35"/>
      <c r="AC68" s="35"/>
      <c r="AD68" s="35">
        <v>487.2</v>
      </c>
      <c r="AE68" s="35"/>
      <c r="AF68" s="35"/>
      <c r="AG68" s="35"/>
      <c r="AH68" s="35"/>
      <c r="AI68" s="35"/>
      <c r="AJ68" s="35"/>
      <c r="AK68" s="35"/>
      <c r="AL68" s="35"/>
      <c r="AM68" s="35"/>
      <c r="AN68" s="35"/>
      <c r="AO68" s="35"/>
      <c r="AP68" s="35"/>
      <c r="AQ68" s="35"/>
      <c r="AR68" s="35"/>
      <c r="AS68" s="35"/>
      <c r="AT68" s="35"/>
      <c r="AU68" s="35"/>
      <c r="AV68" s="35"/>
      <c r="AW68" s="35"/>
      <c r="AX68" s="35"/>
      <c r="AY68" s="35"/>
      <c r="AZ68" s="35"/>
      <c r="BA68" s="33">
        <f t="shared" si="0"/>
        <v>0</v>
      </c>
      <c r="BB68" s="43" t="s">
        <v>1793</v>
      </c>
    </row>
    <row r="69" spans="1:54" s="23" customFormat="1" ht="56.25" customHeight="1" x14ac:dyDescent="0.3">
      <c r="A69" s="26">
        <v>52</v>
      </c>
      <c r="B69" s="43" t="s">
        <v>496</v>
      </c>
      <c r="C69" s="28" t="s">
        <v>561</v>
      </c>
      <c r="D69" s="298" t="s">
        <v>1276</v>
      </c>
      <c r="E69" s="92">
        <v>2</v>
      </c>
      <c r="F69" s="30" t="s">
        <v>30</v>
      </c>
      <c r="G69" s="234">
        <f>[1]DICIEMBRE!$BA$72</f>
        <v>-7.9999999981055225E-3</v>
      </c>
      <c r="H69" s="31"/>
      <c r="I69" s="31"/>
      <c r="J69" s="32"/>
      <c r="K69" s="33"/>
      <c r="L69" s="336"/>
      <c r="M69" s="32"/>
      <c r="N69" s="336"/>
      <c r="O69" s="32"/>
      <c r="P69" s="31"/>
      <c r="Q69" s="31"/>
      <c r="R69" s="31"/>
      <c r="S69" s="34">
        <f>(249*0.16+249)*E69</f>
        <v>577.68000000000006</v>
      </c>
      <c r="T69" s="34"/>
      <c r="U69" s="34"/>
      <c r="V69" s="35"/>
      <c r="W69" s="35"/>
      <c r="X69" s="35"/>
      <c r="Y69" s="35"/>
      <c r="Z69" s="35"/>
      <c r="AA69" s="35"/>
      <c r="AB69" s="35"/>
      <c r="AC69" s="35"/>
      <c r="AD69" s="35"/>
      <c r="AE69" s="35"/>
      <c r="AF69" s="35"/>
      <c r="AG69" s="35"/>
      <c r="AH69" s="35"/>
      <c r="AI69" s="35"/>
      <c r="AJ69" s="35"/>
      <c r="AK69" s="35"/>
      <c r="AL69" s="35"/>
      <c r="AM69" s="35"/>
      <c r="AN69" s="35"/>
      <c r="AO69" s="35"/>
      <c r="AP69" s="35"/>
      <c r="AQ69" s="35"/>
      <c r="AR69" s="35">
        <v>577.67999999999995</v>
      </c>
      <c r="AS69" s="35"/>
      <c r="AT69" s="35"/>
      <c r="AU69" s="35"/>
      <c r="AV69" s="35"/>
      <c r="AW69" s="35"/>
      <c r="AX69" s="35"/>
      <c r="AY69" s="35"/>
      <c r="AZ69" s="35"/>
      <c r="BA69" s="33">
        <f t="shared" si="0"/>
        <v>-7.9999999979918357E-3</v>
      </c>
      <c r="BB69" s="43"/>
    </row>
    <row r="70" spans="1:54" s="23" customFormat="1" ht="65" x14ac:dyDescent="0.3">
      <c r="A70" s="26">
        <v>53</v>
      </c>
      <c r="B70" s="43" t="s">
        <v>323</v>
      </c>
      <c r="C70" s="28" t="s">
        <v>324</v>
      </c>
      <c r="D70" s="298" t="s">
        <v>1221</v>
      </c>
      <c r="E70" s="92">
        <v>1</v>
      </c>
      <c r="F70" s="30" t="s">
        <v>30</v>
      </c>
      <c r="G70" s="112">
        <f>[1]DICIEMBRE!$BA$73</f>
        <v>-866.51999999999782</v>
      </c>
      <c r="H70" s="31"/>
      <c r="I70" s="31"/>
      <c r="J70" s="32"/>
      <c r="K70" s="32"/>
      <c r="L70" s="32"/>
      <c r="M70" s="336"/>
      <c r="N70" s="32"/>
      <c r="O70" s="32"/>
      <c r="P70" s="33"/>
      <c r="Q70" s="31"/>
      <c r="R70" s="31"/>
      <c r="S70" s="34">
        <f>(249*0.16+249)*E70</f>
        <v>288.84000000000003</v>
      </c>
      <c r="T70" s="34"/>
      <c r="U70" s="34"/>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3">
        <f t="shared" si="0"/>
        <v>-577.67999999999779</v>
      </c>
      <c r="BB70" s="43" t="s">
        <v>1449</v>
      </c>
    </row>
    <row r="71" spans="1:54" s="23" customFormat="1" ht="67.5" customHeight="1" x14ac:dyDescent="0.3">
      <c r="A71" s="26">
        <v>54</v>
      </c>
      <c r="B71" s="27" t="s">
        <v>50</v>
      </c>
      <c r="C71" s="28" t="s">
        <v>51</v>
      </c>
      <c r="D71" s="298" t="s">
        <v>1222</v>
      </c>
      <c r="E71" s="92">
        <v>1</v>
      </c>
      <c r="F71" s="56" t="s">
        <v>30</v>
      </c>
      <c r="G71" s="234">
        <f>[1]DICIEMBRE!$BA$74</f>
        <v>0</v>
      </c>
      <c r="H71" s="31"/>
      <c r="I71" s="31"/>
      <c r="J71" s="32"/>
      <c r="K71" s="32"/>
      <c r="L71" s="32"/>
      <c r="M71" s="32"/>
      <c r="N71" s="32"/>
      <c r="O71" s="33"/>
      <c r="P71" s="31"/>
      <c r="Q71" s="31"/>
      <c r="R71" s="31"/>
      <c r="S71" s="34">
        <v>348</v>
      </c>
      <c r="T71" s="34"/>
      <c r="U71" s="34"/>
      <c r="V71" s="35"/>
      <c r="W71" s="35"/>
      <c r="X71" s="35"/>
      <c r="Y71" s="35"/>
      <c r="Z71" s="35"/>
      <c r="AA71" s="35"/>
      <c r="AB71" s="35"/>
      <c r="AC71" s="35"/>
      <c r="AD71" s="35"/>
      <c r="AE71" s="35"/>
      <c r="AF71" s="35"/>
      <c r="AG71" s="35"/>
      <c r="AH71" s="35"/>
      <c r="AI71" s="35"/>
      <c r="AJ71" s="35"/>
      <c r="AK71" s="35"/>
      <c r="AL71" s="35">
        <v>348</v>
      </c>
      <c r="AM71" s="35"/>
      <c r="AN71" s="35"/>
      <c r="AO71" s="35"/>
      <c r="AP71" s="35"/>
      <c r="AQ71" s="54"/>
      <c r="AR71" s="35"/>
      <c r="AS71" s="35"/>
      <c r="AT71" s="35"/>
      <c r="AU71" s="35"/>
      <c r="AV71" s="35"/>
      <c r="AW71" s="35"/>
      <c r="AX71" s="35"/>
      <c r="AY71" s="35"/>
      <c r="AZ71" s="35"/>
      <c r="BA71" s="33">
        <f t="shared" si="0"/>
        <v>0</v>
      </c>
      <c r="BB71" s="269"/>
    </row>
    <row r="72" spans="1:54" s="23" customFormat="1" ht="65" x14ac:dyDescent="0.3">
      <c r="A72" s="26">
        <v>55</v>
      </c>
      <c r="B72" s="43" t="s">
        <v>53</v>
      </c>
      <c r="C72" s="53" t="s">
        <v>54</v>
      </c>
      <c r="D72" s="298" t="s">
        <v>1224</v>
      </c>
      <c r="E72" s="92">
        <v>1</v>
      </c>
      <c r="F72" s="56" t="s">
        <v>30</v>
      </c>
      <c r="G72" s="234">
        <f>[1]DICIEMBRE!$BA$76</f>
        <v>0</v>
      </c>
      <c r="H72" s="31"/>
      <c r="I72" s="31"/>
      <c r="J72" s="32"/>
      <c r="K72" s="32"/>
      <c r="L72" s="32"/>
      <c r="M72" s="336"/>
      <c r="N72" s="32"/>
      <c r="O72" s="32"/>
      <c r="P72" s="31"/>
      <c r="Q72" s="31"/>
      <c r="R72" s="31"/>
      <c r="S72" s="34">
        <f>(300*0.16+300)*E72</f>
        <v>348</v>
      </c>
      <c r="T72" s="34"/>
      <c r="U72" s="34"/>
      <c r="V72" s="35"/>
      <c r="W72" s="35"/>
      <c r="X72" s="35"/>
      <c r="Y72" s="54"/>
      <c r="Z72" s="35"/>
      <c r="AA72" s="35"/>
      <c r="AB72" s="35"/>
      <c r="AC72" s="35"/>
      <c r="AD72" s="35"/>
      <c r="AE72" s="35"/>
      <c r="AF72" s="35"/>
      <c r="AG72" s="35"/>
      <c r="AH72" s="35"/>
      <c r="AI72" s="35">
        <v>348</v>
      </c>
      <c r="AJ72" s="35"/>
      <c r="AK72" s="35"/>
      <c r="AL72" s="35"/>
      <c r="AM72" s="35"/>
      <c r="AN72" s="35"/>
      <c r="AO72" s="35"/>
      <c r="AP72" s="35"/>
      <c r="AQ72" s="35"/>
      <c r="AR72" s="35"/>
      <c r="AS72" s="35"/>
      <c r="AT72" s="35"/>
      <c r="AU72" s="35"/>
      <c r="AV72" s="35"/>
      <c r="AW72" s="35"/>
      <c r="AX72" s="35"/>
      <c r="AY72" s="35"/>
      <c r="AZ72" s="35"/>
      <c r="BA72" s="33">
        <f t="shared" si="0"/>
        <v>0</v>
      </c>
      <c r="BB72" s="269"/>
    </row>
    <row r="73" spans="1:54" s="23" customFormat="1" ht="93" customHeight="1" x14ac:dyDescent="0.3">
      <c r="A73" s="26">
        <v>56</v>
      </c>
      <c r="B73" s="43" t="s">
        <v>1741</v>
      </c>
      <c r="C73" s="28"/>
      <c r="D73" s="298" t="s">
        <v>1203</v>
      </c>
      <c r="E73" s="92">
        <v>11</v>
      </c>
      <c r="F73" s="41" t="s">
        <v>30</v>
      </c>
      <c r="G73" s="234">
        <f>[1]DICIEMBRE!$BA$36</f>
        <v>1.2000000006082701E-3</v>
      </c>
      <c r="H73" s="31"/>
      <c r="I73" s="31"/>
      <c r="J73" s="32"/>
      <c r="K73" s="32"/>
      <c r="L73" s="32"/>
      <c r="M73" s="32"/>
      <c r="N73" s="336"/>
      <c r="O73" s="32"/>
      <c r="P73" s="31"/>
      <c r="Q73" s="31"/>
      <c r="R73" s="31"/>
      <c r="S73" s="38">
        <f>(250*0.16+250)*E73</f>
        <v>3190</v>
      </c>
      <c r="T73" s="38">
        <f>7558.32*0.16+7558.32</f>
        <v>8767.6512000000002</v>
      </c>
      <c r="U73" s="35"/>
      <c r="V73" s="35"/>
      <c r="W73" s="35"/>
      <c r="X73" s="35"/>
      <c r="Y73" s="35"/>
      <c r="Z73" s="35"/>
      <c r="AA73" s="35">
        <v>11957.66</v>
      </c>
      <c r="AB73" s="35"/>
      <c r="AC73" s="35"/>
      <c r="AD73" s="35"/>
      <c r="AE73" s="35"/>
      <c r="AF73" s="35"/>
      <c r="AG73" s="35"/>
      <c r="AH73" s="35"/>
      <c r="AI73" s="35"/>
      <c r="AJ73" s="35"/>
      <c r="AK73" s="42"/>
      <c r="AL73" s="35"/>
      <c r="AM73" s="35"/>
      <c r="AN73" s="35"/>
      <c r="AO73" s="35"/>
      <c r="AP73" s="35"/>
      <c r="AQ73" s="35"/>
      <c r="AR73" s="35"/>
      <c r="AS73" s="35"/>
      <c r="AT73" s="35"/>
      <c r="AU73" s="35"/>
      <c r="AV73" s="35"/>
      <c r="AW73" s="35"/>
      <c r="AX73" s="35"/>
      <c r="AY73" s="35"/>
      <c r="AZ73" s="35"/>
      <c r="BA73" s="33">
        <f t="shared" si="0"/>
        <v>-7.5999999990017386E-3</v>
      </c>
      <c r="BB73" s="268" t="s">
        <v>1786</v>
      </c>
    </row>
    <row r="74" spans="1:54" s="23" customFormat="1" ht="52.5" customHeight="1" x14ac:dyDescent="0.3">
      <c r="A74" s="26">
        <v>57</v>
      </c>
      <c r="B74" s="43" t="s">
        <v>1450</v>
      </c>
      <c r="C74" s="53"/>
      <c r="D74" s="300" t="s">
        <v>595</v>
      </c>
      <c r="E74" s="94">
        <v>3</v>
      </c>
      <c r="F74" s="44" t="s">
        <v>30</v>
      </c>
      <c r="G74" s="234">
        <f>[1]DICIEMBRE!$BA$78</f>
        <v>1.1999999996987754E-3</v>
      </c>
      <c r="H74" s="45"/>
      <c r="I74" s="45"/>
      <c r="J74" s="32"/>
      <c r="K74" s="33"/>
      <c r="L74" s="336"/>
      <c r="M74" s="32"/>
      <c r="N74" s="336"/>
      <c r="O74" s="32"/>
      <c r="P74" s="31"/>
      <c r="Q74" s="31"/>
      <c r="R74" s="31"/>
      <c r="S74" s="47">
        <f>(250*0.16+250)*E74</f>
        <v>870</v>
      </c>
      <c r="T74" s="34"/>
      <c r="U74" s="34"/>
      <c r="V74" s="35"/>
      <c r="W74" s="35"/>
      <c r="X74" s="35"/>
      <c r="Y74" s="54"/>
      <c r="Z74" s="35"/>
      <c r="AA74" s="35"/>
      <c r="AB74" s="35">
        <v>870</v>
      </c>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3">
        <f t="shared" si="0"/>
        <v>1.1999999996987754E-3</v>
      </c>
      <c r="BB74" s="269"/>
    </row>
    <row r="75" spans="1:54" s="23" customFormat="1" ht="80.25" customHeight="1" x14ac:dyDescent="0.3">
      <c r="A75" s="26">
        <v>58</v>
      </c>
      <c r="B75" s="43" t="s">
        <v>1742</v>
      </c>
      <c r="C75" s="28"/>
      <c r="D75" s="298" t="s">
        <v>1506</v>
      </c>
      <c r="E75" s="92">
        <v>5</v>
      </c>
      <c r="F75" s="40" t="s">
        <v>30</v>
      </c>
      <c r="G75" s="112">
        <f>[1]DICIEMBRE!$BA$51</f>
        <v>0</v>
      </c>
      <c r="H75" s="31"/>
      <c r="I75" s="31"/>
      <c r="J75" s="32"/>
      <c r="K75" s="32"/>
      <c r="L75" s="32"/>
      <c r="M75" s="32"/>
      <c r="N75" s="32"/>
      <c r="O75" s="33"/>
      <c r="P75" s="33"/>
      <c r="Q75" s="31"/>
      <c r="R75" s="31"/>
      <c r="S75" s="34">
        <f>(300*0.16+300)*E75</f>
        <v>1740</v>
      </c>
      <c r="T75" s="34"/>
      <c r="U75" s="34"/>
      <c r="V75" s="35"/>
      <c r="W75" s="54"/>
      <c r="X75" s="35"/>
      <c r="Y75" s="35"/>
      <c r="Z75" s="35"/>
      <c r="AA75" s="35"/>
      <c r="AB75" s="35"/>
      <c r="AC75" s="35"/>
      <c r="AD75" s="35">
        <v>1740</v>
      </c>
      <c r="AE75" s="35"/>
      <c r="AF75" s="35"/>
      <c r="AG75" s="35"/>
      <c r="AH75" s="35"/>
      <c r="AI75" s="36"/>
      <c r="AJ75" s="35"/>
      <c r="AK75" s="35"/>
      <c r="AL75" s="35"/>
      <c r="AM75" s="35"/>
      <c r="AN75" s="35"/>
      <c r="AO75" s="35"/>
      <c r="AP75" s="35"/>
      <c r="AQ75" s="35"/>
      <c r="AR75" s="35"/>
      <c r="AS75" s="35"/>
      <c r="AT75" s="35"/>
      <c r="AU75" s="35"/>
      <c r="AV75" s="35"/>
      <c r="AW75" s="35"/>
      <c r="AX75" s="35"/>
      <c r="AY75" s="35"/>
      <c r="AZ75" s="35"/>
      <c r="BA75" s="33">
        <f t="shared" si="0"/>
        <v>0</v>
      </c>
      <c r="BB75" s="267"/>
    </row>
    <row r="76" spans="1:54" s="23" customFormat="1" ht="90" customHeight="1" x14ac:dyDescent="0.3">
      <c r="A76" s="26">
        <v>59</v>
      </c>
      <c r="B76" s="43" t="s">
        <v>1743</v>
      </c>
      <c r="C76" s="28"/>
      <c r="D76" s="298" t="s">
        <v>1238</v>
      </c>
      <c r="E76" s="92">
        <v>14</v>
      </c>
      <c r="F76" s="30" t="s">
        <v>30</v>
      </c>
      <c r="G76" s="234">
        <f>[1]DICIEMBRE!$BA$22</f>
        <v>-1.8189894035458565E-12</v>
      </c>
      <c r="H76" s="31"/>
      <c r="I76" s="31"/>
      <c r="J76" s="32"/>
      <c r="K76" s="33"/>
      <c r="L76" s="336"/>
      <c r="M76" s="336"/>
      <c r="N76" s="336"/>
      <c r="O76" s="32"/>
      <c r="P76" s="33"/>
      <c r="Q76" s="31"/>
      <c r="R76" s="31"/>
      <c r="S76" s="34">
        <f>(279*0.16+279)*E76</f>
        <v>4530.96</v>
      </c>
      <c r="T76" s="34">
        <f>602.3*0.16+602.3</f>
        <v>698.66799999999989</v>
      </c>
      <c r="U76" s="34"/>
      <c r="V76" s="35"/>
      <c r="W76" s="35"/>
      <c r="X76" s="35"/>
      <c r="Y76" s="35"/>
      <c r="Z76" s="36"/>
      <c r="AA76" s="35"/>
      <c r="AB76" s="35"/>
      <c r="AC76" s="35">
        <v>5229.63</v>
      </c>
      <c r="AD76" s="35"/>
      <c r="AE76" s="35"/>
      <c r="AF76" s="35"/>
      <c r="AG76" s="35"/>
      <c r="AH76" s="35"/>
      <c r="AI76" s="35"/>
      <c r="AJ76" s="35"/>
      <c r="AK76" s="37"/>
      <c r="AL76" s="35"/>
      <c r="AM76" s="35"/>
      <c r="AN76" s="35"/>
      <c r="AO76" s="35"/>
      <c r="AP76" s="35"/>
      <c r="AQ76" s="35"/>
      <c r="AR76" s="35"/>
      <c r="AS76" s="35"/>
      <c r="AT76" s="35"/>
      <c r="AU76" s="35"/>
      <c r="AV76" s="35"/>
      <c r="AW76" s="35"/>
      <c r="AX76" s="35"/>
      <c r="AY76" s="35"/>
      <c r="AZ76" s="35"/>
      <c r="BA76" s="33">
        <f t="shared" si="0"/>
        <v>-2.000000002226443E-3</v>
      </c>
      <c r="BB76" s="43" t="s">
        <v>1788</v>
      </c>
    </row>
    <row r="77" spans="1:54" s="23" customFormat="1" ht="86.25" customHeight="1" x14ac:dyDescent="0.3">
      <c r="A77" s="26">
        <v>60</v>
      </c>
      <c r="B77" s="43" t="s">
        <v>1744</v>
      </c>
      <c r="C77" s="28"/>
      <c r="D77" s="298" t="s">
        <v>1206</v>
      </c>
      <c r="E77" s="92">
        <v>8</v>
      </c>
      <c r="F77" s="30" t="s">
        <v>30</v>
      </c>
      <c r="G77" s="234">
        <f>[1]DICIEMBRE!$BA$40</f>
        <v>4.0000000035433914E-4</v>
      </c>
      <c r="H77" s="31"/>
      <c r="I77" s="31"/>
      <c r="J77" s="32"/>
      <c r="K77" s="33"/>
      <c r="L77" s="336"/>
      <c r="M77" s="336"/>
      <c r="N77" s="32"/>
      <c r="O77" s="32"/>
      <c r="P77" s="31"/>
      <c r="Q77" s="31"/>
      <c r="R77" s="31"/>
      <c r="S77" s="34">
        <f>(269*0.16+269)*E77</f>
        <v>2496.3200000000002</v>
      </c>
      <c r="T77" s="34"/>
      <c r="U77" s="34"/>
      <c r="V77" s="34"/>
      <c r="W77" s="34"/>
      <c r="X77" s="34"/>
      <c r="Y77" s="34"/>
      <c r="Z77" s="52"/>
      <c r="AA77" s="34"/>
      <c r="AB77" s="34"/>
      <c r="AC77" s="34"/>
      <c r="AD77" s="34"/>
      <c r="AE77" s="34"/>
      <c r="AF77" s="34"/>
      <c r="AG77" s="34"/>
      <c r="AH77" s="34"/>
      <c r="AI77" s="34">
        <v>2496.3200000000002</v>
      </c>
      <c r="AJ77" s="34"/>
      <c r="AK77" s="38"/>
      <c r="AL77" s="34"/>
      <c r="AM77" s="34"/>
      <c r="AN77" s="34"/>
      <c r="AO77" s="34"/>
      <c r="AP77" s="34"/>
      <c r="AQ77" s="34"/>
      <c r="AR77" s="34"/>
      <c r="AS77" s="34"/>
      <c r="AT77" s="34"/>
      <c r="AU77" s="34"/>
      <c r="AV77" s="34"/>
      <c r="AW77" s="34"/>
      <c r="AX77" s="34"/>
      <c r="AY77" s="34"/>
      <c r="AZ77" s="34"/>
      <c r="BA77" s="33">
        <f t="shared" si="0"/>
        <v>4.0000000035433914E-4</v>
      </c>
      <c r="BB77" s="43"/>
    </row>
    <row r="78" spans="1:54" s="23" customFormat="1" ht="69.75" customHeight="1" x14ac:dyDescent="0.3">
      <c r="A78" s="26">
        <v>61</v>
      </c>
      <c r="B78" s="43" t="s">
        <v>1745</v>
      </c>
      <c r="C78" s="53" t="s">
        <v>55</v>
      </c>
      <c r="D78" s="298" t="s">
        <v>1226</v>
      </c>
      <c r="E78" s="92">
        <v>15</v>
      </c>
      <c r="F78" s="56" t="s">
        <v>30</v>
      </c>
      <c r="G78" s="234"/>
      <c r="H78" s="31"/>
      <c r="I78" s="31"/>
      <c r="J78" s="32"/>
      <c r="K78" s="32"/>
      <c r="L78" s="32"/>
      <c r="M78" s="32"/>
      <c r="N78" s="32"/>
      <c r="O78" s="33"/>
      <c r="P78" s="31"/>
      <c r="Q78" s="31"/>
      <c r="R78" s="31"/>
      <c r="S78" s="34">
        <f>(289*0.16+289)*E78</f>
        <v>5028.6000000000004</v>
      </c>
      <c r="T78" s="34"/>
      <c r="U78" s="34"/>
      <c r="V78" s="35"/>
      <c r="W78" s="35"/>
      <c r="X78" s="35"/>
      <c r="Y78" s="35"/>
      <c r="Z78" s="36"/>
      <c r="AA78" s="54"/>
      <c r="AB78" s="35"/>
      <c r="AC78" s="35"/>
      <c r="AD78" s="35"/>
      <c r="AE78" s="35">
        <v>5028.6000000000004</v>
      </c>
      <c r="AF78" s="35"/>
      <c r="AG78" s="35"/>
      <c r="AH78" s="35"/>
      <c r="AI78" s="35"/>
      <c r="AJ78" s="35"/>
      <c r="AK78" s="35"/>
      <c r="AL78" s="35"/>
      <c r="AM78" s="35"/>
      <c r="AN78" s="35"/>
      <c r="AO78" s="35"/>
      <c r="AP78" s="35"/>
      <c r="AQ78" s="35"/>
      <c r="AR78" s="35"/>
      <c r="AS78" s="35"/>
      <c r="AT78" s="35"/>
      <c r="AU78" s="35"/>
      <c r="AV78" s="35"/>
      <c r="AW78" s="35"/>
      <c r="AX78" s="35"/>
      <c r="AY78" s="35"/>
      <c r="AZ78" s="35"/>
      <c r="BA78" s="33">
        <f t="shared" si="0"/>
        <v>0</v>
      </c>
      <c r="BB78" s="269"/>
    </row>
    <row r="79" spans="1:54" s="23" customFormat="1" ht="112.5" customHeight="1" x14ac:dyDescent="0.3">
      <c r="A79" s="26">
        <v>62</v>
      </c>
      <c r="B79" s="55" t="s">
        <v>56</v>
      </c>
      <c r="C79" s="28" t="s">
        <v>57</v>
      </c>
      <c r="D79" s="298" t="s">
        <v>1227</v>
      </c>
      <c r="E79" s="92">
        <v>16</v>
      </c>
      <c r="F79" s="57" t="s">
        <v>33</v>
      </c>
      <c r="G79" s="112">
        <f>[1]DICIEMBRE!$BA$81</f>
        <v>-1.1999999987892807E-3</v>
      </c>
      <c r="H79" s="31"/>
      <c r="I79" s="31"/>
      <c r="J79" s="32"/>
      <c r="K79" s="32"/>
      <c r="L79" s="336"/>
      <c r="M79" s="32"/>
      <c r="N79" s="336"/>
      <c r="O79" s="32"/>
      <c r="P79" s="33"/>
      <c r="Q79" s="31"/>
      <c r="R79" s="31"/>
      <c r="S79" s="34">
        <f>(5250+300)*0.16+5250+300</f>
        <v>6438</v>
      </c>
      <c r="T79" s="34"/>
      <c r="U79" s="34"/>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v>6438</v>
      </c>
      <c r="AZ79" s="35"/>
      <c r="BA79" s="33">
        <f t="shared" si="0"/>
        <v>-1.1999999987892807E-3</v>
      </c>
      <c r="BB79" s="270"/>
    </row>
    <row r="80" spans="1:54" s="23" customFormat="1" ht="68.25" customHeight="1" x14ac:dyDescent="0.3">
      <c r="A80" s="26">
        <v>63</v>
      </c>
      <c r="B80" s="43" t="s">
        <v>1437</v>
      </c>
      <c r="C80" s="28"/>
      <c r="D80" s="298" t="s">
        <v>1434</v>
      </c>
      <c r="E80" s="92">
        <v>2</v>
      </c>
      <c r="F80" s="30" t="s">
        <v>30</v>
      </c>
      <c r="G80" s="112">
        <f>[1]DICIEMBRE!$BA$83</f>
        <v>0</v>
      </c>
      <c r="H80" s="31"/>
      <c r="I80" s="31"/>
      <c r="J80" s="32"/>
      <c r="K80" s="33"/>
      <c r="L80" s="32"/>
      <c r="M80" s="336"/>
      <c r="N80" s="32"/>
      <c r="O80" s="32"/>
      <c r="P80" s="33"/>
      <c r="Q80" s="31"/>
      <c r="R80" s="31"/>
      <c r="S80" s="59">
        <f>(300*0.16+300)*E80</f>
        <v>696</v>
      </c>
      <c r="T80" s="34">
        <f>759*0.16+759</f>
        <v>880.44</v>
      </c>
      <c r="U80" s="34"/>
      <c r="V80" s="35"/>
      <c r="W80" s="35"/>
      <c r="X80" s="35"/>
      <c r="Y80" s="35"/>
      <c r="Z80" s="36"/>
      <c r="AA80" s="35"/>
      <c r="AB80" s="35"/>
      <c r="AC80" s="54"/>
      <c r="AD80" s="35"/>
      <c r="AE80" s="35"/>
      <c r="AF80" s="35"/>
      <c r="AG80" s="35"/>
      <c r="AH80" s="35"/>
      <c r="AI80" s="35"/>
      <c r="AJ80" s="35"/>
      <c r="AK80" s="35"/>
      <c r="AL80" s="35"/>
      <c r="AM80" s="35"/>
      <c r="AN80" s="35"/>
      <c r="AO80" s="35"/>
      <c r="AP80" s="35"/>
      <c r="AQ80" s="35"/>
      <c r="AR80" s="35">
        <v>1576.44</v>
      </c>
      <c r="AS80" s="35"/>
      <c r="AT80" s="35"/>
      <c r="AU80" s="35"/>
      <c r="AV80" s="35"/>
      <c r="AW80" s="35"/>
      <c r="AX80" s="35"/>
      <c r="AY80" s="35"/>
      <c r="AZ80" s="35"/>
      <c r="BA80" s="33">
        <f>SUM(G80+S80+T80-U80-V80-W80-X80-Y80-Z80-AA80-AB80-AC80-AD80-AE80-AF80-AG80-AH80-AI80-AJ80-AK80-AL80-AM80-AN80-AO80-AP80-AQ80-AR80-AS80-AT80-AU80-AV80-AW80-AX80-AY80-AZ80)</f>
        <v>0</v>
      </c>
      <c r="BB80" s="43" t="s">
        <v>1794</v>
      </c>
    </row>
    <row r="81" spans="1:54" s="23" customFormat="1" ht="68.25" customHeight="1" x14ac:dyDescent="0.3">
      <c r="A81" s="26">
        <v>64</v>
      </c>
      <c r="B81" s="27" t="s">
        <v>1746</v>
      </c>
      <c r="C81" s="28" t="s">
        <v>59</v>
      </c>
      <c r="D81" s="298" t="s">
        <v>1228</v>
      </c>
      <c r="E81" s="92">
        <v>8</v>
      </c>
      <c r="F81" s="30" t="s">
        <v>30</v>
      </c>
      <c r="G81" s="234">
        <f>[1]DICIEMBRE!$BA$82</f>
        <v>2784.0048000000006</v>
      </c>
      <c r="H81" s="31"/>
      <c r="I81" s="31"/>
      <c r="J81" s="32"/>
      <c r="K81" s="33"/>
      <c r="L81" s="32"/>
      <c r="M81" s="336"/>
      <c r="N81" s="32"/>
      <c r="O81" s="32"/>
      <c r="P81" s="31"/>
      <c r="Q81" s="31"/>
      <c r="R81" s="31"/>
      <c r="S81" s="59">
        <f>(300*0.16+300)*E81</f>
        <v>2784</v>
      </c>
      <c r="T81" s="34"/>
      <c r="U81" s="34"/>
      <c r="V81" s="35"/>
      <c r="W81" s="35"/>
      <c r="X81" s="35"/>
      <c r="Y81" s="35"/>
      <c r="Z81" s="36"/>
      <c r="AA81" s="35"/>
      <c r="AB81" s="35"/>
      <c r="AC81" s="54"/>
      <c r="AD81" s="35"/>
      <c r="AE81" s="35"/>
      <c r="AF81" s="35"/>
      <c r="AG81" s="35"/>
      <c r="AH81" s="35"/>
      <c r="AI81" s="35"/>
      <c r="AJ81" s="35"/>
      <c r="AK81" s="35"/>
      <c r="AL81" s="35">
        <v>5568</v>
      </c>
      <c r="AM81" s="35"/>
      <c r="AN81" s="35"/>
      <c r="AO81" s="35"/>
      <c r="AP81" s="35"/>
      <c r="AQ81" s="35"/>
      <c r="AR81" s="35"/>
      <c r="AS81" s="35"/>
      <c r="AT81" s="35"/>
      <c r="AU81" s="35"/>
      <c r="AV81" s="35"/>
      <c r="AW81" s="35"/>
      <c r="AX81" s="35"/>
      <c r="AY81" s="35"/>
      <c r="AZ81" s="35"/>
      <c r="BA81" s="33">
        <f t="shared" si="0"/>
        <v>4.8000000006140908E-3</v>
      </c>
      <c r="BB81" s="43"/>
    </row>
    <row r="82" spans="1:54" s="23" customFormat="1" ht="68.25" customHeight="1" x14ac:dyDescent="0.3">
      <c r="A82" s="26">
        <v>65</v>
      </c>
      <c r="B82" s="43" t="s">
        <v>1071</v>
      </c>
      <c r="C82" s="28"/>
      <c r="D82" s="298" t="s">
        <v>1312</v>
      </c>
      <c r="E82" s="92">
        <v>4</v>
      </c>
      <c r="F82" s="30" t="s">
        <v>30</v>
      </c>
      <c r="G82" s="234">
        <f>[1]DICIEMBRE!$BA$84</f>
        <v>0</v>
      </c>
      <c r="H82" s="31"/>
      <c r="I82" s="31"/>
      <c r="J82" s="32"/>
      <c r="K82" s="33"/>
      <c r="L82" s="32"/>
      <c r="M82" s="32"/>
      <c r="N82" s="32"/>
      <c r="O82" s="33"/>
      <c r="P82" s="31"/>
      <c r="Q82" s="31"/>
      <c r="R82" s="31"/>
      <c r="S82" s="59">
        <f>(220*0.16+220)*E82</f>
        <v>1020.8</v>
      </c>
      <c r="T82" s="34"/>
      <c r="U82" s="34"/>
      <c r="V82" s="35"/>
      <c r="W82" s="35"/>
      <c r="X82" s="35"/>
      <c r="Y82" s="35"/>
      <c r="Z82" s="36"/>
      <c r="AA82" s="35"/>
      <c r="AB82" s="35"/>
      <c r="AC82" s="54"/>
      <c r="AD82" s="35"/>
      <c r="AE82" s="35"/>
      <c r="AF82" s="35"/>
      <c r="AG82" s="35"/>
      <c r="AH82" s="35">
        <v>1020.8</v>
      </c>
      <c r="AI82" s="35"/>
      <c r="AJ82" s="35"/>
      <c r="AK82" s="35"/>
      <c r="AL82" s="35"/>
      <c r="AM82" s="35"/>
      <c r="AN82" s="35"/>
      <c r="AO82" s="35"/>
      <c r="AP82" s="35"/>
      <c r="AQ82" s="35"/>
      <c r="AR82" s="35"/>
      <c r="AS82" s="35"/>
      <c r="AT82" s="35"/>
      <c r="AU82" s="35"/>
      <c r="AV82" s="35"/>
      <c r="AW82" s="35"/>
      <c r="AX82" s="35"/>
      <c r="AY82" s="35"/>
      <c r="AZ82" s="35"/>
      <c r="BA82" s="33">
        <f t="shared" si="0"/>
        <v>0</v>
      </c>
      <c r="BB82" s="43"/>
    </row>
    <row r="83" spans="1:54" s="23" customFormat="1" ht="68.25" customHeight="1" x14ac:dyDescent="0.3">
      <c r="A83" s="26">
        <v>66</v>
      </c>
      <c r="B83" s="43" t="s">
        <v>1343</v>
      </c>
      <c r="C83" s="28"/>
      <c r="D83" s="317" t="s">
        <v>1335</v>
      </c>
      <c r="E83" s="92">
        <v>4</v>
      </c>
      <c r="F83" s="30" t="s">
        <v>30</v>
      </c>
      <c r="G83" s="234"/>
      <c r="H83" s="31"/>
      <c r="I83" s="31"/>
      <c r="J83" s="32"/>
      <c r="K83" s="32"/>
      <c r="L83" s="32"/>
      <c r="M83" s="32"/>
      <c r="N83" s="32"/>
      <c r="O83" s="32"/>
      <c r="P83" s="31"/>
      <c r="Q83" s="31"/>
      <c r="R83" s="31"/>
      <c r="S83" s="34"/>
      <c r="T83" s="34"/>
      <c r="U83" s="78"/>
      <c r="V83" s="35"/>
      <c r="W83" s="35"/>
      <c r="X83" s="35"/>
      <c r="Y83" s="35"/>
      <c r="Z83" s="36"/>
      <c r="AA83" s="35"/>
      <c r="AB83" s="35"/>
      <c r="AC83" s="54"/>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3">
        <f t="shared" ref="BA83:BA152" si="1">SUM(G83+S83+T83-U83-V83-W83-X83-Y83-Z83-AA83-AB83-AC83-AD83-AE83-AF83-AG83-AH83-AI83-AJ83-AK83-AL83-AM83-AN83-AO83-AP83-AQ83-AR83-AS83-AT83-AU83-AV83-AW83-AX83-AY83-AZ83)</f>
        <v>0</v>
      </c>
      <c r="BB83" s="43" t="s">
        <v>2027</v>
      </c>
    </row>
    <row r="84" spans="1:54" s="23" customFormat="1" ht="68.25" customHeight="1" x14ac:dyDescent="0.3">
      <c r="A84" s="26">
        <v>67</v>
      </c>
      <c r="B84" s="43" t="s">
        <v>688</v>
      </c>
      <c r="C84" s="28"/>
      <c r="D84" s="299" t="s">
        <v>1230</v>
      </c>
      <c r="E84" s="92">
        <v>3</v>
      </c>
      <c r="F84" s="30" t="s">
        <v>30</v>
      </c>
      <c r="G84" s="112">
        <f>[1]DICIEMBRE!$BA$87</f>
        <v>-4.400000000032378E-3</v>
      </c>
      <c r="H84" s="31"/>
      <c r="I84" s="31"/>
      <c r="J84" s="32"/>
      <c r="K84" s="32"/>
      <c r="L84" s="336"/>
      <c r="M84" s="336"/>
      <c r="N84" s="32"/>
      <c r="O84" s="33"/>
      <c r="P84" s="33"/>
      <c r="Q84" s="31"/>
      <c r="R84" s="31"/>
      <c r="S84" s="59">
        <f>(250*0.16+250)*E84</f>
        <v>870</v>
      </c>
      <c r="T84" s="34"/>
      <c r="U84" s="34"/>
      <c r="V84" s="35"/>
      <c r="W84" s="35"/>
      <c r="X84" s="35"/>
      <c r="Y84" s="35"/>
      <c r="Z84" s="36"/>
      <c r="AA84" s="35"/>
      <c r="AB84" s="35"/>
      <c r="AC84" s="54"/>
      <c r="AD84" s="35"/>
      <c r="AE84" s="35">
        <v>870</v>
      </c>
      <c r="AF84" s="35"/>
      <c r="AG84" s="35"/>
      <c r="AH84" s="35"/>
      <c r="AI84" s="35"/>
      <c r="AJ84" s="35"/>
      <c r="AK84" s="35"/>
      <c r="AL84" s="35"/>
      <c r="AM84" s="35"/>
      <c r="AN84" s="35"/>
      <c r="AO84" s="35"/>
      <c r="AP84" s="35"/>
      <c r="AQ84" s="35"/>
      <c r="AR84" s="35"/>
      <c r="AS84" s="35"/>
      <c r="AT84" s="35"/>
      <c r="AU84" s="35"/>
      <c r="AV84" s="35"/>
      <c r="AW84" s="35"/>
      <c r="AX84" s="35"/>
      <c r="AY84" s="35"/>
      <c r="AZ84" s="35"/>
      <c r="BA84" s="33">
        <f t="shared" si="1"/>
        <v>-4.400000000032378E-3</v>
      </c>
      <c r="BB84" s="43"/>
    </row>
    <row r="85" spans="1:54" s="23" customFormat="1" ht="68.25" customHeight="1" x14ac:dyDescent="0.3">
      <c r="A85" s="26">
        <v>68</v>
      </c>
      <c r="B85" s="43" t="s">
        <v>1543</v>
      </c>
      <c r="C85" s="28"/>
      <c r="D85" s="318" t="s">
        <v>1544</v>
      </c>
      <c r="E85" s="92">
        <v>3</v>
      </c>
      <c r="F85" s="30" t="s">
        <v>30</v>
      </c>
      <c r="G85" s="234">
        <f>[1]DICIEMBRE!$BA$88</f>
        <v>4.5474735088646412E-13</v>
      </c>
      <c r="H85" s="31"/>
      <c r="I85" s="31"/>
      <c r="J85" s="32"/>
      <c r="K85" s="32"/>
      <c r="L85" s="336"/>
      <c r="M85" s="336"/>
      <c r="N85" s="32"/>
      <c r="O85" s="33"/>
      <c r="P85" s="33"/>
      <c r="Q85" s="31"/>
      <c r="R85" s="31"/>
      <c r="S85" s="59">
        <f>(300*0.16+300)*E85</f>
        <v>1044</v>
      </c>
      <c r="T85" s="34"/>
      <c r="U85" s="34"/>
      <c r="V85" s="35"/>
      <c r="W85" s="35"/>
      <c r="X85" s="35"/>
      <c r="Y85" s="35"/>
      <c r="Z85" s="36"/>
      <c r="AA85" s="35"/>
      <c r="AB85" s="35"/>
      <c r="AC85" s="54"/>
      <c r="AD85" s="35"/>
      <c r="AE85" s="35"/>
      <c r="AF85" s="35"/>
      <c r="AG85" s="35"/>
      <c r="AH85" s="35">
        <v>1044</v>
      </c>
      <c r="AI85" s="35"/>
      <c r="AJ85" s="35"/>
      <c r="AK85" s="35"/>
      <c r="AL85" s="35"/>
      <c r="AM85" s="35"/>
      <c r="AN85" s="35"/>
      <c r="AO85" s="35"/>
      <c r="AP85" s="35"/>
      <c r="AQ85" s="35"/>
      <c r="AR85" s="35"/>
      <c r="AS85" s="35"/>
      <c r="AT85" s="35"/>
      <c r="AU85" s="35"/>
      <c r="AV85" s="35"/>
      <c r="AW85" s="35"/>
      <c r="AX85" s="35"/>
      <c r="AY85" s="35"/>
      <c r="AZ85" s="35"/>
      <c r="BA85" s="33">
        <f t="shared" si="1"/>
        <v>4.5474735088646412E-13</v>
      </c>
      <c r="BB85" s="43"/>
    </row>
    <row r="86" spans="1:54" s="23" customFormat="1" ht="68.25" customHeight="1" x14ac:dyDescent="0.3">
      <c r="A86" s="26">
        <v>69</v>
      </c>
      <c r="B86" s="43" t="s">
        <v>869</v>
      </c>
      <c r="C86" s="28"/>
      <c r="D86" s="299" t="s">
        <v>1231</v>
      </c>
      <c r="E86" s="92">
        <v>5</v>
      </c>
      <c r="F86" s="30" t="s">
        <v>30</v>
      </c>
      <c r="G86" s="112">
        <f>[1]DICIEMBRE!$BA$89</f>
        <v>0</v>
      </c>
      <c r="H86" s="31"/>
      <c r="I86" s="31"/>
      <c r="J86" s="32"/>
      <c r="K86" s="32"/>
      <c r="L86" s="32"/>
      <c r="M86" s="32"/>
      <c r="N86" s="32"/>
      <c r="O86" s="32"/>
      <c r="P86" s="31"/>
      <c r="Q86" s="31"/>
      <c r="R86" s="31"/>
      <c r="S86" s="59">
        <f>(300*0.16+300)*E86</f>
        <v>1740</v>
      </c>
      <c r="T86" s="34"/>
      <c r="U86" s="34"/>
      <c r="V86" s="35"/>
      <c r="W86" s="35"/>
      <c r="X86" s="35"/>
      <c r="Y86" s="35"/>
      <c r="Z86" s="36"/>
      <c r="AA86" s="35"/>
      <c r="AB86" s="35"/>
      <c r="AC86" s="54"/>
      <c r="AD86" s="35"/>
      <c r="AE86" s="35"/>
      <c r="AF86" s="35"/>
      <c r="AG86" s="35"/>
      <c r="AH86" s="35"/>
      <c r="AI86" s="35"/>
      <c r="AJ86" s="35"/>
      <c r="AK86" s="35"/>
      <c r="AL86" s="35">
        <v>1740</v>
      </c>
      <c r="AM86" s="35"/>
      <c r="AN86" s="35"/>
      <c r="AO86" s="35"/>
      <c r="AP86" s="35"/>
      <c r="AQ86" s="35"/>
      <c r="AR86" s="35"/>
      <c r="AS86" s="35"/>
      <c r="AT86" s="35"/>
      <c r="AU86" s="35"/>
      <c r="AV86" s="35"/>
      <c r="AW86" s="35"/>
      <c r="AX86" s="35"/>
      <c r="AY86" s="35"/>
      <c r="AZ86" s="35"/>
      <c r="BA86" s="33">
        <f t="shared" si="1"/>
        <v>0</v>
      </c>
      <c r="BB86" s="43"/>
    </row>
    <row r="87" spans="1:54" s="23" customFormat="1" ht="68.25" customHeight="1" x14ac:dyDescent="0.3">
      <c r="A87" s="26">
        <v>70</v>
      </c>
      <c r="B87" s="43" t="s">
        <v>1471</v>
      </c>
      <c r="C87" s="28"/>
      <c r="D87" s="318" t="s">
        <v>1477</v>
      </c>
      <c r="E87" s="92">
        <v>8</v>
      </c>
      <c r="F87" s="30" t="s">
        <v>30</v>
      </c>
      <c r="G87" s="234">
        <f>[1]DICIEMBRE!$BA$90</f>
        <v>0</v>
      </c>
      <c r="H87" s="31"/>
      <c r="I87" s="31"/>
      <c r="J87" s="32"/>
      <c r="K87" s="32"/>
      <c r="L87" s="32"/>
      <c r="M87" s="32"/>
      <c r="N87" s="32"/>
      <c r="O87" s="32"/>
      <c r="P87" s="31"/>
      <c r="Q87" s="31"/>
      <c r="R87" s="31"/>
      <c r="S87" s="59">
        <f>(300*0.16+300)*7</f>
        <v>2436</v>
      </c>
      <c r="T87" s="34">
        <f>1378*0.16+1378</f>
        <v>1598.48</v>
      </c>
      <c r="U87" s="34"/>
      <c r="V87" s="35"/>
      <c r="W87" s="35"/>
      <c r="X87" s="35"/>
      <c r="Y87" s="35"/>
      <c r="Z87" s="36"/>
      <c r="AA87" s="35"/>
      <c r="AB87" s="35"/>
      <c r="AC87" s="54"/>
      <c r="AD87" s="35">
        <v>4034.48</v>
      </c>
      <c r="AE87" s="35"/>
      <c r="AF87" s="35"/>
      <c r="AG87" s="35"/>
      <c r="AH87" s="35"/>
      <c r="AI87" s="35"/>
      <c r="AJ87" s="35"/>
      <c r="AK87" s="35"/>
      <c r="AL87" s="35"/>
      <c r="AM87" s="35"/>
      <c r="AN87" s="35"/>
      <c r="AO87" s="35"/>
      <c r="AP87" s="35"/>
      <c r="AQ87" s="35"/>
      <c r="AR87" s="35"/>
      <c r="AS87" s="35"/>
      <c r="AT87" s="35"/>
      <c r="AU87" s="35"/>
      <c r="AV87" s="35"/>
      <c r="AW87" s="35"/>
      <c r="AX87" s="35"/>
      <c r="AY87" s="35"/>
      <c r="AZ87" s="35"/>
      <c r="BA87" s="33">
        <f t="shared" si="1"/>
        <v>0</v>
      </c>
      <c r="BB87" s="43" t="s">
        <v>1787</v>
      </c>
    </row>
    <row r="88" spans="1:54" s="23" customFormat="1" ht="68.25" customHeight="1" x14ac:dyDescent="0.3">
      <c r="A88" s="26">
        <v>71</v>
      </c>
      <c r="B88" s="43" t="s">
        <v>1467</v>
      </c>
      <c r="C88" s="28"/>
      <c r="D88" s="308" t="s">
        <v>1654</v>
      </c>
      <c r="E88" s="92">
        <v>3</v>
      </c>
      <c r="F88" s="30" t="s">
        <v>30</v>
      </c>
      <c r="G88" s="234">
        <f>[1]DICIEMBRE!$BA$92</f>
        <v>0</v>
      </c>
      <c r="H88" s="31"/>
      <c r="I88" s="31"/>
      <c r="J88" s="32"/>
      <c r="K88" s="33"/>
      <c r="L88" s="32"/>
      <c r="M88" s="32"/>
      <c r="N88" s="336"/>
      <c r="O88" s="32"/>
      <c r="P88" s="33"/>
      <c r="Q88" s="31"/>
      <c r="R88" s="31"/>
      <c r="S88" s="59">
        <f>(300*0.16+300)*E88</f>
        <v>1044</v>
      </c>
      <c r="T88" s="34"/>
      <c r="U88" s="34"/>
      <c r="V88" s="35"/>
      <c r="W88" s="35"/>
      <c r="X88" s="35"/>
      <c r="Y88" s="35"/>
      <c r="Z88" s="36"/>
      <c r="AA88" s="35"/>
      <c r="AB88" s="35"/>
      <c r="AC88" s="54"/>
      <c r="AD88" s="35"/>
      <c r="AE88" s="35">
        <v>1044</v>
      </c>
      <c r="AF88" s="35"/>
      <c r="AG88" s="35"/>
      <c r="AH88" s="35"/>
      <c r="AI88" s="35"/>
      <c r="AJ88" s="35"/>
      <c r="AK88" s="35"/>
      <c r="AL88" s="35"/>
      <c r="AM88" s="35"/>
      <c r="AN88" s="35"/>
      <c r="AO88" s="35"/>
      <c r="AP88" s="35"/>
      <c r="AQ88" s="35"/>
      <c r="AR88" s="35"/>
      <c r="AS88" s="35"/>
      <c r="AT88" s="35"/>
      <c r="AU88" s="35"/>
      <c r="AV88" s="35"/>
      <c r="AW88" s="35"/>
      <c r="AX88" s="35"/>
      <c r="AY88" s="35"/>
      <c r="AZ88" s="35"/>
      <c r="BA88" s="33">
        <f t="shared" si="1"/>
        <v>0</v>
      </c>
      <c r="BB88" s="43"/>
    </row>
    <row r="89" spans="1:54" s="23" customFormat="1" ht="92.25" customHeight="1" x14ac:dyDescent="0.3">
      <c r="A89" s="26">
        <v>72</v>
      </c>
      <c r="B89" s="43" t="s">
        <v>1747</v>
      </c>
      <c r="C89" s="28"/>
      <c r="D89" s="299" t="s">
        <v>1168</v>
      </c>
      <c r="E89" s="93">
        <v>2</v>
      </c>
      <c r="F89" s="30" t="s">
        <v>30</v>
      </c>
      <c r="G89" s="112">
        <f>[1]DICIEMBRE!$BA$33</f>
        <v>1.2000000001535227E-3</v>
      </c>
      <c r="H89" s="31"/>
      <c r="I89" s="31"/>
      <c r="J89" s="32"/>
      <c r="K89" s="32"/>
      <c r="L89" s="336"/>
      <c r="M89" s="336"/>
      <c r="N89" s="336"/>
      <c r="O89" s="32"/>
      <c r="P89" s="33"/>
      <c r="Q89" s="31"/>
      <c r="R89" s="31"/>
      <c r="S89" s="34">
        <f>(250*0.16+250)*E89</f>
        <v>580</v>
      </c>
      <c r="T89" s="34"/>
      <c r="U89" s="34"/>
      <c r="V89" s="34"/>
      <c r="W89" s="34"/>
      <c r="X89" s="34"/>
      <c r="Y89" s="34"/>
      <c r="Z89" s="34"/>
      <c r="AA89" s="34"/>
      <c r="AB89" s="34"/>
      <c r="AC89" s="34"/>
      <c r="AD89" s="34"/>
      <c r="AE89" s="34"/>
      <c r="AF89" s="34"/>
      <c r="AG89" s="34"/>
      <c r="AH89" s="34"/>
      <c r="AI89" s="34"/>
      <c r="AJ89" s="34"/>
      <c r="AK89" s="38"/>
      <c r="AL89" s="34"/>
      <c r="AM89" s="34"/>
      <c r="AN89" s="34"/>
      <c r="AO89" s="34"/>
      <c r="AP89" s="34"/>
      <c r="AQ89" s="34"/>
      <c r="AR89" s="34"/>
      <c r="AS89" s="34">
        <v>580</v>
      </c>
      <c r="AT89" s="34"/>
      <c r="AU89" s="34"/>
      <c r="AV89" s="34"/>
      <c r="AW89" s="34"/>
      <c r="AX89" s="34"/>
      <c r="AY89" s="34"/>
      <c r="AZ89" s="34"/>
      <c r="BA89" s="33">
        <f t="shared" si="1"/>
        <v>1.2000000001535227E-3</v>
      </c>
      <c r="BB89" s="43"/>
    </row>
    <row r="90" spans="1:54" s="23" customFormat="1" ht="80.25" customHeight="1" x14ac:dyDescent="0.3">
      <c r="A90" s="26">
        <v>73</v>
      </c>
      <c r="B90" s="43" t="s">
        <v>1748</v>
      </c>
      <c r="C90" s="28"/>
      <c r="D90" s="298" t="s">
        <v>1616</v>
      </c>
      <c r="E90" s="92">
        <v>5</v>
      </c>
      <c r="F90" s="40" t="s">
        <v>30</v>
      </c>
      <c r="G90" s="112">
        <f>[1]DICIEMBRE!$BA$29</f>
        <v>2900</v>
      </c>
      <c r="H90" s="31"/>
      <c r="I90" s="31"/>
      <c r="J90" s="32"/>
      <c r="K90" s="32"/>
      <c r="L90" s="32"/>
      <c r="M90" s="32"/>
      <c r="N90" s="32"/>
      <c r="O90" s="32"/>
      <c r="P90" s="31"/>
      <c r="Q90" s="31"/>
      <c r="R90" s="31"/>
      <c r="S90" s="34">
        <f>(250*0.16+250)*E90</f>
        <v>1450</v>
      </c>
      <c r="T90" s="34"/>
      <c r="U90" s="34"/>
      <c r="V90" s="35"/>
      <c r="W90" s="54"/>
      <c r="X90" s="35"/>
      <c r="Y90" s="35"/>
      <c r="Z90" s="35"/>
      <c r="AA90" s="35"/>
      <c r="AB90" s="35"/>
      <c r="AC90" s="35"/>
      <c r="AD90" s="35"/>
      <c r="AE90" s="35"/>
      <c r="AF90" s="35"/>
      <c r="AG90" s="35"/>
      <c r="AH90" s="35"/>
      <c r="AI90" s="36"/>
      <c r="AJ90" s="35"/>
      <c r="AK90" s="35"/>
      <c r="AL90" s="35"/>
      <c r="AM90" s="35"/>
      <c r="AN90" s="35"/>
      <c r="AO90" s="35"/>
      <c r="AP90" s="35"/>
      <c r="AQ90" s="35"/>
      <c r="AR90" s="35"/>
      <c r="AS90" s="35"/>
      <c r="AT90" s="35"/>
      <c r="AU90" s="35"/>
      <c r="AV90" s="35"/>
      <c r="AW90" s="35"/>
      <c r="AX90" s="35"/>
      <c r="AY90" s="35"/>
      <c r="AZ90" s="35"/>
      <c r="BA90" s="33">
        <f t="shared" si="1"/>
        <v>4350</v>
      </c>
      <c r="BB90" s="267" t="s">
        <v>796</v>
      </c>
    </row>
    <row r="91" spans="1:54" s="23" customFormat="1" ht="92.25" customHeight="1" x14ac:dyDescent="0.3">
      <c r="A91" s="26">
        <v>74</v>
      </c>
      <c r="B91" s="43" t="s">
        <v>1749</v>
      </c>
      <c r="C91" s="28" t="s">
        <v>32</v>
      </c>
      <c r="D91" s="298" t="s">
        <v>1202</v>
      </c>
      <c r="E91" s="93">
        <v>12</v>
      </c>
      <c r="F91" s="30" t="s">
        <v>30</v>
      </c>
      <c r="G91" s="234">
        <f>[1]DICIEMBRE!$BA$30</f>
        <v>0</v>
      </c>
      <c r="H91" s="31"/>
      <c r="I91" s="31"/>
      <c r="J91" s="32"/>
      <c r="K91" s="32"/>
      <c r="L91" s="32"/>
      <c r="M91" s="32"/>
      <c r="N91" s="32"/>
      <c r="O91" s="33"/>
      <c r="P91" s="33"/>
      <c r="Q91" s="31"/>
      <c r="R91" s="31"/>
      <c r="S91" s="34">
        <f>(250*0.16+250)*E91</f>
        <v>3480</v>
      </c>
      <c r="T91" s="34"/>
      <c r="U91" s="34"/>
      <c r="V91" s="34"/>
      <c r="W91" s="34"/>
      <c r="X91" s="34"/>
      <c r="Y91" s="34"/>
      <c r="Z91" s="34"/>
      <c r="AA91" s="34"/>
      <c r="AB91" s="34"/>
      <c r="AC91" s="34"/>
      <c r="AD91" s="34"/>
      <c r="AE91" s="34"/>
      <c r="AF91" s="34"/>
      <c r="AG91" s="34"/>
      <c r="AH91" s="34">
        <v>3480</v>
      </c>
      <c r="AI91" s="34"/>
      <c r="AJ91" s="34"/>
      <c r="AK91" s="38"/>
      <c r="AL91" s="34"/>
      <c r="AM91" s="34"/>
      <c r="AN91" s="34"/>
      <c r="AO91" s="34"/>
      <c r="AP91" s="34"/>
      <c r="AQ91" s="34"/>
      <c r="AR91" s="34"/>
      <c r="AS91" s="34"/>
      <c r="AT91" s="34"/>
      <c r="AU91" s="34"/>
      <c r="AV91" s="34"/>
      <c r="AW91" s="34"/>
      <c r="AX91" s="34"/>
      <c r="AY91" s="34"/>
      <c r="AZ91" s="34"/>
      <c r="BA91" s="33">
        <f t="shared" si="1"/>
        <v>0</v>
      </c>
      <c r="BB91" s="43"/>
    </row>
    <row r="92" spans="1:54" s="23" customFormat="1" ht="81" customHeight="1" x14ac:dyDescent="0.3">
      <c r="A92" s="26">
        <v>75</v>
      </c>
      <c r="B92" s="43" t="s">
        <v>409</v>
      </c>
      <c r="C92" s="28" t="s">
        <v>412</v>
      </c>
      <c r="D92" s="298" t="s">
        <v>1233</v>
      </c>
      <c r="E92" s="92">
        <v>11</v>
      </c>
      <c r="F92" s="40" t="s">
        <v>30</v>
      </c>
      <c r="G92" s="112">
        <f>[1]DICIEMBRE!$BA$93</f>
        <v>-8.4799999995084363E-2</v>
      </c>
      <c r="H92" s="31"/>
      <c r="I92" s="31"/>
      <c r="J92" s="32"/>
      <c r="K92" s="32"/>
      <c r="L92" s="32"/>
      <c r="M92" s="336"/>
      <c r="N92" s="32"/>
      <c r="O92" s="33"/>
      <c r="P92" s="33"/>
      <c r="Q92" s="31"/>
      <c r="R92" s="31"/>
      <c r="S92" s="34">
        <f>(350*0.16+350)*E92</f>
        <v>4466</v>
      </c>
      <c r="T92" s="34">
        <f>1950*0.16+1950</f>
        <v>2262</v>
      </c>
      <c r="U92" s="34"/>
      <c r="V92" s="35"/>
      <c r="W92" s="54"/>
      <c r="X92" s="35"/>
      <c r="Y92" s="35"/>
      <c r="Z92" s="35"/>
      <c r="AA92" s="35"/>
      <c r="AB92" s="35"/>
      <c r="AC92" s="35"/>
      <c r="AD92" s="35"/>
      <c r="AE92" s="35"/>
      <c r="AF92" s="35"/>
      <c r="AG92" s="35"/>
      <c r="AH92" s="35"/>
      <c r="AI92" s="35"/>
      <c r="AJ92" s="35">
        <v>6728</v>
      </c>
      <c r="AK92" s="35"/>
      <c r="AL92" s="35"/>
      <c r="AM92" s="35"/>
      <c r="AN92" s="35"/>
      <c r="AO92" s="35"/>
      <c r="AP92" s="35"/>
      <c r="AQ92" s="35"/>
      <c r="AR92" s="35"/>
      <c r="AS92" s="35"/>
      <c r="AT92" s="35"/>
      <c r="AU92" s="35"/>
      <c r="AV92" s="35"/>
      <c r="AW92" s="35"/>
      <c r="AX92" s="35"/>
      <c r="AY92" s="35"/>
      <c r="AZ92" s="35"/>
      <c r="BA92" s="33">
        <f t="shared" si="1"/>
        <v>-8.4799999995084363E-2</v>
      </c>
      <c r="BB92" s="267" t="s">
        <v>1792</v>
      </c>
    </row>
    <row r="93" spans="1:54" s="23" customFormat="1" ht="81" customHeight="1" x14ac:dyDescent="0.3">
      <c r="A93" s="26">
        <v>76</v>
      </c>
      <c r="B93" s="43" t="s">
        <v>410</v>
      </c>
      <c r="C93" s="28" t="s">
        <v>411</v>
      </c>
      <c r="D93" s="298" t="s">
        <v>1233</v>
      </c>
      <c r="E93" s="92">
        <v>3</v>
      </c>
      <c r="F93" s="40" t="s">
        <v>30</v>
      </c>
      <c r="G93" s="234">
        <f>[1]DICIEMBRE!$BA$94</f>
        <v>-8.7999999996100087E-3</v>
      </c>
      <c r="H93" s="31"/>
      <c r="I93" s="31"/>
      <c r="J93" s="32"/>
      <c r="K93" s="33"/>
      <c r="L93" s="32"/>
      <c r="M93" s="32"/>
      <c r="N93" s="32"/>
      <c r="O93" s="32"/>
      <c r="P93" s="31"/>
      <c r="Q93" s="31"/>
      <c r="R93" s="31"/>
      <c r="S93" s="34">
        <f>(350*0.16+350)*E93</f>
        <v>1218</v>
      </c>
      <c r="T93" s="34"/>
      <c r="U93" s="34"/>
      <c r="V93" s="35"/>
      <c r="W93" s="54"/>
      <c r="X93" s="35"/>
      <c r="Y93" s="35"/>
      <c r="Z93" s="35"/>
      <c r="AA93" s="35"/>
      <c r="AB93" s="35"/>
      <c r="AC93" s="35"/>
      <c r="AD93" s="35"/>
      <c r="AE93" s="35"/>
      <c r="AF93" s="35"/>
      <c r="AG93" s="35"/>
      <c r="AH93" s="35"/>
      <c r="AI93" s="35"/>
      <c r="AJ93" s="35">
        <v>1218</v>
      </c>
      <c r="AK93" s="35"/>
      <c r="AL93" s="35"/>
      <c r="AM93" s="35"/>
      <c r="AN93" s="35"/>
      <c r="AO93" s="35"/>
      <c r="AP93" s="35"/>
      <c r="AQ93" s="35"/>
      <c r="AR93" s="35"/>
      <c r="AS93" s="35"/>
      <c r="AT93" s="35"/>
      <c r="AU93" s="35"/>
      <c r="AV93" s="35"/>
      <c r="AW93" s="35"/>
      <c r="AX93" s="35"/>
      <c r="AY93" s="35"/>
      <c r="AZ93" s="35"/>
      <c r="BA93" s="33">
        <f t="shared" si="1"/>
        <v>-8.7999999996100087E-3</v>
      </c>
      <c r="BB93" s="267"/>
    </row>
    <row r="94" spans="1:54" s="23" customFormat="1" ht="90" customHeight="1" x14ac:dyDescent="0.3">
      <c r="A94" s="26">
        <v>77</v>
      </c>
      <c r="B94" s="43" t="s">
        <v>1751</v>
      </c>
      <c r="C94" s="28" t="s">
        <v>29</v>
      </c>
      <c r="D94" s="298" t="s">
        <v>1197</v>
      </c>
      <c r="E94" s="92">
        <v>5</v>
      </c>
      <c r="F94" s="30" t="s">
        <v>30</v>
      </c>
      <c r="G94" s="112">
        <f>[1]DICIEMBRE!$BA$19</f>
        <v>0</v>
      </c>
      <c r="H94" s="31"/>
      <c r="I94" s="31"/>
      <c r="J94" s="32"/>
      <c r="K94" s="32"/>
      <c r="L94" s="32"/>
      <c r="M94" s="32"/>
      <c r="N94" s="32"/>
      <c r="O94" s="32"/>
      <c r="P94" s="31"/>
      <c r="Q94" s="31"/>
      <c r="R94" s="31"/>
      <c r="S94" s="34">
        <f>350*E94*0.16+350*E94</f>
        <v>2030</v>
      </c>
      <c r="T94" s="34"/>
      <c r="U94" s="34"/>
      <c r="V94" s="35"/>
      <c r="W94" s="35"/>
      <c r="X94" s="35"/>
      <c r="Y94" s="35"/>
      <c r="Z94" s="36"/>
      <c r="AA94" s="35"/>
      <c r="AB94" s="35"/>
      <c r="AC94" s="35"/>
      <c r="AD94" s="35"/>
      <c r="AE94" s="35"/>
      <c r="AF94" s="35">
        <v>2030</v>
      </c>
      <c r="AG94" s="35"/>
      <c r="AH94" s="35"/>
      <c r="AI94" s="35"/>
      <c r="AJ94" s="35"/>
      <c r="AK94" s="37"/>
      <c r="AL94" s="35"/>
      <c r="AM94" s="35"/>
      <c r="AN94" s="35"/>
      <c r="AO94" s="35"/>
      <c r="AP94" s="35"/>
      <c r="AQ94" s="35"/>
      <c r="AR94" s="35"/>
      <c r="AS94" s="35"/>
      <c r="AT94" s="35"/>
      <c r="AU94" s="35"/>
      <c r="AV94" s="35"/>
      <c r="AW94" s="35"/>
      <c r="AX94" s="35"/>
      <c r="AY94" s="35"/>
      <c r="AZ94" s="35"/>
      <c r="BA94" s="33">
        <f t="shared" si="1"/>
        <v>0</v>
      </c>
      <c r="BB94" s="43"/>
    </row>
    <row r="95" spans="1:54" s="23" customFormat="1" ht="90" customHeight="1" x14ac:dyDescent="0.3">
      <c r="A95" s="26">
        <v>78</v>
      </c>
      <c r="B95" s="348" t="s">
        <v>1904</v>
      </c>
      <c r="C95" s="28"/>
      <c r="D95" s="300" t="s">
        <v>1905</v>
      </c>
      <c r="E95" s="92">
        <v>1</v>
      </c>
      <c r="F95" s="30"/>
      <c r="G95" s="112"/>
      <c r="H95" s="31"/>
      <c r="I95" s="31"/>
      <c r="J95" s="32"/>
      <c r="K95" s="32"/>
      <c r="L95" s="32"/>
      <c r="M95" s="32"/>
      <c r="N95" s="32"/>
      <c r="O95" s="32"/>
      <c r="P95" s="31"/>
      <c r="Q95" s="31"/>
      <c r="R95" s="31"/>
      <c r="S95" s="34">
        <f>(249*0.16+249)*E95</f>
        <v>288.84000000000003</v>
      </c>
      <c r="T95" s="34">
        <f>1850*0.16+1850</f>
        <v>2146</v>
      </c>
      <c r="U95" s="34"/>
      <c r="V95" s="35"/>
      <c r="W95" s="35"/>
      <c r="X95" s="35"/>
      <c r="Y95" s="35"/>
      <c r="Z95" s="36"/>
      <c r="AA95" s="35"/>
      <c r="AB95" s="35"/>
      <c r="AC95" s="35"/>
      <c r="AD95" s="35">
        <v>2434.84</v>
      </c>
      <c r="AE95" s="35"/>
      <c r="AF95" s="35"/>
      <c r="AG95" s="35"/>
      <c r="AH95" s="35"/>
      <c r="AI95" s="35"/>
      <c r="AJ95" s="35"/>
      <c r="AK95" s="37"/>
      <c r="AL95" s="35"/>
      <c r="AM95" s="35"/>
      <c r="AN95" s="35"/>
      <c r="AO95" s="35"/>
      <c r="AP95" s="35"/>
      <c r="AQ95" s="35"/>
      <c r="AR95" s="35"/>
      <c r="AS95" s="35"/>
      <c r="AT95" s="35"/>
      <c r="AU95" s="35"/>
      <c r="AV95" s="35"/>
      <c r="AW95" s="35"/>
      <c r="AX95" s="35"/>
      <c r="AY95" s="35"/>
      <c r="AZ95" s="35"/>
      <c r="BA95" s="33">
        <f t="shared" si="1"/>
        <v>0</v>
      </c>
      <c r="BB95" s="43" t="s">
        <v>1902</v>
      </c>
    </row>
    <row r="96" spans="1:54" s="23" customFormat="1" ht="81" customHeight="1" x14ac:dyDescent="0.3">
      <c r="A96" s="26">
        <v>79</v>
      </c>
      <c r="B96" s="43" t="s">
        <v>1548</v>
      </c>
      <c r="C96" s="28"/>
      <c r="D96" s="298" t="s">
        <v>1690</v>
      </c>
      <c r="E96" s="92">
        <v>9</v>
      </c>
      <c r="F96" s="40" t="s">
        <v>30</v>
      </c>
      <c r="G96" s="112">
        <f>[1]DICIEMBRE!$BA$95</f>
        <v>4.5474735088646412E-13</v>
      </c>
      <c r="H96" s="31"/>
      <c r="I96" s="31"/>
      <c r="J96" s="32"/>
      <c r="K96" s="33"/>
      <c r="L96" s="32"/>
      <c r="M96" s="32"/>
      <c r="N96" s="32"/>
      <c r="O96" s="32"/>
      <c r="P96" s="31"/>
      <c r="Q96" s="31"/>
      <c r="R96" s="31"/>
      <c r="S96" s="34">
        <f>(300*0.16+300)*E96</f>
        <v>3132</v>
      </c>
      <c r="T96" s="34"/>
      <c r="U96" s="34"/>
      <c r="V96" s="35"/>
      <c r="W96" s="54"/>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v>3132</v>
      </c>
      <c r="AZ96" s="35"/>
      <c r="BA96" s="33">
        <f t="shared" si="1"/>
        <v>4.5474735088646412E-13</v>
      </c>
      <c r="BB96" s="267"/>
    </row>
    <row r="97" spans="1:55" s="23" customFormat="1" ht="78" customHeight="1" x14ac:dyDescent="0.3">
      <c r="A97" s="26">
        <v>80</v>
      </c>
      <c r="B97" s="43" t="s">
        <v>1752</v>
      </c>
      <c r="C97" s="27" t="s">
        <v>381</v>
      </c>
      <c r="D97" s="298" t="s">
        <v>1212</v>
      </c>
      <c r="E97" s="92">
        <v>13</v>
      </c>
      <c r="F97" s="30" t="s">
        <v>30</v>
      </c>
      <c r="G97" s="112">
        <f>[1]DICIEMBRE!$BA$55</f>
        <v>-3.9999999989959178E-4</v>
      </c>
      <c r="H97" s="31"/>
      <c r="I97" s="31"/>
      <c r="J97" s="32"/>
      <c r="K97" s="32"/>
      <c r="L97" s="32"/>
      <c r="M97" s="32"/>
      <c r="N97" s="32"/>
      <c r="O97" s="33"/>
      <c r="P97" s="31"/>
      <c r="Q97" s="31"/>
      <c r="R97" s="31"/>
      <c r="S97" s="34">
        <f>(300*0.16+300)*E97</f>
        <v>4524</v>
      </c>
      <c r="T97" s="35"/>
      <c r="U97" s="35"/>
      <c r="V97" s="35"/>
      <c r="W97" s="35"/>
      <c r="X97" s="35"/>
      <c r="Y97" s="35"/>
      <c r="Z97" s="35"/>
      <c r="AA97" s="35"/>
      <c r="AB97" s="35"/>
      <c r="AC97" s="35"/>
      <c r="AD97" s="35"/>
      <c r="AE97" s="35"/>
      <c r="AF97" s="35"/>
      <c r="AG97" s="35"/>
      <c r="AH97" s="35"/>
      <c r="AI97" s="35"/>
      <c r="AJ97" s="35"/>
      <c r="AK97" s="42"/>
      <c r="AL97" s="35"/>
      <c r="AM97" s="35"/>
      <c r="AN97" s="35"/>
      <c r="AO97" s="35"/>
      <c r="AP97" s="35"/>
      <c r="AQ97" s="35"/>
      <c r="AR97" s="35"/>
      <c r="AS97" s="35">
        <v>4524</v>
      </c>
      <c r="AT97" s="35"/>
      <c r="AU97" s="35"/>
      <c r="AV97" s="35"/>
      <c r="AW97" s="35"/>
      <c r="AX97" s="35"/>
      <c r="AY97" s="35"/>
      <c r="AZ97" s="35"/>
      <c r="BA97" s="33">
        <f t="shared" si="1"/>
        <v>-3.9999999989959178E-4</v>
      </c>
      <c r="BB97" s="43"/>
    </row>
    <row r="98" spans="1:55" ht="62.25" customHeight="1" x14ac:dyDescent="0.35">
      <c r="A98" s="26">
        <v>81</v>
      </c>
      <c r="B98" s="43" t="s">
        <v>1541</v>
      </c>
      <c r="C98" s="53"/>
      <c r="D98" s="300" t="s">
        <v>1495</v>
      </c>
      <c r="E98" s="94">
        <v>2</v>
      </c>
      <c r="F98" s="44" t="s">
        <v>30</v>
      </c>
      <c r="G98" s="112">
        <f>[1]DICIEMBRE!$BA$97</f>
        <v>2909.6628000000001</v>
      </c>
      <c r="H98" s="45"/>
      <c r="I98" s="45"/>
      <c r="J98" s="32"/>
      <c r="K98" s="32"/>
      <c r="L98" s="32"/>
      <c r="M98" s="336"/>
      <c r="N98" s="32"/>
      <c r="O98" s="32"/>
      <c r="P98" s="33"/>
      <c r="Q98" s="31"/>
      <c r="R98" s="31"/>
      <c r="S98" s="47">
        <f>(250*0.16+250)*E98</f>
        <v>580</v>
      </c>
      <c r="T98" s="47">
        <f>350*0.16+350</f>
        <v>406</v>
      </c>
      <c r="U98" s="48"/>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33">
        <f t="shared" si="1"/>
        <v>3895.6628000000001</v>
      </c>
      <c r="BB98" s="43" t="s">
        <v>1783</v>
      </c>
    </row>
    <row r="99" spans="1:55" ht="62.25" customHeight="1" x14ac:dyDescent="0.35">
      <c r="A99" s="26">
        <v>82</v>
      </c>
      <c r="B99" s="43" t="s">
        <v>1924</v>
      </c>
      <c r="C99" s="53"/>
      <c r="D99" s="249" t="s">
        <v>1508</v>
      </c>
      <c r="E99" s="94">
        <v>5</v>
      </c>
      <c r="F99" s="44" t="s">
        <v>30</v>
      </c>
      <c r="G99" s="112"/>
      <c r="H99" s="45"/>
      <c r="I99" s="45"/>
      <c r="J99" s="32"/>
      <c r="K99" s="32"/>
      <c r="L99" s="32"/>
      <c r="M99" s="336"/>
      <c r="N99" s="32"/>
      <c r="O99" s="32"/>
      <c r="P99" s="33"/>
      <c r="Q99" s="31"/>
      <c r="R99" s="31"/>
      <c r="S99" s="47">
        <f>(250*0.16+250)*E99</f>
        <v>1450</v>
      </c>
      <c r="T99" s="47">
        <f>(549*0.16+549)*5</f>
        <v>3184.2000000000003</v>
      </c>
      <c r="U99" s="48"/>
      <c r="V99" s="49"/>
      <c r="W99" s="49"/>
      <c r="X99" s="49"/>
      <c r="Y99" s="49"/>
      <c r="Z99" s="49"/>
      <c r="AA99" s="49"/>
      <c r="AB99" s="49"/>
      <c r="AC99" s="49"/>
      <c r="AD99" s="49"/>
      <c r="AE99" s="49"/>
      <c r="AF99" s="49"/>
      <c r="AG99" s="49"/>
      <c r="AH99" s="49"/>
      <c r="AI99" s="49">
        <v>4634.2</v>
      </c>
      <c r="AJ99" s="49"/>
      <c r="AK99" s="49"/>
      <c r="AL99" s="49"/>
      <c r="AM99" s="49"/>
      <c r="AN99" s="49"/>
      <c r="AO99" s="49"/>
      <c r="AP99" s="49"/>
      <c r="AQ99" s="49"/>
      <c r="AR99" s="49"/>
      <c r="AS99" s="49"/>
      <c r="AT99" s="49"/>
      <c r="AU99" s="49"/>
      <c r="AV99" s="49"/>
      <c r="AW99" s="49"/>
      <c r="AX99" s="49"/>
      <c r="AY99" s="49"/>
      <c r="AZ99" s="49"/>
      <c r="BA99" s="33">
        <f t="shared" si="1"/>
        <v>9.0949470177292824E-13</v>
      </c>
      <c r="BB99" s="43" t="s">
        <v>1925</v>
      </c>
    </row>
    <row r="100" spans="1:55" s="23" customFormat="1" ht="82.5" customHeight="1" x14ac:dyDescent="0.3">
      <c r="A100" s="26">
        <v>83</v>
      </c>
      <c r="B100" s="43" t="s">
        <v>1753</v>
      </c>
      <c r="C100" s="28" t="s">
        <v>38</v>
      </c>
      <c r="D100" s="298" t="s">
        <v>1505</v>
      </c>
      <c r="E100" s="92">
        <v>9</v>
      </c>
      <c r="F100" s="30" t="s">
        <v>35</v>
      </c>
      <c r="G100" s="112">
        <f>[1]DICIEMBRE!$BA$47</f>
        <v>2.8000000056636054E-3</v>
      </c>
      <c r="H100" s="31"/>
      <c r="I100" s="31"/>
      <c r="J100" s="32"/>
      <c r="K100" s="33"/>
      <c r="L100" s="336"/>
      <c r="M100" s="336"/>
      <c r="N100" s="32"/>
      <c r="O100" s="32"/>
      <c r="P100" s="33"/>
      <c r="Q100" s="31"/>
      <c r="R100" s="31"/>
      <c r="S100" s="34">
        <f>(275*0.16+275)*E100</f>
        <v>2871</v>
      </c>
      <c r="T100" s="34">
        <f>650*0.16+650</f>
        <v>754</v>
      </c>
      <c r="U100" s="34"/>
      <c r="V100" s="34"/>
      <c r="W100" s="34"/>
      <c r="X100" s="34"/>
      <c r="Y100" s="34"/>
      <c r="Z100" s="52"/>
      <c r="AA100" s="34"/>
      <c r="AB100" s="34"/>
      <c r="AC100" s="34"/>
      <c r="AD100" s="34"/>
      <c r="AE100" s="34"/>
      <c r="AF100" s="34"/>
      <c r="AG100" s="34"/>
      <c r="AH100" s="34"/>
      <c r="AI100" s="34"/>
      <c r="AJ100" s="34"/>
      <c r="AK100" s="38"/>
      <c r="AL100" s="34"/>
      <c r="AM100" s="34"/>
      <c r="AN100" s="34"/>
      <c r="AO100" s="34"/>
      <c r="AP100" s="34"/>
      <c r="AQ100" s="34"/>
      <c r="AR100" s="34">
        <v>3625</v>
      </c>
      <c r="AS100" s="34"/>
      <c r="AT100" s="34"/>
      <c r="AU100" s="34"/>
      <c r="AV100" s="34"/>
      <c r="AW100" s="34"/>
      <c r="AX100" s="34"/>
      <c r="AY100" s="34"/>
      <c r="AZ100" s="34"/>
      <c r="BA100" s="33">
        <f t="shared" si="1"/>
        <v>2.8000000056636054E-3</v>
      </c>
      <c r="BB100" s="43" t="s">
        <v>1779</v>
      </c>
    </row>
    <row r="101" spans="1:55" s="23" customFormat="1" ht="82.5" customHeight="1" x14ac:dyDescent="0.3">
      <c r="A101" s="26">
        <v>84</v>
      </c>
      <c r="B101" s="348" t="s">
        <v>1893</v>
      </c>
      <c r="C101" s="28"/>
      <c r="D101" s="300" t="s">
        <v>1909</v>
      </c>
      <c r="E101" s="92">
        <v>5</v>
      </c>
      <c r="F101" s="30"/>
      <c r="G101" s="112"/>
      <c r="H101" s="31"/>
      <c r="I101" s="31"/>
      <c r="J101" s="32"/>
      <c r="K101" s="33"/>
      <c r="L101" s="336"/>
      <c r="M101" s="336"/>
      <c r="N101" s="32"/>
      <c r="O101" s="32"/>
      <c r="P101" s="33"/>
      <c r="Q101" s="31"/>
      <c r="R101" s="31"/>
      <c r="S101" s="35">
        <f>(299*0.16+299)*5</f>
        <v>1734.2000000000003</v>
      </c>
      <c r="T101" s="34">
        <f>(549*0.16+549)*E101</f>
        <v>3184.2000000000003</v>
      </c>
      <c r="U101" s="34"/>
      <c r="V101" s="34"/>
      <c r="W101" s="34"/>
      <c r="X101" s="34"/>
      <c r="Y101" s="34"/>
      <c r="Z101" s="52"/>
      <c r="AA101" s="34"/>
      <c r="AB101" s="34"/>
      <c r="AC101" s="34"/>
      <c r="AD101" s="34"/>
      <c r="AE101" s="34">
        <v>4918.3999999999996</v>
      </c>
      <c r="AF101" s="34"/>
      <c r="AG101" s="34"/>
      <c r="AH101" s="34"/>
      <c r="AI101" s="34"/>
      <c r="AJ101" s="34"/>
      <c r="AK101" s="38"/>
      <c r="AL101" s="34"/>
      <c r="AM101" s="34"/>
      <c r="AN101" s="34"/>
      <c r="AO101" s="34"/>
      <c r="AP101" s="34"/>
      <c r="AQ101" s="34"/>
      <c r="AR101" s="34"/>
      <c r="AS101" s="34"/>
      <c r="AT101" s="34"/>
      <c r="AU101" s="34"/>
      <c r="AV101" s="34"/>
      <c r="AW101" s="34"/>
      <c r="AX101" s="34"/>
      <c r="AY101" s="34"/>
      <c r="AZ101" s="34"/>
      <c r="BA101" s="33">
        <f t="shared" si="1"/>
        <v>9.0949470177292824E-13</v>
      </c>
      <c r="BB101" s="43" t="s">
        <v>1950</v>
      </c>
    </row>
    <row r="102" spans="1:55" ht="67.5" customHeight="1" x14ac:dyDescent="0.35">
      <c r="A102" s="26">
        <v>85</v>
      </c>
      <c r="B102" s="43" t="s">
        <v>1755</v>
      </c>
      <c r="C102" s="53" t="s">
        <v>127</v>
      </c>
      <c r="D102" s="298" t="s">
        <v>1923</v>
      </c>
      <c r="E102" s="94">
        <v>13</v>
      </c>
      <c r="F102" s="44" t="s">
        <v>30</v>
      </c>
      <c r="G102" s="234">
        <f>[1]DICIEMBRE!$BA$96</f>
        <v>0</v>
      </c>
      <c r="H102" s="45"/>
      <c r="I102" s="45"/>
      <c r="J102" s="32"/>
      <c r="K102" s="33"/>
      <c r="L102" s="336"/>
      <c r="M102" s="32"/>
      <c r="N102" s="32"/>
      <c r="O102" s="32"/>
      <c r="P102" s="33"/>
      <c r="Q102" s="31"/>
      <c r="R102" s="31"/>
      <c r="S102" s="47">
        <f>(300*0.16+300)*E102</f>
        <v>4524</v>
      </c>
      <c r="U102" s="48"/>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v>4524</v>
      </c>
      <c r="AT102" s="49"/>
      <c r="AU102" s="49"/>
      <c r="AV102" s="49"/>
      <c r="AW102" s="49"/>
      <c r="AX102" s="49"/>
      <c r="AY102" s="49"/>
      <c r="AZ102" s="49"/>
      <c r="BA102" s="33">
        <f t="shared" si="1"/>
        <v>0</v>
      </c>
      <c r="BB102" s="43"/>
    </row>
    <row r="103" spans="1:55" ht="90" customHeight="1" x14ac:dyDescent="0.35">
      <c r="A103" s="26">
        <v>86</v>
      </c>
      <c r="B103" s="27" t="s">
        <v>62</v>
      </c>
      <c r="C103" s="28" t="s">
        <v>63</v>
      </c>
      <c r="D103" s="298" t="s">
        <v>1272</v>
      </c>
      <c r="E103" s="125">
        <v>5</v>
      </c>
      <c r="F103" s="60" t="s">
        <v>33</v>
      </c>
      <c r="G103" s="112">
        <f>[1]DICIEMBRE!$BA$101</f>
        <v>0</v>
      </c>
      <c r="H103" s="45"/>
      <c r="I103" s="45"/>
      <c r="J103" s="32"/>
      <c r="K103" s="32"/>
      <c r="L103" s="32"/>
      <c r="M103" s="336"/>
      <c r="N103" s="32"/>
      <c r="O103" s="33"/>
      <c r="P103" s="33"/>
      <c r="Q103" s="31"/>
      <c r="R103" s="31"/>
      <c r="S103" s="47">
        <f>(350*0.16+350)*E103</f>
        <v>2030</v>
      </c>
      <c r="T103" s="47"/>
      <c r="U103" s="48"/>
      <c r="V103" s="49"/>
      <c r="W103" s="49"/>
      <c r="X103" s="49"/>
      <c r="Y103" s="49"/>
      <c r="Z103" s="49"/>
      <c r="AA103" s="49"/>
      <c r="AB103" s="49"/>
      <c r="AC103" s="49"/>
      <c r="AD103" s="49"/>
      <c r="AE103" s="49"/>
      <c r="AF103" s="49"/>
      <c r="AG103" s="49"/>
      <c r="AH103" s="49">
        <v>2030</v>
      </c>
      <c r="AI103" s="49"/>
      <c r="AJ103" s="49"/>
      <c r="AK103" s="49"/>
      <c r="AL103" s="49"/>
      <c r="AM103" s="49"/>
      <c r="AN103" s="49"/>
      <c r="AO103" s="49"/>
      <c r="AP103" s="49"/>
      <c r="AQ103" s="49"/>
      <c r="AR103" s="49"/>
      <c r="AS103" s="49"/>
      <c r="AT103" s="49"/>
      <c r="AU103" s="49"/>
      <c r="AV103" s="49"/>
      <c r="AW103" s="49"/>
      <c r="AX103" s="49"/>
      <c r="AY103" s="49"/>
      <c r="AZ103" s="49"/>
      <c r="BA103" s="33">
        <f t="shared" si="1"/>
        <v>0</v>
      </c>
      <c r="BB103" s="268"/>
    </row>
    <row r="104" spans="1:55" ht="81.75" customHeight="1" x14ac:dyDescent="0.35">
      <c r="A104" s="26">
        <v>87</v>
      </c>
      <c r="B104" s="55" t="s">
        <v>64</v>
      </c>
      <c r="C104" s="28" t="s">
        <v>65</v>
      </c>
      <c r="D104" s="298" t="s">
        <v>1236</v>
      </c>
      <c r="E104" s="125">
        <v>496</v>
      </c>
      <c r="F104" s="44" t="s">
        <v>30</v>
      </c>
      <c r="G104" s="234">
        <f>[1]DICIEMBRE!$BA$102</f>
        <v>1.0913936421275139E-11</v>
      </c>
      <c r="H104" s="45"/>
      <c r="I104" s="45"/>
      <c r="J104" s="32"/>
      <c r="K104" s="33"/>
      <c r="L104" s="32"/>
      <c r="M104" s="32"/>
      <c r="N104" s="32"/>
      <c r="O104" s="32"/>
      <c r="P104" s="31"/>
      <c r="Q104" s="31"/>
      <c r="R104" s="31"/>
      <c r="S104" s="61">
        <f>(150*0.16+150)*E104</f>
        <v>86304</v>
      </c>
      <c r="T104" s="47">
        <f>(4698*0.16+4698)+(11248*0.16+11248)</f>
        <v>18497.36</v>
      </c>
      <c r="U104" s="48"/>
      <c r="V104" s="49"/>
      <c r="W104" s="49"/>
      <c r="X104" s="49"/>
      <c r="Y104" s="49"/>
      <c r="Z104" s="49"/>
      <c r="AA104" s="49"/>
      <c r="AB104" s="49"/>
      <c r="AC104" s="49"/>
      <c r="AD104" s="49"/>
      <c r="AE104" s="49"/>
      <c r="AF104" s="49"/>
      <c r="AG104" s="49"/>
      <c r="AH104" s="49"/>
      <c r="AI104" s="49"/>
      <c r="AJ104" s="50">
        <v>91753.68</v>
      </c>
      <c r="AK104" s="49"/>
      <c r="AL104" s="49"/>
      <c r="AM104" s="49"/>
      <c r="AN104" s="49"/>
      <c r="AO104" s="49"/>
      <c r="AP104" s="49"/>
      <c r="AQ104" s="49"/>
      <c r="AR104" s="49"/>
      <c r="AS104" s="49"/>
      <c r="AT104" s="49"/>
      <c r="AU104" s="49"/>
      <c r="AV104" s="49"/>
      <c r="AW104" s="49"/>
      <c r="AX104" s="49"/>
      <c r="AY104" s="49"/>
      <c r="AZ104" s="49">
        <v>13047.68</v>
      </c>
      <c r="BA104" s="33">
        <f t="shared" si="1"/>
        <v>2.1827872842550278E-11</v>
      </c>
      <c r="BB104" s="43" t="s">
        <v>2066</v>
      </c>
      <c r="BC104" s="150"/>
    </row>
    <row r="105" spans="1:55" ht="69.75" customHeight="1" x14ac:dyDescent="0.35">
      <c r="A105" s="26">
        <v>88</v>
      </c>
      <c r="B105" s="27" t="s">
        <v>66</v>
      </c>
      <c r="C105" s="28" t="s">
        <v>67</v>
      </c>
      <c r="D105" s="298" t="s">
        <v>1237</v>
      </c>
      <c r="E105" s="125">
        <v>2</v>
      </c>
      <c r="F105" s="60" t="s">
        <v>33</v>
      </c>
      <c r="G105" s="112">
        <f>[1]DICIEMBRE!$BA$103</f>
        <v>0</v>
      </c>
      <c r="H105" s="45"/>
      <c r="I105" s="45"/>
      <c r="J105" s="32"/>
      <c r="K105" s="32"/>
      <c r="L105" s="336"/>
      <c r="M105" s="32"/>
      <c r="N105" s="336"/>
      <c r="O105" s="32"/>
      <c r="P105" s="33"/>
      <c r="Q105" s="31"/>
      <c r="R105" s="31"/>
      <c r="S105" s="47">
        <f>(300*0.16+300)*E105</f>
        <v>696</v>
      </c>
      <c r="T105" s="47"/>
      <c r="U105" s="48"/>
      <c r="V105" s="49"/>
      <c r="W105" s="49"/>
      <c r="X105" s="49"/>
      <c r="Y105" s="49"/>
      <c r="Z105" s="49"/>
      <c r="AA105" s="50"/>
      <c r="AB105" s="49"/>
      <c r="AC105" s="49"/>
      <c r="AD105" s="49"/>
      <c r="AE105" s="49"/>
      <c r="AF105" s="49"/>
      <c r="AG105" s="49"/>
      <c r="AH105" s="49"/>
      <c r="AI105" s="49"/>
      <c r="AJ105" s="49"/>
      <c r="AK105" s="49"/>
      <c r="AL105" s="49"/>
      <c r="AM105" s="49"/>
      <c r="AN105" s="49"/>
      <c r="AO105" s="49"/>
      <c r="AP105" s="49"/>
      <c r="AQ105" s="49"/>
      <c r="AR105" s="49">
        <v>696</v>
      </c>
      <c r="AS105" s="49"/>
      <c r="AT105" s="49"/>
      <c r="AU105" s="49"/>
      <c r="AV105" s="49"/>
      <c r="AW105" s="49"/>
      <c r="AX105" s="49"/>
      <c r="AY105" s="49"/>
      <c r="AZ105" s="49"/>
      <c r="BA105" s="33">
        <f t="shared" si="1"/>
        <v>0</v>
      </c>
      <c r="BB105" s="268"/>
    </row>
    <row r="106" spans="1:55" ht="126.75" customHeight="1" x14ac:dyDescent="0.35">
      <c r="A106" s="26">
        <v>89</v>
      </c>
      <c r="B106" s="27" t="s">
        <v>68</v>
      </c>
      <c r="C106" s="28" t="s">
        <v>69</v>
      </c>
      <c r="D106" s="298" t="s">
        <v>1510</v>
      </c>
      <c r="E106" s="126">
        <v>54</v>
      </c>
      <c r="F106" s="62" t="s">
        <v>30</v>
      </c>
      <c r="G106" s="234">
        <f>[1]DICIEMBRE!$BA$104</f>
        <v>-4.3999999979860149E-3</v>
      </c>
      <c r="H106" s="45"/>
      <c r="I106" s="45"/>
      <c r="J106" s="32"/>
      <c r="K106" s="32"/>
      <c r="L106" s="32"/>
      <c r="M106" s="336"/>
      <c r="N106" s="32"/>
      <c r="O106" s="32"/>
      <c r="P106" s="31"/>
      <c r="Q106" s="31"/>
      <c r="R106" s="31"/>
      <c r="S106" s="47">
        <f>(200*0.16+200)*E106</f>
        <v>12528</v>
      </c>
      <c r="T106" s="47">
        <f>3100*0.16+3100</f>
        <v>3596</v>
      </c>
      <c r="U106" s="48"/>
      <c r="V106" s="49"/>
      <c r="W106" s="49"/>
      <c r="X106" s="49"/>
      <c r="Y106" s="49"/>
      <c r="Z106" s="49"/>
      <c r="AA106" s="49"/>
      <c r="AB106" s="49"/>
      <c r="AC106" s="49"/>
      <c r="AD106" s="49"/>
      <c r="AE106" s="49"/>
      <c r="AF106" s="49"/>
      <c r="AG106" s="49"/>
      <c r="AH106" s="49"/>
      <c r="AI106" s="49">
        <v>16124</v>
      </c>
      <c r="AJ106" s="49"/>
      <c r="AK106" s="63"/>
      <c r="AL106" s="49"/>
      <c r="AM106" s="49"/>
      <c r="AN106" s="49"/>
      <c r="AO106" s="49"/>
      <c r="AP106" s="49"/>
      <c r="AQ106" s="49"/>
      <c r="AR106" s="49"/>
      <c r="AS106" s="49"/>
      <c r="AT106" s="49"/>
      <c r="AU106" s="49"/>
      <c r="AV106" s="49"/>
      <c r="AW106" s="49"/>
      <c r="AX106" s="49"/>
      <c r="AY106" s="49"/>
      <c r="AZ106" s="49"/>
      <c r="BA106" s="33">
        <f t="shared" si="1"/>
        <v>-4.3999999979860149E-3</v>
      </c>
      <c r="BB106" s="267" t="s">
        <v>1943</v>
      </c>
    </row>
    <row r="107" spans="1:55" ht="69" customHeight="1" x14ac:dyDescent="0.35">
      <c r="A107" s="26">
        <v>90</v>
      </c>
      <c r="B107" s="43" t="s">
        <v>70</v>
      </c>
      <c r="C107" s="53" t="s">
        <v>71</v>
      </c>
      <c r="D107" s="298" t="s">
        <v>1511</v>
      </c>
      <c r="E107" s="125">
        <v>1</v>
      </c>
      <c r="F107" s="44" t="s">
        <v>30</v>
      </c>
      <c r="G107" s="112">
        <f>[1]DICIEMBRE!$BA$105</f>
        <v>0</v>
      </c>
      <c r="H107" s="45"/>
      <c r="I107" s="45"/>
      <c r="J107" s="32"/>
      <c r="K107" s="33"/>
      <c r="L107" s="32"/>
      <c r="M107" s="32"/>
      <c r="N107" s="32"/>
      <c r="O107" s="32"/>
      <c r="P107" s="33"/>
      <c r="Q107" s="31"/>
      <c r="R107" s="31"/>
      <c r="S107" s="47">
        <v>406</v>
      </c>
      <c r="T107" s="47"/>
      <c r="U107" s="48"/>
      <c r="V107" s="49"/>
      <c r="W107" s="49"/>
      <c r="X107" s="49"/>
      <c r="Y107" s="49"/>
      <c r="Z107" s="49"/>
      <c r="AA107" s="50"/>
      <c r="AB107" s="49"/>
      <c r="AC107" s="49"/>
      <c r="AD107" s="49"/>
      <c r="AE107" s="49"/>
      <c r="AF107" s="49"/>
      <c r="AG107" s="49"/>
      <c r="AH107" s="49"/>
      <c r="AI107" s="49"/>
      <c r="AJ107" s="49"/>
      <c r="AK107" s="49">
        <v>406</v>
      </c>
      <c r="AL107" s="49"/>
      <c r="AM107" s="49"/>
      <c r="AN107" s="49"/>
      <c r="AO107" s="49"/>
      <c r="AP107" s="49"/>
      <c r="AQ107" s="49"/>
      <c r="AR107" s="49"/>
      <c r="AS107" s="49"/>
      <c r="AT107" s="49"/>
      <c r="AU107" s="49"/>
      <c r="AV107" s="49"/>
      <c r="AW107" s="49"/>
      <c r="AX107" s="49"/>
      <c r="AY107" s="49"/>
      <c r="AZ107" s="49"/>
      <c r="BA107" s="33">
        <f t="shared" si="1"/>
        <v>0</v>
      </c>
      <c r="BB107" s="43"/>
    </row>
    <row r="108" spans="1:55" ht="95.25" customHeight="1" x14ac:dyDescent="0.35">
      <c r="A108" s="26">
        <v>91</v>
      </c>
      <c r="B108" s="27" t="s">
        <v>72</v>
      </c>
      <c r="C108" s="28" t="s">
        <v>73</v>
      </c>
      <c r="D108" s="298" t="s">
        <v>1512</v>
      </c>
      <c r="E108" s="126">
        <v>4</v>
      </c>
      <c r="F108" s="62" t="s">
        <v>35</v>
      </c>
      <c r="G108" s="234">
        <f>[1]DICIEMBRE!$BA$106</f>
        <v>0</v>
      </c>
      <c r="H108" s="45"/>
      <c r="I108" s="45"/>
      <c r="J108" s="32"/>
      <c r="K108" s="32"/>
      <c r="L108" s="336"/>
      <c r="M108" s="32"/>
      <c r="N108" s="336"/>
      <c r="O108" s="32"/>
      <c r="P108" s="31"/>
      <c r="Q108" s="31"/>
      <c r="R108" s="31"/>
      <c r="S108" s="47">
        <f>(250*0.16+250)*E108</f>
        <v>1160</v>
      </c>
      <c r="T108" s="47"/>
      <c r="U108" s="48"/>
      <c r="V108" s="49"/>
      <c r="W108" s="49"/>
      <c r="X108" s="49"/>
      <c r="Y108" s="49"/>
      <c r="Z108" s="49"/>
      <c r="AA108" s="49"/>
      <c r="AB108" s="49"/>
      <c r="AC108" s="50"/>
      <c r="AD108" s="49"/>
      <c r="AE108" s="49"/>
      <c r="AF108" s="49"/>
      <c r="AG108" s="49"/>
      <c r="AH108" s="49"/>
      <c r="AI108" s="49"/>
      <c r="AJ108" s="49"/>
      <c r="AK108" s="49"/>
      <c r="AL108" s="49"/>
      <c r="AM108" s="49"/>
      <c r="AN108" s="49"/>
      <c r="AO108" s="49"/>
      <c r="AP108" s="49"/>
      <c r="AQ108" s="49"/>
      <c r="AR108" s="49">
        <v>1160</v>
      </c>
      <c r="AS108" s="49"/>
      <c r="AT108" s="49"/>
      <c r="AU108" s="49"/>
      <c r="AV108" s="49"/>
      <c r="AW108" s="49"/>
      <c r="AX108" s="49"/>
      <c r="AY108" s="49"/>
      <c r="AZ108" s="49"/>
      <c r="BA108" s="33">
        <f t="shared" si="1"/>
        <v>0</v>
      </c>
      <c r="BB108" s="267"/>
    </row>
    <row r="109" spans="1:55" ht="81" customHeight="1" x14ac:dyDescent="0.35">
      <c r="A109" s="26">
        <v>92</v>
      </c>
      <c r="B109" s="27" t="s">
        <v>74</v>
      </c>
      <c r="C109" s="28" t="s">
        <v>75</v>
      </c>
      <c r="D109" s="298" t="s">
        <v>1513</v>
      </c>
      <c r="E109" s="125">
        <v>21</v>
      </c>
      <c r="F109" s="60" t="s">
        <v>33</v>
      </c>
      <c r="G109" s="112">
        <f>[1]DICIEMBRE!$BA$107</f>
        <v>-2.2000000026309863E-2</v>
      </c>
      <c r="H109" s="65"/>
      <c r="I109" s="65"/>
      <c r="J109" s="32"/>
      <c r="K109" s="32"/>
      <c r="L109" s="32"/>
      <c r="M109" s="336"/>
      <c r="N109" s="32"/>
      <c r="O109" s="33"/>
      <c r="P109" s="33"/>
      <c r="Q109" s="31"/>
      <c r="R109" s="31"/>
      <c r="S109" s="66">
        <f>(315*0.16+315)*E109</f>
        <v>7673.4</v>
      </c>
      <c r="T109" s="66">
        <f>1810.35*0.16+1810.35</f>
        <v>2100.0059999999999</v>
      </c>
      <c r="U109" s="67"/>
      <c r="V109" s="68"/>
      <c r="W109" s="68"/>
      <c r="X109" s="68"/>
      <c r="Y109" s="68"/>
      <c r="Z109" s="68"/>
      <c r="AA109" s="68"/>
      <c r="AB109" s="68"/>
      <c r="AC109" s="68"/>
      <c r="AD109" s="68"/>
      <c r="AE109" s="68"/>
      <c r="AF109" s="68"/>
      <c r="AG109" s="68"/>
      <c r="AH109" s="68"/>
      <c r="AI109" s="68"/>
      <c r="AJ109" s="68"/>
      <c r="AK109" s="68"/>
      <c r="AL109" s="63"/>
      <c r="AM109" s="68"/>
      <c r="AN109" s="68"/>
      <c r="AO109" s="68">
        <v>9773.41</v>
      </c>
      <c r="AP109" s="68"/>
      <c r="AQ109" s="68"/>
      <c r="AR109" s="68"/>
      <c r="AS109" s="68"/>
      <c r="AT109" s="68"/>
      <c r="AU109" s="68"/>
      <c r="AV109" s="68"/>
      <c r="AW109" s="68"/>
      <c r="AX109" s="68"/>
      <c r="AY109" s="68"/>
      <c r="AZ109" s="68"/>
      <c r="BA109" s="33">
        <f t="shared" si="1"/>
        <v>-2.600000002712477E-2</v>
      </c>
      <c r="BB109" s="268" t="s">
        <v>1798</v>
      </c>
    </row>
    <row r="110" spans="1:55" ht="58.5" customHeight="1" x14ac:dyDescent="0.35">
      <c r="A110" s="26">
        <v>93</v>
      </c>
      <c r="B110" s="43" t="s">
        <v>78</v>
      </c>
      <c r="C110" s="53" t="s">
        <v>79</v>
      </c>
      <c r="D110" s="298" t="s">
        <v>1514</v>
      </c>
      <c r="E110" s="125">
        <v>1</v>
      </c>
      <c r="F110" s="44" t="s">
        <v>30</v>
      </c>
      <c r="G110" s="234">
        <f>[1]DICIEMBRE!$BA$108</f>
        <v>346.84</v>
      </c>
      <c r="H110" s="45"/>
      <c r="I110" s="45"/>
      <c r="J110" s="32"/>
      <c r="K110" s="33"/>
      <c r="L110" s="32"/>
      <c r="M110" s="32"/>
      <c r="N110" s="32"/>
      <c r="O110" s="32"/>
      <c r="P110" s="31"/>
      <c r="Q110" s="31"/>
      <c r="R110" s="31"/>
      <c r="S110" s="47"/>
      <c r="T110" s="47"/>
      <c r="U110" s="48"/>
      <c r="V110" s="49"/>
      <c r="W110" s="49"/>
      <c r="X110" s="49"/>
      <c r="Y110" s="49"/>
      <c r="Z110" s="49"/>
      <c r="AA110" s="49"/>
      <c r="AB110" s="6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33">
        <f t="shared" si="1"/>
        <v>346.84</v>
      </c>
      <c r="BB110" s="43" t="s">
        <v>2054</v>
      </c>
    </row>
    <row r="111" spans="1:55" ht="58.5" customHeight="1" x14ac:dyDescent="0.35">
      <c r="A111" s="26">
        <v>94</v>
      </c>
      <c r="B111" s="27" t="s">
        <v>80</v>
      </c>
      <c r="C111" s="28" t="s">
        <v>81</v>
      </c>
      <c r="D111" s="298" t="s">
        <v>1515</v>
      </c>
      <c r="E111" s="125">
        <v>2</v>
      </c>
      <c r="F111" s="71" t="s">
        <v>30</v>
      </c>
      <c r="G111" s="112">
        <f>[1]DICIEMBRE!$BA$109</f>
        <v>9.0949470177292824E-13</v>
      </c>
      <c r="H111" s="45"/>
      <c r="I111" s="45"/>
      <c r="J111" s="32"/>
      <c r="K111" s="32"/>
      <c r="L111" s="336"/>
      <c r="M111" s="32"/>
      <c r="N111" s="336"/>
      <c r="O111" s="32"/>
      <c r="P111" s="33"/>
      <c r="Q111" s="31"/>
      <c r="R111" s="31"/>
      <c r="S111" s="47">
        <f>(330*0.16+330)*E111</f>
        <v>765.6</v>
      </c>
      <c r="T111" s="47"/>
      <c r="U111" s="48"/>
      <c r="V111" s="47"/>
      <c r="W111" s="47"/>
      <c r="X111" s="47"/>
      <c r="Y111" s="47"/>
      <c r="Z111" s="47"/>
      <c r="AA111" s="47"/>
      <c r="AB111" s="47"/>
      <c r="AC111" s="47"/>
      <c r="AD111" s="47"/>
      <c r="AE111" s="47"/>
      <c r="AF111" s="47"/>
      <c r="AG111" s="47"/>
      <c r="AH111" s="47"/>
      <c r="AI111" s="47"/>
      <c r="AJ111" s="47"/>
      <c r="AK111" s="66">
        <v>765.6</v>
      </c>
      <c r="AL111" s="47"/>
      <c r="AM111" s="47"/>
      <c r="AN111" s="47"/>
      <c r="AO111" s="47"/>
      <c r="AP111" s="47"/>
      <c r="AQ111" s="47"/>
      <c r="AR111" s="47"/>
      <c r="AS111" s="47"/>
      <c r="AT111" s="47"/>
      <c r="AU111" s="47"/>
      <c r="AV111" s="47"/>
      <c r="AW111" s="47"/>
      <c r="AX111" s="47"/>
      <c r="AY111" s="47"/>
      <c r="AZ111" s="47"/>
      <c r="BA111" s="33">
        <f t="shared" si="1"/>
        <v>9.0949470177292824E-13</v>
      </c>
      <c r="BB111" s="271"/>
    </row>
    <row r="112" spans="1:55" ht="69" customHeight="1" x14ac:dyDescent="0.35">
      <c r="A112" s="26">
        <v>95</v>
      </c>
      <c r="B112" s="27" t="s">
        <v>82</v>
      </c>
      <c r="C112" s="28" t="s">
        <v>83</v>
      </c>
      <c r="D112" s="298" t="s">
        <v>1516</v>
      </c>
      <c r="E112" s="127">
        <v>3</v>
      </c>
      <c r="F112" s="64" t="s">
        <v>30</v>
      </c>
      <c r="G112" s="234">
        <f>[1]DICIEMBRE!$BA$110</f>
        <v>-1.8189894035458565E-12</v>
      </c>
      <c r="H112" s="45"/>
      <c r="I112" s="45"/>
      <c r="J112" s="32"/>
      <c r="K112" s="32"/>
      <c r="L112" s="32"/>
      <c r="M112" s="336"/>
      <c r="N112" s="32"/>
      <c r="O112" s="33"/>
      <c r="P112" s="31"/>
      <c r="Q112" s="31"/>
      <c r="R112" s="31"/>
      <c r="S112" s="47">
        <f>(270*0.16+270)*E112</f>
        <v>939.59999999999991</v>
      </c>
      <c r="T112" s="61"/>
      <c r="U112" s="72"/>
      <c r="V112" s="49"/>
      <c r="W112" s="49"/>
      <c r="X112" s="49"/>
      <c r="Y112" s="49"/>
      <c r="Z112" s="49"/>
      <c r="AA112" s="49"/>
      <c r="AB112" s="49"/>
      <c r="AC112" s="49"/>
      <c r="AD112" s="49"/>
      <c r="AE112" s="49"/>
      <c r="AF112" s="49"/>
      <c r="AG112" s="49"/>
      <c r="AH112" s="49">
        <v>939</v>
      </c>
      <c r="AI112" s="49"/>
      <c r="AJ112" s="70"/>
      <c r="AK112" s="49"/>
      <c r="AL112" s="49"/>
      <c r="AM112" s="49"/>
      <c r="AN112" s="49"/>
      <c r="AO112" s="49"/>
      <c r="AP112" s="49"/>
      <c r="AQ112" s="49"/>
      <c r="AR112" s="49"/>
      <c r="AS112" s="49"/>
      <c r="AT112" s="49"/>
      <c r="AU112" s="49"/>
      <c r="AV112" s="49"/>
      <c r="AW112" s="49"/>
      <c r="AX112" s="49"/>
      <c r="AY112" s="49"/>
      <c r="AZ112" s="49"/>
      <c r="BA112" s="33">
        <f t="shared" si="1"/>
        <v>0.59999999999809006</v>
      </c>
      <c r="BB112" s="269"/>
    </row>
    <row r="113" spans="1:54" ht="68.25" customHeight="1" x14ac:dyDescent="0.35">
      <c r="A113" s="26">
        <v>96</v>
      </c>
      <c r="B113" s="43" t="s">
        <v>1781</v>
      </c>
      <c r="C113" s="53" t="s">
        <v>84</v>
      </c>
      <c r="D113" s="298" t="s">
        <v>1517</v>
      </c>
      <c r="E113" s="128">
        <v>5</v>
      </c>
      <c r="F113" s="62" t="s">
        <v>30</v>
      </c>
      <c r="G113" s="112">
        <f>[1]DICIEMBRE!$BA$111</f>
        <v>216.52679999999509</v>
      </c>
      <c r="H113" s="45"/>
      <c r="I113" s="45"/>
      <c r="J113" s="32"/>
      <c r="K113" s="33"/>
      <c r="L113" s="32"/>
      <c r="M113" s="32"/>
      <c r="N113" s="32"/>
      <c r="O113" s="32"/>
      <c r="P113" s="33"/>
      <c r="Q113" s="31"/>
      <c r="R113" s="31"/>
      <c r="S113" s="73">
        <f>(350*0.16+350)*3+(400*0.16+400)*2</f>
        <v>2146</v>
      </c>
      <c r="T113" s="47">
        <f>6600*0.16+6600</f>
        <v>7656</v>
      </c>
      <c r="U113" s="48"/>
      <c r="V113" s="49"/>
      <c r="W113" s="50"/>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v>12164.53</v>
      </c>
      <c r="AX113" s="49"/>
      <c r="AY113" s="49"/>
      <c r="AZ113" s="49"/>
      <c r="BA113" s="33">
        <f t="shared" si="1"/>
        <v>-2146.0032000000047</v>
      </c>
      <c r="BB113" s="267" t="s">
        <v>1782</v>
      </c>
    </row>
    <row r="114" spans="1:54" ht="68.25" customHeight="1" x14ac:dyDescent="0.35">
      <c r="A114" s="26">
        <v>97</v>
      </c>
      <c r="B114" s="27" t="s">
        <v>85</v>
      </c>
      <c r="C114" s="28" t="s">
        <v>86</v>
      </c>
      <c r="D114" s="298" t="s">
        <v>1518</v>
      </c>
      <c r="E114" s="125">
        <v>5</v>
      </c>
      <c r="F114" s="71" t="s">
        <v>35</v>
      </c>
      <c r="G114" s="234">
        <f>[1]DICIEMBRE!$BA$112</f>
        <v>0</v>
      </c>
      <c r="H114" s="45"/>
      <c r="I114" s="45"/>
      <c r="J114" s="32"/>
      <c r="K114" s="32"/>
      <c r="L114" s="336"/>
      <c r="M114" s="32"/>
      <c r="N114" s="336"/>
      <c r="O114" s="32"/>
      <c r="P114" s="31"/>
      <c r="Q114" s="31"/>
      <c r="R114" s="31"/>
      <c r="S114" s="47">
        <f>(250*0.16+250)*E114</f>
        <v>1450</v>
      </c>
      <c r="T114" s="47"/>
      <c r="U114" s="48"/>
      <c r="V114" s="47"/>
      <c r="W114" s="47"/>
      <c r="X114" s="47"/>
      <c r="Y114" s="47"/>
      <c r="Z114" s="47"/>
      <c r="AA114" s="47">
        <v>1450</v>
      </c>
      <c r="AB114" s="47"/>
      <c r="AC114" s="47"/>
      <c r="AD114" s="47"/>
      <c r="AE114" s="47"/>
      <c r="AF114" s="47"/>
      <c r="AG114" s="47"/>
      <c r="AH114" s="74"/>
      <c r="AI114" s="47"/>
      <c r="AJ114" s="47"/>
      <c r="AK114" s="66"/>
      <c r="AL114" s="47"/>
      <c r="AM114" s="47"/>
      <c r="AN114" s="47"/>
      <c r="AO114" s="47"/>
      <c r="AP114" s="47"/>
      <c r="AQ114" s="47"/>
      <c r="AR114" s="47"/>
      <c r="AS114" s="47"/>
      <c r="AT114" s="47"/>
      <c r="AU114" s="47"/>
      <c r="AV114" s="47"/>
      <c r="AW114" s="47"/>
      <c r="AX114" s="47"/>
      <c r="AY114" s="47"/>
      <c r="AZ114" s="47"/>
      <c r="BA114" s="33">
        <f t="shared" si="1"/>
        <v>0</v>
      </c>
      <c r="BB114" s="271"/>
    </row>
    <row r="115" spans="1:54" ht="57" customHeight="1" x14ac:dyDescent="0.35">
      <c r="A115" s="26">
        <v>98</v>
      </c>
      <c r="B115" s="27" t="s">
        <v>1297</v>
      </c>
      <c r="C115" s="28" t="s">
        <v>87</v>
      </c>
      <c r="D115" s="298" t="s">
        <v>1519</v>
      </c>
      <c r="E115" s="125">
        <v>6</v>
      </c>
      <c r="F115" s="60" t="s">
        <v>33</v>
      </c>
      <c r="G115" s="112">
        <f>[1]DICIEMBRE!$BA$113</f>
        <v>-1.8189894035458565E-12</v>
      </c>
      <c r="H115" s="45"/>
      <c r="I115" s="45"/>
      <c r="J115" s="32"/>
      <c r="K115" s="32"/>
      <c r="L115" s="32"/>
      <c r="M115" s="336"/>
      <c r="N115" s="32"/>
      <c r="O115" s="33"/>
      <c r="P115" s="33"/>
      <c r="Q115" s="31"/>
      <c r="R115" s="31"/>
      <c r="S115" s="47">
        <f>(300*0.16+300)*4+(900*0.16+900)*1+(230*0.16+230)</f>
        <v>2702.8</v>
      </c>
      <c r="T115" s="47">
        <f>4558*0.16+4558</f>
        <v>5287.28</v>
      </c>
      <c r="U115" s="48"/>
      <c r="V115" s="49"/>
      <c r="W115" s="50"/>
      <c r="X115" s="49"/>
      <c r="Y115" s="51"/>
      <c r="Z115" s="49"/>
      <c r="AA115" s="49"/>
      <c r="AB115" s="49"/>
      <c r="AC115" s="49"/>
      <c r="AD115" s="49"/>
      <c r="AE115" s="49"/>
      <c r="AF115" s="49"/>
      <c r="AG115" s="49"/>
      <c r="AH115" s="49"/>
      <c r="AI115" s="49">
        <v>7990.08</v>
      </c>
      <c r="AJ115" s="49"/>
      <c r="AK115" s="49"/>
      <c r="AL115" s="49"/>
      <c r="AM115" s="49"/>
      <c r="AN115" s="49"/>
      <c r="AO115" s="49"/>
      <c r="AP115" s="49"/>
      <c r="AQ115" s="49"/>
      <c r="AR115" s="49"/>
      <c r="AS115" s="49"/>
      <c r="AT115" s="49"/>
      <c r="AU115" s="49"/>
      <c r="AV115" s="49"/>
      <c r="AW115" s="49"/>
      <c r="AX115" s="49"/>
      <c r="AY115" s="49"/>
      <c r="AZ115" s="49"/>
      <c r="BA115" s="33">
        <f t="shared" si="1"/>
        <v>-1.8189894035458565E-12</v>
      </c>
      <c r="BB115" s="268" t="s">
        <v>1947</v>
      </c>
    </row>
    <row r="116" spans="1:54" s="23" customFormat="1" ht="81" customHeight="1" x14ac:dyDescent="0.3">
      <c r="A116" s="26">
        <v>99</v>
      </c>
      <c r="B116" s="43" t="s">
        <v>1478</v>
      </c>
      <c r="C116" s="28"/>
      <c r="D116" s="329" t="s">
        <v>1479</v>
      </c>
      <c r="E116" s="332"/>
      <c r="F116" s="40" t="s">
        <v>30</v>
      </c>
      <c r="G116" s="234">
        <f>[1]DICIEMBRE!$BA$114</f>
        <v>0</v>
      </c>
      <c r="H116" s="31"/>
      <c r="I116" s="31"/>
      <c r="J116" s="32"/>
      <c r="K116" s="33"/>
      <c r="L116" s="32"/>
      <c r="M116" s="32"/>
      <c r="N116" s="32"/>
      <c r="O116" s="32"/>
      <c r="P116" s="31"/>
      <c r="Q116" s="31"/>
      <c r="R116" s="31"/>
      <c r="S116" s="34"/>
      <c r="T116" s="34">
        <f>(8000*0.16+8000)+4300*0.16+4300</f>
        <v>14268</v>
      </c>
      <c r="U116" s="34"/>
      <c r="V116" s="35"/>
      <c r="W116" s="54"/>
      <c r="X116" s="35"/>
      <c r="Y116" s="35"/>
      <c r="Z116" s="35"/>
      <c r="AA116" s="35"/>
      <c r="AB116" s="35"/>
      <c r="AC116" s="35"/>
      <c r="AD116" s="35"/>
      <c r="AE116" s="35"/>
      <c r="AF116" s="35"/>
      <c r="AG116" s="35"/>
      <c r="AH116" s="35"/>
      <c r="AI116" s="35"/>
      <c r="AJ116" s="35">
        <f>9280+4988</f>
        <v>14268</v>
      </c>
      <c r="AK116" s="35"/>
      <c r="AL116" s="35"/>
      <c r="AM116" s="35"/>
      <c r="AN116" s="35"/>
      <c r="AO116" s="35"/>
      <c r="AP116" s="35"/>
      <c r="AQ116" s="35"/>
      <c r="AR116" s="35"/>
      <c r="AS116" s="35"/>
      <c r="AT116" s="35"/>
      <c r="AU116" s="35"/>
      <c r="AV116" s="35"/>
      <c r="AW116" s="35"/>
      <c r="AX116" s="35"/>
      <c r="AY116" s="35"/>
      <c r="AZ116" s="35"/>
      <c r="BA116" s="33">
        <f t="shared" si="1"/>
        <v>0</v>
      </c>
      <c r="BB116" s="267" t="s">
        <v>1955</v>
      </c>
    </row>
    <row r="117" spans="1:54" s="23" customFormat="1" ht="81" customHeight="1" x14ac:dyDescent="0.3">
      <c r="A117" s="26">
        <v>100</v>
      </c>
      <c r="B117" s="43" t="s">
        <v>299</v>
      </c>
      <c r="C117" s="28"/>
      <c r="D117" s="298" t="s">
        <v>1951</v>
      </c>
      <c r="E117" s="128">
        <v>1</v>
      </c>
      <c r="F117" s="40"/>
      <c r="G117" s="234"/>
      <c r="H117" s="31"/>
      <c r="I117" s="31"/>
      <c r="J117" s="32"/>
      <c r="K117" s="33"/>
      <c r="L117" s="32"/>
      <c r="M117" s="32"/>
      <c r="N117" s="32"/>
      <c r="O117" s="32"/>
      <c r="P117" s="31"/>
      <c r="Q117" s="31"/>
      <c r="R117" s="31"/>
      <c r="S117" s="34"/>
      <c r="T117" s="34">
        <f>1986*0.16+1986</f>
        <v>2303.7600000000002</v>
      </c>
      <c r="U117" s="34"/>
      <c r="V117" s="35"/>
      <c r="W117" s="54"/>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v>2303.7600000000002</v>
      </c>
      <c r="AX117" s="35"/>
      <c r="AY117" s="35"/>
      <c r="AZ117" s="35"/>
      <c r="BA117" s="33">
        <f t="shared" si="1"/>
        <v>0</v>
      </c>
      <c r="BB117" s="267" t="s">
        <v>1952</v>
      </c>
    </row>
    <row r="118" spans="1:54" s="23" customFormat="1" ht="81" customHeight="1" x14ac:dyDescent="0.3">
      <c r="A118" s="26">
        <v>101</v>
      </c>
      <c r="B118" s="43" t="s">
        <v>1680</v>
      </c>
      <c r="C118" s="28"/>
      <c r="D118" s="26" t="s">
        <v>1681</v>
      </c>
      <c r="E118" s="128">
        <v>3</v>
      </c>
      <c r="F118" s="40"/>
      <c r="G118" s="112">
        <f>[1]DICIEMBRE!$BA$115</f>
        <v>5146.92</v>
      </c>
      <c r="H118" s="31"/>
      <c r="I118" s="31"/>
      <c r="J118" s="32"/>
      <c r="K118" s="33"/>
      <c r="L118" s="32"/>
      <c r="M118" s="32"/>
      <c r="N118" s="32"/>
      <c r="O118" s="32"/>
      <c r="P118" s="31"/>
      <c r="Q118" s="31"/>
      <c r="R118" s="31"/>
      <c r="S118" s="34"/>
      <c r="T118" s="34"/>
      <c r="U118" s="34"/>
      <c r="V118" s="35"/>
      <c r="W118" s="54"/>
      <c r="X118" s="35"/>
      <c r="Y118" s="35"/>
      <c r="Z118" s="35"/>
      <c r="AA118" s="35"/>
      <c r="AB118" s="35"/>
      <c r="AC118" s="35">
        <v>5146.92</v>
      </c>
      <c r="AD118" s="35"/>
      <c r="AE118" s="35"/>
      <c r="AF118" s="35"/>
      <c r="AG118" s="35"/>
      <c r="AH118" s="35"/>
      <c r="AI118" s="35"/>
      <c r="AJ118" s="35"/>
      <c r="AK118" s="35"/>
      <c r="AL118" s="35"/>
      <c r="AM118" s="35"/>
      <c r="AN118" s="35"/>
      <c r="AO118" s="35"/>
      <c r="AP118" s="35"/>
      <c r="AQ118" s="35"/>
      <c r="AR118" s="35"/>
      <c r="AS118" s="35"/>
      <c r="AT118" s="35"/>
      <c r="AU118" s="35"/>
      <c r="AV118" s="35"/>
      <c r="AW118" s="35"/>
      <c r="AX118" s="35"/>
      <c r="AY118" s="35"/>
      <c r="AZ118" s="35"/>
      <c r="BA118" s="33">
        <f t="shared" si="1"/>
        <v>0</v>
      </c>
      <c r="BB118" s="267"/>
    </row>
    <row r="119" spans="1:54" s="23" customFormat="1" ht="92.25" customHeight="1" x14ac:dyDescent="0.3">
      <c r="A119" s="26">
        <v>102</v>
      </c>
      <c r="B119" s="43" t="s">
        <v>1898</v>
      </c>
      <c r="C119" s="28"/>
      <c r="D119" s="303" t="s">
        <v>2077</v>
      </c>
      <c r="E119" s="346">
        <v>4</v>
      </c>
      <c r="F119" s="30"/>
      <c r="G119" s="234"/>
      <c r="H119" s="31"/>
      <c r="I119" s="31"/>
      <c r="J119" s="32"/>
      <c r="K119" s="32"/>
      <c r="L119" s="32"/>
      <c r="M119" s="32"/>
      <c r="N119" s="32"/>
      <c r="O119" s="33"/>
      <c r="P119" s="31"/>
      <c r="Q119" s="31"/>
      <c r="R119" s="31"/>
      <c r="S119" s="34">
        <f>(3000*0.16+3000)*E119</f>
        <v>13920</v>
      </c>
      <c r="T119" s="34">
        <f>(2099*0.16+2099)*4</f>
        <v>9739.36</v>
      </c>
      <c r="U119" s="34">
        <f>2000*0.16+2000</f>
        <v>2320</v>
      </c>
      <c r="V119" s="34"/>
      <c r="W119" s="34"/>
      <c r="X119" s="34"/>
      <c r="Y119" s="34"/>
      <c r="Z119" s="34"/>
      <c r="AA119" s="34"/>
      <c r="AB119" s="34"/>
      <c r="AC119" s="34"/>
      <c r="AD119" s="34"/>
      <c r="AE119" s="34">
        <v>21339.360000000001</v>
      </c>
      <c r="AF119" s="34"/>
      <c r="AG119" s="34"/>
      <c r="AH119" s="34"/>
      <c r="AI119" s="34"/>
      <c r="AJ119" s="34"/>
      <c r="AK119" s="38"/>
      <c r="AL119" s="34"/>
      <c r="AM119" s="34"/>
      <c r="AN119" s="34"/>
      <c r="AO119" s="34"/>
      <c r="AP119" s="34"/>
      <c r="AQ119" s="34"/>
      <c r="AR119" s="34"/>
      <c r="AS119" s="34"/>
      <c r="AT119" s="34"/>
      <c r="AU119" s="34"/>
      <c r="AV119" s="34"/>
      <c r="AW119" s="34"/>
      <c r="AX119" s="34"/>
      <c r="AY119" s="34"/>
      <c r="AZ119" s="34"/>
      <c r="BA119" s="33">
        <f>SUM(G119+S119+T119-U119-V119-W119-X119-Y119-Z119-AA119-AB119-AC119-AD119-AE119-AF119-AG119-AH119-AI119-AJ119-AK119-AL119-AM119-AN119-AO119-AP119-AQ119-AR119-AS119-AT119-AU119-AV119-AW119-AX119-AY119-AZ119)</f>
        <v>0</v>
      </c>
      <c r="BB119" s="43" t="s">
        <v>1902</v>
      </c>
    </row>
    <row r="120" spans="1:54" s="23" customFormat="1" ht="81" customHeight="1" x14ac:dyDescent="0.3">
      <c r="A120" s="26">
        <v>103</v>
      </c>
      <c r="B120" s="315" t="s">
        <v>1296</v>
      </c>
      <c r="C120" s="28"/>
      <c r="D120" s="30" t="s">
        <v>1599</v>
      </c>
      <c r="E120" s="274">
        <v>8</v>
      </c>
      <c r="F120" s="40"/>
      <c r="G120" s="234">
        <f>[1]DICIEMBRE!$BA$116</f>
        <v>7.9999999798019417E-4</v>
      </c>
      <c r="H120" s="31"/>
      <c r="I120" s="31"/>
      <c r="J120" s="32"/>
      <c r="K120" s="33"/>
      <c r="L120" s="32"/>
      <c r="M120" s="32"/>
      <c r="N120" s="32"/>
      <c r="O120" s="32"/>
      <c r="P120" s="31"/>
      <c r="Q120" s="31"/>
      <c r="R120" s="31"/>
      <c r="S120" s="34">
        <f>(993.68*0.16+993.68)*8</f>
        <v>9221.3503999999994</v>
      </c>
      <c r="T120" s="34"/>
      <c r="U120" s="34"/>
      <c r="V120" s="35"/>
      <c r="W120" s="54"/>
      <c r="X120" s="35"/>
      <c r="Y120" s="35"/>
      <c r="Z120" s="35"/>
      <c r="AA120" s="35"/>
      <c r="AB120" s="35"/>
      <c r="AC120" s="35"/>
      <c r="AD120" s="35"/>
      <c r="AE120" s="35"/>
      <c r="AF120" s="35"/>
      <c r="AG120" s="35"/>
      <c r="AH120" s="35"/>
      <c r="AI120" s="35"/>
      <c r="AJ120" s="35"/>
      <c r="AK120" s="35"/>
      <c r="AL120" s="35">
        <v>9221.35</v>
      </c>
      <c r="AM120" s="35"/>
      <c r="AN120" s="35"/>
      <c r="AO120" s="35"/>
      <c r="AP120" s="35"/>
      <c r="AQ120" s="35"/>
      <c r="AR120" s="35"/>
      <c r="AS120" s="35"/>
      <c r="AT120" s="35"/>
      <c r="AU120" s="35"/>
      <c r="AV120" s="35"/>
      <c r="AW120" s="35"/>
      <c r="AX120" s="35"/>
      <c r="AY120" s="35"/>
      <c r="AZ120" s="35"/>
      <c r="BA120" s="33">
        <f t="shared" si="1"/>
        <v>1.1999999969702912E-3</v>
      </c>
      <c r="BB120" s="267" t="s">
        <v>2002</v>
      </c>
    </row>
    <row r="121" spans="1:54" ht="99.75" customHeight="1" x14ac:dyDescent="0.35">
      <c r="A121" s="26">
        <v>104</v>
      </c>
      <c r="B121" s="27" t="s">
        <v>88</v>
      </c>
      <c r="C121" s="28" t="s">
        <v>89</v>
      </c>
      <c r="D121" s="300" t="s">
        <v>1520</v>
      </c>
      <c r="E121" s="125">
        <v>5</v>
      </c>
      <c r="F121" s="62" t="s">
        <v>30</v>
      </c>
      <c r="G121" s="112">
        <f>[1]DICIEMBRE!$BA$117</f>
        <v>0</v>
      </c>
      <c r="H121" s="45"/>
      <c r="I121" s="45"/>
      <c r="J121" s="32"/>
      <c r="K121" s="32"/>
      <c r="L121" s="32"/>
      <c r="M121" s="32"/>
      <c r="N121" s="336"/>
      <c r="O121" s="32"/>
      <c r="P121" s="31"/>
      <c r="Q121" s="31"/>
      <c r="R121" s="31"/>
      <c r="S121" s="47">
        <f>(300*0.16+300)*E121</f>
        <v>1740</v>
      </c>
      <c r="T121" s="47"/>
      <c r="U121" s="48"/>
      <c r="V121" s="49"/>
      <c r="W121" s="50"/>
      <c r="X121" s="49"/>
      <c r="Y121" s="49"/>
      <c r="Z121" s="49"/>
      <c r="AA121" s="49"/>
      <c r="AB121" s="70"/>
      <c r="AC121" s="49"/>
      <c r="AD121" s="49"/>
      <c r="AE121" s="49"/>
      <c r="AF121" s="49"/>
      <c r="AG121" s="49"/>
      <c r="AH121" s="49"/>
      <c r="AI121" s="49">
        <v>1740</v>
      </c>
      <c r="AJ121" s="49"/>
      <c r="AK121" s="49"/>
      <c r="AL121" s="49"/>
      <c r="AM121" s="49"/>
      <c r="AN121" s="49"/>
      <c r="AO121" s="49"/>
      <c r="AP121" s="49"/>
      <c r="AQ121" s="49"/>
      <c r="AR121" s="49"/>
      <c r="AS121" s="49"/>
      <c r="AT121" s="49"/>
      <c r="AU121" s="49"/>
      <c r="AV121" s="49"/>
      <c r="AW121" s="49"/>
      <c r="AX121" s="49"/>
      <c r="AY121" s="49"/>
      <c r="AZ121" s="49"/>
      <c r="BA121" s="33">
        <f t="shared" si="1"/>
        <v>0</v>
      </c>
      <c r="BB121" s="267"/>
    </row>
    <row r="122" spans="1:54" ht="78.75" customHeight="1" x14ac:dyDescent="0.35">
      <c r="A122" s="26">
        <v>105</v>
      </c>
      <c r="B122" s="43" t="s">
        <v>1080</v>
      </c>
      <c r="C122" s="28"/>
      <c r="D122" s="300" t="s">
        <v>1521</v>
      </c>
      <c r="E122" s="95">
        <v>1</v>
      </c>
      <c r="F122" s="62" t="s">
        <v>30</v>
      </c>
      <c r="G122" s="234">
        <f>[1]DICIEMBRE!$BA$118</f>
        <v>-250</v>
      </c>
      <c r="H122" s="45"/>
      <c r="I122" s="45"/>
      <c r="J122" s="32"/>
      <c r="K122" s="32"/>
      <c r="L122" s="336"/>
      <c r="M122" s="336"/>
      <c r="N122" s="32"/>
      <c r="O122" s="32"/>
      <c r="P122" s="33"/>
      <c r="Q122" s="31"/>
      <c r="R122" s="31"/>
      <c r="S122" s="47">
        <f>250*E122</f>
        <v>250</v>
      </c>
      <c r="T122" s="47"/>
      <c r="U122" s="48"/>
      <c r="V122" s="49"/>
      <c r="W122" s="50"/>
      <c r="X122" s="49"/>
      <c r="Y122" s="49"/>
      <c r="Z122" s="49"/>
      <c r="AA122" s="49"/>
      <c r="AB122" s="70"/>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33">
        <f t="shared" si="1"/>
        <v>0</v>
      </c>
      <c r="BB122" s="267" t="s">
        <v>1661</v>
      </c>
    </row>
    <row r="123" spans="1:54" ht="78.75" customHeight="1" x14ac:dyDescent="0.35">
      <c r="A123" s="26">
        <v>106</v>
      </c>
      <c r="B123" s="43" t="s">
        <v>1374</v>
      </c>
      <c r="C123" s="28"/>
      <c r="D123" s="298" t="s">
        <v>1522</v>
      </c>
      <c r="E123" s="95">
        <v>2</v>
      </c>
      <c r="F123" s="62" t="s">
        <v>30</v>
      </c>
      <c r="G123" s="112">
        <f>[1]DICIEMBRE!$BA$119</f>
        <v>-1.999999999998181E-2</v>
      </c>
      <c r="H123" s="45"/>
      <c r="I123" s="45"/>
      <c r="J123" s="32"/>
      <c r="K123" s="32"/>
      <c r="L123" s="336"/>
      <c r="M123" s="336"/>
      <c r="N123" s="32"/>
      <c r="O123" s="32"/>
      <c r="P123" s="31"/>
      <c r="Q123" s="31"/>
      <c r="R123" s="31"/>
      <c r="S123" s="47">
        <f>(300*0.16+300)*E123</f>
        <v>696</v>
      </c>
      <c r="T123" s="47"/>
      <c r="U123" s="48"/>
      <c r="V123" s="49"/>
      <c r="W123" s="50"/>
      <c r="X123" s="49"/>
      <c r="Y123" s="49"/>
      <c r="Z123" s="49"/>
      <c r="AA123" s="49"/>
      <c r="AB123" s="70">
        <v>696</v>
      </c>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33">
        <f t="shared" si="1"/>
        <v>-1.999999999998181E-2</v>
      </c>
      <c r="BB123" s="267"/>
    </row>
    <row r="124" spans="1:54" ht="78.75" customHeight="1" x14ac:dyDescent="0.35">
      <c r="A124" s="26">
        <v>107</v>
      </c>
      <c r="B124" s="43" t="s">
        <v>569</v>
      </c>
      <c r="C124" s="28"/>
      <c r="D124" s="300" t="s">
        <v>1169</v>
      </c>
      <c r="E124" s="95">
        <v>1</v>
      </c>
      <c r="F124" s="62" t="s">
        <v>30</v>
      </c>
      <c r="G124" s="234">
        <f>[1]DICIEMBRE!$BA$120</f>
        <v>1262</v>
      </c>
      <c r="H124" s="45"/>
      <c r="I124" s="45"/>
      <c r="J124" s="32"/>
      <c r="K124" s="33"/>
      <c r="L124" s="32"/>
      <c r="M124" s="32"/>
      <c r="N124" s="32"/>
      <c r="O124" s="33"/>
      <c r="P124" s="33"/>
      <c r="Q124" s="31"/>
      <c r="R124" s="31"/>
      <c r="S124" s="47">
        <f>(300*0.16+300)*E124</f>
        <v>348</v>
      </c>
      <c r="T124" s="47"/>
      <c r="U124" s="48"/>
      <c r="V124" s="49"/>
      <c r="W124" s="50"/>
      <c r="X124" s="49"/>
      <c r="Y124" s="49"/>
      <c r="Z124" s="49"/>
      <c r="AA124" s="49">
        <v>1610</v>
      </c>
      <c r="AB124" s="70"/>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33">
        <f t="shared" si="1"/>
        <v>0</v>
      </c>
      <c r="BB124" s="267"/>
    </row>
    <row r="125" spans="1:54" ht="69.75" customHeight="1" x14ac:dyDescent="0.35">
      <c r="A125" s="26">
        <v>108</v>
      </c>
      <c r="B125" s="27" t="s">
        <v>91</v>
      </c>
      <c r="C125" s="28" t="s">
        <v>92</v>
      </c>
      <c r="D125" s="304" t="s">
        <v>1170</v>
      </c>
      <c r="E125" s="95">
        <v>10</v>
      </c>
      <c r="F125" s="44" t="s">
        <v>30</v>
      </c>
      <c r="G125" s="112">
        <f>[1]DICIEMBRE!$BA$121</f>
        <v>0</v>
      </c>
      <c r="H125" s="45"/>
      <c r="I125" s="45"/>
      <c r="J125" s="32"/>
      <c r="K125" s="32"/>
      <c r="L125" s="32"/>
      <c r="M125" s="32"/>
      <c r="N125" s="336"/>
      <c r="O125" s="32"/>
      <c r="P125" s="31"/>
      <c r="Q125" s="31"/>
      <c r="R125" s="31"/>
      <c r="S125" s="47">
        <f>E125*300</f>
        <v>3000</v>
      </c>
      <c r="T125" s="47"/>
      <c r="U125" s="48"/>
      <c r="V125" s="49"/>
      <c r="W125" s="49"/>
      <c r="X125" s="49"/>
      <c r="Y125" s="49"/>
      <c r="Z125" s="49"/>
      <c r="AA125" s="49"/>
      <c r="AB125" s="49"/>
      <c r="AC125" s="69"/>
      <c r="AD125" s="49"/>
      <c r="AE125" s="49"/>
      <c r="AF125" s="49"/>
      <c r="AG125" s="49"/>
      <c r="AH125" s="49"/>
      <c r="AI125" s="49"/>
      <c r="AJ125" s="49">
        <v>3000</v>
      </c>
      <c r="AK125" s="49"/>
      <c r="AL125" s="49"/>
      <c r="AM125" s="49"/>
      <c r="AN125" s="49"/>
      <c r="AO125" s="49"/>
      <c r="AP125" s="49"/>
      <c r="AQ125" s="49"/>
      <c r="AR125" s="49"/>
      <c r="AS125" s="49"/>
      <c r="AT125" s="49"/>
      <c r="AU125" s="49"/>
      <c r="AV125" s="49"/>
      <c r="AW125" s="49"/>
      <c r="AX125" s="49"/>
      <c r="AY125" s="49"/>
      <c r="AZ125" s="49"/>
      <c r="BA125" s="33">
        <f t="shared" si="1"/>
        <v>0</v>
      </c>
      <c r="BB125" s="43"/>
    </row>
    <row r="126" spans="1:54" ht="28.5" customHeight="1" x14ac:dyDescent="0.35">
      <c r="A126" s="26">
        <v>109</v>
      </c>
      <c r="B126" s="43" t="s">
        <v>93</v>
      </c>
      <c r="C126" s="53" t="s">
        <v>94</v>
      </c>
      <c r="D126" s="298" t="s">
        <v>1523</v>
      </c>
      <c r="E126" s="95">
        <v>3</v>
      </c>
      <c r="F126" s="44" t="s">
        <v>30</v>
      </c>
      <c r="G126" s="234">
        <f>[1]DICIEMBRE!$BA$122</f>
        <v>-450</v>
      </c>
      <c r="H126" s="45"/>
      <c r="I126" s="45"/>
      <c r="J126" s="32"/>
      <c r="K126" s="32"/>
      <c r="L126" s="336"/>
      <c r="M126" s="336"/>
      <c r="N126" s="32"/>
      <c r="O126" s="32"/>
      <c r="P126" s="33"/>
      <c r="Q126" s="31"/>
      <c r="R126" s="31"/>
      <c r="S126" s="47">
        <f>250*E126</f>
        <v>750</v>
      </c>
      <c r="T126" s="47"/>
      <c r="U126" s="48"/>
      <c r="V126" s="50"/>
      <c r="W126" s="50"/>
      <c r="X126" s="49"/>
      <c r="Y126" s="49"/>
      <c r="Z126" s="49"/>
      <c r="AA126" s="49"/>
      <c r="AB126" s="49"/>
      <c r="AC126" s="49"/>
      <c r="AD126" s="49"/>
      <c r="AE126" s="49"/>
      <c r="AF126" s="49"/>
      <c r="AG126" s="49"/>
      <c r="AH126" s="49"/>
      <c r="AI126" s="49"/>
      <c r="AJ126" s="49"/>
      <c r="AK126" s="49"/>
      <c r="AL126" s="49"/>
      <c r="AM126" s="49">
        <v>750</v>
      </c>
      <c r="AN126" s="49"/>
      <c r="AO126" s="49"/>
      <c r="AP126" s="49"/>
      <c r="AQ126" s="49"/>
      <c r="AR126" s="49"/>
      <c r="AS126" s="49"/>
      <c r="AT126" s="49"/>
      <c r="AU126" s="49"/>
      <c r="AV126" s="49"/>
      <c r="AW126" s="49"/>
      <c r="AX126" s="49"/>
      <c r="AY126" s="49"/>
      <c r="AZ126" s="49"/>
      <c r="BA126" s="33">
        <f t="shared" si="1"/>
        <v>-450</v>
      </c>
      <c r="BB126" s="43"/>
    </row>
    <row r="127" spans="1:54" ht="45" customHeight="1" x14ac:dyDescent="0.35">
      <c r="A127" s="26">
        <v>110</v>
      </c>
      <c r="B127" s="43" t="s">
        <v>95</v>
      </c>
      <c r="C127" s="27" t="s">
        <v>96</v>
      </c>
      <c r="D127" s="298" t="s">
        <v>1647</v>
      </c>
      <c r="E127" s="95">
        <v>15</v>
      </c>
      <c r="F127" s="44" t="s">
        <v>30</v>
      </c>
      <c r="G127" s="112">
        <f>[1]DICIEMBRE!$BA$123</f>
        <v>-0.2000000000007276</v>
      </c>
      <c r="H127" s="45"/>
      <c r="I127" s="45"/>
      <c r="J127" s="32"/>
      <c r="K127" s="33"/>
      <c r="L127" s="32"/>
      <c r="M127" s="32"/>
      <c r="N127" s="32"/>
      <c r="O127" s="33"/>
      <c r="P127" s="31"/>
      <c r="Q127" s="31"/>
      <c r="R127" s="31"/>
      <c r="S127" s="47">
        <f>(300*0.16+300)*E127</f>
        <v>5220</v>
      </c>
      <c r="T127" s="47">
        <f>3730*0.16+3730</f>
        <v>4326.8</v>
      </c>
      <c r="U127" s="48"/>
      <c r="V127" s="50"/>
      <c r="W127" s="50"/>
      <c r="X127" s="49"/>
      <c r="Y127" s="49"/>
      <c r="Z127" s="49"/>
      <c r="AA127" s="49"/>
      <c r="AB127" s="49"/>
      <c r="AC127" s="49">
        <v>9546.7999999999993</v>
      </c>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33">
        <f t="shared" si="1"/>
        <v>-0.2000000000007276</v>
      </c>
      <c r="BB127" s="43" t="s">
        <v>1790</v>
      </c>
    </row>
    <row r="128" spans="1:54" ht="45" customHeight="1" x14ac:dyDescent="0.35">
      <c r="A128" s="26">
        <v>111</v>
      </c>
      <c r="B128" s="43" t="s">
        <v>1299</v>
      </c>
      <c r="C128" s="27"/>
      <c r="D128" s="300" t="s">
        <v>1524</v>
      </c>
      <c r="E128" s="95">
        <v>1</v>
      </c>
      <c r="F128" s="44" t="s">
        <v>30</v>
      </c>
      <c r="G128" s="234">
        <f>[1]DICIEMBRE!$BA$124</f>
        <v>0</v>
      </c>
      <c r="H128" s="45"/>
      <c r="I128" s="45"/>
      <c r="J128" s="32"/>
      <c r="K128" s="33"/>
      <c r="L128" s="32"/>
      <c r="M128" s="32"/>
      <c r="N128" s="32"/>
      <c r="O128" s="32"/>
      <c r="P128" s="33"/>
      <c r="Q128" s="31"/>
      <c r="R128" s="31"/>
      <c r="S128" s="47">
        <f>300*E128</f>
        <v>300</v>
      </c>
      <c r="T128" s="47"/>
      <c r="U128" s="48"/>
      <c r="V128" s="50"/>
      <c r="W128" s="50"/>
      <c r="X128" s="49"/>
      <c r="Y128" s="49"/>
      <c r="Z128" s="49"/>
      <c r="AA128" s="49"/>
      <c r="AB128" s="49"/>
      <c r="AC128" s="49"/>
      <c r="AD128" s="49"/>
      <c r="AE128" s="49"/>
      <c r="AF128" s="49"/>
      <c r="AG128" s="49"/>
      <c r="AH128" s="49">
        <v>300</v>
      </c>
      <c r="AI128" s="49"/>
      <c r="AJ128" s="49"/>
      <c r="AK128" s="49"/>
      <c r="AL128" s="49"/>
      <c r="AM128" s="49"/>
      <c r="AN128" s="49"/>
      <c r="AO128" s="49"/>
      <c r="AP128" s="49"/>
      <c r="AQ128" s="49"/>
      <c r="AR128" s="49"/>
      <c r="AS128" s="49"/>
      <c r="AT128" s="49"/>
      <c r="AU128" s="49"/>
      <c r="AV128" s="49"/>
      <c r="AW128" s="49"/>
      <c r="AX128" s="49"/>
      <c r="AY128" s="49"/>
      <c r="AZ128" s="49"/>
      <c r="BA128" s="33">
        <f t="shared" si="1"/>
        <v>0</v>
      </c>
      <c r="BB128" s="43"/>
    </row>
    <row r="129" spans="1:55" ht="45" customHeight="1" x14ac:dyDescent="0.35">
      <c r="A129" s="26">
        <v>112</v>
      </c>
      <c r="B129" s="43" t="s">
        <v>1279</v>
      </c>
      <c r="C129" s="27"/>
      <c r="D129" s="300" t="s">
        <v>1285</v>
      </c>
      <c r="E129" s="95">
        <v>1</v>
      </c>
      <c r="F129" s="44" t="s">
        <v>30</v>
      </c>
      <c r="G129" s="112">
        <f>[1]DICIEMBRE!$BA$125</f>
        <v>250</v>
      </c>
      <c r="H129" s="45"/>
      <c r="I129" s="45"/>
      <c r="J129" s="32"/>
      <c r="K129" s="33"/>
      <c r="L129" s="32"/>
      <c r="M129" s="32"/>
      <c r="N129" s="336"/>
      <c r="O129" s="33"/>
      <c r="P129" s="31"/>
      <c r="Q129" s="31"/>
      <c r="R129" s="31"/>
      <c r="S129" s="47">
        <f>250*E129</f>
        <v>250</v>
      </c>
      <c r="T129" s="47"/>
      <c r="U129" s="48"/>
      <c r="V129" s="50"/>
      <c r="W129" s="50"/>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33">
        <f t="shared" si="1"/>
        <v>500</v>
      </c>
      <c r="BB129" s="43"/>
    </row>
    <row r="130" spans="1:55" ht="45" customHeight="1" x14ac:dyDescent="0.35">
      <c r="A130" s="26">
        <v>113</v>
      </c>
      <c r="B130" s="43" t="s">
        <v>1963</v>
      </c>
      <c r="C130" s="27"/>
      <c r="D130" s="300" t="s">
        <v>1964</v>
      </c>
      <c r="E130" s="95">
        <v>1</v>
      </c>
      <c r="F130" s="44"/>
      <c r="G130" s="112"/>
      <c r="H130" s="45"/>
      <c r="I130" s="45"/>
      <c r="J130" s="32"/>
      <c r="K130" s="33"/>
      <c r="L130" s="32"/>
      <c r="M130" s="32"/>
      <c r="N130" s="336"/>
      <c r="O130" s="33"/>
      <c r="P130" s="31"/>
      <c r="Q130" s="31"/>
      <c r="R130" s="31"/>
      <c r="S130" s="47">
        <f>350*E130</f>
        <v>350</v>
      </c>
      <c r="T130" s="47">
        <v>1800</v>
      </c>
      <c r="U130" s="48"/>
      <c r="V130" s="50"/>
      <c r="W130" s="50"/>
      <c r="X130" s="49"/>
      <c r="Y130" s="49"/>
      <c r="Z130" s="49"/>
      <c r="AA130" s="49"/>
      <c r="AB130" s="49"/>
      <c r="AC130" s="49"/>
      <c r="AD130" s="49"/>
      <c r="AE130" s="49"/>
      <c r="AF130" s="49"/>
      <c r="AG130" s="49"/>
      <c r="AH130" s="49"/>
      <c r="AI130" s="49"/>
      <c r="AJ130" s="49"/>
      <c r="AK130" s="49"/>
      <c r="AL130" s="49"/>
      <c r="AM130" s="49"/>
      <c r="AN130" s="49"/>
      <c r="AO130" s="49"/>
      <c r="AP130" s="49"/>
      <c r="AQ130" s="49">
        <v>2150</v>
      </c>
      <c r="AR130" s="49"/>
      <c r="AS130" s="49"/>
      <c r="AT130" s="49"/>
      <c r="AU130" s="49"/>
      <c r="AV130" s="49"/>
      <c r="AW130" s="49"/>
      <c r="AX130" s="49"/>
      <c r="AY130" s="49"/>
      <c r="AZ130" s="49"/>
      <c r="BA130" s="33">
        <f t="shared" si="1"/>
        <v>0</v>
      </c>
      <c r="BB130" s="43" t="s">
        <v>1965</v>
      </c>
    </row>
    <row r="131" spans="1:55" ht="45" customHeight="1" x14ac:dyDescent="0.35">
      <c r="A131" s="26">
        <v>114</v>
      </c>
      <c r="B131" s="43" t="s">
        <v>1663</v>
      </c>
      <c r="C131" s="27"/>
      <c r="D131" s="300" t="s">
        <v>1664</v>
      </c>
      <c r="E131" s="95">
        <v>1</v>
      </c>
      <c r="F131" s="44"/>
      <c r="G131" s="112">
        <f>[1]DICIEMBRE!$BA$127</f>
        <v>0</v>
      </c>
      <c r="H131" s="45"/>
      <c r="I131" s="45"/>
      <c r="J131" s="32"/>
      <c r="K131" s="33"/>
      <c r="L131" s="32"/>
      <c r="M131" s="32"/>
      <c r="N131" s="32"/>
      <c r="O131" s="32"/>
      <c r="P131" s="33"/>
      <c r="Q131" s="31"/>
      <c r="R131" s="31"/>
      <c r="S131" s="47">
        <f>250*E131</f>
        <v>250</v>
      </c>
      <c r="T131" s="47"/>
      <c r="U131" s="48"/>
      <c r="V131" s="50"/>
      <c r="W131" s="50"/>
      <c r="X131" s="49"/>
      <c r="Y131" s="49"/>
      <c r="Z131" s="49">
        <v>250</v>
      </c>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v>250</v>
      </c>
      <c r="AZ131" s="49"/>
      <c r="BA131" s="33">
        <f t="shared" si="1"/>
        <v>-250</v>
      </c>
      <c r="BB131" s="43" t="s">
        <v>1970</v>
      </c>
    </row>
    <row r="132" spans="1:55" ht="45" customHeight="1" x14ac:dyDescent="0.35">
      <c r="A132" s="26">
        <v>115</v>
      </c>
      <c r="B132" s="43" t="s">
        <v>1597</v>
      </c>
      <c r="C132" s="27"/>
      <c r="D132" s="300" t="s">
        <v>1598</v>
      </c>
      <c r="E132" s="95">
        <v>1</v>
      </c>
      <c r="F132" s="44"/>
      <c r="G132" s="234">
        <f>[1]DICIEMBRE!$BA$128</f>
        <v>348</v>
      </c>
      <c r="H132" s="45"/>
      <c r="I132" s="45"/>
      <c r="J132" s="32"/>
      <c r="K132" s="33"/>
      <c r="L132" s="32"/>
      <c r="M132" s="32"/>
      <c r="N132" s="32"/>
      <c r="O132" s="32"/>
      <c r="P132" s="33"/>
      <c r="Q132" s="31"/>
      <c r="R132" s="31"/>
      <c r="S132" s="47"/>
      <c r="T132" s="47"/>
      <c r="U132" s="48"/>
      <c r="V132" s="50"/>
      <c r="W132" s="50"/>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33">
        <f t="shared" si="1"/>
        <v>348</v>
      </c>
      <c r="BB132" s="43" t="s">
        <v>456</v>
      </c>
    </row>
    <row r="133" spans="1:55" ht="45" customHeight="1" x14ac:dyDescent="0.35">
      <c r="A133" s="26">
        <v>116</v>
      </c>
      <c r="B133" s="43" t="s">
        <v>1571</v>
      </c>
      <c r="C133" s="27"/>
      <c r="D133" s="300" t="s">
        <v>1596</v>
      </c>
      <c r="E133" s="95"/>
      <c r="F133" s="44" t="s">
        <v>100</v>
      </c>
      <c r="G133" s="112">
        <f>[1]DICIEMBRE!$BA$129</f>
        <v>0</v>
      </c>
      <c r="H133" s="45"/>
      <c r="I133" s="45"/>
      <c r="J133" s="32"/>
      <c r="K133" s="33"/>
      <c r="L133" s="32"/>
      <c r="M133" s="32"/>
      <c r="N133" s="32"/>
      <c r="O133" s="32"/>
      <c r="P133" s="33"/>
      <c r="Q133" s="31"/>
      <c r="R133" s="31"/>
      <c r="S133" s="47">
        <f>150*E133</f>
        <v>0</v>
      </c>
      <c r="T133" s="47"/>
      <c r="U133" s="48"/>
      <c r="V133" s="50"/>
      <c r="W133" s="50"/>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33">
        <f t="shared" si="1"/>
        <v>0</v>
      </c>
      <c r="BB133" s="43" t="s">
        <v>1776</v>
      </c>
    </row>
    <row r="134" spans="1:55" ht="45" customHeight="1" x14ac:dyDescent="0.35">
      <c r="A134" s="26">
        <v>117</v>
      </c>
      <c r="B134" s="43" t="s">
        <v>1280</v>
      </c>
      <c r="C134" s="27"/>
      <c r="D134" s="298" t="s">
        <v>1525</v>
      </c>
      <c r="E134" s="95">
        <v>1</v>
      </c>
      <c r="F134" s="44" t="s">
        <v>30</v>
      </c>
      <c r="G134" s="234">
        <f>[1]DICIEMBRE!$BA$130</f>
        <v>0</v>
      </c>
      <c r="H134" s="45"/>
      <c r="I134" s="45"/>
      <c r="J134" s="32"/>
      <c r="K134" s="33"/>
      <c r="L134" s="32"/>
      <c r="M134" s="32"/>
      <c r="N134" s="32"/>
      <c r="O134" s="32"/>
      <c r="P134" s="31"/>
      <c r="Q134" s="31"/>
      <c r="R134" s="31"/>
      <c r="S134" s="47">
        <f>250*E134</f>
        <v>250</v>
      </c>
      <c r="T134" s="47"/>
      <c r="U134" s="48"/>
      <c r="V134" s="50"/>
      <c r="W134" s="50"/>
      <c r="X134" s="49"/>
      <c r="Y134" s="49"/>
      <c r="Z134" s="49"/>
      <c r="AA134" s="49"/>
      <c r="AB134" s="49"/>
      <c r="AC134" s="49"/>
      <c r="AD134" s="49"/>
      <c r="AE134" s="49"/>
      <c r="AF134" s="49"/>
      <c r="AG134" s="49"/>
      <c r="AH134" s="49"/>
      <c r="AI134" s="49">
        <v>250</v>
      </c>
      <c r="AJ134" s="49"/>
      <c r="AK134" s="49"/>
      <c r="AL134" s="49"/>
      <c r="AM134" s="49"/>
      <c r="AN134" s="49"/>
      <c r="AO134" s="49"/>
      <c r="AP134" s="49"/>
      <c r="AQ134" s="49"/>
      <c r="AR134" s="49"/>
      <c r="AS134" s="49"/>
      <c r="AT134" s="49"/>
      <c r="AU134" s="49"/>
      <c r="AV134" s="49"/>
      <c r="AW134" s="49"/>
      <c r="AX134" s="49"/>
      <c r="AY134" s="49"/>
      <c r="AZ134" s="49"/>
      <c r="BA134" s="33">
        <f t="shared" si="1"/>
        <v>0</v>
      </c>
      <c r="BB134" s="43"/>
    </row>
    <row r="135" spans="1:55" ht="45" customHeight="1" x14ac:dyDescent="0.35">
      <c r="A135" s="26">
        <v>118</v>
      </c>
      <c r="B135" s="43" t="s">
        <v>1240</v>
      </c>
      <c r="C135" s="27"/>
      <c r="D135" s="300" t="s">
        <v>1526</v>
      </c>
      <c r="E135" s="95">
        <v>1</v>
      </c>
      <c r="F135" s="44" t="s">
        <v>30</v>
      </c>
      <c r="G135" s="112">
        <f>[1]DICIEMBRE!$BA$131</f>
        <v>0</v>
      </c>
      <c r="H135" s="45"/>
      <c r="I135" s="45"/>
      <c r="J135" s="32"/>
      <c r="K135" s="33"/>
      <c r="L135" s="32"/>
      <c r="M135" s="336"/>
      <c r="N135" s="336"/>
      <c r="O135" s="33"/>
      <c r="P135" s="33"/>
      <c r="Q135" s="31"/>
      <c r="R135" s="31"/>
      <c r="S135" s="47">
        <f>250+900</f>
        <v>1150</v>
      </c>
      <c r="T135" s="47"/>
      <c r="U135" s="48"/>
      <c r="V135" s="50"/>
      <c r="W135" s="50"/>
      <c r="X135" s="49"/>
      <c r="Y135" s="49"/>
      <c r="Z135" s="49"/>
      <c r="AA135" s="49"/>
      <c r="AB135" s="49">
        <v>1150</v>
      </c>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33">
        <f t="shared" si="1"/>
        <v>0</v>
      </c>
      <c r="BB135" s="43"/>
    </row>
    <row r="136" spans="1:55" ht="45" customHeight="1" x14ac:dyDescent="0.35">
      <c r="A136" s="26">
        <v>119</v>
      </c>
      <c r="B136" s="43" t="s">
        <v>2069</v>
      </c>
      <c r="C136" s="27"/>
      <c r="D136" s="300" t="s">
        <v>2070</v>
      </c>
      <c r="E136" s="95">
        <v>1</v>
      </c>
      <c r="F136" s="44" t="s">
        <v>100</v>
      </c>
      <c r="G136" s="112"/>
      <c r="H136" s="45"/>
      <c r="I136" s="45"/>
      <c r="J136" s="32"/>
      <c r="K136" s="33"/>
      <c r="L136" s="32"/>
      <c r="M136" s="336"/>
      <c r="N136" s="336"/>
      <c r="O136" s="33"/>
      <c r="P136" s="33"/>
      <c r="Q136" s="31"/>
      <c r="R136" s="31"/>
      <c r="S136" s="47">
        <f>350*E136</f>
        <v>350</v>
      </c>
      <c r="T136" s="47">
        <v>1800</v>
      </c>
      <c r="U136" s="48"/>
      <c r="V136" s="50"/>
      <c r="W136" s="50"/>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v>2150</v>
      </c>
      <c r="AZ136" s="49"/>
      <c r="BA136" s="33">
        <f t="shared" si="1"/>
        <v>0</v>
      </c>
      <c r="BB136" s="43" t="s">
        <v>2071</v>
      </c>
      <c r="BC136" s="359" t="s">
        <v>2072</v>
      </c>
    </row>
    <row r="137" spans="1:55" ht="45" customHeight="1" x14ac:dyDescent="0.35">
      <c r="A137" s="26">
        <v>120</v>
      </c>
      <c r="B137" s="43" t="s">
        <v>896</v>
      </c>
      <c r="C137" s="27"/>
      <c r="D137" s="300" t="s">
        <v>890</v>
      </c>
      <c r="E137" s="95">
        <v>1</v>
      </c>
      <c r="F137" s="44" t="s">
        <v>30</v>
      </c>
      <c r="G137" s="234"/>
      <c r="H137" s="45"/>
      <c r="I137" s="45"/>
      <c r="J137" s="32"/>
      <c r="K137" s="32"/>
      <c r="L137" s="32"/>
      <c r="M137" s="32"/>
      <c r="N137" s="32"/>
      <c r="O137" s="32"/>
      <c r="P137" s="31"/>
      <c r="Q137" s="31"/>
      <c r="R137" s="31"/>
      <c r="S137" s="47"/>
      <c r="T137" s="47"/>
      <c r="U137" s="48"/>
      <c r="V137" s="50"/>
      <c r="W137" s="50"/>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33">
        <f t="shared" si="1"/>
        <v>0</v>
      </c>
      <c r="BB137" s="43" t="s">
        <v>1971</v>
      </c>
    </row>
    <row r="138" spans="1:55" ht="34.5" customHeight="1" x14ac:dyDescent="0.35">
      <c r="A138" s="26">
        <v>121</v>
      </c>
      <c r="B138" s="43" t="s">
        <v>513</v>
      </c>
      <c r="C138" s="28"/>
      <c r="D138" s="300" t="s">
        <v>1527</v>
      </c>
      <c r="E138" s="95">
        <v>1</v>
      </c>
      <c r="F138" s="44" t="s">
        <v>30</v>
      </c>
      <c r="G138" s="112">
        <f>[1]DICIEMBRE!$BA$133</f>
        <v>2250</v>
      </c>
      <c r="H138" s="45"/>
      <c r="I138" s="45"/>
      <c r="J138" s="32"/>
      <c r="K138" s="33"/>
      <c r="L138" s="32"/>
      <c r="M138" s="336"/>
      <c r="N138" s="336"/>
      <c r="O138" s="33"/>
      <c r="P138" s="31"/>
      <c r="Q138" s="31"/>
      <c r="R138" s="31"/>
      <c r="S138" s="47"/>
      <c r="T138" s="47"/>
      <c r="U138" s="48"/>
      <c r="V138" s="49"/>
      <c r="W138" s="49"/>
      <c r="X138" s="49"/>
      <c r="Y138" s="49"/>
      <c r="Z138" s="49"/>
      <c r="AA138" s="49"/>
      <c r="AB138" s="49"/>
      <c r="AC138" s="50"/>
      <c r="AD138" s="49"/>
      <c r="AE138" s="49"/>
      <c r="AF138" s="49"/>
      <c r="AG138" s="49"/>
      <c r="AH138" s="51"/>
      <c r="AI138" s="49"/>
      <c r="AJ138" s="49"/>
      <c r="AK138" s="49"/>
      <c r="AL138" s="49"/>
      <c r="AM138" s="49"/>
      <c r="AN138" s="49"/>
      <c r="AO138" s="49"/>
      <c r="AP138" s="49"/>
      <c r="AQ138" s="49"/>
      <c r="AR138" s="49"/>
      <c r="AS138" s="49"/>
      <c r="AT138" s="49"/>
      <c r="AU138" s="49"/>
      <c r="AV138" s="49"/>
      <c r="AW138" s="49"/>
      <c r="AX138" s="49"/>
      <c r="AY138" s="49"/>
      <c r="AZ138" s="49"/>
      <c r="BA138" s="33">
        <f t="shared" si="1"/>
        <v>2250</v>
      </c>
      <c r="BB138" s="43" t="s">
        <v>456</v>
      </c>
    </row>
    <row r="139" spans="1:55" ht="60.75" customHeight="1" x14ac:dyDescent="0.35">
      <c r="A139" s="26">
        <v>122</v>
      </c>
      <c r="B139" s="43" t="s">
        <v>1582</v>
      </c>
      <c r="C139" s="27"/>
      <c r="D139" s="300" t="s">
        <v>1577</v>
      </c>
      <c r="E139" s="95">
        <v>1</v>
      </c>
      <c r="F139" s="44" t="s">
        <v>30</v>
      </c>
      <c r="G139" s="234">
        <f>[1]DICIEMBRE!$BA$134</f>
        <v>0</v>
      </c>
      <c r="H139" s="45"/>
      <c r="I139" s="45"/>
      <c r="J139" s="32"/>
      <c r="K139" s="32"/>
      <c r="L139" s="32"/>
      <c r="M139" s="336"/>
      <c r="N139" s="336"/>
      <c r="O139" s="32"/>
      <c r="P139" s="33"/>
      <c r="Q139" s="31"/>
      <c r="R139" s="31"/>
      <c r="S139" s="47">
        <f>(300*0.16+300)*E139</f>
        <v>348</v>
      </c>
      <c r="T139" s="47"/>
      <c r="U139" s="48"/>
      <c r="V139" s="49"/>
      <c r="W139" s="49"/>
      <c r="X139" s="49"/>
      <c r="Y139" s="49"/>
      <c r="Z139" s="49"/>
      <c r="AA139" s="49">
        <v>300</v>
      </c>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33">
        <f t="shared" si="1"/>
        <v>48</v>
      </c>
      <c r="BB139" s="43"/>
    </row>
    <row r="140" spans="1:55" ht="38.25" customHeight="1" x14ac:dyDescent="0.35">
      <c r="A140" s="26">
        <v>123</v>
      </c>
      <c r="B140" s="27" t="s">
        <v>98</v>
      </c>
      <c r="C140" s="28" t="s">
        <v>99</v>
      </c>
      <c r="D140" s="300" t="s">
        <v>1528</v>
      </c>
      <c r="E140" s="95">
        <v>2</v>
      </c>
      <c r="F140" s="44" t="s">
        <v>100</v>
      </c>
      <c r="G140" s="112">
        <f>[1]DICIEMBRE!$BA$135</f>
        <v>0</v>
      </c>
      <c r="H140" s="45"/>
      <c r="I140" s="45"/>
      <c r="J140" s="32"/>
      <c r="K140" s="32"/>
      <c r="L140" s="32"/>
      <c r="M140" s="32"/>
      <c r="N140" s="32"/>
      <c r="O140" s="32"/>
      <c r="P140" s="33"/>
      <c r="Q140" s="31"/>
      <c r="R140" s="31"/>
      <c r="S140" s="47">
        <f>300*E140</f>
        <v>600</v>
      </c>
      <c r="T140" s="47"/>
      <c r="U140" s="48"/>
      <c r="V140" s="49"/>
      <c r="W140" s="49"/>
      <c r="X140" s="49"/>
      <c r="Y140" s="49"/>
      <c r="Z140" s="49"/>
      <c r="AA140" s="49"/>
      <c r="AB140" s="49"/>
      <c r="AC140" s="50"/>
      <c r="AD140" s="49"/>
      <c r="AE140" s="49"/>
      <c r="AF140" s="49"/>
      <c r="AG140" s="49"/>
      <c r="AH140" s="51"/>
      <c r="AI140" s="49"/>
      <c r="AJ140" s="49"/>
      <c r="AK140" s="49"/>
      <c r="AL140" s="49"/>
      <c r="AM140" s="49"/>
      <c r="AN140" s="49"/>
      <c r="AO140" s="49"/>
      <c r="AP140" s="49"/>
      <c r="AQ140" s="49"/>
      <c r="AR140" s="49"/>
      <c r="AS140" s="49"/>
      <c r="AT140" s="49"/>
      <c r="AU140" s="49"/>
      <c r="AV140" s="49"/>
      <c r="AW140" s="49"/>
      <c r="AX140" s="49"/>
      <c r="AY140" s="49"/>
      <c r="AZ140" s="49"/>
      <c r="BA140" s="33">
        <f t="shared" si="1"/>
        <v>600</v>
      </c>
      <c r="BB140" s="43"/>
    </row>
    <row r="141" spans="1:55" ht="38.25" customHeight="1" x14ac:dyDescent="0.35">
      <c r="A141" s="26">
        <v>124</v>
      </c>
      <c r="B141" s="43" t="s">
        <v>1561</v>
      </c>
      <c r="C141" s="28"/>
      <c r="D141" s="300" t="s">
        <v>1562</v>
      </c>
      <c r="E141" s="95">
        <v>1</v>
      </c>
      <c r="F141" s="44" t="s">
        <v>30</v>
      </c>
      <c r="G141" s="234">
        <f>[1]DICIEMBRE!$BA$136</f>
        <v>-52</v>
      </c>
      <c r="H141" s="45"/>
      <c r="I141" s="45"/>
      <c r="J141" s="32"/>
      <c r="K141" s="32"/>
      <c r="L141" s="32"/>
      <c r="M141" s="32"/>
      <c r="N141" s="32"/>
      <c r="O141" s="32"/>
      <c r="P141" s="33"/>
      <c r="Q141" s="31"/>
      <c r="R141" s="31"/>
      <c r="S141" s="47">
        <f>299*E141</f>
        <v>299</v>
      </c>
      <c r="T141" s="47"/>
      <c r="U141" s="48"/>
      <c r="V141" s="49"/>
      <c r="W141" s="49"/>
      <c r="X141" s="49"/>
      <c r="Y141" s="49"/>
      <c r="Z141" s="49"/>
      <c r="AA141" s="49"/>
      <c r="AB141" s="49"/>
      <c r="AC141" s="50"/>
      <c r="AD141" s="49"/>
      <c r="AE141" s="49"/>
      <c r="AF141" s="49"/>
      <c r="AG141" s="49"/>
      <c r="AH141" s="51"/>
      <c r="AI141" s="49"/>
      <c r="AJ141" s="49"/>
      <c r="AK141" s="49"/>
      <c r="AL141" s="49"/>
      <c r="AM141" s="49"/>
      <c r="AN141" s="49"/>
      <c r="AO141" s="49"/>
      <c r="AP141" s="49"/>
      <c r="AQ141" s="49">
        <v>600</v>
      </c>
      <c r="AR141" s="49"/>
      <c r="AS141" s="49"/>
      <c r="AT141" s="49"/>
      <c r="AU141" s="49"/>
      <c r="AV141" s="49"/>
      <c r="AW141" s="49"/>
      <c r="AX141" s="49"/>
      <c r="AY141" s="49"/>
      <c r="AZ141" s="49"/>
      <c r="BA141" s="33">
        <f t="shared" si="1"/>
        <v>-353</v>
      </c>
      <c r="BB141" s="43" t="s">
        <v>1970</v>
      </c>
    </row>
    <row r="142" spans="1:55" ht="37.5" customHeight="1" x14ac:dyDescent="0.35">
      <c r="A142" s="26">
        <v>125</v>
      </c>
      <c r="B142" s="27" t="s">
        <v>101</v>
      </c>
      <c r="C142" s="28" t="s">
        <v>102</v>
      </c>
      <c r="D142" s="300" t="s">
        <v>1171</v>
      </c>
      <c r="E142" s="95">
        <v>1</v>
      </c>
      <c r="F142" s="44" t="s">
        <v>30</v>
      </c>
      <c r="G142" s="112">
        <f>[1]DICIEMBRE!$BA$137</f>
        <v>300</v>
      </c>
      <c r="H142" s="45"/>
      <c r="I142" s="45"/>
      <c r="J142" s="32"/>
      <c r="K142" s="32"/>
      <c r="L142" s="32"/>
      <c r="M142" s="336"/>
      <c r="N142" s="336"/>
      <c r="O142" s="33"/>
      <c r="P142" s="33"/>
      <c r="Q142" s="31"/>
      <c r="R142" s="31"/>
      <c r="S142" s="47">
        <f>300*E142</f>
        <v>300</v>
      </c>
      <c r="T142" s="47"/>
      <c r="U142" s="48"/>
      <c r="V142" s="49"/>
      <c r="W142" s="49"/>
      <c r="X142" s="49"/>
      <c r="Y142" s="49"/>
      <c r="Z142" s="49"/>
      <c r="AA142" s="49"/>
      <c r="AB142" s="49"/>
      <c r="AC142" s="49"/>
      <c r="AD142" s="49"/>
      <c r="AE142" s="50"/>
      <c r="AF142" s="49"/>
      <c r="AG142" s="49"/>
      <c r="AH142" s="49"/>
      <c r="AI142" s="49"/>
      <c r="AJ142" s="49"/>
      <c r="AK142" s="49"/>
      <c r="AL142" s="49"/>
      <c r="AM142" s="49">
        <v>600</v>
      </c>
      <c r="AN142" s="49"/>
      <c r="AO142" s="49"/>
      <c r="AP142" s="49"/>
      <c r="AQ142" s="49"/>
      <c r="AR142" s="49"/>
      <c r="AS142" s="49"/>
      <c r="AT142" s="49"/>
      <c r="AU142" s="49"/>
      <c r="AV142" s="49"/>
      <c r="AW142" s="49"/>
      <c r="AX142" s="49"/>
      <c r="AY142" s="49"/>
      <c r="AZ142" s="49"/>
      <c r="BA142" s="33">
        <f t="shared" si="1"/>
        <v>0</v>
      </c>
      <c r="BB142" s="43"/>
    </row>
    <row r="143" spans="1:55" ht="46.5" customHeight="1" x14ac:dyDescent="0.35">
      <c r="A143" s="26">
        <v>126</v>
      </c>
      <c r="B143" s="43" t="s">
        <v>1389</v>
      </c>
      <c r="C143" s="28"/>
      <c r="D143" s="298" t="s">
        <v>1529</v>
      </c>
      <c r="E143" s="95">
        <v>2</v>
      </c>
      <c r="F143" s="44" t="s">
        <v>30</v>
      </c>
      <c r="G143" s="234">
        <f>[1]DICIEMBRE!$BA$138</f>
        <v>0</v>
      </c>
      <c r="H143" s="45"/>
      <c r="I143" s="45"/>
      <c r="J143" s="32"/>
      <c r="K143" s="32"/>
      <c r="L143" s="32"/>
      <c r="M143" s="336"/>
      <c r="N143" s="336"/>
      <c r="O143" s="33"/>
      <c r="P143" s="31"/>
      <c r="Q143" s="31"/>
      <c r="R143" s="31"/>
      <c r="S143" s="47">
        <f>300*E143</f>
        <v>600</v>
      </c>
      <c r="T143" s="47"/>
      <c r="U143" s="48"/>
      <c r="V143" s="49"/>
      <c r="W143" s="49"/>
      <c r="X143" s="49"/>
      <c r="Y143" s="49"/>
      <c r="Z143" s="49"/>
      <c r="AA143" s="49"/>
      <c r="AB143" s="49"/>
      <c r="AC143" s="49"/>
      <c r="AD143" s="49"/>
      <c r="AE143" s="50">
        <v>600</v>
      </c>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33">
        <f t="shared" si="1"/>
        <v>0</v>
      </c>
      <c r="BB143" s="43"/>
    </row>
    <row r="144" spans="1:55" ht="38.25" customHeight="1" x14ac:dyDescent="0.35">
      <c r="A144" s="26">
        <v>127</v>
      </c>
      <c r="B144" s="27" t="s">
        <v>103</v>
      </c>
      <c r="C144" s="28" t="s">
        <v>104</v>
      </c>
      <c r="D144" s="298" t="s">
        <v>1530</v>
      </c>
      <c r="E144" s="95">
        <v>1</v>
      </c>
      <c r="F144" s="44" t="s">
        <v>30</v>
      </c>
      <c r="G144" s="112">
        <f>[1]DICIEMBRE!$BA$139</f>
        <v>0</v>
      </c>
      <c r="H144" s="45"/>
      <c r="I144" s="45"/>
      <c r="J144" s="32"/>
      <c r="K144" s="33"/>
      <c r="L144" s="336"/>
      <c r="M144" s="32"/>
      <c r="N144" s="32"/>
      <c r="O144" s="32"/>
      <c r="P144" s="33"/>
      <c r="Q144" s="31"/>
      <c r="R144" s="31"/>
      <c r="S144" s="47">
        <f>300*E144</f>
        <v>300</v>
      </c>
      <c r="T144" s="47"/>
      <c r="U144" s="48"/>
      <c r="V144" s="49"/>
      <c r="W144" s="49"/>
      <c r="X144" s="49"/>
      <c r="Y144" s="49"/>
      <c r="Z144" s="49">
        <v>300</v>
      </c>
      <c r="AA144" s="49"/>
      <c r="AB144" s="50"/>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v>300</v>
      </c>
      <c r="AZ144" s="49"/>
      <c r="BA144" s="33">
        <f t="shared" si="1"/>
        <v>-300</v>
      </c>
      <c r="BB144" s="43" t="s">
        <v>1970</v>
      </c>
    </row>
    <row r="145" spans="1:55" ht="52.5" customHeight="1" x14ac:dyDescent="0.35">
      <c r="A145" s="26">
        <v>128</v>
      </c>
      <c r="B145" s="43" t="s">
        <v>1461</v>
      </c>
      <c r="C145" s="28"/>
      <c r="D145" s="300" t="s">
        <v>1462</v>
      </c>
      <c r="E145" s="95">
        <v>2</v>
      </c>
      <c r="F145" s="44" t="s">
        <v>30</v>
      </c>
      <c r="G145" s="234">
        <f>[1]DICIEMBRE!$BA$140</f>
        <v>0</v>
      </c>
      <c r="H145" s="45"/>
      <c r="I145" s="45"/>
      <c r="J145" s="32"/>
      <c r="K145" s="33"/>
      <c r="L145" s="336"/>
      <c r="M145" s="32"/>
      <c r="N145" s="32"/>
      <c r="O145" s="32"/>
      <c r="P145" s="33"/>
      <c r="Q145" s="31"/>
      <c r="R145" s="31"/>
      <c r="S145" s="47">
        <f>900*E145</f>
        <v>1800</v>
      </c>
      <c r="T145" s="47"/>
      <c r="U145" s="48"/>
      <c r="V145" s="49"/>
      <c r="W145" s="49"/>
      <c r="X145" s="49"/>
      <c r="Y145" s="49"/>
      <c r="Z145" s="49"/>
      <c r="AA145" s="49">
        <v>1800</v>
      </c>
      <c r="AB145" s="50"/>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33">
        <f t="shared" si="1"/>
        <v>0</v>
      </c>
      <c r="BB145" s="43"/>
    </row>
    <row r="146" spans="1:55" ht="38.25" customHeight="1" x14ac:dyDescent="0.35">
      <c r="A146" s="26">
        <v>129</v>
      </c>
      <c r="B146" s="43" t="s">
        <v>1043</v>
      </c>
      <c r="C146" s="28"/>
      <c r="D146" s="300" t="s">
        <v>1172</v>
      </c>
      <c r="E146" s="95">
        <v>6</v>
      </c>
      <c r="F146" s="44" t="s">
        <v>30</v>
      </c>
      <c r="G146" s="112">
        <f>[1]DICIEMBRE!$BA$141</f>
        <v>0</v>
      </c>
      <c r="H146" s="45"/>
      <c r="I146" s="45"/>
      <c r="J146" s="32"/>
      <c r="K146" s="32"/>
      <c r="L146" s="32"/>
      <c r="M146" s="336"/>
      <c r="N146" s="32"/>
      <c r="O146" s="32"/>
      <c r="P146" s="31"/>
      <c r="Q146" s="31"/>
      <c r="R146" s="31"/>
      <c r="S146" s="47">
        <f>250*E146</f>
        <v>1500</v>
      </c>
      <c r="T146" s="47"/>
      <c r="U146" s="48"/>
      <c r="V146" s="49"/>
      <c r="W146" s="49"/>
      <c r="X146" s="49"/>
      <c r="Y146" s="49"/>
      <c r="Z146" s="49"/>
      <c r="AA146" s="49"/>
      <c r="AB146" s="50"/>
      <c r="AC146" s="49"/>
      <c r="AD146" s="49"/>
      <c r="AE146" s="49"/>
      <c r="AF146" s="49"/>
      <c r="AG146" s="49"/>
      <c r="AH146" s="49"/>
      <c r="AI146" s="49"/>
      <c r="AJ146" s="49">
        <v>1500</v>
      </c>
      <c r="AK146" s="49"/>
      <c r="AL146" s="49"/>
      <c r="AM146" s="49"/>
      <c r="AN146" s="49"/>
      <c r="AO146" s="49"/>
      <c r="AP146" s="49"/>
      <c r="AQ146" s="49"/>
      <c r="AR146" s="49"/>
      <c r="AS146" s="49"/>
      <c r="AT146" s="49"/>
      <c r="AU146" s="49"/>
      <c r="AV146" s="49"/>
      <c r="AW146" s="49"/>
      <c r="AX146" s="49"/>
      <c r="AY146" s="49"/>
      <c r="AZ146" s="49"/>
      <c r="BA146" s="33">
        <f t="shared" si="1"/>
        <v>0</v>
      </c>
      <c r="BB146" s="43"/>
    </row>
    <row r="147" spans="1:55" ht="38.25" customHeight="1" x14ac:dyDescent="0.35">
      <c r="A147" s="26">
        <v>130</v>
      </c>
      <c r="B147" s="43" t="s">
        <v>1440</v>
      </c>
      <c r="C147" s="28"/>
      <c r="D147" s="298" t="s">
        <v>1531</v>
      </c>
      <c r="E147" s="95">
        <v>1</v>
      </c>
      <c r="F147" s="44" t="s">
        <v>30</v>
      </c>
      <c r="G147" s="234">
        <f>[1]DICIEMBRE!$BA$142</f>
        <v>0</v>
      </c>
      <c r="H147" s="45"/>
      <c r="I147" s="45"/>
      <c r="J147" s="32"/>
      <c r="K147" s="32"/>
      <c r="L147" s="32"/>
      <c r="M147" s="336"/>
      <c r="N147" s="32"/>
      <c r="O147" s="32"/>
      <c r="P147" s="31"/>
      <c r="Q147" s="31"/>
      <c r="R147" s="31"/>
      <c r="S147" s="47">
        <f>300*E147</f>
        <v>300</v>
      </c>
      <c r="T147" s="47"/>
      <c r="U147" s="48"/>
      <c r="V147" s="49"/>
      <c r="W147" s="49"/>
      <c r="X147" s="49"/>
      <c r="Y147" s="49"/>
      <c r="Z147" s="49"/>
      <c r="AA147" s="49">
        <v>300</v>
      </c>
      <c r="AB147" s="50"/>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33">
        <f t="shared" si="1"/>
        <v>0</v>
      </c>
      <c r="BB147" s="43"/>
    </row>
    <row r="148" spans="1:55" ht="38.25" customHeight="1" x14ac:dyDescent="0.35">
      <c r="A148" s="26">
        <v>131</v>
      </c>
      <c r="B148" s="43" t="s">
        <v>105</v>
      </c>
      <c r="C148" s="53" t="s">
        <v>106</v>
      </c>
      <c r="D148" s="298" t="s">
        <v>1533</v>
      </c>
      <c r="E148" s="96">
        <v>3</v>
      </c>
      <c r="F148" s="44" t="s">
        <v>30</v>
      </c>
      <c r="G148" s="112">
        <f>[1]DICIEMBRE!$BA$143</f>
        <v>0</v>
      </c>
      <c r="H148" s="45"/>
      <c r="I148" s="45"/>
      <c r="J148" s="32"/>
      <c r="K148" s="32"/>
      <c r="L148" s="32"/>
      <c r="M148" s="32"/>
      <c r="N148" s="336"/>
      <c r="O148" s="33"/>
      <c r="P148" s="33"/>
      <c r="Q148" s="31"/>
      <c r="R148" s="31"/>
      <c r="S148" s="47">
        <f>297*E148</f>
        <v>891</v>
      </c>
      <c r="T148" s="47"/>
      <c r="U148" s="48"/>
      <c r="V148" s="47"/>
      <c r="W148" s="75"/>
      <c r="X148" s="47">
        <v>891</v>
      </c>
      <c r="Y148" s="47"/>
      <c r="Z148" s="47"/>
      <c r="AA148" s="47"/>
      <c r="AB148" s="47"/>
      <c r="AC148" s="47"/>
      <c r="AD148" s="47"/>
      <c r="AE148" s="47"/>
      <c r="AF148" s="47"/>
      <c r="AG148" s="47"/>
      <c r="AH148" s="47"/>
      <c r="AI148" s="47"/>
      <c r="AJ148" s="47"/>
      <c r="AK148" s="66"/>
      <c r="AL148" s="47"/>
      <c r="AM148" s="47"/>
      <c r="AN148" s="47"/>
      <c r="AO148" s="47"/>
      <c r="AP148" s="47"/>
      <c r="AQ148" s="47"/>
      <c r="AR148" s="47"/>
      <c r="AS148" s="47"/>
      <c r="AT148" s="47"/>
      <c r="AU148" s="47"/>
      <c r="AV148" s="47"/>
      <c r="AW148" s="47"/>
      <c r="AX148" s="47"/>
      <c r="AY148" s="47"/>
      <c r="AZ148" s="47"/>
      <c r="BA148" s="33">
        <f t="shared" si="1"/>
        <v>0</v>
      </c>
      <c r="BB148" s="43"/>
    </row>
    <row r="149" spans="1:55" ht="48" customHeight="1" x14ac:dyDescent="0.35">
      <c r="A149" s="26">
        <v>132</v>
      </c>
      <c r="B149" s="27" t="s">
        <v>107</v>
      </c>
      <c r="C149" s="28" t="s">
        <v>108</v>
      </c>
      <c r="D149" s="298" t="s">
        <v>1532</v>
      </c>
      <c r="E149" s="96">
        <v>1</v>
      </c>
      <c r="F149" s="44" t="s">
        <v>30</v>
      </c>
      <c r="G149" s="234">
        <f>[1]DICIEMBRE!$BA$144</f>
        <v>0</v>
      </c>
      <c r="H149" s="45"/>
      <c r="I149" s="45"/>
      <c r="J149" s="32"/>
      <c r="K149" s="33"/>
      <c r="L149" s="336"/>
      <c r="M149" s="32"/>
      <c r="N149" s="32"/>
      <c r="O149" s="32"/>
      <c r="P149" s="31"/>
      <c r="Q149" s="31"/>
      <c r="R149" s="31"/>
      <c r="S149" s="47">
        <f>300*E149</f>
        <v>300</v>
      </c>
      <c r="T149" s="47">
        <f>650+70</f>
        <v>720</v>
      </c>
      <c r="U149" s="48"/>
      <c r="V149" s="47"/>
      <c r="W149" s="47"/>
      <c r="X149" s="47"/>
      <c r="Y149" s="47"/>
      <c r="Z149" s="47"/>
      <c r="AA149" s="47"/>
      <c r="AB149" s="47"/>
      <c r="AC149" s="47"/>
      <c r="AD149" s="47"/>
      <c r="AE149" s="47"/>
      <c r="AF149" s="47"/>
      <c r="AG149" s="47"/>
      <c r="AH149" s="47"/>
      <c r="AI149" s="47"/>
      <c r="AJ149" s="47"/>
      <c r="AK149" s="66"/>
      <c r="AL149" s="47"/>
      <c r="AM149" s="47"/>
      <c r="AN149" s="47"/>
      <c r="AO149" s="47"/>
      <c r="AP149" s="47"/>
      <c r="AQ149" s="47"/>
      <c r="AR149" s="47"/>
      <c r="AS149" s="47"/>
      <c r="AT149" s="47"/>
      <c r="AU149" s="47"/>
      <c r="AV149" s="47">
        <v>1020</v>
      </c>
      <c r="AW149" s="47"/>
      <c r="AX149" s="47"/>
      <c r="AY149" s="47"/>
      <c r="AZ149" s="47"/>
      <c r="BA149" s="33">
        <f t="shared" si="1"/>
        <v>0</v>
      </c>
      <c r="BB149" s="43" t="s">
        <v>1969</v>
      </c>
    </row>
    <row r="150" spans="1:55" ht="39.75" customHeight="1" x14ac:dyDescent="0.35">
      <c r="A150" s="26">
        <v>133</v>
      </c>
      <c r="B150" s="43" t="s">
        <v>359</v>
      </c>
      <c r="C150" s="28" t="s">
        <v>383</v>
      </c>
      <c r="D150" s="300" t="s">
        <v>1534</v>
      </c>
      <c r="E150" s="96">
        <v>5</v>
      </c>
      <c r="F150" s="44" t="s">
        <v>30</v>
      </c>
      <c r="G150" s="112">
        <f>[1]DICIEMBRE!$BA$145</f>
        <v>0</v>
      </c>
      <c r="H150" s="45"/>
      <c r="I150" s="45"/>
      <c r="J150" s="32"/>
      <c r="K150" s="32"/>
      <c r="L150" s="32"/>
      <c r="M150" s="336"/>
      <c r="N150" s="32"/>
      <c r="O150" s="32"/>
      <c r="P150" s="33"/>
      <c r="Q150" s="31"/>
      <c r="R150" s="31"/>
      <c r="S150" s="47">
        <f>249*3+83*2</f>
        <v>913</v>
      </c>
      <c r="T150" s="47"/>
      <c r="U150" s="48"/>
      <c r="V150" s="47"/>
      <c r="W150" s="47"/>
      <c r="X150" s="47"/>
      <c r="Y150" s="47"/>
      <c r="Z150" s="47"/>
      <c r="AA150" s="47"/>
      <c r="AB150" s="47"/>
      <c r="AC150" s="47"/>
      <c r="AD150" s="47"/>
      <c r="AE150" s="47"/>
      <c r="AF150" s="47"/>
      <c r="AG150" s="47"/>
      <c r="AH150" s="47"/>
      <c r="AI150" s="47"/>
      <c r="AJ150" s="47"/>
      <c r="AK150" s="66"/>
      <c r="AL150" s="47"/>
      <c r="AM150" s="47"/>
      <c r="AN150" s="47"/>
      <c r="AO150" s="47"/>
      <c r="AP150" s="47"/>
      <c r="AQ150" s="47"/>
      <c r="AR150" s="47"/>
      <c r="AS150" s="47"/>
      <c r="AT150" s="47"/>
      <c r="AU150" s="47"/>
      <c r="AV150" s="47"/>
      <c r="AW150" s="47"/>
      <c r="AX150" s="47">
        <v>913</v>
      </c>
      <c r="AY150" s="47"/>
      <c r="AZ150" s="47"/>
      <c r="BA150" s="33">
        <f t="shared" si="1"/>
        <v>0</v>
      </c>
      <c r="BB150" s="43" t="s">
        <v>1795</v>
      </c>
    </row>
    <row r="151" spans="1:55" ht="60" customHeight="1" x14ac:dyDescent="0.35">
      <c r="A151" s="26">
        <v>134</v>
      </c>
      <c r="B151" s="43" t="s">
        <v>34</v>
      </c>
      <c r="C151" s="28" t="s">
        <v>382</v>
      </c>
      <c r="D151" s="330" t="s">
        <v>1613</v>
      </c>
      <c r="E151" s="95">
        <v>3</v>
      </c>
      <c r="F151" s="44" t="s">
        <v>30</v>
      </c>
      <c r="G151" s="234">
        <f>[1]DICIEMBRE!$BA$146</f>
        <v>-4.3999999998050043E-3</v>
      </c>
      <c r="H151" s="45"/>
      <c r="I151" s="45"/>
      <c r="J151" s="32"/>
      <c r="K151" s="32"/>
      <c r="L151" s="32"/>
      <c r="M151" s="32"/>
      <c r="N151" s="336"/>
      <c r="O151" s="33"/>
      <c r="P151" s="31"/>
      <c r="Q151" s="31"/>
      <c r="R151" s="31"/>
      <c r="S151" s="47">
        <f>(250*0.16+250)*E151</f>
        <v>870</v>
      </c>
      <c r="T151" s="47"/>
      <c r="U151" s="48"/>
      <c r="V151" s="49"/>
      <c r="W151" s="49"/>
      <c r="X151" s="49"/>
      <c r="Y151" s="49"/>
      <c r="Z151" s="49"/>
      <c r="AA151" s="49"/>
      <c r="AB151" s="50">
        <v>600</v>
      </c>
      <c r="AC151" s="51"/>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33">
        <f t="shared" si="1"/>
        <v>269.99560000000019</v>
      </c>
      <c r="BB151" s="43"/>
    </row>
    <row r="152" spans="1:55" ht="60" customHeight="1" x14ac:dyDescent="0.35">
      <c r="A152" s="26">
        <v>135</v>
      </c>
      <c r="B152" s="43" t="s">
        <v>1385</v>
      </c>
      <c r="C152" s="28"/>
      <c r="D152" s="305" t="s">
        <v>1535</v>
      </c>
      <c r="E152" s="95">
        <v>1</v>
      </c>
      <c r="F152" s="44" t="s">
        <v>30</v>
      </c>
      <c r="G152" s="112">
        <f>[1]DICIEMBRE!$BA$147</f>
        <v>-1</v>
      </c>
      <c r="H152" s="45"/>
      <c r="I152" s="45"/>
      <c r="J152" s="32"/>
      <c r="K152" s="32"/>
      <c r="L152" s="32"/>
      <c r="M152" s="32"/>
      <c r="N152" s="336"/>
      <c r="O152" s="33"/>
      <c r="P152" s="33"/>
      <c r="Q152" s="31"/>
      <c r="R152" s="31"/>
      <c r="S152" s="47">
        <f>300*E152</f>
        <v>300</v>
      </c>
      <c r="T152" s="47"/>
      <c r="U152" s="48"/>
      <c r="V152" s="49"/>
      <c r="W152" s="49"/>
      <c r="X152" s="49"/>
      <c r="Y152" s="49"/>
      <c r="Z152" s="49"/>
      <c r="AA152" s="49">
        <v>300</v>
      </c>
      <c r="AB152" s="50"/>
      <c r="AC152" s="51"/>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33">
        <f t="shared" si="1"/>
        <v>-1</v>
      </c>
      <c r="BB152" s="43"/>
    </row>
    <row r="153" spans="1:55" ht="60" customHeight="1" x14ac:dyDescent="0.35">
      <c r="A153" s="26">
        <v>136</v>
      </c>
      <c r="B153" s="43" t="s">
        <v>1625</v>
      </c>
      <c r="C153" s="28"/>
      <c r="D153" s="329" t="s">
        <v>1626</v>
      </c>
      <c r="E153" s="95">
        <v>1</v>
      </c>
      <c r="F153" s="44" t="s">
        <v>30</v>
      </c>
      <c r="G153" s="234">
        <f>[1]DICIEMBRE!$BA$148</f>
        <v>0</v>
      </c>
      <c r="H153" s="45"/>
      <c r="I153" s="45"/>
      <c r="J153" s="32"/>
      <c r="K153" s="32"/>
      <c r="L153" s="32"/>
      <c r="M153" s="32"/>
      <c r="N153" s="336"/>
      <c r="O153" s="33"/>
      <c r="P153" s="33"/>
      <c r="Q153" s="31"/>
      <c r="R153" s="31"/>
      <c r="S153" s="47">
        <f>300*E153</f>
        <v>300</v>
      </c>
      <c r="T153" s="47"/>
      <c r="U153" s="48"/>
      <c r="V153" s="49"/>
      <c r="W153" s="49"/>
      <c r="X153" s="49"/>
      <c r="Y153" s="49"/>
      <c r="Z153" s="49"/>
      <c r="AA153" s="49">
        <v>300</v>
      </c>
      <c r="AB153" s="50"/>
      <c r="AC153" s="51"/>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v>300</v>
      </c>
      <c r="AZ153" s="49"/>
      <c r="BA153" s="33">
        <f t="shared" ref="BA153:BA213" si="2">SUM(G153+S153+T153-U153-V153-W153-X153-Y153-Z153-AA153-AB153-AC153-AD153-AE153-AF153-AG153-AH153-AI153-AJ153-AK153-AL153-AM153-AN153-AO153-AP153-AQ153-AR153-AS153-AT153-AU153-AV153-AW153-AX153-AY153-AZ153)</f>
        <v>-300</v>
      </c>
      <c r="BB153" s="43" t="s">
        <v>1970</v>
      </c>
    </row>
    <row r="154" spans="1:55" ht="60" customHeight="1" x14ac:dyDescent="0.35">
      <c r="A154" s="26">
        <v>137</v>
      </c>
      <c r="B154" s="43" t="s">
        <v>893</v>
      </c>
      <c r="C154" s="28"/>
      <c r="D154" s="298" t="s">
        <v>1536</v>
      </c>
      <c r="E154" s="97">
        <v>1</v>
      </c>
      <c r="F154" s="30" t="s">
        <v>30</v>
      </c>
      <c r="G154" s="112">
        <f>[1]DICIEMBRE!$BA$149</f>
        <v>600</v>
      </c>
      <c r="H154" s="45"/>
      <c r="I154" s="45"/>
      <c r="J154" s="32"/>
      <c r="K154" s="33"/>
      <c r="L154" s="336"/>
      <c r="M154" s="336"/>
      <c r="N154" s="32"/>
      <c r="O154" s="32"/>
      <c r="P154" s="31"/>
      <c r="Q154" s="31"/>
      <c r="R154" s="31"/>
      <c r="S154" s="47">
        <f>300*E154</f>
        <v>300</v>
      </c>
      <c r="T154" s="47"/>
      <c r="U154" s="48"/>
      <c r="V154" s="49"/>
      <c r="W154" s="49"/>
      <c r="X154" s="49"/>
      <c r="Y154" s="49"/>
      <c r="Z154" s="49"/>
      <c r="AA154" s="49"/>
      <c r="AB154" s="50"/>
      <c r="AC154" s="51"/>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33">
        <f t="shared" si="2"/>
        <v>900</v>
      </c>
      <c r="BB154" s="43"/>
    </row>
    <row r="155" spans="1:55" ht="31.5" customHeight="1" x14ac:dyDescent="0.35">
      <c r="A155" s="26">
        <v>138</v>
      </c>
      <c r="B155" s="43" t="s">
        <v>110</v>
      </c>
      <c r="C155" s="28" t="s">
        <v>111</v>
      </c>
      <c r="D155" s="300" t="s">
        <v>1173</v>
      </c>
      <c r="E155" s="96">
        <v>1</v>
      </c>
      <c r="F155" s="44" t="s">
        <v>35</v>
      </c>
      <c r="G155" s="234">
        <f>[1]DICIEMBRE!$BA$150</f>
        <v>0</v>
      </c>
      <c r="H155" s="45"/>
      <c r="I155" s="45"/>
      <c r="J155" s="32"/>
      <c r="K155" s="32"/>
      <c r="L155" s="32"/>
      <c r="M155" s="32"/>
      <c r="N155" s="32"/>
      <c r="O155" s="32"/>
      <c r="P155" s="33"/>
      <c r="Q155" s="31"/>
      <c r="R155" s="31"/>
      <c r="S155" s="47">
        <f>280*E155</f>
        <v>280</v>
      </c>
      <c r="T155" s="47"/>
      <c r="U155" s="48"/>
      <c r="V155" s="47"/>
      <c r="W155" s="47"/>
      <c r="X155" s="47"/>
      <c r="Y155" s="47"/>
      <c r="Z155" s="47"/>
      <c r="AA155" s="47"/>
      <c r="AB155" s="47"/>
      <c r="AC155" s="47"/>
      <c r="AD155" s="47"/>
      <c r="AE155" s="47"/>
      <c r="AF155" s="47"/>
      <c r="AG155" s="47"/>
      <c r="AH155" s="47">
        <v>280</v>
      </c>
      <c r="AI155" s="47"/>
      <c r="AJ155" s="47"/>
      <c r="AK155" s="66"/>
      <c r="AL155" s="47"/>
      <c r="AM155" s="47"/>
      <c r="AN155" s="47"/>
      <c r="AO155" s="47"/>
      <c r="AP155" s="47"/>
      <c r="AQ155" s="47"/>
      <c r="AR155" s="47"/>
      <c r="AS155" s="47"/>
      <c r="AT155" s="47"/>
      <c r="AU155" s="47"/>
      <c r="AV155" s="47"/>
      <c r="AW155" s="47"/>
      <c r="AX155" s="47"/>
      <c r="AY155" s="47"/>
      <c r="AZ155" s="47"/>
      <c r="BA155" s="33">
        <f t="shared" si="2"/>
        <v>0</v>
      </c>
      <c r="BB155" s="43"/>
    </row>
    <row r="156" spans="1:55" ht="57" customHeight="1" x14ac:dyDescent="0.35">
      <c r="A156" s="26">
        <v>139</v>
      </c>
      <c r="B156" s="43" t="s">
        <v>1777</v>
      </c>
      <c r="C156" s="28"/>
      <c r="D156" s="300" t="s">
        <v>1699</v>
      </c>
      <c r="E156" s="96">
        <v>1</v>
      </c>
      <c r="F156" s="44" t="s">
        <v>30</v>
      </c>
      <c r="G156" s="112">
        <f>[1]DICIEMBRE!$BA$151</f>
        <v>0</v>
      </c>
      <c r="H156" s="45"/>
      <c r="I156" s="45"/>
      <c r="J156" s="32"/>
      <c r="K156" s="32"/>
      <c r="L156" s="32"/>
      <c r="M156" s="32"/>
      <c r="N156" s="32"/>
      <c r="O156" s="32"/>
      <c r="P156" s="33"/>
      <c r="Q156" s="31"/>
      <c r="R156" s="31"/>
      <c r="S156" s="47">
        <v>0</v>
      </c>
      <c r="T156" s="47"/>
      <c r="U156" s="48"/>
      <c r="V156" s="47"/>
      <c r="W156" s="47"/>
      <c r="X156" s="47"/>
      <c r="Y156" s="47"/>
      <c r="Z156" s="47"/>
      <c r="AA156" s="47"/>
      <c r="AB156" s="47"/>
      <c r="AC156" s="47"/>
      <c r="AD156" s="47"/>
      <c r="AE156" s="47"/>
      <c r="AF156" s="47"/>
      <c r="AG156" s="47"/>
      <c r="AH156" s="47"/>
      <c r="AI156" s="47"/>
      <c r="AJ156" s="47"/>
      <c r="AK156" s="66"/>
      <c r="AL156" s="47"/>
      <c r="AM156" s="47"/>
      <c r="AN156" s="47"/>
      <c r="AO156" s="47"/>
      <c r="AP156" s="47"/>
      <c r="AQ156" s="47"/>
      <c r="AR156" s="47"/>
      <c r="AS156" s="47"/>
      <c r="AT156" s="47"/>
      <c r="AU156" s="47"/>
      <c r="AV156" s="47"/>
      <c r="AW156" s="47"/>
      <c r="AX156" s="47"/>
      <c r="AY156" s="47"/>
      <c r="AZ156" s="47"/>
      <c r="BA156" s="33">
        <f t="shared" si="2"/>
        <v>0</v>
      </c>
      <c r="BB156" s="43" t="s">
        <v>1796</v>
      </c>
    </row>
    <row r="157" spans="1:55" ht="40.5" customHeight="1" x14ac:dyDescent="0.35">
      <c r="A157" s="26">
        <v>140</v>
      </c>
      <c r="B157" s="43" t="s">
        <v>785</v>
      </c>
      <c r="C157" s="43"/>
      <c r="D157" s="306" t="s">
        <v>1592</v>
      </c>
      <c r="E157" s="95">
        <v>1</v>
      </c>
      <c r="F157" s="44" t="s">
        <v>30</v>
      </c>
      <c r="G157" s="234">
        <f>[1]DICIEMBRE!$BA$152</f>
        <v>-350.40000000000003</v>
      </c>
      <c r="H157" s="45"/>
      <c r="I157" s="45"/>
      <c r="J157" s="32"/>
      <c r="K157" s="32"/>
      <c r="L157" s="32"/>
      <c r="M157" s="32"/>
      <c r="N157" s="336"/>
      <c r="O157" s="33"/>
      <c r="P157" s="31"/>
      <c r="Q157" s="31"/>
      <c r="R157" s="31"/>
      <c r="S157" s="47">
        <f>(280*0.16+280)*E157</f>
        <v>324.8</v>
      </c>
      <c r="T157" s="47"/>
      <c r="U157" s="48"/>
      <c r="V157" s="47"/>
      <c r="W157" s="47"/>
      <c r="X157" s="47"/>
      <c r="Y157" s="47"/>
      <c r="Z157" s="47"/>
      <c r="AA157" s="47"/>
      <c r="AB157" s="47"/>
      <c r="AC157" s="47"/>
      <c r="AD157" s="47"/>
      <c r="AE157" s="47"/>
      <c r="AF157" s="47"/>
      <c r="AG157" s="47"/>
      <c r="AH157" s="47"/>
      <c r="AI157" s="47"/>
      <c r="AJ157" s="47"/>
      <c r="AK157" s="66"/>
      <c r="AL157" s="47"/>
      <c r="AM157" s="47"/>
      <c r="AN157" s="47"/>
      <c r="AO157" s="47"/>
      <c r="AP157" s="47"/>
      <c r="AQ157" s="47"/>
      <c r="AR157" s="47"/>
      <c r="AS157" s="47"/>
      <c r="AT157" s="47"/>
      <c r="AU157" s="47"/>
      <c r="AV157" s="47"/>
      <c r="AW157" s="47"/>
      <c r="AX157" s="47"/>
      <c r="AY157" s="47"/>
      <c r="AZ157" s="47"/>
      <c r="BA157" s="33">
        <f t="shared" si="2"/>
        <v>-25.600000000000023</v>
      </c>
      <c r="BB157" s="43" t="s">
        <v>1650</v>
      </c>
    </row>
    <row r="158" spans="1:55" ht="40.5" customHeight="1" x14ac:dyDescent="0.35">
      <c r="A158" s="26">
        <v>141</v>
      </c>
      <c r="B158" s="43" t="s">
        <v>1110</v>
      </c>
      <c r="C158" s="43"/>
      <c r="D158" s="308" t="s">
        <v>1537</v>
      </c>
      <c r="E158" s="95">
        <v>2</v>
      </c>
      <c r="F158" s="44" t="s">
        <v>30</v>
      </c>
      <c r="G158" s="112">
        <f>[1]DICIEMBRE!$BA$153</f>
        <v>696</v>
      </c>
      <c r="H158" s="45"/>
      <c r="I158" s="45"/>
      <c r="J158" s="32"/>
      <c r="K158" s="32"/>
      <c r="L158" s="32"/>
      <c r="M158" s="336"/>
      <c r="N158" s="32"/>
      <c r="O158" s="32"/>
      <c r="P158" s="33"/>
      <c r="Q158" s="31"/>
      <c r="R158" s="31"/>
      <c r="S158" s="47">
        <f>(300*0.16+300)*E158</f>
        <v>696</v>
      </c>
      <c r="T158" s="47"/>
      <c r="U158" s="48"/>
      <c r="V158" s="47"/>
      <c r="W158" s="47"/>
      <c r="X158" s="47"/>
      <c r="Y158" s="47"/>
      <c r="Z158" s="47"/>
      <c r="AA158" s="47"/>
      <c r="AB158" s="47"/>
      <c r="AC158" s="47"/>
      <c r="AD158" s="47"/>
      <c r="AE158" s="47"/>
      <c r="AF158" s="47"/>
      <c r="AG158" s="47"/>
      <c r="AH158" s="47"/>
      <c r="AI158" s="47"/>
      <c r="AJ158" s="47"/>
      <c r="AK158" s="66"/>
      <c r="AL158" s="47"/>
      <c r="AM158" s="47"/>
      <c r="AN158" s="47"/>
      <c r="AO158" s="47"/>
      <c r="AP158" s="47"/>
      <c r="AQ158" s="47"/>
      <c r="AR158" s="47"/>
      <c r="AS158" s="47"/>
      <c r="AT158" s="47"/>
      <c r="AU158" s="47"/>
      <c r="AV158" s="47"/>
      <c r="AW158" s="47"/>
      <c r="AX158" s="47"/>
      <c r="AY158" s="47"/>
      <c r="AZ158" s="47"/>
      <c r="BA158" s="33">
        <f t="shared" si="2"/>
        <v>1392</v>
      </c>
      <c r="BB158" s="43"/>
    </row>
    <row r="159" spans="1:55" ht="40.5" customHeight="1" x14ac:dyDescent="0.35">
      <c r="A159" s="26">
        <v>142</v>
      </c>
      <c r="B159" s="43" t="s">
        <v>1397</v>
      </c>
      <c r="C159" s="43"/>
      <c r="D159" s="306" t="s">
        <v>1538</v>
      </c>
      <c r="E159" s="95">
        <v>1</v>
      </c>
      <c r="F159" s="44" t="s">
        <v>30</v>
      </c>
      <c r="G159" s="234">
        <f>[1]DICIEMBRE!$BA$154</f>
        <v>0</v>
      </c>
      <c r="H159" s="45"/>
      <c r="I159" s="45"/>
      <c r="J159" s="32"/>
      <c r="K159" s="32"/>
      <c r="L159" s="32"/>
      <c r="M159" s="336"/>
      <c r="N159" s="32"/>
      <c r="O159" s="32"/>
      <c r="P159" s="31"/>
      <c r="Q159" s="31"/>
      <c r="R159" s="31"/>
      <c r="S159" s="47">
        <f>300*E159</f>
        <v>300</v>
      </c>
      <c r="T159" s="47"/>
      <c r="U159" s="48"/>
      <c r="V159" s="47"/>
      <c r="W159" s="47"/>
      <c r="X159" s="47"/>
      <c r="Y159" s="47"/>
      <c r="Z159" s="47"/>
      <c r="AA159" s="47"/>
      <c r="AB159" s="47"/>
      <c r="AC159" s="47"/>
      <c r="AD159" s="47"/>
      <c r="AE159" s="47"/>
      <c r="AF159" s="47"/>
      <c r="AG159" s="47"/>
      <c r="AH159" s="47"/>
      <c r="AI159" s="47"/>
      <c r="AJ159" s="47"/>
      <c r="AK159" s="66"/>
      <c r="AL159" s="47"/>
      <c r="AM159" s="47"/>
      <c r="AN159" s="47"/>
      <c r="AO159" s="47">
        <v>300</v>
      </c>
      <c r="AP159" s="47"/>
      <c r="AQ159" s="47"/>
      <c r="AR159" s="47"/>
      <c r="AS159" s="47"/>
      <c r="AT159" s="47"/>
      <c r="AU159" s="47"/>
      <c r="AV159" s="47"/>
      <c r="AW159" s="47"/>
      <c r="AX159" s="47"/>
      <c r="AY159" s="47"/>
      <c r="AZ159" s="47"/>
      <c r="BA159" s="33">
        <f t="shared" si="2"/>
        <v>0</v>
      </c>
      <c r="BB159" s="43"/>
    </row>
    <row r="160" spans="1:55" ht="39" customHeight="1" x14ac:dyDescent="0.35">
      <c r="A160" s="26">
        <v>143</v>
      </c>
      <c r="B160" s="43" t="s">
        <v>951</v>
      </c>
      <c r="C160" s="28"/>
      <c r="D160" s="298"/>
      <c r="E160" s="95">
        <v>1</v>
      </c>
      <c r="F160" s="44" t="s">
        <v>30</v>
      </c>
      <c r="G160" s="112"/>
      <c r="H160" s="45"/>
      <c r="I160" s="45"/>
      <c r="J160" s="32"/>
      <c r="K160" s="32"/>
      <c r="L160" s="32"/>
      <c r="M160" s="32"/>
      <c r="N160" s="336"/>
      <c r="O160" s="33"/>
      <c r="P160" s="33"/>
      <c r="Q160" s="31"/>
      <c r="R160" s="31"/>
      <c r="S160" s="47">
        <v>0</v>
      </c>
      <c r="T160" s="47"/>
      <c r="U160" s="48"/>
      <c r="V160" s="49"/>
      <c r="W160" s="49"/>
      <c r="X160" s="49"/>
      <c r="Y160" s="49"/>
      <c r="Z160" s="49"/>
      <c r="AA160" s="49"/>
      <c r="AB160" s="50"/>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33">
        <f t="shared" si="2"/>
        <v>0</v>
      </c>
      <c r="BB160" s="43" t="s">
        <v>1348</v>
      </c>
      <c r="BC160" s="76"/>
    </row>
    <row r="161" spans="1:55" ht="39" customHeight="1" x14ac:dyDescent="0.35">
      <c r="A161" s="26">
        <v>144</v>
      </c>
      <c r="B161" s="43" t="s">
        <v>1255</v>
      </c>
      <c r="C161" s="28"/>
      <c r="D161" s="303" t="s">
        <v>1256</v>
      </c>
      <c r="E161" s="95">
        <v>1</v>
      </c>
      <c r="F161" s="44" t="s">
        <v>30</v>
      </c>
      <c r="G161" s="234"/>
      <c r="H161" s="45"/>
      <c r="I161" s="45"/>
      <c r="J161" s="32"/>
      <c r="K161" s="32"/>
      <c r="L161" s="32"/>
      <c r="M161" s="336"/>
      <c r="N161" s="32"/>
      <c r="O161" s="32"/>
      <c r="P161" s="31"/>
      <c r="Q161" s="31"/>
      <c r="R161" s="31"/>
      <c r="S161" s="47"/>
      <c r="T161" s="47"/>
      <c r="U161" s="48"/>
      <c r="V161" s="49"/>
      <c r="W161" s="49"/>
      <c r="X161" s="49"/>
      <c r="Y161" s="49"/>
      <c r="Z161" s="49"/>
      <c r="AA161" s="49"/>
      <c r="AB161" s="50"/>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33">
        <f t="shared" si="2"/>
        <v>0</v>
      </c>
      <c r="BB161" s="43" t="s">
        <v>1949</v>
      </c>
      <c r="BC161" s="76"/>
    </row>
    <row r="162" spans="1:55" ht="60.75" customHeight="1" x14ac:dyDescent="0.35">
      <c r="A162" s="26">
        <v>145</v>
      </c>
      <c r="B162" s="27" t="s">
        <v>112</v>
      </c>
      <c r="C162" s="28" t="s">
        <v>113</v>
      </c>
      <c r="D162" s="298" t="s">
        <v>1174</v>
      </c>
      <c r="E162" s="95">
        <v>3</v>
      </c>
      <c r="F162" s="44" t="s">
        <v>30</v>
      </c>
      <c r="G162" s="112">
        <f>[1]DICIEMBRE!$BA$157</f>
        <v>13200</v>
      </c>
      <c r="H162" s="45"/>
      <c r="I162" s="45"/>
      <c r="J162" s="32"/>
      <c r="K162" s="32"/>
      <c r="L162" s="32"/>
      <c r="M162" s="32"/>
      <c r="N162" s="32"/>
      <c r="O162" s="32"/>
      <c r="P162" s="33"/>
      <c r="Q162" s="31"/>
      <c r="R162" s="31"/>
      <c r="S162" s="47">
        <f>350*E162</f>
        <v>1050</v>
      </c>
      <c r="T162" s="47"/>
      <c r="U162" s="48"/>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v>1050</v>
      </c>
      <c r="AW162" s="49"/>
      <c r="AX162" s="49"/>
      <c r="AY162" s="49"/>
      <c r="AZ162" s="49"/>
      <c r="BA162" s="33">
        <f t="shared" si="2"/>
        <v>13200</v>
      </c>
      <c r="BB162" s="43"/>
    </row>
    <row r="163" spans="1:55" ht="60.75" customHeight="1" x14ac:dyDescent="0.35">
      <c r="A163" s="26">
        <v>146</v>
      </c>
      <c r="B163" s="43" t="s">
        <v>679</v>
      </c>
      <c r="C163" s="28"/>
      <c r="D163" s="298" t="s">
        <v>683</v>
      </c>
      <c r="E163" s="95">
        <v>4</v>
      </c>
      <c r="F163" s="44" t="s">
        <v>30</v>
      </c>
      <c r="G163" s="234">
        <f>[1]DICIEMBRE!$BA$158</f>
        <v>-1</v>
      </c>
      <c r="H163" s="45"/>
      <c r="I163" s="45"/>
      <c r="J163" s="32"/>
      <c r="K163" s="32"/>
      <c r="L163" s="32"/>
      <c r="M163" s="336"/>
      <c r="N163" s="32"/>
      <c r="O163" s="32"/>
      <c r="P163" s="33"/>
      <c r="Q163" s="31"/>
      <c r="R163" s="31"/>
      <c r="S163" s="47">
        <f>250*E163</f>
        <v>1000</v>
      </c>
      <c r="T163" s="47"/>
      <c r="U163" s="48"/>
      <c r="V163" s="49"/>
      <c r="W163" s="49"/>
      <c r="X163" s="49"/>
      <c r="Y163" s="49"/>
      <c r="Z163" s="49"/>
      <c r="AA163" s="49"/>
      <c r="AB163" s="49">
        <v>1000</v>
      </c>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33">
        <f t="shared" si="2"/>
        <v>-1</v>
      </c>
      <c r="BB163" s="43"/>
    </row>
    <row r="164" spans="1:55" ht="60.75" customHeight="1" x14ac:dyDescent="0.35">
      <c r="A164" s="26">
        <v>147</v>
      </c>
      <c r="B164" s="43" t="s">
        <v>1367</v>
      </c>
      <c r="C164" s="28"/>
      <c r="D164" s="298" t="s">
        <v>1371</v>
      </c>
      <c r="E164" s="95">
        <v>1</v>
      </c>
      <c r="F164" s="44" t="s">
        <v>30</v>
      </c>
      <c r="G164" s="112">
        <f>[1]DICIEMBRE!$BA$159</f>
        <v>-111</v>
      </c>
      <c r="H164" s="45"/>
      <c r="I164" s="45"/>
      <c r="J164" s="32"/>
      <c r="K164" s="32"/>
      <c r="L164" s="32"/>
      <c r="M164" s="336"/>
      <c r="N164" s="32"/>
      <c r="O164" s="32"/>
      <c r="P164" s="31"/>
      <c r="Q164" s="31"/>
      <c r="R164" s="31"/>
      <c r="S164" s="47">
        <f>300*E164</f>
        <v>300</v>
      </c>
      <c r="T164" s="47"/>
      <c r="U164" s="48"/>
      <c r="V164" s="49"/>
      <c r="W164" s="49"/>
      <c r="X164" s="49"/>
      <c r="Y164" s="49"/>
      <c r="Z164" s="49"/>
      <c r="AA164" s="49"/>
      <c r="AB164" s="49"/>
      <c r="AC164" s="49"/>
      <c r="AD164" s="49"/>
      <c r="AE164" s="49">
        <v>300</v>
      </c>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33">
        <f>SUM(G164+S164+T164-U164-V164-W164-X164-Y164-Z164-AA164-AB164-AC164-AD164-AE164-AF164-AG164-AH164-AI164-AJ164-AK164-AL164-AM164-AN164-AO164-AP164-AQ164-AR164-AS164-AT164-AU164-AV164-AW164-AX164-AY164-AZ164)</f>
        <v>-111</v>
      </c>
      <c r="BB164" s="43"/>
    </row>
    <row r="165" spans="1:55" ht="38.25" customHeight="1" x14ac:dyDescent="0.35">
      <c r="A165" s="26">
        <v>148</v>
      </c>
      <c r="B165" s="43" t="s">
        <v>908</v>
      </c>
      <c r="C165" s="53"/>
      <c r="D165" s="298" t="s">
        <v>1175</v>
      </c>
      <c r="E165" s="95">
        <v>2</v>
      </c>
      <c r="F165" s="44" t="s">
        <v>30</v>
      </c>
      <c r="G165" s="112">
        <f>[1]DICIEMBRE!$BA$161</f>
        <v>0</v>
      </c>
      <c r="H165" s="45"/>
      <c r="I165" s="45"/>
      <c r="J165" s="32"/>
      <c r="K165" s="32"/>
      <c r="L165" s="32"/>
      <c r="M165" s="32"/>
      <c r="N165" s="32"/>
      <c r="O165" s="33"/>
      <c r="P165" s="31"/>
      <c r="Q165" s="31"/>
      <c r="R165" s="31"/>
      <c r="S165" s="47">
        <f>250*E165</f>
        <v>500</v>
      </c>
      <c r="T165" s="47"/>
      <c r="U165" s="48"/>
      <c r="V165" s="49"/>
      <c r="W165" s="49"/>
      <c r="X165" s="49"/>
      <c r="Y165" s="49"/>
      <c r="Z165" s="49"/>
      <c r="AA165" s="49"/>
      <c r="AB165" s="49"/>
      <c r="AC165" s="49"/>
      <c r="AD165" s="49"/>
      <c r="AE165" s="49"/>
      <c r="AF165" s="49"/>
      <c r="AG165" s="49"/>
      <c r="AH165" s="49"/>
      <c r="AI165" s="49"/>
      <c r="AJ165" s="49"/>
      <c r="AK165" s="63"/>
      <c r="AL165" s="49">
        <v>500</v>
      </c>
      <c r="AM165" s="49"/>
      <c r="AN165" s="49"/>
      <c r="AO165" s="49"/>
      <c r="AP165" s="49"/>
      <c r="AQ165" s="49"/>
      <c r="AR165" s="49"/>
      <c r="AS165" s="49"/>
      <c r="AT165" s="49"/>
      <c r="AU165" s="49"/>
      <c r="AV165" s="49"/>
      <c r="AW165" s="49"/>
      <c r="AX165" s="49"/>
      <c r="AY165" s="49"/>
      <c r="AZ165" s="49"/>
      <c r="BA165" s="33">
        <f t="shared" si="2"/>
        <v>0</v>
      </c>
      <c r="BB165" s="43"/>
    </row>
    <row r="166" spans="1:55" ht="38.25" customHeight="1" x14ac:dyDescent="0.35">
      <c r="A166" s="26">
        <v>149</v>
      </c>
      <c r="B166" s="43" t="s">
        <v>1642</v>
      </c>
      <c r="C166" s="53"/>
      <c r="D166" s="298" t="s">
        <v>1643</v>
      </c>
      <c r="E166" s="95">
        <v>1</v>
      </c>
      <c r="F166" s="44"/>
      <c r="G166" s="234">
        <f>[1]DICIEMBRE!$BA$162</f>
        <v>0</v>
      </c>
      <c r="H166" s="45"/>
      <c r="I166" s="45"/>
      <c r="J166" s="32"/>
      <c r="K166" s="32"/>
      <c r="L166" s="32"/>
      <c r="M166" s="32"/>
      <c r="N166" s="32"/>
      <c r="O166" s="33"/>
      <c r="P166" s="31"/>
      <c r="Q166" s="31"/>
      <c r="R166" s="31"/>
      <c r="S166" s="47">
        <f>300*E166</f>
        <v>300</v>
      </c>
      <c r="T166" s="47"/>
      <c r="U166" s="48"/>
      <c r="V166" s="49"/>
      <c r="W166" s="49"/>
      <c r="X166" s="49">
        <v>300</v>
      </c>
      <c r="Y166" s="49"/>
      <c r="Z166" s="49"/>
      <c r="AA166" s="49"/>
      <c r="AB166" s="49"/>
      <c r="AC166" s="49"/>
      <c r="AD166" s="49"/>
      <c r="AE166" s="49"/>
      <c r="AF166" s="49"/>
      <c r="AG166" s="49"/>
      <c r="AH166" s="49"/>
      <c r="AI166" s="49"/>
      <c r="AJ166" s="49"/>
      <c r="AK166" s="63"/>
      <c r="AL166" s="49"/>
      <c r="AM166" s="49"/>
      <c r="AN166" s="49"/>
      <c r="AO166" s="49"/>
      <c r="AP166" s="49"/>
      <c r="AQ166" s="49"/>
      <c r="AR166" s="49"/>
      <c r="AS166" s="49"/>
      <c r="AT166" s="49"/>
      <c r="AU166" s="49"/>
      <c r="AV166" s="49"/>
      <c r="AW166" s="49"/>
      <c r="AX166" s="49"/>
      <c r="AY166" s="49"/>
      <c r="AZ166" s="49"/>
      <c r="BA166" s="33">
        <f t="shared" si="2"/>
        <v>0</v>
      </c>
      <c r="BB166" s="43"/>
    </row>
    <row r="167" spans="1:55" ht="38.25" customHeight="1" x14ac:dyDescent="0.35">
      <c r="A167" s="26">
        <v>150</v>
      </c>
      <c r="B167" s="43" t="s">
        <v>1485</v>
      </c>
      <c r="C167" s="53"/>
      <c r="D167" s="298" t="s">
        <v>1488</v>
      </c>
      <c r="E167" s="95">
        <v>1</v>
      </c>
      <c r="F167" s="44" t="s">
        <v>30</v>
      </c>
      <c r="G167" s="112">
        <f>[1]DICIEMBRE!$BA$163</f>
        <v>-1</v>
      </c>
      <c r="H167" s="45"/>
      <c r="I167" s="45"/>
      <c r="J167" s="32"/>
      <c r="K167" s="32"/>
      <c r="L167" s="32"/>
      <c r="M167" s="32"/>
      <c r="N167" s="32"/>
      <c r="O167" s="33"/>
      <c r="P167" s="31"/>
      <c r="Q167" s="31"/>
      <c r="R167" s="31"/>
      <c r="S167" s="47">
        <f>249*E167</f>
        <v>249</v>
      </c>
      <c r="T167" s="47"/>
      <c r="U167" s="48"/>
      <c r="V167" s="49"/>
      <c r="W167" s="49"/>
      <c r="X167" s="49"/>
      <c r="Y167" s="49"/>
      <c r="Z167" s="49"/>
      <c r="AA167" s="49"/>
      <c r="AB167" s="49">
        <v>249</v>
      </c>
      <c r="AC167" s="49"/>
      <c r="AD167" s="49"/>
      <c r="AE167" s="49"/>
      <c r="AF167" s="49"/>
      <c r="AG167" s="49"/>
      <c r="AH167" s="49"/>
      <c r="AI167" s="49"/>
      <c r="AJ167" s="49"/>
      <c r="AK167" s="63"/>
      <c r="AL167" s="49"/>
      <c r="AM167" s="49"/>
      <c r="AN167" s="49"/>
      <c r="AO167" s="49"/>
      <c r="AP167" s="49"/>
      <c r="AQ167" s="49"/>
      <c r="AR167" s="49"/>
      <c r="AS167" s="49"/>
      <c r="AT167" s="49"/>
      <c r="AU167" s="49"/>
      <c r="AV167" s="49"/>
      <c r="AW167" s="49"/>
      <c r="AX167" s="49"/>
      <c r="AY167" s="49">
        <v>249</v>
      </c>
      <c r="AZ167" s="49"/>
      <c r="BA167" s="33">
        <f t="shared" si="2"/>
        <v>-250</v>
      </c>
      <c r="BB167" s="43"/>
    </row>
    <row r="168" spans="1:55" ht="54.75" customHeight="1" x14ac:dyDescent="0.35">
      <c r="A168" s="26">
        <v>151</v>
      </c>
      <c r="B168" s="43" t="s">
        <v>1633</v>
      </c>
      <c r="C168" s="53"/>
      <c r="D168" s="300" t="s">
        <v>1634</v>
      </c>
      <c r="E168" s="95">
        <v>1</v>
      </c>
      <c r="F168" s="44" t="s">
        <v>30</v>
      </c>
      <c r="G168" s="234">
        <f>[1]DICIEMBRE!$BA$164</f>
        <v>0</v>
      </c>
      <c r="H168" s="45"/>
      <c r="I168" s="45"/>
      <c r="J168" s="32"/>
      <c r="K168" s="32"/>
      <c r="L168" s="32"/>
      <c r="M168" s="32"/>
      <c r="N168" s="32"/>
      <c r="O168" s="33"/>
      <c r="P168" s="31"/>
      <c r="Q168" s="31"/>
      <c r="R168" s="31"/>
      <c r="S168" s="47">
        <f>300*E168</f>
        <v>300</v>
      </c>
      <c r="T168" s="47"/>
      <c r="U168" s="48"/>
      <c r="V168" s="49"/>
      <c r="W168" s="49"/>
      <c r="X168" s="49"/>
      <c r="Y168" s="49"/>
      <c r="Z168" s="49"/>
      <c r="AA168" s="49"/>
      <c r="AB168" s="49"/>
      <c r="AC168" s="49"/>
      <c r="AD168" s="49"/>
      <c r="AE168" s="49"/>
      <c r="AF168" s="49"/>
      <c r="AG168" s="49"/>
      <c r="AH168" s="49"/>
      <c r="AI168" s="49"/>
      <c r="AJ168" s="49">
        <v>300</v>
      </c>
      <c r="AK168" s="63"/>
      <c r="AL168" s="49"/>
      <c r="AM168" s="49"/>
      <c r="AN168" s="49"/>
      <c r="AO168" s="49"/>
      <c r="AP168" s="49"/>
      <c r="AQ168" s="49"/>
      <c r="AR168" s="49"/>
      <c r="AS168" s="49"/>
      <c r="AT168" s="49"/>
      <c r="AU168" s="49"/>
      <c r="AV168" s="49"/>
      <c r="AW168" s="49"/>
      <c r="AX168" s="49"/>
      <c r="AY168" s="49"/>
      <c r="AZ168" s="49"/>
      <c r="BA168" s="33">
        <f t="shared" si="2"/>
        <v>0</v>
      </c>
      <c r="BB168" s="43"/>
    </row>
    <row r="169" spans="1:55" ht="54.75" customHeight="1" x14ac:dyDescent="0.35">
      <c r="A169" s="26">
        <v>152</v>
      </c>
      <c r="B169" s="43" t="s">
        <v>1906</v>
      </c>
      <c r="C169" s="53"/>
      <c r="D169" s="300" t="s">
        <v>1907</v>
      </c>
      <c r="E169" s="95">
        <v>1</v>
      </c>
      <c r="F169" s="44"/>
      <c r="G169" s="234"/>
      <c r="H169" s="45"/>
      <c r="I169" s="45"/>
      <c r="J169" s="32"/>
      <c r="K169" s="32"/>
      <c r="L169" s="32"/>
      <c r="M169" s="32"/>
      <c r="N169" s="32"/>
      <c r="O169" s="33"/>
      <c r="P169" s="31"/>
      <c r="Q169" s="31"/>
      <c r="R169" s="31"/>
      <c r="S169" s="47">
        <f>250*0.16+250</f>
        <v>290</v>
      </c>
      <c r="T169" s="47">
        <f>2000*0.16+2000</f>
        <v>2320</v>
      </c>
      <c r="U169" s="48"/>
      <c r="V169" s="49"/>
      <c r="W169" s="49"/>
      <c r="X169" s="49"/>
      <c r="Y169" s="49"/>
      <c r="Z169" s="49"/>
      <c r="AA169" s="49"/>
      <c r="AB169" s="49"/>
      <c r="AC169" s="49"/>
      <c r="AD169" s="49"/>
      <c r="AE169" s="49">
        <v>2610</v>
      </c>
      <c r="AF169" s="49"/>
      <c r="AG169" s="49"/>
      <c r="AH169" s="49"/>
      <c r="AI169" s="49"/>
      <c r="AJ169" s="49"/>
      <c r="AK169" s="63"/>
      <c r="AL169" s="49"/>
      <c r="AM169" s="49"/>
      <c r="AN169" s="49"/>
      <c r="AO169" s="49"/>
      <c r="AP169" s="49"/>
      <c r="AQ169" s="49"/>
      <c r="AR169" s="49"/>
      <c r="AS169" s="49"/>
      <c r="AT169" s="49"/>
      <c r="AU169" s="49"/>
      <c r="AV169" s="49"/>
      <c r="AW169" s="49"/>
      <c r="AX169" s="49"/>
      <c r="AY169" s="49"/>
      <c r="AZ169" s="49"/>
      <c r="BA169" s="33">
        <f t="shared" si="2"/>
        <v>0</v>
      </c>
      <c r="BB169" s="43" t="s">
        <v>1908</v>
      </c>
    </row>
    <row r="170" spans="1:55" ht="53.25" customHeight="1" x14ac:dyDescent="0.35">
      <c r="A170" s="26">
        <v>153</v>
      </c>
      <c r="B170" s="27" t="s">
        <v>116</v>
      </c>
      <c r="C170" s="28" t="s">
        <v>117</v>
      </c>
      <c r="D170" s="298" t="s">
        <v>1176</v>
      </c>
      <c r="E170" s="95">
        <v>1</v>
      </c>
      <c r="F170" s="44" t="s">
        <v>30</v>
      </c>
      <c r="G170" s="112">
        <f>[1]DICIEMBRE!$BA$165</f>
        <v>0</v>
      </c>
      <c r="H170" s="45"/>
      <c r="I170" s="45"/>
      <c r="J170" s="32"/>
      <c r="K170" s="32"/>
      <c r="L170" s="336"/>
      <c r="M170" s="32"/>
      <c r="N170" s="32"/>
      <c r="O170" s="32"/>
      <c r="P170" s="31"/>
      <c r="Q170" s="31"/>
      <c r="R170" s="31"/>
      <c r="S170" s="47">
        <v>250</v>
      </c>
      <c r="T170" s="47"/>
      <c r="U170" s="48"/>
      <c r="V170" s="49"/>
      <c r="W170" s="49"/>
      <c r="X170" s="49"/>
      <c r="Y170" s="49"/>
      <c r="Z170" s="49"/>
      <c r="AA170" s="49"/>
      <c r="AB170" s="49"/>
      <c r="AC170" s="49"/>
      <c r="AD170" s="50"/>
      <c r="AE170" s="49"/>
      <c r="AF170" s="49"/>
      <c r="AG170" s="49"/>
      <c r="AH170" s="49"/>
      <c r="AI170" s="49"/>
      <c r="AJ170" s="49"/>
      <c r="AK170" s="49"/>
      <c r="AL170" s="49"/>
      <c r="AM170" s="49"/>
      <c r="AN170" s="49"/>
      <c r="AO170" s="49">
        <v>250</v>
      </c>
      <c r="AP170" s="49"/>
      <c r="AQ170" s="49"/>
      <c r="AR170" s="49"/>
      <c r="AS170" s="49"/>
      <c r="AT170" s="49"/>
      <c r="AU170" s="49"/>
      <c r="AV170" s="49"/>
      <c r="AW170" s="49"/>
      <c r="AX170" s="49"/>
      <c r="AY170" s="49"/>
      <c r="AZ170" s="49"/>
      <c r="BA170" s="33">
        <f t="shared" si="2"/>
        <v>0</v>
      </c>
      <c r="BB170" s="43"/>
    </row>
    <row r="171" spans="1:55" ht="53.25" customHeight="1" x14ac:dyDescent="0.35">
      <c r="A171" s="26">
        <v>154</v>
      </c>
      <c r="B171" s="43" t="s">
        <v>1584</v>
      </c>
      <c r="C171" s="28"/>
      <c r="D171" s="298" t="s">
        <v>1585</v>
      </c>
      <c r="E171" s="95">
        <v>1</v>
      </c>
      <c r="F171" s="44" t="s">
        <v>30</v>
      </c>
      <c r="G171" s="234">
        <f>[1]DICIEMBRE!$BA$166</f>
        <v>0</v>
      </c>
      <c r="H171" s="45"/>
      <c r="I171" s="45"/>
      <c r="J171" s="32"/>
      <c r="K171" s="32"/>
      <c r="L171" s="336"/>
      <c r="M171" s="32"/>
      <c r="N171" s="32"/>
      <c r="O171" s="32"/>
      <c r="P171" s="31"/>
      <c r="Q171" s="31"/>
      <c r="R171" s="31"/>
      <c r="S171" s="47">
        <f>300*E171</f>
        <v>300</v>
      </c>
      <c r="T171" s="47"/>
      <c r="U171" s="48"/>
      <c r="V171" s="49"/>
      <c r="W171" s="49"/>
      <c r="X171" s="49"/>
      <c r="Y171" s="49"/>
      <c r="Z171" s="49">
        <v>300</v>
      </c>
      <c r="AA171" s="49"/>
      <c r="AB171" s="49"/>
      <c r="AC171" s="49"/>
      <c r="AD171" s="50"/>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33">
        <f t="shared" si="2"/>
        <v>0</v>
      </c>
      <c r="BB171" s="43"/>
    </row>
    <row r="172" spans="1:55" ht="53.25" customHeight="1" x14ac:dyDescent="0.35">
      <c r="A172" s="26">
        <v>155</v>
      </c>
      <c r="B172" s="43" t="s">
        <v>457</v>
      </c>
      <c r="C172" s="28"/>
      <c r="D172" s="298" t="s">
        <v>1177</v>
      </c>
      <c r="E172" s="95">
        <v>2</v>
      </c>
      <c r="F172" s="44" t="s">
        <v>100</v>
      </c>
      <c r="G172" s="112">
        <f>[1]DICIEMBRE!$BA$167</f>
        <v>-250.25439999999981</v>
      </c>
      <c r="H172" s="45"/>
      <c r="I172" s="45"/>
      <c r="J172" s="32"/>
      <c r="K172" s="32"/>
      <c r="L172" s="32"/>
      <c r="M172" s="336"/>
      <c r="N172" s="32"/>
      <c r="O172" s="33"/>
      <c r="P172" s="33"/>
      <c r="Q172" s="31"/>
      <c r="R172" s="31"/>
      <c r="S172" s="47">
        <f>(350*0.16+350)*E172</f>
        <v>812</v>
      </c>
      <c r="T172" s="47"/>
      <c r="U172" s="48"/>
      <c r="V172" s="49"/>
      <c r="W172" s="49"/>
      <c r="X172" s="49"/>
      <c r="Y172" s="49"/>
      <c r="Z172" s="49"/>
      <c r="AA172" s="49"/>
      <c r="AB172" s="49"/>
      <c r="AC172" s="49"/>
      <c r="AD172" s="50"/>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33">
        <f>SUM(G172+S172+T172-U172-V172-W172-X172-Y172-Z172-AA172-AB172-AC172-AD172-AE172-AF172-AG172-AH172-AI172-AJ172-AK172-AL172-AM172-AN172-AO172-AP172-AQ172-AR172-AS172-AT172-AU172-AV172-AW172-AX172-AY172-AZ172)</f>
        <v>561.74560000000019</v>
      </c>
      <c r="BB172" s="43" t="s">
        <v>1797</v>
      </c>
    </row>
    <row r="173" spans="1:55" ht="53.25" customHeight="1" x14ac:dyDescent="0.35">
      <c r="A173" s="26">
        <v>156</v>
      </c>
      <c r="B173" s="43" t="s">
        <v>1593</v>
      </c>
      <c r="C173" s="28"/>
      <c r="D173" s="298" t="s">
        <v>1594</v>
      </c>
      <c r="E173" s="95">
        <v>2</v>
      </c>
      <c r="F173" s="44" t="s">
        <v>30</v>
      </c>
      <c r="G173" s="234">
        <f>[1]DICIEMBRE!$BA$168</f>
        <v>0</v>
      </c>
      <c r="H173" s="45"/>
      <c r="I173" s="45"/>
      <c r="J173" s="32"/>
      <c r="K173" s="32"/>
      <c r="L173" s="32"/>
      <c r="M173" s="336"/>
      <c r="N173" s="32"/>
      <c r="O173" s="33"/>
      <c r="P173" s="33"/>
      <c r="Q173" s="31"/>
      <c r="R173" s="31"/>
      <c r="S173" s="47">
        <f>(300*0.16+300)*E173</f>
        <v>696</v>
      </c>
      <c r="T173" s="47"/>
      <c r="U173" s="48"/>
      <c r="V173" s="49"/>
      <c r="W173" s="49"/>
      <c r="X173" s="49"/>
      <c r="Y173" s="49"/>
      <c r="Z173" s="49">
        <v>696</v>
      </c>
      <c r="AA173" s="49"/>
      <c r="AB173" s="49"/>
      <c r="AC173" s="49"/>
      <c r="AD173" s="50"/>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33">
        <f t="shared" si="2"/>
        <v>0</v>
      </c>
      <c r="BB173" s="43"/>
    </row>
    <row r="174" spans="1:55" ht="53.25" customHeight="1" x14ac:dyDescent="0.35">
      <c r="A174" s="26">
        <v>157</v>
      </c>
      <c r="B174" s="43" t="s">
        <v>288</v>
      </c>
      <c r="C174" s="28"/>
      <c r="D174" s="298" t="s">
        <v>188</v>
      </c>
      <c r="E174" s="95">
        <v>5</v>
      </c>
      <c r="F174" s="44" t="s">
        <v>30</v>
      </c>
      <c r="G174" s="112">
        <f>[1]DICIEMBRE!$BA$169</f>
        <v>-50</v>
      </c>
      <c r="H174" s="45"/>
      <c r="I174" s="45"/>
      <c r="J174" s="32"/>
      <c r="K174" s="33"/>
      <c r="L174" s="32"/>
      <c r="M174" s="32"/>
      <c r="N174" s="336"/>
      <c r="O174" s="32"/>
      <c r="P174" s="31"/>
      <c r="Q174" s="31"/>
      <c r="R174" s="31"/>
      <c r="S174" s="47">
        <f>300*E174</f>
        <v>1500</v>
      </c>
      <c r="T174" s="47"/>
      <c r="U174" s="48"/>
      <c r="V174" s="49"/>
      <c r="W174" s="49"/>
      <c r="X174" s="49"/>
      <c r="Y174" s="49"/>
      <c r="Z174" s="49"/>
      <c r="AA174" s="49"/>
      <c r="AB174" s="49">
        <v>1500</v>
      </c>
      <c r="AC174" s="49"/>
      <c r="AD174" s="50"/>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33">
        <f t="shared" si="2"/>
        <v>-50</v>
      </c>
      <c r="BB174" s="43" t="s">
        <v>1910</v>
      </c>
    </row>
    <row r="175" spans="1:55" ht="53.25" customHeight="1" x14ac:dyDescent="0.35">
      <c r="A175" s="26">
        <v>158</v>
      </c>
      <c r="B175" s="43" t="s">
        <v>1356</v>
      </c>
      <c r="C175" s="28"/>
      <c r="D175" s="298" t="s">
        <v>1366</v>
      </c>
      <c r="E175" s="95">
        <v>1</v>
      </c>
      <c r="F175" s="44" t="s">
        <v>30</v>
      </c>
      <c r="G175" s="234">
        <f>[1]DICIEMBRE!$BA$170</f>
        <v>0</v>
      </c>
      <c r="H175" s="45"/>
      <c r="I175" s="45"/>
      <c r="J175" s="32"/>
      <c r="K175" s="33"/>
      <c r="L175" s="32"/>
      <c r="M175" s="32"/>
      <c r="N175" s="336"/>
      <c r="O175" s="32"/>
      <c r="P175" s="33"/>
      <c r="Q175" s="31"/>
      <c r="R175" s="31"/>
      <c r="S175" s="47">
        <f>250*E175</f>
        <v>250</v>
      </c>
      <c r="T175" s="47"/>
      <c r="U175" s="48"/>
      <c r="V175" s="49"/>
      <c r="W175" s="49"/>
      <c r="X175" s="49"/>
      <c r="Y175" s="49"/>
      <c r="Z175" s="49"/>
      <c r="AA175" s="49"/>
      <c r="AB175" s="49"/>
      <c r="AC175" s="49"/>
      <c r="AD175" s="50"/>
      <c r="AE175" s="49"/>
      <c r="AF175" s="49"/>
      <c r="AG175" s="49">
        <v>250</v>
      </c>
      <c r="AH175" s="49"/>
      <c r="AI175" s="49"/>
      <c r="AJ175" s="49"/>
      <c r="AK175" s="49"/>
      <c r="AL175" s="49"/>
      <c r="AM175" s="49"/>
      <c r="AN175" s="49"/>
      <c r="AO175" s="49"/>
      <c r="AP175" s="49"/>
      <c r="AQ175" s="49"/>
      <c r="AR175" s="49"/>
      <c r="AS175" s="49"/>
      <c r="AT175" s="49"/>
      <c r="AU175" s="49"/>
      <c r="AV175" s="49"/>
      <c r="AW175" s="49"/>
      <c r="AX175" s="49"/>
      <c r="AY175" s="49"/>
      <c r="AZ175" s="49"/>
      <c r="BA175" s="33">
        <f t="shared" si="2"/>
        <v>0</v>
      </c>
      <c r="BB175" s="43"/>
    </row>
    <row r="176" spans="1:55" ht="53.25" customHeight="1" x14ac:dyDescent="0.35">
      <c r="A176" s="26">
        <v>159</v>
      </c>
      <c r="B176" s="43" t="s">
        <v>736</v>
      </c>
      <c r="C176" s="28"/>
      <c r="D176" s="298" t="s">
        <v>1178</v>
      </c>
      <c r="E176" s="95">
        <v>1</v>
      </c>
      <c r="F176" s="44" t="s">
        <v>100</v>
      </c>
      <c r="G176" s="112"/>
      <c r="H176" s="45"/>
      <c r="I176" s="45"/>
      <c r="J176" s="32"/>
      <c r="K176" s="32"/>
      <c r="L176" s="336"/>
      <c r="M176" s="32"/>
      <c r="N176" s="32"/>
      <c r="O176" s="32"/>
      <c r="P176" s="31"/>
      <c r="Q176" s="31"/>
      <c r="R176" s="31"/>
      <c r="S176" s="47"/>
      <c r="T176" s="47"/>
      <c r="U176" s="48"/>
      <c r="V176" s="49"/>
      <c r="W176" s="49"/>
      <c r="X176" s="49"/>
      <c r="Y176" s="49"/>
      <c r="Z176" s="49"/>
      <c r="AA176" s="49"/>
      <c r="AB176" s="49"/>
      <c r="AC176" s="49"/>
      <c r="AD176" s="50"/>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33">
        <f t="shared" si="2"/>
        <v>0</v>
      </c>
      <c r="BB176" s="43"/>
    </row>
    <row r="177" spans="1:54" ht="53.25" customHeight="1" x14ac:dyDescent="0.35">
      <c r="A177" s="26">
        <v>160</v>
      </c>
      <c r="B177" s="43" t="s">
        <v>1420</v>
      </c>
      <c r="C177" s="28"/>
      <c r="D177" s="298" t="s">
        <v>1421</v>
      </c>
      <c r="E177" s="95">
        <v>1</v>
      </c>
      <c r="F177" s="44" t="s">
        <v>30</v>
      </c>
      <c r="G177" s="234">
        <f>[1]DICIEMBRE!$BA$172</f>
        <v>0</v>
      </c>
      <c r="H177" s="45"/>
      <c r="I177" s="45"/>
      <c r="J177" s="32"/>
      <c r="K177" s="32"/>
      <c r="L177" s="336"/>
      <c r="M177" s="32"/>
      <c r="N177" s="32"/>
      <c r="O177" s="32"/>
      <c r="P177" s="33"/>
      <c r="Q177" s="31"/>
      <c r="R177" s="31"/>
      <c r="S177" s="47">
        <f>300*E177</f>
        <v>300</v>
      </c>
      <c r="T177" s="47"/>
      <c r="U177" s="48"/>
      <c r="V177" s="49"/>
      <c r="W177" s="49"/>
      <c r="X177" s="49"/>
      <c r="Y177" s="49"/>
      <c r="Z177" s="49"/>
      <c r="AA177" s="49">
        <v>300</v>
      </c>
      <c r="AB177" s="49"/>
      <c r="AC177" s="49"/>
      <c r="AD177" s="50"/>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33">
        <f t="shared" si="2"/>
        <v>0</v>
      </c>
      <c r="BB177" s="43"/>
    </row>
    <row r="178" spans="1:54" ht="64.5" customHeight="1" x14ac:dyDescent="0.35">
      <c r="A178" s="26">
        <v>161</v>
      </c>
      <c r="B178" s="43" t="s">
        <v>1658</v>
      </c>
      <c r="C178" s="53" t="s">
        <v>119</v>
      </c>
      <c r="D178" s="298" t="s">
        <v>1179</v>
      </c>
      <c r="E178" s="95">
        <v>2</v>
      </c>
      <c r="F178" s="44" t="s">
        <v>30</v>
      </c>
      <c r="G178" s="112">
        <f>[1]DICIEMBRE!$BA$173</f>
        <v>-3.3400000000001455</v>
      </c>
      <c r="H178" s="45"/>
      <c r="I178" s="45"/>
      <c r="J178" s="32"/>
      <c r="K178" s="32"/>
      <c r="L178" s="32"/>
      <c r="M178" s="336"/>
      <c r="N178" s="32"/>
      <c r="O178" s="33"/>
      <c r="P178" s="31"/>
      <c r="Q178" s="31"/>
      <c r="R178" s="31"/>
      <c r="S178" s="47">
        <f>250*E178</f>
        <v>500</v>
      </c>
      <c r="T178" s="47"/>
      <c r="U178" s="48"/>
      <c r="V178" s="49"/>
      <c r="W178" s="49"/>
      <c r="X178" s="49"/>
      <c r="Y178" s="49"/>
      <c r="Z178" s="49"/>
      <c r="AA178" s="49"/>
      <c r="AB178" s="49"/>
      <c r="AC178" s="49"/>
      <c r="AD178" s="49"/>
      <c r="AE178" s="49"/>
      <c r="AF178" s="50"/>
      <c r="AG178" s="49"/>
      <c r="AH178" s="49"/>
      <c r="AI178" s="49"/>
      <c r="AJ178" s="49"/>
      <c r="AK178" s="49"/>
      <c r="AL178" s="49"/>
      <c r="AM178" s="49"/>
      <c r="AN178" s="49"/>
      <c r="AO178" s="49">
        <v>500</v>
      </c>
      <c r="AP178" s="49"/>
      <c r="AQ178" s="49"/>
      <c r="AR178" s="49"/>
      <c r="AS178" s="49"/>
      <c r="AT178" s="49"/>
      <c r="AU178" s="49"/>
      <c r="AV178" s="49"/>
      <c r="AW178" s="49"/>
      <c r="AX178" s="49"/>
      <c r="AY178" s="49"/>
      <c r="AZ178" s="49"/>
      <c r="BA178" s="33">
        <f t="shared" si="2"/>
        <v>-3.3400000000001455</v>
      </c>
      <c r="BB178" s="43"/>
    </row>
    <row r="179" spans="1:54" ht="45.75" customHeight="1" x14ac:dyDescent="0.35">
      <c r="A179" s="26">
        <v>162</v>
      </c>
      <c r="B179" s="43" t="s">
        <v>1242</v>
      </c>
      <c r="C179" s="53"/>
      <c r="D179" s="298" t="s">
        <v>1243</v>
      </c>
      <c r="E179" s="95">
        <v>1</v>
      </c>
      <c r="F179" s="44" t="s">
        <v>30</v>
      </c>
      <c r="G179" s="234">
        <f>[1]DICIEMBRE!$BA$174</f>
        <v>0</v>
      </c>
      <c r="H179" s="45"/>
      <c r="I179" s="45"/>
      <c r="J179" s="32"/>
      <c r="K179" s="33"/>
      <c r="L179" s="32"/>
      <c r="M179" s="32"/>
      <c r="N179" s="336"/>
      <c r="O179" s="32"/>
      <c r="P179" s="33"/>
      <c r="Q179" s="31"/>
      <c r="R179" s="31"/>
      <c r="S179" s="47">
        <f>250*E179</f>
        <v>250</v>
      </c>
      <c r="T179" s="47"/>
      <c r="U179" s="48"/>
      <c r="V179" s="49"/>
      <c r="W179" s="49"/>
      <c r="X179" s="49"/>
      <c r="Y179" s="49"/>
      <c r="Z179" s="49"/>
      <c r="AA179" s="49"/>
      <c r="AB179" s="49"/>
      <c r="AC179" s="49"/>
      <c r="AD179" s="49">
        <v>250</v>
      </c>
      <c r="AE179" s="49"/>
      <c r="AF179" s="50"/>
      <c r="AG179" s="49"/>
      <c r="AH179" s="49"/>
      <c r="AI179" s="49"/>
      <c r="AJ179" s="49"/>
      <c r="AK179" s="49"/>
      <c r="AL179" s="49"/>
      <c r="AM179" s="49"/>
      <c r="AN179" s="49"/>
      <c r="AO179" s="49"/>
      <c r="AP179" s="49"/>
      <c r="AQ179" s="49"/>
      <c r="AR179" s="49"/>
      <c r="AS179" s="49"/>
      <c r="AT179" s="49"/>
      <c r="AU179" s="49"/>
      <c r="AV179" s="49"/>
      <c r="AW179" s="49"/>
      <c r="AX179" s="49"/>
      <c r="BA179" s="33">
        <f t="shared" si="2"/>
        <v>0</v>
      </c>
      <c r="BB179" s="43"/>
    </row>
    <row r="180" spans="1:54" ht="45.75" customHeight="1" x14ac:dyDescent="0.35">
      <c r="A180" s="26">
        <v>163</v>
      </c>
      <c r="B180" s="43" t="s">
        <v>1289</v>
      </c>
      <c r="C180" s="53"/>
      <c r="D180" s="298" t="s">
        <v>1290</v>
      </c>
      <c r="E180" s="95">
        <v>1</v>
      </c>
      <c r="F180" s="44" t="s">
        <v>30</v>
      </c>
      <c r="G180" s="112">
        <f>[1]DICIEMBRE!$BA$175</f>
        <v>0</v>
      </c>
      <c r="H180" s="45"/>
      <c r="I180" s="45"/>
      <c r="J180" s="32"/>
      <c r="K180" s="33"/>
      <c r="L180" s="32"/>
      <c r="M180" s="32"/>
      <c r="N180" s="32"/>
      <c r="O180" s="32"/>
      <c r="P180" s="31"/>
      <c r="Q180" s="31"/>
      <c r="R180" s="31"/>
      <c r="S180" s="47">
        <f>250*E180</f>
        <v>250</v>
      </c>
      <c r="T180" s="47"/>
      <c r="U180" s="48"/>
      <c r="V180" s="49"/>
      <c r="W180" s="49"/>
      <c r="X180" s="49"/>
      <c r="Y180" s="49"/>
      <c r="Z180" s="49"/>
      <c r="AA180" s="49"/>
      <c r="AB180" s="49"/>
      <c r="AC180" s="49"/>
      <c r="AD180" s="49"/>
      <c r="AE180" s="49"/>
      <c r="AF180" s="50"/>
      <c r="AG180" s="49"/>
      <c r="AH180" s="49">
        <v>250</v>
      </c>
      <c r="AI180" s="49"/>
      <c r="AJ180" s="49"/>
      <c r="AK180" s="49"/>
      <c r="AL180" s="49"/>
      <c r="AM180" s="49"/>
      <c r="AN180" s="49"/>
      <c r="AO180" s="49"/>
      <c r="AP180" s="49"/>
      <c r="AQ180" s="49"/>
      <c r="AR180" s="49"/>
      <c r="AS180" s="49"/>
      <c r="AT180" s="49"/>
      <c r="AU180" s="49"/>
      <c r="AV180" s="49"/>
      <c r="AW180" s="49"/>
      <c r="AX180" s="49"/>
      <c r="BA180" s="33">
        <f t="shared" si="2"/>
        <v>0</v>
      </c>
      <c r="BB180" s="43"/>
    </row>
    <row r="181" spans="1:54" ht="45.75" customHeight="1" x14ac:dyDescent="0.35">
      <c r="A181" s="26">
        <v>164</v>
      </c>
      <c r="B181" s="43" t="s">
        <v>953</v>
      </c>
      <c r="C181" s="43"/>
      <c r="D181" s="306" t="s">
        <v>959</v>
      </c>
      <c r="E181" s="95">
        <v>4</v>
      </c>
      <c r="F181" s="44" t="s">
        <v>30</v>
      </c>
      <c r="G181" s="234">
        <f>[1]DICIEMBRE!$BA$176</f>
        <v>0</v>
      </c>
      <c r="H181" s="45"/>
      <c r="I181" s="45"/>
      <c r="J181" s="32"/>
      <c r="K181" s="32"/>
      <c r="L181" s="336"/>
      <c r="M181" s="336"/>
      <c r="N181" s="32"/>
      <c r="O181" s="33"/>
      <c r="P181" s="33"/>
      <c r="Q181" s="31"/>
      <c r="R181" s="31"/>
      <c r="S181" s="47">
        <f>150*E181</f>
        <v>600</v>
      </c>
      <c r="T181" s="47">
        <v>1779</v>
      </c>
      <c r="U181" s="48"/>
      <c r="V181" s="49"/>
      <c r="W181" s="49"/>
      <c r="X181" s="49"/>
      <c r="Y181" s="49"/>
      <c r="Z181" s="49"/>
      <c r="AA181" s="49"/>
      <c r="AB181" s="49"/>
      <c r="AC181" s="49"/>
      <c r="AD181" s="49"/>
      <c r="AE181" s="49"/>
      <c r="AF181" s="50">
        <v>2379</v>
      </c>
      <c r="AG181" s="49"/>
      <c r="AH181" s="49"/>
      <c r="AI181" s="49"/>
      <c r="AJ181" s="49"/>
      <c r="AK181" s="49"/>
      <c r="AL181" s="49"/>
      <c r="AM181" s="49"/>
      <c r="AN181" s="49"/>
      <c r="AO181" s="49"/>
      <c r="AP181" s="49"/>
      <c r="AQ181" s="49"/>
      <c r="AR181" s="49"/>
      <c r="AS181" s="49"/>
      <c r="AT181" s="49"/>
      <c r="AU181" s="49"/>
      <c r="AV181" s="49"/>
      <c r="AW181" s="49"/>
      <c r="AX181" s="49"/>
      <c r="BA181" s="33">
        <f t="shared" si="2"/>
        <v>0</v>
      </c>
      <c r="BB181" s="43" t="s">
        <v>1789</v>
      </c>
    </row>
    <row r="182" spans="1:54" ht="45.75" customHeight="1" x14ac:dyDescent="0.35">
      <c r="A182" s="26">
        <v>165</v>
      </c>
      <c r="B182" s="43" t="s">
        <v>1294</v>
      </c>
      <c r="C182" s="53"/>
      <c r="D182" s="298" t="s">
        <v>1295</v>
      </c>
      <c r="E182" s="95">
        <v>1</v>
      </c>
      <c r="F182" s="44" t="s">
        <v>30</v>
      </c>
      <c r="G182" s="112">
        <f>[1]DICIEMBRE!$BA$177</f>
        <v>250</v>
      </c>
      <c r="H182" s="45"/>
      <c r="I182" s="45"/>
      <c r="J182" s="32"/>
      <c r="K182" s="32"/>
      <c r="L182" s="32"/>
      <c r="M182" s="32"/>
      <c r="N182" s="336"/>
      <c r="O182" s="32"/>
      <c r="P182" s="31"/>
      <c r="Q182" s="31"/>
      <c r="R182" s="31"/>
      <c r="S182" s="47">
        <f>250</f>
        <v>250</v>
      </c>
      <c r="T182" s="47">
        <v>2150</v>
      </c>
      <c r="U182" s="48"/>
      <c r="V182" s="49"/>
      <c r="W182" s="49"/>
      <c r="X182" s="49"/>
      <c r="Y182" s="49"/>
      <c r="Z182" s="49"/>
      <c r="AA182" s="49"/>
      <c r="AB182" s="49"/>
      <c r="AC182" s="49"/>
      <c r="AD182" s="49"/>
      <c r="AE182" s="49"/>
      <c r="AF182" s="50"/>
      <c r="AG182" s="49"/>
      <c r="AH182" s="49"/>
      <c r="AI182" s="49"/>
      <c r="AJ182" s="49"/>
      <c r="AK182" s="49"/>
      <c r="AL182" s="49"/>
      <c r="AM182" s="49"/>
      <c r="AN182" s="49"/>
      <c r="AO182" s="49">
        <v>500</v>
      </c>
      <c r="AP182" s="49"/>
      <c r="AQ182" s="49"/>
      <c r="AR182" s="49"/>
      <c r="AS182" s="49"/>
      <c r="AT182" s="49"/>
      <c r="AU182" s="49"/>
      <c r="AV182" s="49"/>
      <c r="AW182" s="49"/>
      <c r="AX182" s="49"/>
      <c r="AY182" s="49">
        <v>2150</v>
      </c>
      <c r="AZ182" s="49"/>
      <c r="BA182" s="33">
        <f t="shared" si="2"/>
        <v>0</v>
      </c>
      <c r="BB182" s="43" t="s">
        <v>2056</v>
      </c>
    </row>
    <row r="183" spans="1:54" ht="59.25" customHeight="1" x14ac:dyDescent="0.35">
      <c r="A183" s="26">
        <v>166</v>
      </c>
      <c r="B183" s="43" t="s">
        <v>1377</v>
      </c>
      <c r="C183" s="53"/>
      <c r="D183" s="298" t="s">
        <v>1379</v>
      </c>
      <c r="E183" s="95">
        <v>1</v>
      </c>
      <c r="F183" s="44" t="s">
        <v>30</v>
      </c>
      <c r="G183" s="234">
        <f>[1]DICIEMBRE!$BA$178</f>
        <v>348</v>
      </c>
      <c r="H183" s="45"/>
      <c r="I183" s="45"/>
      <c r="J183" s="32"/>
      <c r="K183" s="32"/>
      <c r="L183" s="336"/>
      <c r="M183" s="32"/>
      <c r="N183" s="32"/>
      <c r="O183" s="32"/>
      <c r="P183" s="31"/>
      <c r="Q183" s="31"/>
      <c r="R183" s="31"/>
      <c r="S183" s="47">
        <f>(300*0.16+300)*E183</f>
        <v>348</v>
      </c>
      <c r="T183" s="47"/>
      <c r="U183" s="48"/>
      <c r="V183" s="49"/>
      <c r="W183" s="49"/>
      <c r="X183" s="49"/>
      <c r="Y183" s="49"/>
      <c r="Z183" s="49"/>
      <c r="AA183" s="49"/>
      <c r="AB183" s="49"/>
      <c r="AC183" s="49"/>
      <c r="AD183" s="49"/>
      <c r="AE183" s="49"/>
      <c r="AF183" s="50"/>
      <c r="AG183" s="49"/>
      <c r="AH183" s="49"/>
      <c r="AI183" s="49"/>
      <c r="AJ183" s="49"/>
      <c r="AK183" s="49"/>
      <c r="AL183" s="49"/>
      <c r="AM183" s="49"/>
      <c r="AN183" s="49"/>
      <c r="AO183" s="49">
        <v>696</v>
      </c>
      <c r="AP183" s="49"/>
      <c r="AQ183" s="49"/>
      <c r="AR183" s="49"/>
      <c r="AS183" s="49"/>
      <c r="AT183" s="49"/>
      <c r="AU183" s="49"/>
      <c r="AV183" s="49"/>
      <c r="AW183" s="49"/>
      <c r="AX183" s="49"/>
      <c r="AY183" s="49"/>
      <c r="AZ183" s="49"/>
      <c r="BA183" s="33">
        <f t="shared" si="2"/>
        <v>0</v>
      </c>
      <c r="BB183" s="43"/>
    </row>
    <row r="184" spans="1:54" ht="45.75" customHeight="1" x14ac:dyDescent="0.35">
      <c r="A184" s="26">
        <v>167</v>
      </c>
      <c r="B184" s="43" t="s">
        <v>1250</v>
      </c>
      <c r="C184" s="53"/>
      <c r="D184" s="298" t="s">
        <v>1251</v>
      </c>
      <c r="E184" s="95">
        <v>1</v>
      </c>
      <c r="F184" s="44" t="s">
        <v>35</v>
      </c>
      <c r="G184" s="112">
        <f>[1]DICIEMBRE!$BA$179</f>
        <v>2750</v>
      </c>
      <c r="H184" s="45"/>
      <c r="I184" s="45"/>
      <c r="J184" s="32"/>
      <c r="K184" s="32"/>
      <c r="L184" s="336"/>
      <c r="M184" s="336"/>
      <c r="N184" s="32"/>
      <c r="O184" s="33"/>
      <c r="P184" s="33"/>
      <c r="Q184" s="31"/>
      <c r="R184" s="31"/>
      <c r="S184" s="47">
        <f>300*E184</f>
        <v>300</v>
      </c>
      <c r="T184" s="47"/>
      <c r="U184" s="48"/>
      <c r="V184" s="49"/>
      <c r="W184" s="49"/>
      <c r="X184" s="49"/>
      <c r="Y184" s="49"/>
      <c r="Z184" s="49"/>
      <c r="AA184" s="49"/>
      <c r="AB184" s="49"/>
      <c r="AC184" s="49"/>
      <c r="AD184" s="49"/>
      <c r="AE184" s="49"/>
      <c r="AF184" s="50"/>
      <c r="AG184" s="49"/>
      <c r="AH184" s="49"/>
      <c r="AI184" s="49"/>
      <c r="AJ184" s="49"/>
      <c r="AK184" s="49"/>
      <c r="AL184" s="49"/>
      <c r="AM184" s="49"/>
      <c r="AN184" s="49"/>
      <c r="AO184" s="49"/>
      <c r="AP184" s="49"/>
      <c r="AQ184" s="49"/>
      <c r="AR184" s="49"/>
      <c r="AS184" s="49"/>
      <c r="AT184" s="49"/>
      <c r="AU184" s="49"/>
      <c r="AV184" s="49"/>
      <c r="AW184" s="49"/>
      <c r="AX184" s="49"/>
      <c r="AY184" s="49"/>
      <c r="AZ184" s="49"/>
      <c r="BA184" s="33">
        <f t="shared" si="2"/>
        <v>3050</v>
      </c>
      <c r="BB184" s="43"/>
    </row>
    <row r="185" spans="1:54" ht="45.75" customHeight="1" x14ac:dyDescent="0.35">
      <c r="A185" s="26">
        <v>168</v>
      </c>
      <c r="B185" s="43" t="s">
        <v>1566</v>
      </c>
      <c r="C185" s="53"/>
      <c r="D185" s="298" t="s">
        <v>1567</v>
      </c>
      <c r="E185" s="95">
        <v>1</v>
      </c>
      <c r="F185" s="44" t="s">
        <v>30</v>
      </c>
      <c r="G185" s="234">
        <f>[1]DICIEMBRE!$BA$180</f>
        <v>0</v>
      </c>
      <c r="H185" s="45"/>
      <c r="I185" s="45"/>
      <c r="J185" s="32"/>
      <c r="K185" s="32"/>
      <c r="L185" s="336"/>
      <c r="M185" s="336"/>
      <c r="N185" s="32"/>
      <c r="O185" s="33"/>
      <c r="P185" s="33"/>
      <c r="Q185" s="31"/>
      <c r="R185" s="31"/>
      <c r="S185" s="47">
        <f>300*E185</f>
        <v>300</v>
      </c>
      <c r="T185" s="47"/>
      <c r="U185" s="48"/>
      <c r="V185" s="49"/>
      <c r="W185" s="49"/>
      <c r="X185" s="49"/>
      <c r="Y185" s="49"/>
      <c r="Z185" s="49"/>
      <c r="AA185" s="49">
        <v>300</v>
      </c>
      <c r="AB185" s="49"/>
      <c r="AC185" s="49"/>
      <c r="AD185" s="49"/>
      <c r="AE185" s="49"/>
      <c r="AF185" s="50"/>
      <c r="AG185" s="49"/>
      <c r="AH185" s="49"/>
      <c r="AI185" s="49"/>
      <c r="AJ185" s="49"/>
      <c r="AK185" s="49"/>
      <c r="AL185" s="49"/>
      <c r="AM185" s="49"/>
      <c r="AN185" s="49"/>
      <c r="AO185" s="49"/>
      <c r="AP185" s="49"/>
      <c r="AQ185" s="49"/>
      <c r="AR185" s="49"/>
      <c r="AS185" s="49"/>
      <c r="AT185" s="49"/>
      <c r="AU185" s="49"/>
      <c r="AV185" s="49"/>
      <c r="AW185" s="49"/>
      <c r="AX185" s="49"/>
      <c r="AY185" s="49"/>
      <c r="AZ185" s="49"/>
      <c r="BA185" s="33">
        <f t="shared" si="2"/>
        <v>0</v>
      </c>
      <c r="BB185" s="43"/>
    </row>
    <row r="186" spans="1:54" ht="45.75" customHeight="1" x14ac:dyDescent="0.35">
      <c r="A186" s="26">
        <v>169</v>
      </c>
      <c r="B186" s="43" t="s">
        <v>922</v>
      </c>
      <c r="C186" s="53"/>
      <c r="D186" s="298" t="s">
        <v>1770</v>
      </c>
      <c r="E186" s="95">
        <v>1</v>
      </c>
      <c r="F186" s="44" t="s">
        <v>30</v>
      </c>
      <c r="G186" s="234"/>
      <c r="H186" s="45"/>
      <c r="I186" s="45"/>
      <c r="J186" s="32"/>
      <c r="K186" s="32"/>
      <c r="L186" s="336"/>
      <c r="M186" s="336"/>
      <c r="N186" s="32"/>
      <c r="O186" s="33"/>
      <c r="P186" s="33"/>
      <c r="Q186" s="31"/>
      <c r="R186" s="31"/>
      <c r="S186" s="47">
        <f>250*E186</f>
        <v>250</v>
      </c>
      <c r="T186" s="47">
        <f>1300</f>
        <v>1300</v>
      </c>
      <c r="U186" s="48"/>
      <c r="V186" s="49"/>
      <c r="W186" s="49"/>
      <c r="X186" s="49">
        <v>1550</v>
      </c>
      <c r="Y186" s="49"/>
      <c r="Z186" s="49"/>
      <c r="AA186" s="49"/>
      <c r="AB186" s="49"/>
      <c r="AC186" s="49"/>
      <c r="AD186" s="49"/>
      <c r="AE186" s="49"/>
      <c r="AF186" s="50"/>
      <c r="AG186" s="49"/>
      <c r="AH186" s="49"/>
      <c r="AI186" s="49"/>
      <c r="AJ186" s="49"/>
      <c r="AK186" s="49"/>
      <c r="AL186" s="49"/>
      <c r="AM186" s="49"/>
      <c r="AN186" s="49"/>
      <c r="AO186" s="49"/>
      <c r="AP186" s="49"/>
      <c r="AQ186" s="49"/>
      <c r="AR186" s="49"/>
      <c r="AS186" s="49"/>
      <c r="AT186" s="49"/>
      <c r="AU186" s="49"/>
      <c r="AV186" s="49"/>
      <c r="AW186" s="49"/>
      <c r="AX186" s="49"/>
      <c r="AY186" s="49"/>
      <c r="AZ186" s="49"/>
      <c r="BA186" s="33">
        <f t="shared" si="2"/>
        <v>0</v>
      </c>
      <c r="BB186" s="43"/>
    </row>
    <row r="187" spans="1:54" ht="48" customHeight="1" x14ac:dyDescent="0.35">
      <c r="A187" s="26">
        <v>170</v>
      </c>
      <c r="B187" s="27" t="s">
        <v>120</v>
      </c>
      <c r="C187" s="28" t="s">
        <v>121</v>
      </c>
      <c r="D187" s="298" t="s">
        <v>1180</v>
      </c>
      <c r="E187" s="95">
        <v>1</v>
      </c>
      <c r="F187" s="64" t="s">
        <v>30</v>
      </c>
      <c r="G187" s="112">
        <f>[1]DICIEMBRE!$BA$181</f>
        <v>0</v>
      </c>
      <c r="H187" s="45"/>
      <c r="I187" s="45"/>
      <c r="J187" s="32"/>
      <c r="K187" s="32"/>
      <c r="L187" s="32"/>
      <c r="M187" s="32"/>
      <c r="N187" s="336"/>
      <c r="O187" s="32"/>
      <c r="P187" s="31"/>
      <c r="Q187" s="31"/>
      <c r="R187" s="31"/>
      <c r="S187" s="49">
        <f>250*E187</f>
        <v>250</v>
      </c>
      <c r="T187" s="47"/>
      <c r="U187" s="77"/>
      <c r="V187" s="49"/>
      <c r="W187" s="49"/>
      <c r="X187" s="49"/>
      <c r="Y187" s="49"/>
      <c r="Z187" s="49"/>
      <c r="AA187" s="49"/>
      <c r="AB187" s="49"/>
      <c r="AC187" s="49"/>
      <c r="AD187" s="49"/>
      <c r="AE187" s="49"/>
      <c r="AF187" s="51"/>
      <c r="AG187" s="49"/>
      <c r="AH187" s="49"/>
      <c r="AI187" s="49"/>
      <c r="AJ187" s="49">
        <v>250</v>
      </c>
      <c r="AK187" s="68"/>
      <c r="AL187" s="49"/>
      <c r="AM187" s="49"/>
      <c r="AN187" s="49"/>
      <c r="AO187" s="49"/>
      <c r="AP187" s="49"/>
      <c r="AQ187" s="49"/>
      <c r="AR187" s="49"/>
      <c r="AS187" s="49"/>
      <c r="AT187" s="49"/>
      <c r="AU187" s="49"/>
      <c r="AV187" s="49"/>
      <c r="AW187" s="49"/>
      <c r="AX187" s="49"/>
      <c r="AY187" s="49"/>
      <c r="AZ187" s="49"/>
      <c r="BA187" s="33">
        <f t="shared" si="2"/>
        <v>0</v>
      </c>
      <c r="BB187" s="269"/>
    </row>
    <row r="188" spans="1:54" ht="48" customHeight="1" x14ac:dyDescent="0.35">
      <c r="A188" s="26">
        <v>171</v>
      </c>
      <c r="B188" s="43" t="s">
        <v>1056</v>
      </c>
      <c r="C188" s="28"/>
      <c r="D188" s="298" t="s">
        <v>1181</v>
      </c>
      <c r="E188" s="95">
        <v>1</v>
      </c>
      <c r="F188" s="64" t="s">
        <v>30</v>
      </c>
      <c r="G188" s="234">
        <f>[1]DICIEMBRE!$BA$182</f>
        <v>0</v>
      </c>
      <c r="H188" s="45"/>
      <c r="I188" s="45"/>
      <c r="J188" s="32"/>
      <c r="K188" s="32"/>
      <c r="L188" s="32"/>
      <c r="M188" s="32"/>
      <c r="N188" s="32"/>
      <c r="O188" s="32"/>
      <c r="P188" s="33"/>
      <c r="Q188" s="31"/>
      <c r="R188" s="31"/>
      <c r="S188" s="49">
        <f>300*E188</f>
        <v>300</v>
      </c>
      <c r="T188" s="47"/>
      <c r="U188" s="77"/>
      <c r="V188" s="49"/>
      <c r="W188" s="49"/>
      <c r="X188" s="49"/>
      <c r="Y188" s="49"/>
      <c r="Z188" s="49"/>
      <c r="AA188" s="49"/>
      <c r="AB188" s="49"/>
      <c r="AC188" s="49"/>
      <c r="AD188" s="49"/>
      <c r="AE188" s="49"/>
      <c r="AF188" s="51"/>
      <c r="AG188" s="49"/>
      <c r="AH188" s="49"/>
      <c r="AI188" s="49"/>
      <c r="AJ188" s="49"/>
      <c r="AK188" s="68"/>
      <c r="AL188" s="49">
        <v>300</v>
      </c>
      <c r="AM188" s="49"/>
      <c r="AN188" s="49"/>
      <c r="AO188" s="49"/>
      <c r="AP188" s="49"/>
      <c r="AQ188" s="49"/>
      <c r="AR188" s="49"/>
      <c r="AS188" s="49"/>
      <c r="AT188" s="49"/>
      <c r="AU188" s="49"/>
      <c r="AV188" s="49"/>
      <c r="AW188" s="49"/>
      <c r="AX188" s="49"/>
      <c r="AY188" s="49"/>
      <c r="AZ188" s="49"/>
      <c r="BA188" s="33">
        <f t="shared" si="2"/>
        <v>0</v>
      </c>
      <c r="BB188" s="269"/>
    </row>
    <row r="189" spans="1:54" ht="48" customHeight="1" x14ac:dyDescent="0.35">
      <c r="A189" s="26">
        <v>172</v>
      </c>
      <c r="B189" s="43" t="s">
        <v>1609</v>
      </c>
      <c r="C189" s="28"/>
      <c r="D189" s="298" t="s">
        <v>1610</v>
      </c>
      <c r="E189" s="95">
        <v>3</v>
      </c>
      <c r="F189" s="64" t="s">
        <v>30</v>
      </c>
      <c r="G189" s="112">
        <f>[1]DICIEMBRE!$BA$183</f>
        <v>1.1368683772161603E-13</v>
      </c>
      <c r="H189" s="45"/>
      <c r="I189" s="45"/>
      <c r="J189" s="32"/>
      <c r="K189" s="32"/>
      <c r="L189" s="32"/>
      <c r="M189" s="32"/>
      <c r="N189" s="32"/>
      <c r="O189" s="32"/>
      <c r="P189" s="33"/>
      <c r="Q189" s="31"/>
      <c r="R189" s="31"/>
      <c r="S189" s="49">
        <f>(300*0.16+300)*E189</f>
        <v>1044</v>
      </c>
      <c r="T189" s="47"/>
      <c r="U189" s="77"/>
      <c r="V189" s="49"/>
      <c r="W189" s="49"/>
      <c r="X189" s="49"/>
      <c r="Y189" s="49"/>
      <c r="Z189" s="49"/>
      <c r="AA189" s="49"/>
      <c r="AB189" s="49">
        <v>1044</v>
      </c>
      <c r="AC189" s="49"/>
      <c r="AD189" s="49"/>
      <c r="AE189" s="49"/>
      <c r="AF189" s="51"/>
      <c r="AG189" s="49"/>
      <c r="AH189" s="49"/>
      <c r="AI189" s="49"/>
      <c r="AJ189" s="49"/>
      <c r="AK189" s="68"/>
      <c r="AL189" s="49"/>
      <c r="AM189" s="49"/>
      <c r="AN189" s="49"/>
      <c r="AO189" s="49"/>
      <c r="AP189" s="49"/>
      <c r="AQ189" s="49"/>
      <c r="AR189" s="49"/>
      <c r="AS189" s="49"/>
      <c r="AT189" s="49"/>
      <c r="AU189" s="49"/>
      <c r="AV189" s="49"/>
      <c r="AW189" s="49"/>
      <c r="AX189" s="49"/>
      <c r="AY189" s="49"/>
      <c r="AZ189" s="49"/>
      <c r="BA189" s="33">
        <f t="shared" si="2"/>
        <v>0</v>
      </c>
      <c r="BB189" s="269"/>
    </row>
    <row r="190" spans="1:54" ht="48" customHeight="1" x14ac:dyDescent="0.35">
      <c r="A190" s="26">
        <v>173</v>
      </c>
      <c r="B190" s="43" t="s">
        <v>945</v>
      </c>
      <c r="C190" s="28"/>
      <c r="D190" s="298" t="s">
        <v>1182</v>
      </c>
      <c r="E190" s="95">
        <v>1</v>
      </c>
      <c r="F190" s="64" t="s">
        <v>30</v>
      </c>
      <c r="G190" s="234">
        <f>[1]DICIEMBRE!$BA$184</f>
        <v>0</v>
      </c>
      <c r="H190" s="45"/>
      <c r="I190" s="45"/>
      <c r="J190" s="32"/>
      <c r="K190" s="33"/>
      <c r="L190" s="336"/>
      <c r="M190" s="336"/>
      <c r="N190" s="32"/>
      <c r="O190" s="33"/>
      <c r="P190" s="31"/>
      <c r="Q190" s="31"/>
      <c r="R190" s="31"/>
      <c r="S190" s="49">
        <f>299*E190</f>
        <v>299</v>
      </c>
      <c r="T190" s="47"/>
      <c r="U190" s="77"/>
      <c r="V190" s="49"/>
      <c r="W190" s="49"/>
      <c r="X190" s="49"/>
      <c r="Y190" s="49"/>
      <c r="Z190" s="49"/>
      <c r="AA190" s="49"/>
      <c r="AB190" s="49"/>
      <c r="AC190" s="49"/>
      <c r="AD190" s="49"/>
      <c r="AE190" s="49"/>
      <c r="AF190" s="51"/>
      <c r="AG190" s="49"/>
      <c r="AH190" s="49"/>
      <c r="AI190" s="49"/>
      <c r="AJ190" s="49"/>
      <c r="AK190" s="68"/>
      <c r="AL190" s="49"/>
      <c r="AM190" s="49"/>
      <c r="AN190" s="49"/>
      <c r="AO190" s="49"/>
      <c r="AP190" s="49"/>
      <c r="AQ190" s="49"/>
      <c r="AR190" s="49"/>
      <c r="AS190" s="49"/>
      <c r="AT190" s="49"/>
      <c r="AU190" s="49"/>
      <c r="AV190" s="49"/>
      <c r="AW190" s="49"/>
      <c r="BA190" s="33">
        <f t="shared" si="2"/>
        <v>299</v>
      </c>
      <c r="BB190" s="269"/>
    </row>
    <row r="191" spans="1:54" ht="48" customHeight="1" x14ac:dyDescent="0.35">
      <c r="A191" s="26">
        <v>174</v>
      </c>
      <c r="B191" s="43" t="s">
        <v>1659</v>
      </c>
      <c r="C191" s="28"/>
      <c r="D191" s="298" t="s">
        <v>1600</v>
      </c>
      <c r="E191" s="95">
        <v>1</v>
      </c>
      <c r="F191" s="64"/>
      <c r="G191" s="112">
        <f>[1]DICIEMBRE!$BA$185</f>
        <v>0</v>
      </c>
      <c r="H191" s="45"/>
      <c r="I191" s="45"/>
      <c r="J191" s="32"/>
      <c r="K191" s="33"/>
      <c r="L191" s="336"/>
      <c r="M191" s="336"/>
      <c r="N191" s="32"/>
      <c r="O191" s="33"/>
      <c r="P191" s="31"/>
      <c r="Q191" s="31"/>
      <c r="R191" s="31"/>
      <c r="S191" s="49">
        <v>300</v>
      </c>
      <c r="T191" s="47"/>
      <c r="U191" s="77"/>
      <c r="V191" s="49"/>
      <c r="W191" s="49"/>
      <c r="X191" s="49"/>
      <c r="Y191" s="49"/>
      <c r="Z191" s="49"/>
      <c r="AA191" s="49">
        <v>300</v>
      </c>
      <c r="AB191" s="49"/>
      <c r="AC191" s="49"/>
      <c r="AD191" s="49"/>
      <c r="AE191" s="49"/>
      <c r="AF191" s="51"/>
      <c r="AG191" s="49"/>
      <c r="AH191" s="49"/>
      <c r="AI191" s="49"/>
      <c r="AJ191" s="49"/>
      <c r="AK191" s="68"/>
      <c r="AL191" s="49"/>
      <c r="AM191" s="49"/>
      <c r="AN191" s="49"/>
      <c r="AO191" s="49"/>
      <c r="AP191" s="49"/>
      <c r="AQ191" s="49"/>
      <c r="AR191" s="49"/>
      <c r="AS191" s="49"/>
      <c r="AT191" s="49"/>
      <c r="AU191" s="49"/>
      <c r="AV191" s="49"/>
      <c r="AW191" s="49"/>
      <c r="BA191" s="33">
        <f t="shared" si="2"/>
        <v>0</v>
      </c>
      <c r="BB191" s="269"/>
    </row>
    <row r="192" spans="1:54" ht="47.25" customHeight="1" x14ac:dyDescent="0.35">
      <c r="A192" s="26">
        <v>175</v>
      </c>
      <c r="B192" s="43" t="s">
        <v>124</v>
      </c>
      <c r="C192" s="53" t="s">
        <v>125</v>
      </c>
      <c r="D192" s="298" t="s">
        <v>1183</v>
      </c>
      <c r="E192" s="95">
        <v>1</v>
      </c>
      <c r="F192" s="44" t="s">
        <v>30</v>
      </c>
      <c r="G192" s="234">
        <f>[1]DICIEMBRE!$BA$186</f>
        <v>0</v>
      </c>
      <c r="H192" s="45"/>
      <c r="I192" s="45"/>
      <c r="J192" s="32"/>
      <c r="K192" s="32"/>
      <c r="L192" s="32"/>
      <c r="M192" s="32"/>
      <c r="N192" s="336"/>
      <c r="O192" s="32"/>
      <c r="P192" s="33"/>
      <c r="Q192" s="31"/>
      <c r="R192" s="31"/>
      <c r="S192" s="47">
        <v>350</v>
      </c>
      <c r="T192" s="47"/>
      <c r="U192" s="48"/>
      <c r="V192" s="49"/>
      <c r="W192" s="49"/>
      <c r="X192" s="49"/>
      <c r="Y192" s="49"/>
      <c r="Z192" s="49"/>
      <c r="AA192" s="49">
        <v>350</v>
      </c>
      <c r="AB192" s="49"/>
      <c r="AC192" s="49"/>
      <c r="AD192" s="49"/>
      <c r="AE192" s="49"/>
      <c r="AF192" s="49"/>
      <c r="AG192" s="49"/>
      <c r="AH192" s="49"/>
      <c r="AI192" s="49"/>
      <c r="AJ192" s="49"/>
      <c r="AK192" s="63"/>
      <c r="AL192" s="49"/>
      <c r="AM192" s="49"/>
      <c r="AN192" s="49"/>
      <c r="AO192" s="49"/>
      <c r="AP192" s="49"/>
      <c r="AQ192" s="49"/>
      <c r="AR192" s="49"/>
      <c r="AS192" s="49"/>
      <c r="AT192" s="49"/>
      <c r="AU192" s="49"/>
      <c r="AV192" s="49"/>
      <c r="AW192" s="49"/>
      <c r="AX192" s="49"/>
      <c r="AY192" s="49"/>
      <c r="AZ192" s="49">
        <v>350</v>
      </c>
      <c r="BA192" s="33">
        <f t="shared" si="2"/>
        <v>-350</v>
      </c>
      <c r="BB192" s="43" t="s">
        <v>1970</v>
      </c>
    </row>
    <row r="193" spans="1:55" ht="45.75" customHeight="1" x14ac:dyDescent="0.35">
      <c r="A193" s="26">
        <v>176</v>
      </c>
      <c r="B193" s="43" t="s">
        <v>1304</v>
      </c>
      <c r="C193" s="53"/>
      <c r="D193" s="298" t="s">
        <v>621</v>
      </c>
      <c r="E193" s="95">
        <v>2</v>
      </c>
      <c r="F193" s="44" t="s">
        <v>30</v>
      </c>
      <c r="G193" s="112">
        <f>[1]DICIEMBRE!$BA$187</f>
        <v>0</v>
      </c>
      <c r="H193" s="45"/>
      <c r="I193" s="45"/>
      <c r="J193" s="32"/>
      <c r="K193" s="33"/>
      <c r="L193" s="336"/>
      <c r="M193" s="32"/>
      <c r="N193" s="32"/>
      <c r="O193" s="32"/>
      <c r="P193" s="31"/>
      <c r="Q193" s="31"/>
      <c r="R193" s="31"/>
      <c r="S193" s="47">
        <f>249*E193</f>
        <v>498</v>
      </c>
      <c r="T193" s="47"/>
      <c r="U193" s="48"/>
      <c r="V193" s="49"/>
      <c r="W193" s="49"/>
      <c r="X193" s="49"/>
      <c r="Y193" s="49"/>
      <c r="Z193" s="49"/>
      <c r="AA193" s="49"/>
      <c r="AB193" s="49">
        <v>498</v>
      </c>
      <c r="AC193" s="49"/>
      <c r="AD193" s="49"/>
      <c r="AE193" s="49"/>
      <c r="AF193" s="50"/>
      <c r="AG193" s="49"/>
      <c r="AH193" s="49"/>
      <c r="AI193" s="49"/>
      <c r="AJ193" s="49"/>
      <c r="AK193" s="49"/>
      <c r="AL193" s="49"/>
      <c r="AM193" s="49"/>
      <c r="AN193" s="49"/>
      <c r="AO193" s="49"/>
      <c r="AP193" s="49"/>
      <c r="AQ193" s="49"/>
      <c r="AR193" s="49"/>
      <c r="AS193" s="49"/>
      <c r="AT193" s="49"/>
      <c r="AU193" s="49"/>
      <c r="AV193" s="49"/>
      <c r="AW193" s="49"/>
      <c r="AX193" s="49"/>
      <c r="AY193" s="49"/>
      <c r="AZ193" s="49"/>
      <c r="BA193" s="33">
        <f t="shared" si="2"/>
        <v>0</v>
      </c>
      <c r="BB193" s="43"/>
    </row>
    <row r="194" spans="1:55" ht="63.75" customHeight="1" x14ac:dyDescent="0.35">
      <c r="A194" s="26">
        <v>177</v>
      </c>
      <c r="B194" s="43" t="s">
        <v>568</v>
      </c>
      <c r="C194" s="53"/>
      <c r="D194" s="298" t="s">
        <v>1606</v>
      </c>
      <c r="E194" s="95">
        <v>4</v>
      </c>
      <c r="F194" s="44" t="s">
        <v>30</v>
      </c>
      <c r="G194" s="234">
        <f>[1]DICIEMBRE!$BA$188</f>
        <v>1200</v>
      </c>
      <c r="H194" s="45"/>
      <c r="I194" s="45"/>
      <c r="J194" s="32"/>
      <c r="K194" s="32"/>
      <c r="L194" s="32"/>
      <c r="M194" s="336"/>
      <c r="N194" s="32"/>
      <c r="O194" s="33"/>
      <c r="P194" s="33"/>
      <c r="Q194" s="31"/>
      <c r="R194" s="31"/>
      <c r="S194" s="47">
        <f>300*E194</f>
        <v>1200</v>
      </c>
      <c r="T194" s="47"/>
      <c r="U194" s="48"/>
      <c r="V194" s="49"/>
      <c r="W194" s="49"/>
      <c r="X194" s="49"/>
      <c r="Y194" s="49"/>
      <c r="Z194" s="49"/>
      <c r="AA194" s="49"/>
      <c r="AB194" s="49"/>
      <c r="AC194" s="49"/>
      <c r="AD194" s="49"/>
      <c r="AE194" s="49"/>
      <c r="AF194" s="49"/>
      <c r="AG194" s="49"/>
      <c r="AH194" s="49"/>
      <c r="AI194" s="49"/>
      <c r="AJ194" s="49"/>
      <c r="AK194" s="63"/>
      <c r="AL194" s="49"/>
      <c r="AM194" s="49"/>
      <c r="AN194" s="49"/>
      <c r="AO194" s="49"/>
      <c r="AP194" s="49"/>
      <c r="AQ194" s="49"/>
      <c r="AR194" s="49"/>
      <c r="AS194" s="49"/>
      <c r="AT194" s="49"/>
      <c r="AU194" s="49"/>
      <c r="AV194" s="49"/>
      <c r="AW194" s="49">
        <v>1200</v>
      </c>
      <c r="AX194" s="49"/>
      <c r="AY194" s="49"/>
      <c r="AZ194" s="49">
        <v>1200</v>
      </c>
      <c r="BA194" s="33">
        <f t="shared" si="2"/>
        <v>0</v>
      </c>
      <c r="BB194" s="43" t="s">
        <v>2076</v>
      </c>
    </row>
    <row r="195" spans="1:55" ht="63.75" customHeight="1" x14ac:dyDescent="0.35">
      <c r="A195" s="26">
        <v>178</v>
      </c>
      <c r="B195" s="43" t="s">
        <v>1557</v>
      </c>
      <c r="C195" s="53"/>
      <c r="D195" s="300" t="s">
        <v>1558</v>
      </c>
      <c r="E195" s="95">
        <v>1</v>
      </c>
      <c r="F195" s="44" t="s">
        <v>30</v>
      </c>
      <c r="G195" s="112">
        <f>[1]DICIEMBRE!$BA$189</f>
        <v>0</v>
      </c>
      <c r="H195" s="45"/>
      <c r="I195" s="45"/>
      <c r="J195" s="32"/>
      <c r="K195" s="32"/>
      <c r="L195" s="32"/>
      <c r="M195" s="336"/>
      <c r="N195" s="32"/>
      <c r="O195" s="33"/>
      <c r="P195" s="33"/>
      <c r="Q195" s="31"/>
      <c r="R195" s="31"/>
      <c r="S195" s="47">
        <f>300*E195</f>
        <v>300</v>
      </c>
      <c r="T195" s="47"/>
      <c r="U195" s="48"/>
      <c r="V195" s="49"/>
      <c r="W195" s="49"/>
      <c r="X195" s="49"/>
      <c r="Y195" s="49"/>
      <c r="Z195" s="49"/>
      <c r="AA195" s="49"/>
      <c r="AB195" s="49"/>
      <c r="AC195" s="49"/>
      <c r="AD195" s="49"/>
      <c r="AE195" s="49"/>
      <c r="AF195" s="49"/>
      <c r="AG195" s="49"/>
      <c r="AH195" s="49"/>
      <c r="AI195" s="49"/>
      <c r="AJ195" s="49"/>
      <c r="AK195" s="63"/>
      <c r="AL195" s="49"/>
      <c r="AM195" s="49"/>
      <c r="AN195" s="49"/>
      <c r="AO195" s="49"/>
      <c r="AP195" s="49"/>
      <c r="AQ195" s="49"/>
      <c r="AR195" s="49"/>
      <c r="AS195" s="49"/>
      <c r="AT195" s="49"/>
      <c r="AU195" s="49"/>
      <c r="AV195" s="49"/>
      <c r="AW195" s="49"/>
      <c r="AX195" s="49"/>
      <c r="AY195" s="49"/>
      <c r="AZ195" s="49"/>
      <c r="BA195" s="33">
        <f t="shared" si="2"/>
        <v>300</v>
      </c>
      <c r="BB195" s="43"/>
    </row>
    <row r="196" spans="1:55" s="23" customFormat="1" ht="48.75" customHeight="1" x14ac:dyDescent="0.3">
      <c r="A196" s="26">
        <v>179</v>
      </c>
      <c r="B196" s="58" t="s">
        <v>1265</v>
      </c>
      <c r="C196" s="53"/>
      <c r="D196" s="314" t="s">
        <v>1266</v>
      </c>
      <c r="E196" s="97">
        <v>3</v>
      </c>
      <c r="F196" s="30" t="s">
        <v>30</v>
      </c>
      <c r="G196" s="234">
        <f>[1]DICIEMBRE!$BA$190</f>
        <v>0</v>
      </c>
      <c r="H196" s="31"/>
      <c r="I196" s="31"/>
      <c r="J196" s="32"/>
      <c r="K196" s="32"/>
      <c r="L196" s="336"/>
      <c r="M196" s="32"/>
      <c r="N196" s="336"/>
      <c r="O196" s="32"/>
      <c r="P196" s="33"/>
      <c r="Q196" s="31"/>
      <c r="R196" s="31"/>
      <c r="S196" s="59">
        <f>300*E196</f>
        <v>900</v>
      </c>
      <c r="T196" s="34"/>
      <c r="U196" s="34"/>
      <c r="V196" s="35"/>
      <c r="W196" s="35"/>
      <c r="X196" s="35">
        <v>900</v>
      </c>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3">
        <f t="shared" si="2"/>
        <v>0</v>
      </c>
      <c r="BB196" s="43"/>
    </row>
    <row r="197" spans="1:55" ht="47.25" customHeight="1" x14ac:dyDescent="0.35">
      <c r="A197" s="26">
        <v>180</v>
      </c>
      <c r="B197" s="43" t="s">
        <v>971</v>
      </c>
      <c r="C197" s="53"/>
      <c r="D197" s="298" t="s">
        <v>972</v>
      </c>
      <c r="E197" s="95">
        <v>1</v>
      </c>
      <c r="F197" s="44" t="s">
        <v>30</v>
      </c>
      <c r="G197" s="112">
        <f>[1]DICIEMBRE!$BA$191</f>
        <v>0</v>
      </c>
      <c r="H197" s="45"/>
      <c r="I197" s="45"/>
      <c r="J197" s="46"/>
      <c r="K197" s="32"/>
      <c r="L197" s="32"/>
      <c r="M197" s="32"/>
      <c r="N197" s="336"/>
      <c r="O197" s="32"/>
      <c r="P197" s="31"/>
      <c r="Q197" s="31"/>
      <c r="R197" s="31"/>
      <c r="S197" s="47">
        <f>250*E197</f>
        <v>250</v>
      </c>
      <c r="T197" s="47"/>
      <c r="U197" s="48"/>
      <c r="V197" s="49"/>
      <c r="W197" s="49"/>
      <c r="X197" s="49"/>
      <c r="Y197" s="49"/>
      <c r="Z197" s="49"/>
      <c r="AA197" s="49"/>
      <c r="AB197" s="49"/>
      <c r="AC197" s="49"/>
      <c r="AD197" s="49"/>
      <c r="AE197" s="49"/>
      <c r="AF197" s="49"/>
      <c r="AG197" s="49"/>
      <c r="AH197" s="49">
        <v>250</v>
      </c>
      <c r="AI197" s="49"/>
      <c r="AJ197" s="49"/>
      <c r="AK197" s="63"/>
      <c r="AL197" s="49"/>
      <c r="AM197" s="49"/>
      <c r="AN197" s="49"/>
      <c r="AO197" s="49"/>
      <c r="AP197" s="49"/>
      <c r="AQ197" s="49"/>
      <c r="AR197" s="49"/>
      <c r="AS197" s="49"/>
      <c r="AT197" s="49"/>
      <c r="AU197" s="49"/>
      <c r="AV197" s="49"/>
      <c r="AW197" s="49"/>
      <c r="AX197" s="49"/>
      <c r="AY197" s="49">
        <v>250</v>
      </c>
      <c r="AZ197" s="49"/>
      <c r="BA197" s="33">
        <f t="shared" si="2"/>
        <v>-250</v>
      </c>
      <c r="BB197" s="43" t="s">
        <v>1970</v>
      </c>
    </row>
    <row r="198" spans="1:55" ht="45.75" customHeight="1" x14ac:dyDescent="0.35">
      <c r="A198" s="26">
        <v>181</v>
      </c>
      <c r="B198" s="43" t="s">
        <v>1040</v>
      </c>
      <c r="C198" s="53"/>
      <c r="D198" s="298" t="s">
        <v>1184</v>
      </c>
      <c r="E198" s="95">
        <v>7</v>
      </c>
      <c r="F198" s="44" t="s">
        <v>35</v>
      </c>
      <c r="G198" s="234">
        <f>[1]DICIEMBRE!$BA$192</f>
        <v>-2.2737367544323206E-13</v>
      </c>
      <c r="H198" s="45"/>
      <c r="I198" s="45"/>
      <c r="J198" s="32"/>
      <c r="K198" s="32"/>
      <c r="L198" s="32"/>
      <c r="M198" s="336"/>
      <c r="N198" s="32"/>
      <c r="O198" s="33"/>
      <c r="P198" s="33"/>
      <c r="Q198" s="31"/>
      <c r="R198" s="31"/>
      <c r="S198" s="47">
        <f>250*E198</f>
        <v>1750</v>
      </c>
      <c r="T198" s="47"/>
      <c r="U198" s="48"/>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33">
        <f t="shared" si="2"/>
        <v>1749.9999999999998</v>
      </c>
      <c r="BB198" s="43"/>
    </row>
    <row r="199" spans="1:55" ht="66.75" customHeight="1" x14ac:dyDescent="0.35">
      <c r="A199" s="26">
        <v>182</v>
      </c>
      <c r="B199" s="43" t="s">
        <v>129</v>
      </c>
      <c r="C199" s="53" t="s">
        <v>130</v>
      </c>
      <c r="D199" s="298" t="s">
        <v>1185</v>
      </c>
      <c r="E199" s="95">
        <v>1</v>
      </c>
      <c r="F199" s="44" t="s">
        <v>30</v>
      </c>
      <c r="G199" s="112"/>
      <c r="H199" s="45"/>
      <c r="I199" s="45"/>
      <c r="J199" s="32"/>
      <c r="K199" s="32"/>
      <c r="L199" s="32"/>
      <c r="M199" s="32"/>
      <c r="N199" s="336"/>
      <c r="O199" s="32"/>
      <c r="P199" s="31"/>
      <c r="Q199" s="31"/>
      <c r="R199" s="31"/>
      <c r="S199" s="47"/>
      <c r="T199" s="47"/>
      <c r="U199" s="48"/>
      <c r="V199" s="50"/>
      <c r="W199" s="49"/>
      <c r="X199" s="49"/>
      <c r="Y199" s="49"/>
      <c r="Z199" s="49"/>
      <c r="AA199" s="49"/>
      <c r="AB199" s="49"/>
      <c r="AC199" s="49"/>
      <c r="AD199" s="49"/>
      <c r="AE199" s="49"/>
      <c r="AF199" s="49"/>
      <c r="AG199" s="49"/>
      <c r="AH199" s="50"/>
      <c r="AI199" s="49"/>
      <c r="AJ199" s="49"/>
      <c r="AK199" s="49"/>
      <c r="AL199" s="49"/>
      <c r="AM199" s="49"/>
      <c r="AN199" s="49"/>
      <c r="AO199" s="49"/>
      <c r="AP199" s="49"/>
      <c r="AQ199" s="49"/>
      <c r="AR199" s="49"/>
      <c r="AS199" s="49"/>
      <c r="AT199" s="49"/>
      <c r="AU199" s="49"/>
      <c r="AV199" s="49"/>
      <c r="AW199" s="49"/>
      <c r="AX199" s="49"/>
      <c r="AY199" s="49"/>
      <c r="AZ199" s="49"/>
      <c r="BA199" s="33">
        <f t="shared" si="2"/>
        <v>0</v>
      </c>
      <c r="BB199" s="43" t="s">
        <v>2023</v>
      </c>
    </row>
    <row r="200" spans="1:55" ht="66.75" customHeight="1" x14ac:dyDescent="0.35">
      <c r="A200" s="26">
        <v>183</v>
      </c>
      <c r="B200" s="43" t="s">
        <v>1357</v>
      </c>
      <c r="C200" s="53"/>
      <c r="D200" s="298" t="s">
        <v>1358</v>
      </c>
      <c r="E200" s="95">
        <v>1</v>
      </c>
      <c r="F200" s="44" t="s">
        <v>30</v>
      </c>
      <c r="G200" s="234">
        <f>[1]DICIEMBRE!$BA$194</f>
        <v>0</v>
      </c>
      <c r="H200" s="45"/>
      <c r="I200" s="45"/>
      <c r="J200" s="32"/>
      <c r="K200" s="32"/>
      <c r="L200" s="32"/>
      <c r="M200" s="32"/>
      <c r="N200" s="336"/>
      <c r="O200" s="32"/>
      <c r="P200" s="33"/>
      <c r="Q200" s="31"/>
      <c r="R200" s="31"/>
      <c r="S200" s="47">
        <f>280*E200</f>
        <v>280</v>
      </c>
      <c r="T200" s="47"/>
      <c r="U200" s="48"/>
      <c r="V200" s="50"/>
      <c r="W200" s="49"/>
      <c r="X200" s="49"/>
      <c r="Y200" s="49"/>
      <c r="Z200" s="49"/>
      <c r="AA200" s="49">
        <v>280</v>
      </c>
      <c r="AB200" s="49"/>
      <c r="AC200" s="49"/>
      <c r="AD200" s="49"/>
      <c r="AE200" s="49"/>
      <c r="AF200" s="49"/>
      <c r="AG200" s="49"/>
      <c r="AH200" s="50"/>
      <c r="AI200" s="49"/>
      <c r="AJ200" s="49"/>
      <c r="AK200" s="49"/>
      <c r="AL200" s="49"/>
      <c r="AM200" s="49"/>
      <c r="AN200" s="49"/>
      <c r="AO200" s="49"/>
      <c r="AP200" s="49"/>
      <c r="AQ200" s="49"/>
      <c r="AR200" s="49"/>
      <c r="AS200" s="49"/>
      <c r="AT200" s="49"/>
      <c r="AU200" s="49"/>
      <c r="AV200" s="49"/>
      <c r="AW200" s="49"/>
      <c r="AX200" s="49"/>
      <c r="AY200" s="49"/>
      <c r="AZ200" s="49"/>
      <c r="BA200" s="33">
        <f t="shared" si="2"/>
        <v>0</v>
      </c>
      <c r="BB200" s="43"/>
    </row>
    <row r="201" spans="1:55" ht="66.75" customHeight="1" x14ac:dyDescent="0.35">
      <c r="A201" s="26">
        <v>184</v>
      </c>
      <c r="B201" s="43" t="s">
        <v>618</v>
      </c>
      <c r="C201" s="53"/>
      <c r="D201" s="298" t="s">
        <v>1186</v>
      </c>
      <c r="E201" s="95">
        <v>3</v>
      </c>
      <c r="F201" s="44" t="s">
        <v>30</v>
      </c>
      <c r="G201" s="112">
        <f>[1]DICIEMBRE!$BA$195</f>
        <v>0</v>
      </c>
      <c r="H201" s="45"/>
      <c r="I201" s="45"/>
      <c r="J201" s="32"/>
      <c r="K201" s="32"/>
      <c r="L201" s="32"/>
      <c r="M201" s="336"/>
      <c r="N201" s="32"/>
      <c r="O201" s="33"/>
      <c r="P201" s="33"/>
      <c r="Q201" s="31"/>
      <c r="R201" s="31"/>
      <c r="S201" s="47">
        <f>300*E201</f>
        <v>900</v>
      </c>
      <c r="T201" s="47"/>
      <c r="U201" s="48"/>
      <c r="V201" s="50"/>
      <c r="W201" s="49"/>
      <c r="X201" s="49"/>
      <c r="Y201" s="49"/>
      <c r="Z201" s="49"/>
      <c r="AA201" s="49"/>
      <c r="AB201" s="49">
        <v>900</v>
      </c>
      <c r="AC201" s="49"/>
      <c r="AD201" s="49"/>
      <c r="AE201" s="49"/>
      <c r="AF201" s="49"/>
      <c r="AG201" s="49"/>
      <c r="AH201" s="50"/>
      <c r="AI201" s="49"/>
      <c r="AJ201" s="49"/>
      <c r="AK201" s="49"/>
      <c r="AL201" s="49"/>
      <c r="AM201" s="49"/>
      <c r="AN201" s="49"/>
      <c r="AO201" s="49"/>
      <c r="AP201" s="49"/>
      <c r="AQ201" s="49"/>
      <c r="AR201" s="49"/>
      <c r="AS201" s="49"/>
      <c r="AT201" s="49"/>
      <c r="AU201" s="49"/>
      <c r="AV201" s="49"/>
      <c r="AW201" s="49"/>
      <c r="AX201" s="49"/>
      <c r="AY201" s="49"/>
      <c r="AZ201" s="49"/>
      <c r="BA201" s="33">
        <f t="shared" si="2"/>
        <v>0</v>
      </c>
      <c r="BB201" s="43"/>
    </row>
    <row r="202" spans="1:55" ht="53.25" customHeight="1" x14ac:dyDescent="0.35">
      <c r="A202" s="26">
        <v>185</v>
      </c>
      <c r="B202" s="43" t="s">
        <v>131</v>
      </c>
      <c r="C202" s="28" t="s">
        <v>132</v>
      </c>
      <c r="D202" s="298" t="s">
        <v>1187</v>
      </c>
      <c r="E202" s="98">
        <v>171</v>
      </c>
      <c r="F202" s="44" t="s">
        <v>30</v>
      </c>
      <c r="G202" s="234">
        <f>[1]DICIEMBRE!$BA$196</f>
        <v>-900</v>
      </c>
      <c r="H202" s="45"/>
      <c r="I202" s="45"/>
      <c r="J202" s="32"/>
      <c r="K202" s="32"/>
      <c r="L202" s="32"/>
      <c r="M202" s="32"/>
      <c r="N202" s="336"/>
      <c r="O202" s="32"/>
      <c r="P202" s="31"/>
      <c r="Q202" s="31"/>
      <c r="R202" s="31"/>
      <c r="S202" s="49">
        <f>E202*120</f>
        <v>20520</v>
      </c>
      <c r="T202" s="47">
        <v>8350</v>
      </c>
      <c r="U202" s="77"/>
      <c r="V202" s="49"/>
      <c r="W202" s="49"/>
      <c r="X202" s="49"/>
      <c r="Y202" s="49"/>
      <c r="Z202" s="49"/>
      <c r="AA202" s="49"/>
      <c r="AB202" s="49"/>
      <c r="AC202" s="49"/>
      <c r="AD202" s="49"/>
      <c r="AE202" s="49"/>
      <c r="AF202" s="49"/>
      <c r="AG202" s="49"/>
      <c r="AH202" s="49"/>
      <c r="AI202" s="49"/>
      <c r="AJ202" s="49"/>
      <c r="AK202" s="63"/>
      <c r="AL202" s="49">
        <v>14000</v>
      </c>
      <c r="AM202" s="49">
        <v>14000</v>
      </c>
      <c r="AN202" s="49"/>
      <c r="AO202" s="49"/>
      <c r="AP202" s="49"/>
      <c r="AQ202" s="49"/>
      <c r="AR202" s="49"/>
      <c r="AS202" s="49"/>
      <c r="AT202" s="49"/>
      <c r="AU202" s="49"/>
      <c r="AV202" s="49"/>
      <c r="AW202" s="49"/>
      <c r="AX202" s="49"/>
      <c r="AY202" s="49"/>
      <c r="AZ202" s="49"/>
      <c r="BA202" s="33">
        <f t="shared" si="2"/>
        <v>-30</v>
      </c>
      <c r="BB202" s="43" t="s">
        <v>1953</v>
      </c>
    </row>
    <row r="203" spans="1:55" ht="46.5" customHeight="1" x14ac:dyDescent="0.35">
      <c r="A203" s="26">
        <v>186</v>
      </c>
      <c r="B203" s="27" t="s">
        <v>802</v>
      </c>
      <c r="C203" s="79" t="s">
        <v>134</v>
      </c>
      <c r="D203" s="298" t="s">
        <v>1188</v>
      </c>
      <c r="E203" s="98">
        <v>76</v>
      </c>
      <c r="F203" s="64" t="s">
        <v>30</v>
      </c>
      <c r="G203" s="112">
        <f>[1]DICIEMBRE!$BA$197</f>
        <v>0</v>
      </c>
      <c r="H203" s="45"/>
      <c r="I203" s="45"/>
      <c r="J203" s="32"/>
      <c r="K203" s="32"/>
      <c r="L203" s="32"/>
      <c r="M203" s="336"/>
      <c r="N203" s="32"/>
      <c r="O203" s="32"/>
      <c r="P203" s="33"/>
      <c r="Q203" s="31"/>
      <c r="R203" s="31"/>
      <c r="S203" s="49">
        <f>120*E203</f>
        <v>9120</v>
      </c>
      <c r="T203" s="47">
        <v>7800</v>
      </c>
      <c r="U203" s="48"/>
      <c r="V203" s="49"/>
      <c r="W203" s="49"/>
      <c r="X203" s="49"/>
      <c r="Y203" s="49"/>
      <c r="Z203" s="49"/>
      <c r="AA203" s="49"/>
      <c r="AB203" s="49"/>
      <c r="AC203" s="49"/>
      <c r="AD203" s="49"/>
      <c r="AE203" s="49"/>
      <c r="AF203" s="49"/>
      <c r="AG203" s="49"/>
      <c r="AH203" s="49"/>
      <c r="AI203" s="49"/>
      <c r="AJ203" s="49">
        <v>10000</v>
      </c>
      <c r="AK203" s="49"/>
      <c r="AL203" s="49">
        <f>3000+3920</f>
        <v>6920</v>
      </c>
      <c r="AM203" s="50"/>
      <c r="AN203" s="49"/>
      <c r="AO203" s="49"/>
      <c r="AP203" s="49"/>
      <c r="AQ203" s="49"/>
      <c r="AR203" s="49"/>
      <c r="AS203" s="49"/>
      <c r="AT203" s="49"/>
      <c r="AU203" s="49"/>
      <c r="AV203" s="49"/>
      <c r="AW203" s="49"/>
      <c r="AX203" s="49"/>
      <c r="AY203" s="49"/>
      <c r="AZ203" s="49"/>
      <c r="BA203" s="33">
        <f t="shared" si="2"/>
        <v>0</v>
      </c>
      <c r="BB203" s="269" t="s">
        <v>1954</v>
      </c>
    </row>
    <row r="204" spans="1:55" ht="30" customHeight="1" x14ac:dyDescent="0.35">
      <c r="A204" s="26">
        <v>187</v>
      </c>
      <c r="B204" s="27" t="s">
        <v>135</v>
      </c>
      <c r="C204" s="28" t="s">
        <v>136</v>
      </c>
      <c r="D204" s="298" t="s">
        <v>1189</v>
      </c>
      <c r="E204" s="98">
        <v>14</v>
      </c>
      <c r="F204" s="44" t="s">
        <v>30</v>
      </c>
      <c r="G204" s="234">
        <f>[1]DICIEMBRE!$BA$198</f>
        <v>600</v>
      </c>
      <c r="H204" s="45"/>
      <c r="I204" s="45"/>
      <c r="J204" s="32"/>
      <c r="K204" s="32"/>
      <c r="L204" s="32"/>
      <c r="M204" s="336"/>
      <c r="N204" s="32"/>
      <c r="O204" s="32"/>
      <c r="P204" s="31"/>
      <c r="Q204" s="31"/>
      <c r="R204" s="31"/>
      <c r="S204" s="47">
        <f>100*E204</f>
        <v>1400</v>
      </c>
      <c r="T204" s="47">
        <v>8000</v>
      </c>
      <c r="U204" s="48"/>
      <c r="V204" s="49"/>
      <c r="W204" s="51">
        <v>2000</v>
      </c>
      <c r="X204" s="49"/>
      <c r="Y204" s="50"/>
      <c r="Z204" s="49"/>
      <c r="AA204" s="49"/>
      <c r="AB204" s="49">
        <v>2000</v>
      </c>
      <c r="AC204" s="49"/>
      <c r="AD204" s="49"/>
      <c r="AE204" s="49"/>
      <c r="AF204" s="49"/>
      <c r="AG204" s="49"/>
      <c r="AH204" s="49">
        <v>2000</v>
      </c>
      <c r="AI204" s="49"/>
      <c r="AJ204" s="49"/>
      <c r="AK204" s="49"/>
      <c r="AL204" s="49"/>
      <c r="AM204" s="49"/>
      <c r="AN204" s="49"/>
      <c r="AO204" s="49"/>
      <c r="AP204" s="49"/>
      <c r="AQ204" s="49"/>
      <c r="AR204" s="49"/>
      <c r="AS204" s="49">
        <v>2000</v>
      </c>
      <c r="AT204" s="49"/>
      <c r="AU204" s="49"/>
      <c r="AV204" s="49"/>
      <c r="AW204" s="49"/>
      <c r="AX204" s="49"/>
      <c r="AY204" s="49"/>
      <c r="AZ204" s="49"/>
      <c r="BA204" s="33">
        <f t="shared" si="2"/>
        <v>2000</v>
      </c>
      <c r="BB204" s="43" t="s">
        <v>2025</v>
      </c>
      <c r="BC204" s="76"/>
    </row>
    <row r="205" spans="1:55" ht="37.5" customHeight="1" x14ac:dyDescent="0.35">
      <c r="A205" s="26">
        <v>188</v>
      </c>
      <c r="B205" s="27" t="s">
        <v>137</v>
      </c>
      <c r="C205" s="28" t="s">
        <v>138</v>
      </c>
      <c r="D205" s="298" t="s">
        <v>1190</v>
      </c>
      <c r="E205" s="98">
        <v>2</v>
      </c>
      <c r="F205" s="44" t="s">
        <v>30</v>
      </c>
      <c r="G205" s="112">
        <f>[1]DICIEMBRE!$BA$199</f>
        <v>0</v>
      </c>
      <c r="H205" s="45"/>
      <c r="I205" s="45"/>
      <c r="J205" s="32"/>
      <c r="K205" s="32"/>
      <c r="L205" s="32"/>
      <c r="M205" s="32"/>
      <c r="N205" s="336"/>
      <c r="O205" s="33"/>
      <c r="P205" s="33"/>
      <c r="Q205" s="31"/>
      <c r="R205" s="31"/>
      <c r="S205" s="47">
        <v>500</v>
      </c>
      <c r="T205" s="47"/>
      <c r="U205" s="48"/>
      <c r="V205" s="49"/>
      <c r="W205" s="49"/>
      <c r="X205" s="49"/>
      <c r="Y205" s="49"/>
      <c r="Z205" s="49"/>
      <c r="AA205" s="49"/>
      <c r="AB205" s="49"/>
      <c r="AC205" s="49"/>
      <c r="AD205" s="50"/>
      <c r="AE205" s="49"/>
      <c r="AF205" s="49"/>
      <c r="AG205" s="49"/>
      <c r="AH205" s="49"/>
      <c r="AI205" s="49"/>
      <c r="AJ205" s="49">
        <v>500</v>
      </c>
      <c r="AK205" s="49"/>
      <c r="AL205" s="49"/>
      <c r="AM205" s="49"/>
      <c r="AN205" s="49"/>
      <c r="AO205" s="49"/>
      <c r="AP205" s="49"/>
      <c r="AQ205" s="49"/>
      <c r="AR205" s="49"/>
      <c r="AS205" s="49"/>
      <c r="AT205" s="49"/>
      <c r="AU205" s="49"/>
      <c r="AV205" s="49"/>
      <c r="AW205" s="49"/>
      <c r="AX205" s="49"/>
      <c r="AY205" s="49"/>
      <c r="AZ205" s="49"/>
      <c r="BA205" s="33">
        <f t="shared" si="2"/>
        <v>0</v>
      </c>
      <c r="BB205" s="43"/>
    </row>
    <row r="206" spans="1:55" ht="78.75" customHeight="1" x14ac:dyDescent="0.35">
      <c r="A206" s="26">
        <v>189</v>
      </c>
      <c r="B206" s="43" t="s">
        <v>76</v>
      </c>
      <c r="C206" s="53" t="s">
        <v>77</v>
      </c>
      <c r="D206" s="298" t="s">
        <v>1191</v>
      </c>
      <c r="E206" s="98">
        <v>18</v>
      </c>
      <c r="F206" s="60" t="s">
        <v>35</v>
      </c>
      <c r="G206" s="234">
        <f>[1]DICIEMBRE!$BA$200</f>
        <v>-0.1000000000003638</v>
      </c>
      <c r="H206" s="65"/>
      <c r="I206" s="65"/>
      <c r="J206" s="32"/>
      <c r="K206" s="32"/>
      <c r="L206" s="32"/>
      <c r="M206" s="32"/>
      <c r="N206" s="32"/>
      <c r="O206" s="32"/>
      <c r="P206" s="31"/>
      <c r="Q206" s="31"/>
      <c r="R206" s="31"/>
      <c r="S206" s="66">
        <f>250*E206</f>
        <v>4500</v>
      </c>
      <c r="T206" s="66"/>
      <c r="U206" s="67"/>
      <c r="V206" s="68"/>
      <c r="W206" s="68"/>
      <c r="X206" s="68"/>
      <c r="Y206" s="68"/>
      <c r="Z206" s="68"/>
      <c r="AA206" s="68"/>
      <c r="AB206" s="68"/>
      <c r="AC206" s="68"/>
      <c r="AD206" s="68"/>
      <c r="AE206" s="63"/>
      <c r="AF206" s="68"/>
      <c r="AG206" s="68"/>
      <c r="AH206" s="68"/>
      <c r="AI206" s="68"/>
      <c r="AJ206" s="68"/>
      <c r="AK206" s="68"/>
      <c r="AL206" s="68"/>
      <c r="AM206" s="68"/>
      <c r="AN206" s="68"/>
      <c r="AO206" s="68"/>
      <c r="AP206" s="68">
        <v>4500</v>
      </c>
      <c r="AQ206" s="68"/>
      <c r="AR206" s="68"/>
      <c r="AS206" s="68"/>
      <c r="AT206" s="68"/>
      <c r="AU206" s="68"/>
      <c r="AV206" s="68"/>
      <c r="AW206" s="68"/>
      <c r="AX206" s="68"/>
      <c r="AY206" s="68"/>
      <c r="AZ206" s="68"/>
      <c r="BA206" s="33">
        <f t="shared" si="2"/>
        <v>-0.1000000000003638</v>
      </c>
      <c r="BB206" s="268"/>
    </row>
    <row r="207" spans="1:55" ht="39.75" customHeight="1" x14ac:dyDescent="0.35">
      <c r="A207" s="26">
        <v>190</v>
      </c>
      <c r="B207" s="43" t="s">
        <v>140</v>
      </c>
      <c r="C207" s="53" t="s">
        <v>141</v>
      </c>
      <c r="D207" s="298" t="s">
        <v>1192</v>
      </c>
      <c r="E207" s="98">
        <v>1</v>
      </c>
      <c r="F207" s="44" t="s">
        <v>35</v>
      </c>
      <c r="G207" s="112">
        <f>[1]DICIEMBRE!$BA$201</f>
        <v>0</v>
      </c>
      <c r="H207" s="45"/>
      <c r="I207" s="45"/>
      <c r="J207" s="32"/>
      <c r="K207" s="33"/>
      <c r="L207" s="336"/>
      <c r="M207" s="32"/>
      <c r="N207" s="336"/>
      <c r="O207" s="33"/>
      <c r="P207" s="31"/>
      <c r="Q207" s="31"/>
      <c r="R207" s="31"/>
      <c r="S207" s="66">
        <v>250</v>
      </c>
      <c r="T207" s="66"/>
      <c r="U207" s="67"/>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33">
        <f t="shared" si="2"/>
        <v>250</v>
      </c>
      <c r="BB207" s="43"/>
    </row>
    <row r="208" spans="1:55" ht="57.75" customHeight="1" x14ac:dyDescent="0.35">
      <c r="A208" s="26">
        <v>191</v>
      </c>
      <c r="B208" s="27" t="s">
        <v>142</v>
      </c>
      <c r="C208" s="28" t="s">
        <v>143</v>
      </c>
      <c r="D208" s="307" t="s">
        <v>1193</v>
      </c>
      <c r="E208" s="99">
        <v>9</v>
      </c>
      <c r="F208" s="44" t="s">
        <v>35</v>
      </c>
      <c r="G208" s="234">
        <f>[1]DICIEMBRE!$BA$202</f>
        <v>-0.73000000000047294</v>
      </c>
      <c r="H208" s="45"/>
      <c r="I208" s="45"/>
      <c r="J208" s="32"/>
      <c r="K208" s="32"/>
      <c r="L208" s="32"/>
      <c r="M208" s="32"/>
      <c r="N208" s="32"/>
      <c r="O208" s="32"/>
      <c r="P208" s="33"/>
      <c r="Q208" s="31"/>
      <c r="R208" s="31"/>
      <c r="S208" s="47">
        <f>250*E208</f>
        <v>2250</v>
      </c>
      <c r="T208" s="47"/>
      <c r="U208" s="48"/>
      <c r="V208" s="49"/>
      <c r="W208" s="49"/>
      <c r="X208" s="50"/>
      <c r="Y208" s="49"/>
      <c r="Z208" s="49"/>
      <c r="AA208" s="49"/>
      <c r="AB208" s="50"/>
      <c r="AC208" s="49"/>
      <c r="AD208" s="49"/>
      <c r="AE208" s="49"/>
      <c r="AF208" s="50"/>
      <c r="AG208" s="49"/>
      <c r="AH208" s="49"/>
      <c r="AI208" s="50"/>
      <c r="AJ208" s="49"/>
      <c r="AK208" s="49"/>
      <c r="AL208" s="49"/>
      <c r="AM208" s="50"/>
      <c r="AN208" s="49"/>
      <c r="AO208" s="49"/>
      <c r="AP208" s="50">
        <v>2250</v>
      </c>
      <c r="AQ208" s="49"/>
      <c r="AR208" s="49"/>
      <c r="AS208" s="49"/>
      <c r="AT208" s="49"/>
      <c r="AU208" s="49"/>
      <c r="AV208" s="49"/>
      <c r="AW208" s="49"/>
      <c r="AX208" s="49"/>
      <c r="AY208" s="49"/>
      <c r="AZ208" s="49"/>
      <c r="BA208" s="33">
        <f t="shared" si="2"/>
        <v>-0.73000000000047294</v>
      </c>
      <c r="BB208" s="43"/>
    </row>
    <row r="209" spans="1:54" s="5" customFormat="1" ht="49.5" customHeight="1" x14ac:dyDescent="0.35">
      <c r="A209" s="26">
        <v>192</v>
      </c>
      <c r="B209" s="43" t="s">
        <v>251</v>
      </c>
      <c r="C209" s="53" t="s">
        <v>1264</v>
      </c>
      <c r="D209" s="308" t="s">
        <v>1194</v>
      </c>
      <c r="E209" s="99">
        <v>2</v>
      </c>
      <c r="F209" s="44" t="s">
        <v>30</v>
      </c>
      <c r="G209" s="112">
        <f>[1]DICIEMBRE!$BA$203</f>
        <v>-3.3399999999999181</v>
      </c>
      <c r="H209" s="45"/>
      <c r="I209" s="309"/>
      <c r="J209" s="32"/>
      <c r="K209" s="32"/>
      <c r="L209" s="32"/>
      <c r="M209" s="336"/>
      <c r="N209" s="32"/>
      <c r="O209" s="32"/>
      <c r="P209" s="31"/>
      <c r="Q209" s="31"/>
      <c r="R209" s="31"/>
      <c r="S209" s="47">
        <f>250*E209</f>
        <v>500</v>
      </c>
      <c r="T209" s="310"/>
      <c r="U209" s="311"/>
      <c r="V209" s="86"/>
      <c r="W209" s="312"/>
      <c r="X209" s="86"/>
      <c r="Y209" s="86"/>
      <c r="Z209" s="86"/>
      <c r="AA209" s="312"/>
      <c r="AB209" s="86"/>
      <c r="AC209" s="86"/>
      <c r="AD209" s="86"/>
      <c r="AE209" s="312"/>
      <c r="AF209" s="86"/>
      <c r="AG209" s="86"/>
      <c r="AH209" s="312"/>
      <c r="AI209" s="313"/>
      <c r="AJ209" s="86"/>
      <c r="AK209" s="86"/>
      <c r="AL209" s="312"/>
      <c r="AM209" s="86"/>
      <c r="AN209" s="86"/>
      <c r="AO209" s="312"/>
      <c r="AP209" s="86">
        <v>500</v>
      </c>
      <c r="AQ209" s="86"/>
      <c r="AR209" s="86"/>
      <c r="AS209" s="86"/>
      <c r="AT209" s="86"/>
      <c r="AU209" s="86"/>
      <c r="AV209" s="86"/>
      <c r="AW209" s="86"/>
      <c r="AX209" s="86"/>
      <c r="AY209" s="86"/>
      <c r="AZ209" s="86"/>
      <c r="BA209" s="33">
        <f t="shared" si="2"/>
        <v>-3.3399999999999181</v>
      </c>
      <c r="BB209" s="43"/>
    </row>
    <row r="210" spans="1:54" ht="68.25" customHeight="1" x14ac:dyDescent="0.35">
      <c r="A210" s="26">
        <v>193</v>
      </c>
      <c r="B210" s="43" t="s">
        <v>144</v>
      </c>
      <c r="C210" s="43" t="s">
        <v>145</v>
      </c>
      <c r="D210" s="307" t="s">
        <v>1195</v>
      </c>
      <c r="E210" s="98">
        <v>14</v>
      </c>
      <c r="F210" s="44" t="s">
        <v>30</v>
      </c>
      <c r="G210" s="234">
        <f>[1]DICIEMBRE!$BA$204</f>
        <v>0</v>
      </c>
      <c r="H210" s="45"/>
      <c r="I210" s="45"/>
      <c r="J210" s="32"/>
      <c r="K210" s="33"/>
      <c r="L210" s="336"/>
      <c r="M210" s="32"/>
      <c r="N210" s="336"/>
      <c r="O210" s="33"/>
      <c r="P210" s="33"/>
      <c r="Q210" s="31"/>
      <c r="R210" s="31"/>
      <c r="S210" s="47">
        <f>300*E210</f>
        <v>4200</v>
      </c>
      <c r="T210" s="47"/>
      <c r="U210" s="48"/>
      <c r="V210" s="49"/>
      <c r="W210" s="49"/>
      <c r="X210" s="49"/>
      <c r="Y210" s="49"/>
      <c r="Z210" s="49"/>
      <c r="AA210" s="49"/>
      <c r="AB210" s="49"/>
      <c r="AC210" s="49"/>
      <c r="AD210" s="49"/>
      <c r="AE210" s="49"/>
      <c r="AF210" s="49"/>
      <c r="AG210" s="49"/>
      <c r="AH210" s="49"/>
      <c r="AI210" s="49"/>
      <c r="AJ210" s="49"/>
      <c r="AK210" s="63"/>
      <c r="AL210" s="49"/>
      <c r="AM210" s="49"/>
      <c r="AN210" s="49"/>
      <c r="AO210" s="49"/>
      <c r="AP210" s="49">
        <v>4200</v>
      </c>
      <c r="AQ210" s="49"/>
      <c r="AR210" s="49"/>
      <c r="AS210" s="49"/>
      <c r="AT210" s="49"/>
      <c r="AU210" s="49"/>
      <c r="AV210" s="49"/>
      <c r="AW210" s="49"/>
      <c r="AX210" s="49"/>
      <c r="AY210" s="49"/>
      <c r="AZ210" s="49"/>
      <c r="BA210" s="33">
        <f t="shared" si="2"/>
        <v>0</v>
      </c>
      <c r="BB210" s="43"/>
    </row>
    <row r="211" spans="1:54" ht="69" customHeight="1" x14ac:dyDescent="0.35">
      <c r="A211" s="26">
        <v>194</v>
      </c>
      <c r="B211" s="43" t="s">
        <v>792</v>
      </c>
      <c r="C211" s="43"/>
      <c r="D211" s="30" t="s">
        <v>1675</v>
      </c>
      <c r="E211" s="255">
        <v>2</v>
      </c>
      <c r="F211" s="44"/>
      <c r="G211" s="234"/>
      <c r="H211" s="45"/>
      <c r="I211" s="45"/>
      <c r="J211" s="32"/>
      <c r="K211" s="33"/>
      <c r="L211" s="336"/>
      <c r="M211" s="32"/>
      <c r="N211" s="336"/>
      <c r="O211" s="33"/>
      <c r="P211" s="33"/>
      <c r="Q211" s="31"/>
      <c r="R211" s="31"/>
      <c r="S211" s="47"/>
      <c r="T211" s="47"/>
      <c r="U211" s="48"/>
      <c r="V211" s="49"/>
      <c r="W211" s="49"/>
      <c r="X211" s="49"/>
      <c r="Y211" s="49"/>
      <c r="Z211" s="49"/>
      <c r="AA211" s="49"/>
      <c r="AB211" s="49"/>
      <c r="AC211" s="49"/>
      <c r="AD211" s="49"/>
      <c r="AE211" s="49"/>
      <c r="AF211" s="49"/>
      <c r="AG211" s="49"/>
      <c r="AH211" s="49"/>
      <c r="AI211" s="49"/>
      <c r="AJ211" s="49"/>
      <c r="AK211" s="63"/>
      <c r="AL211" s="49"/>
      <c r="AM211" s="49"/>
      <c r="AN211" s="49"/>
      <c r="AO211" s="49"/>
      <c r="AP211" s="49"/>
      <c r="AQ211" s="49"/>
      <c r="AR211" s="49"/>
      <c r="AS211" s="49"/>
      <c r="AT211" s="49"/>
      <c r="AU211" s="49"/>
      <c r="AV211" s="49"/>
      <c r="AW211" s="49"/>
      <c r="AX211" s="49"/>
      <c r="AY211" s="49"/>
      <c r="AZ211" s="49"/>
      <c r="BA211" s="33">
        <f t="shared" si="2"/>
        <v>0</v>
      </c>
      <c r="BB211" s="43" t="s">
        <v>2023</v>
      </c>
    </row>
    <row r="212" spans="1:54" ht="69" customHeight="1" x14ac:dyDescent="0.35">
      <c r="A212" s="26">
        <v>195</v>
      </c>
      <c r="B212" s="43" t="s">
        <v>694</v>
      </c>
      <c r="C212" s="43"/>
      <c r="D212" s="30" t="s">
        <v>2043</v>
      </c>
      <c r="E212" s="255"/>
      <c r="F212" s="44"/>
      <c r="G212" s="234"/>
      <c r="H212" s="45"/>
      <c r="I212" s="45"/>
      <c r="J212" s="32"/>
      <c r="K212" s="33"/>
      <c r="L212" s="336"/>
      <c r="M212" s="32"/>
      <c r="N212" s="336"/>
      <c r="O212" s="33"/>
      <c r="P212" s="33"/>
      <c r="Q212" s="31"/>
      <c r="R212" s="31"/>
      <c r="S212" s="47"/>
      <c r="T212" s="47">
        <v>1250</v>
      </c>
      <c r="U212" s="48"/>
      <c r="V212" s="49"/>
      <c r="W212" s="49"/>
      <c r="X212" s="49"/>
      <c r="Y212" s="49"/>
      <c r="Z212" s="49"/>
      <c r="AA212" s="49"/>
      <c r="AB212" s="49"/>
      <c r="AC212" s="49"/>
      <c r="AD212" s="49"/>
      <c r="AE212" s="49"/>
      <c r="AF212" s="49"/>
      <c r="AG212" s="49"/>
      <c r="AH212" s="49"/>
      <c r="AI212" s="49"/>
      <c r="AJ212" s="49"/>
      <c r="AK212" s="63"/>
      <c r="AL212" s="49"/>
      <c r="AM212" s="49"/>
      <c r="AN212" s="49"/>
      <c r="AO212" s="49"/>
      <c r="AP212" s="49"/>
      <c r="AQ212" s="49"/>
      <c r="AR212" s="49"/>
      <c r="AS212" s="49"/>
      <c r="AT212" s="49"/>
      <c r="AU212" s="49"/>
      <c r="AV212" s="49"/>
      <c r="AW212" s="49"/>
      <c r="AX212" s="49"/>
      <c r="AY212" s="49">
        <v>1250</v>
      </c>
      <c r="AZ212" s="49"/>
      <c r="BA212" s="33">
        <f t="shared" si="2"/>
        <v>0</v>
      </c>
      <c r="BB212" s="43" t="s">
        <v>2057</v>
      </c>
    </row>
    <row r="213" spans="1:54" ht="45.75" customHeight="1" x14ac:dyDescent="0.35">
      <c r="A213" s="26">
        <v>196</v>
      </c>
      <c r="B213" s="256" t="s">
        <v>146</v>
      </c>
      <c r="C213" s="53" t="s">
        <v>147</v>
      </c>
      <c r="D213" s="298" t="s">
        <v>1196</v>
      </c>
      <c r="E213" s="98">
        <v>5</v>
      </c>
      <c r="F213" s="64" t="s">
        <v>30</v>
      </c>
      <c r="G213" s="112">
        <f>[1]DICIEMBRE!$BA$209</f>
        <v>0</v>
      </c>
      <c r="H213" s="45"/>
      <c r="I213" s="45"/>
      <c r="J213" s="32"/>
      <c r="K213" s="33"/>
      <c r="L213" s="32"/>
      <c r="M213" s="32"/>
      <c r="N213" s="336"/>
      <c r="O213" s="32"/>
      <c r="P213" s="33"/>
      <c r="Q213" s="31"/>
      <c r="R213" s="31"/>
      <c r="S213" s="47">
        <f>100*E213</f>
        <v>500</v>
      </c>
      <c r="T213" s="61">
        <f>3800+1900</f>
        <v>5700</v>
      </c>
      <c r="U213" s="72"/>
      <c r="V213" s="49"/>
      <c r="W213" s="49"/>
      <c r="X213" s="49"/>
      <c r="Y213" s="49"/>
      <c r="Z213" s="49"/>
      <c r="AA213" s="49"/>
      <c r="AB213" s="49">
        <v>2000</v>
      </c>
      <c r="AC213" s="49"/>
      <c r="AD213" s="49">
        <v>2000</v>
      </c>
      <c r="AE213" s="49"/>
      <c r="AF213" s="49"/>
      <c r="AG213" s="49"/>
      <c r="AH213" s="49"/>
      <c r="AI213" s="49"/>
      <c r="AJ213" s="49"/>
      <c r="AK213" s="49"/>
      <c r="AL213" s="49"/>
      <c r="AM213" s="49"/>
      <c r="AN213" s="49"/>
      <c r="AO213" s="49"/>
      <c r="AP213" s="49"/>
      <c r="AQ213" s="49">
        <v>2000</v>
      </c>
      <c r="AR213" s="49"/>
      <c r="AS213" s="49"/>
      <c r="AT213" s="49"/>
      <c r="AU213" s="49"/>
      <c r="AV213" s="49"/>
      <c r="AW213" s="49"/>
      <c r="AX213" s="49"/>
      <c r="AY213" s="49"/>
      <c r="AZ213" s="49"/>
      <c r="BA213" s="33">
        <f t="shared" si="2"/>
        <v>200</v>
      </c>
      <c r="BB213" s="269" t="s">
        <v>2193</v>
      </c>
    </row>
    <row r="214" spans="1:54" ht="17" x14ac:dyDescent="0.35">
      <c r="A214" s="26"/>
      <c r="B214" s="80"/>
      <c r="C214" s="81"/>
      <c r="D214" s="82"/>
      <c r="E214" s="83">
        <f>SUM(E18:E213)</f>
        <v>2241</v>
      </c>
      <c r="F214" s="84"/>
      <c r="G214" s="85">
        <f>SUM(G18:G213)</f>
        <v>45163.987200000018</v>
      </c>
      <c r="H214" s="85">
        <f t="shared" ref="H214:N214" si="3">SUM(H30:H213)</f>
        <v>0</v>
      </c>
      <c r="I214" s="46">
        <f t="shared" si="3"/>
        <v>0</v>
      </c>
      <c r="J214" s="46">
        <f t="shared" si="3"/>
        <v>0</v>
      </c>
      <c r="K214" s="46">
        <f t="shared" si="3"/>
        <v>0</v>
      </c>
      <c r="L214" s="46">
        <f t="shared" si="3"/>
        <v>0</v>
      </c>
      <c r="M214" s="46">
        <f t="shared" si="3"/>
        <v>0</v>
      </c>
      <c r="N214" s="46">
        <f t="shared" si="3"/>
        <v>0</v>
      </c>
      <c r="O214" s="46">
        <f>SUM(O30+O94+O28+O19+O76+O21+O22+O24+O54+O26+O27+O90+O91+O29+O89+O34+O35+O73+O36+O37+O52+O77+O40+O42+O100+O23+O50+O46+O75+O47+O48+O97+O51+O38+O57+O33+O60+O25+O63+O53+O67+O69+O70+O71+O20+O72+O31+O74+O78+O79+O81+O82+O56+O83+O84+O86+O18+O92+O93+O102+O59+O61+O58+O103+O104+O105+O107+O108+O109+O110+O111+O112+O113+O114+O115+O121+O122+O124+O125+O126+O127+O128+O129+O134+O135+O137+O138+O140+O142+O144+O146+O148+O149+O150+O151+O154+O155+O157+O158+O160+O161+O162+O163+O164+O165+O170+O172+O174+O175+O176+O178+O179+O180+O181+O182+O184+O187+O188+O190+O192+O193+O194+O196+O197+O198+O199+O200+O201+O202+O203+O204+O205+O206+O207+O208+O209+O210+O213)</f>
        <v>0</v>
      </c>
      <c r="P214" s="46">
        <f>SUM(P30:P213)</f>
        <v>0</v>
      </c>
      <c r="Q214" s="46">
        <f>SUM(Q30:Q213)</f>
        <v>0</v>
      </c>
      <c r="R214" s="46">
        <f>SUM(R30:R213)</f>
        <v>0</v>
      </c>
      <c r="S214" s="86">
        <f>SUM(S18:S213)</f>
        <v>412886.1936</v>
      </c>
      <c r="T214" s="86">
        <f>SUM(T18:T213)</f>
        <v>168190.8492</v>
      </c>
      <c r="U214" s="87">
        <f>-SUM(U18:U213)</f>
        <v>-2644.8</v>
      </c>
      <c r="V214" s="191">
        <f>SUM(V18:V213)</f>
        <v>0</v>
      </c>
      <c r="W214" s="191">
        <f>SUM(W18:W213)</f>
        <v>2000</v>
      </c>
      <c r="X214" s="191">
        <f t="shared" ref="X214:AZ214" si="4">SUM(X18:X213)</f>
        <v>3641</v>
      </c>
      <c r="Y214" s="191">
        <f t="shared" si="4"/>
        <v>0</v>
      </c>
      <c r="Z214" s="191">
        <f t="shared" si="4"/>
        <v>1546</v>
      </c>
      <c r="AA214" s="191">
        <f t="shared" si="4"/>
        <v>29077.059999999998</v>
      </c>
      <c r="AB214" s="191">
        <f t="shared" si="4"/>
        <v>30442.25</v>
      </c>
      <c r="AC214" s="191">
        <f t="shared" si="4"/>
        <v>25734.949999999997</v>
      </c>
      <c r="AD214" s="191">
        <f t="shared" si="4"/>
        <v>10946.52</v>
      </c>
      <c r="AE214" s="191">
        <f t="shared" si="4"/>
        <v>54906.12</v>
      </c>
      <c r="AF214" s="191">
        <f t="shared" si="4"/>
        <v>4409</v>
      </c>
      <c r="AG214" s="191">
        <f t="shared" si="4"/>
        <v>250</v>
      </c>
      <c r="AH214" s="191">
        <f t="shared" si="4"/>
        <v>22804.809999999998</v>
      </c>
      <c r="AI214" s="191">
        <f t="shared" si="4"/>
        <v>33814.6</v>
      </c>
      <c r="AJ214" s="191">
        <f t="shared" si="4"/>
        <v>132437.4</v>
      </c>
      <c r="AK214" s="191">
        <f t="shared" si="4"/>
        <v>1171.5999999999999</v>
      </c>
      <c r="AL214" s="191">
        <f t="shared" si="4"/>
        <v>52540.549999999996</v>
      </c>
      <c r="AM214" s="191">
        <f t="shared" si="4"/>
        <v>15350</v>
      </c>
      <c r="AN214" s="191">
        <f t="shared" si="4"/>
        <v>0</v>
      </c>
      <c r="AO214" s="191">
        <f t="shared" si="4"/>
        <v>52352.61</v>
      </c>
      <c r="AP214" s="191">
        <f t="shared" si="4"/>
        <v>11798</v>
      </c>
      <c r="AQ214" s="191">
        <f t="shared" si="4"/>
        <v>4750</v>
      </c>
      <c r="AR214" s="191">
        <f t="shared" si="4"/>
        <v>9602.48</v>
      </c>
      <c r="AS214" s="191">
        <f t="shared" si="4"/>
        <v>13658</v>
      </c>
      <c r="AT214" s="191">
        <f t="shared" si="4"/>
        <v>0</v>
      </c>
      <c r="AU214" s="191">
        <f t="shared" si="4"/>
        <v>0</v>
      </c>
      <c r="AV214" s="191">
        <f t="shared" si="4"/>
        <v>2070</v>
      </c>
      <c r="AW214" s="191">
        <f t="shared" si="4"/>
        <v>21004.29</v>
      </c>
      <c r="AX214" s="191">
        <f t="shared" si="4"/>
        <v>913</v>
      </c>
      <c r="AY214" s="191">
        <f t="shared" si="4"/>
        <v>16469</v>
      </c>
      <c r="AZ214" s="191">
        <f t="shared" si="4"/>
        <v>14597.68</v>
      </c>
      <c r="BA214" s="88">
        <f>SUM(BA18:BA213)</f>
        <v>55309.310000000027</v>
      </c>
      <c r="BB214" s="272" t="s">
        <v>148</v>
      </c>
    </row>
    <row r="216" spans="1:54" x14ac:dyDescent="0.35">
      <c r="B216" s="89"/>
      <c r="BB216" s="163" t="s">
        <v>946</v>
      </c>
    </row>
  </sheetData>
  <autoFilter ref="A16:BC214" xr:uid="{00000000-0009-0000-0000-000000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27">
    <mergeCell ref="E6:R6"/>
    <mergeCell ref="E2:R2"/>
    <mergeCell ref="E3:R3"/>
    <mergeCell ref="B4:D4"/>
    <mergeCell ref="E4:R4"/>
    <mergeCell ref="E5:R5"/>
    <mergeCell ref="E13:R13"/>
    <mergeCell ref="E7:R7"/>
    <mergeCell ref="E8:R8"/>
    <mergeCell ref="E9:R9"/>
    <mergeCell ref="E10:R10"/>
    <mergeCell ref="E11:R11"/>
    <mergeCell ref="E12:R12"/>
    <mergeCell ref="BC16:BC17"/>
    <mergeCell ref="E14:R14"/>
    <mergeCell ref="A16:A17"/>
    <mergeCell ref="B16:B17"/>
    <mergeCell ref="C16:C17"/>
    <mergeCell ref="D16:D17"/>
    <mergeCell ref="E16:E17"/>
    <mergeCell ref="F16:F17"/>
    <mergeCell ref="G16:R16"/>
    <mergeCell ref="S16:S17"/>
    <mergeCell ref="T16:T17"/>
    <mergeCell ref="U16:U17"/>
    <mergeCell ref="BA16:BA17"/>
    <mergeCell ref="BB16:BB17"/>
  </mergeCells>
  <hyperlinks>
    <hyperlink ref="D84" r:id="rId1" display="facturacion@quitakilos.com     _x000a_" xr:uid="{00000000-0004-0000-0000-000000000000}"/>
    <hyperlink ref="D89" r:id="rId2" display="daniela.ochoa@seiarquitectos.com" xr:uid="{00000000-0004-0000-0000-000001000000}"/>
    <hyperlink ref="D83" r:id="rId3" display="Proatam.admon@gmail.com" xr:uid="{00000000-0004-0000-0000-000002000000}"/>
    <hyperlink ref="D55" r:id="rId4" display="ernesto.gomez@sanbox.com.mx" xr:uid="{00000000-0004-0000-0000-000003000000}"/>
    <hyperlink ref="D99" r:id="rId5" display="ernesto.gomez@sanbox.com.mx" xr:uid="{00000000-0004-0000-0000-000004000000}"/>
  </hyperlinks>
  <pageMargins left="0.7" right="0.7" top="0.75" bottom="0.75" header="0.3" footer="0.3"/>
  <pageSetup orientation="portrait" r:id="rId6"/>
  <drawing r:id="rId7"/>
  <legacyDrawing r:id="rId8"/>
  <extLst>
    <ext xmlns:x14="http://schemas.microsoft.com/office/spreadsheetml/2009/9/main" uri="{78C0D931-6437-407d-A8EE-F0AAD7539E65}">
      <x14:conditionalFormattings>
        <x14:conditionalFormatting xmlns:xm="http://schemas.microsoft.com/office/excel/2006/main">
          <x14:cfRule type="containsText" priority="21" operator="containsText" id="{89D877AC-7D83-4672-AC78-8B9EB1E77CD8}">
            <xm:f>NOT(ISERROR(SEARCH("-",P16)))</xm:f>
            <xm:f>"-"</xm:f>
            <x14:dxf>
              <font>
                <color rgb="FF9C6500"/>
              </font>
              <fill>
                <patternFill>
                  <bgColor rgb="FFFFEB9C"/>
                </patternFill>
              </fill>
            </x14:dxf>
          </x14:cfRule>
          <xm:sqref>BA16:BA214 Q18 P19 R19 Q20:Q21 P21 R21 P23:R25 P26 R26 Q27:Q28 P29:R29 P32:Q33 P34 Q35:R35 R36 P37:Q37 P38 P39:R39 Q40 R41 P42:Q43 P44:R45 P46 R46 P47:R47 Q49:R49 Q50 R51 Q52:R52 P53:Q53 Q54 Q55:R55 Q56 Q57:R57 P58 R58 P59:R59 Q60:Q61 P62 R62 Q64:R64 P65:Q65 P66:R66 P69:R69 Q70 P71 R71 P72:R72 P73:Q73 P74:R74 Q75:Q76 P77:P78 R78 Q79 P81:R82 P83 R83 Q84 Q85:R85 P86 P87:R87 R88 Q89:R89 P90:R90 Q92 P93 R93 P94:R95 P96:Q97 Q102:R102 Q103 P104 R104 Q105:Q106 P106 R106 P108 R108 Q108:Q109 P110 R110 Q111:Q112 P112 R112 P114 R114 Q114:Q115 P116:R118 P119:Q120 R120:R121 P121 Q121:Q122 P123 R123 Q124:Q125 P125 R125 P127 R127 Q127:Q128 P129:P130 R129:R130 Q131:Q133 R132 P134 R134 Q135:Q139 P137:P138 R137:R138 R140 Q141:Q142 R142 P143 R144 Q144:Q145 R146 P146:P147 Q147:Q148 R148 P149 R150 Q150:Q151 P151 R152 P154 R154 Q154:Q156 P157 R157 Q158:Q159 P159 R159 P161 R161 Q161:Q162 R163 P164:Q164 P165:P171 R166 Q167:Q171 R168:R169 R171 R173 P174 Q174:Q175 R175 P176 R177 Q177:Q178 P178 R179 P180 Q180:Q181 R181 P182 P183:R183 R185:R186 Q185:Q187 P187 R188 R190 P190:P191 Q190:Q192 R192 P193 R194 Q194:Q195 R196 P197 Q197:Q198 R198 P199 Q200:R200 P202 R202 Q202:Q203 P204:Q204 R205 P206:Q206 P207 R208 Q208:Q209 P209 R210:R213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215"/>
  <sheetViews>
    <sheetView zoomScale="69" zoomScaleNormal="69" workbookViewId="0">
      <pane xSplit="21" ySplit="17" topLeftCell="AT211" activePane="bottomRight" state="frozenSplit"/>
      <selection pane="topRight" activeCell="T1" sqref="T1"/>
      <selection pane="bottomLeft" activeCell="A17" sqref="A17"/>
      <selection pane="bottomRight" activeCell="T212" sqref="T212"/>
    </sheetView>
  </sheetViews>
  <sheetFormatPr baseColWidth="10" defaultColWidth="11.453125" defaultRowHeight="14.5" x14ac:dyDescent="0.35"/>
  <cols>
    <col min="1" max="1" width="4.81640625" style="1" customWidth="1"/>
    <col min="2" max="2" width="28" style="91" customWidth="1"/>
    <col min="3" max="3" width="50.54296875" hidden="1" customWidth="1"/>
    <col min="4" max="4" width="34.81640625" style="90" customWidth="1"/>
    <col min="5" max="5" width="8.453125" customWidth="1"/>
    <col min="6" max="6" width="13.1796875" customWidth="1"/>
    <col min="7" max="7" width="13.7265625" hidden="1" customWidth="1"/>
    <col min="8" max="8" width="15" customWidth="1"/>
    <col min="9" max="9" width="18.81640625" hidden="1" customWidth="1"/>
    <col min="10" max="10" width="14.1796875" hidden="1" customWidth="1"/>
    <col min="11" max="11" width="15.453125" hidden="1" customWidth="1"/>
    <col min="12" max="12" width="15.26953125" hidden="1" customWidth="1"/>
    <col min="13" max="13" width="14.7265625" hidden="1" customWidth="1"/>
    <col min="14" max="14" width="14" hidden="1" customWidth="1"/>
    <col min="15" max="15" width="16.26953125" hidden="1" customWidth="1"/>
    <col min="16" max="16" width="17.453125" hidden="1" customWidth="1"/>
    <col min="17" max="18" width="13.81640625" hidden="1" customWidth="1"/>
    <col min="19" max="19" width="19" customWidth="1"/>
    <col min="20" max="20" width="15.26953125" customWidth="1"/>
    <col min="21" max="21" width="15.453125" customWidth="1"/>
    <col min="22" max="49" width="11.453125" customWidth="1"/>
    <col min="50" max="50" width="18.7265625" customWidth="1"/>
    <col min="51" max="51" width="34" style="163" customWidth="1"/>
    <col min="52" max="52" width="20.1796875" customWidth="1"/>
  </cols>
  <sheetData>
    <row r="1" spans="1:52" s="5" customFormat="1" ht="18" customHeight="1" x14ac:dyDescent="0.35">
      <c r="A1" s="1"/>
      <c r="C1" s="161"/>
      <c r="E1" s="337"/>
      <c r="F1" s="337"/>
      <c r="G1" s="337"/>
      <c r="H1" s="337"/>
      <c r="I1" s="337"/>
      <c r="J1" s="337"/>
      <c r="K1" s="337"/>
      <c r="L1" s="337"/>
      <c r="M1" s="337"/>
      <c r="N1" s="337"/>
      <c r="O1" s="337"/>
      <c r="P1" s="337"/>
      <c r="Q1" s="337"/>
      <c r="R1" s="337"/>
      <c r="AY1" s="166"/>
    </row>
    <row r="2" spans="1:52" s="5" customFormat="1" ht="15" customHeight="1" x14ac:dyDescent="0.4">
      <c r="A2" s="1"/>
      <c r="B2" s="2" t="s">
        <v>2547</v>
      </c>
      <c r="D2" s="3">
        <f>SUM(S2+S3+S4+S5+S6+S7+S8+S9+S10+S11+S12+S13+D5)</f>
        <v>675018.2868</v>
      </c>
      <c r="E2" s="434" t="s">
        <v>1703</v>
      </c>
      <c r="F2" s="434"/>
      <c r="G2" s="434"/>
      <c r="H2" s="434"/>
      <c r="I2" s="434"/>
      <c r="J2" s="434"/>
      <c r="K2" s="434"/>
      <c r="L2" s="434"/>
      <c r="M2" s="434"/>
      <c r="N2" s="434"/>
      <c r="O2" s="434"/>
      <c r="P2" s="434"/>
      <c r="Q2" s="434"/>
      <c r="R2" s="434"/>
      <c r="S2" s="4">
        <f>G213</f>
        <v>46667.546400000021</v>
      </c>
      <c r="AY2" s="166"/>
    </row>
    <row r="3" spans="1:52" s="5" customFormat="1" ht="15" customHeight="1" x14ac:dyDescent="0.4">
      <c r="A3" s="1"/>
      <c r="E3" s="433" t="s">
        <v>1704</v>
      </c>
      <c r="F3" s="433"/>
      <c r="G3" s="433"/>
      <c r="H3" s="433"/>
      <c r="I3" s="433"/>
      <c r="J3" s="433"/>
      <c r="K3" s="433"/>
      <c r="L3" s="433"/>
      <c r="M3" s="433"/>
      <c r="N3" s="433"/>
      <c r="O3" s="433"/>
      <c r="P3" s="433"/>
      <c r="Q3" s="433"/>
      <c r="R3" s="433"/>
      <c r="S3" s="4">
        <f>H213-S2</f>
        <v>7113.2480000000069</v>
      </c>
      <c r="AY3" s="166"/>
    </row>
    <row r="4" spans="1:52" s="7" customFormat="1" ht="15" customHeight="1" x14ac:dyDescent="0.4">
      <c r="A4" s="6"/>
      <c r="B4" s="435" t="s">
        <v>2016</v>
      </c>
      <c r="C4" s="436"/>
      <c r="D4" s="437"/>
      <c r="E4" s="432" t="s">
        <v>1705</v>
      </c>
      <c r="F4" s="433"/>
      <c r="G4" s="433"/>
      <c r="H4" s="433"/>
      <c r="I4" s="433"/>
      <c r="J4" s="433"/>
      <c r="K4" s="433"/>
      <c r="L4" s="433"/>
      <c r="M4" s="433"/>
      <c r="N4" s="433"/>
      <c r="O4" s="433"/>
      <c r="P4" s="433"/>
      <c r="Q4" s="433"/>
      <c r="R4" s="433"/>
      <c r="S4" s="4">
        <f>I213</f>
        <v>0</v>
      </c>
      <c r="W4" s="5"/>
      <c r="AY4" s="265"/>
    </row>
    <row r="5" spans="1:52" s="7" customFormat="1" ht="15" customHeight="1" x14ac:dyDescent="0.4">
      <c r="A5" s="6"/>
      <c r="B5" s="8" t="s">
        <v>2017</v>
      </c>
      <c r="C5" s="9"/>
      <c r="D5" s="10">
        <f>S213+T213+U213</f>
        <v>621237.49239999999</v>
      </c>
      <c r="E5" s="432" t="s">
        <v>1706</v>
      </c>
      <c r="F5" s="433"/>
      <c r="G5" s="433"/>
      <c r="H5" s="433"/>
      <c r="I5" s="433"/>
      <c r="J5" s="433"/>
      <c r="K5" s="433"/>
      <c r="L5" s="433"/>
      <c r="M5" s="433"/>
      <c r="N5" s="433"/>
      <c r="O5" s="433"/>
      <c r="P5" s="433"/>
      <c r="Q5" s="433"/>
      <c r="R5" s="433"/>
      <c r="S5" s="4">
        <f>J213</f>
        <v>0</v>
      </c>
      <c r="W5" s="5"/>
      <c r="AY5" s="265"/>
    </row>
    <row r="6" spans="1:52" s="7" customFormat="1" ht="15" customHeight="1" x14ac:dyDescent="0.4">
      <c r="A6" s="6"/>
      <c r="B6" s="11" t="s">
        <v>1996</v>
      </c>
      <c r="C6" s="12"/>
      <c r="D6" s="13">
        <f>SUM(V213:W213)</f>
        <v>15004.8</v>
      </c>
      <c r="E6" s="432" t="s">
        <v>1707</v>
      </c>
      <c r="F6" s="433"/>
      <c r="G6" s="433"/>
      <c r="H6" s="433"/>
      <c r="I6" s="433"/>
      <c r="J6" s="433"/>
      <c r="K6" s="433"/>
      <c r="L6" s="433"/>
      <c r="M6" s="433"/>
      <c r="N6" s="433"/>
      <c r="O6" s="433"/>
      <c r="P6" s="433"/>
      <c r="Q6" s="433"/>
      <c r="R6" s="433"/>
      <c r="S6" s="4">
        <f>K213</f>
        <v>0</v>
      </c>
      <c r="T6"/>
      <c r="W6" s="5"/>
      <c r="AY6" s="265"/>
    </row>
    <row r="7" spans="1:52" s="7" customFormat="1" ht="15" customHeight="1" x14ac:dyDescent="0.4">
      <c r="A7" s="6"/>
      <c r="B7" s="11" t="s">
        <v>1997</v>
      </c>
      <c r="C7" s="12"/>
      <c r="D7" s="13">
        <f>SUM(X213:AD213)</f>
        <v>159634.97</v>
      </c>
      <c r="E7" s="432" t="s">
        <v>1708</v>
      </c>
      <c r="F7" s="433"/>
      <c r="G7" s="433"/>
      <c r="H7" s="433"/>
      <c r="I7" s="433"/>
      <c r="J7" s="433"/>
      <c r="K7" s="433"/>
      <c r="L7" s="433"/>
      <c r="M7" s="433"/>
      <c r="N7" s="433"/>
      <c r="O7" s="433"/>
      <c r="P7" s="433"/>
      <c r="Q7" s="433"/>
      <c r="R7" s="433"/>
      <c r="S7" s="4">
        <f>L213</f>
        <v>0</v>
      </c>
      <c r="W7" s="5"/>
      <c r="AY7" s="265"/>
    </row>
    <row r="8" spans="1:52" s="7" customFormat="1" ht="15" customHeight="1" x14ac:dyDescent="0.4">
      <c r="A8" s="6"/>
      <c r="B8" s="11" t="s">
        <v>1998</v>
      </c>
      <c r="C8" s="12"/>
      <c r="D8" s="13">
        <f>SUM(AE213:AK213)</f>
        <v>168928.58</v>
      </c>
      <c r="E8" s="432" t="s">
        <v>1709</v>
      </c>
      <c r="F8" s="433"/>
      <c r="G8" s="433"/>
      <c r="H8" s="433"/>
      <c r="I8" s="433"/>
      <c r="J8" s="433"/>
      <c r="K8" s="433"/>
      <c r="L8" s="433"/>
      <c r="M8" s="433"/>
      <c r="N8" s="433"/>
      <c r="O8" s="433"/>
      <c r="P8" s="433"/>
      <c r="Q8" s="433"/>
      <c r="R8" s="433"/>
      <c r="S8" s="4">
        <f>M213</f>
        <v>0</v>
      </c>
      <c r="W8" s="5"/>
      <c r="AY8" s="265"/>
    </row>
    <row r="9" spans="1:52" s="7" customFormat="1" ht="15" customHeight="1" x14ac:dyDescent="0.4">
      <c r="A9" s="6"/>
      <c r="B9" s="11" t="s">
        <v>1999</v>
      </c>
      <c r="C9" s="12"/>
      <c r="D9" s="13">
        <f>SUM(AL213:AR213)</f>
        <v>193494.59</v>
      </c>
      <c r="E9" s="432" t="s">
        <v>1710</v>
      </c>
      <c r="F9" s="433"/>
      <c r="G9" s="433"/>
      <c r="H9" s="433"/>
      <c r="I9" s="433"/>
      <c r="J9" s="433"/>
      <c r="K9" s="433"/>
      <c r="L9" s="433"/>
      <c r="M9" s="433"/>
      <c r="N9" s="433"/>
      <c r="O9" s="433"/>
      <c r="P9" s="433"/>
      <c r="Q9" s="433"/>
      <c r="R9" s="433"/>
      <c r="S9" s="4">
        <f>N213</f>
        <v>0</v>
      </c>
      <c r="Z9"/>
      <c r="AY9" s="265"/>
    </row>
    <row r="10" spans="1:52" s="7" customFormat="1" ht="15" customHeight="1" x14ac:dyDescent="0.4">
      <c r="A10" s="6"/>
      <c r="B10" s="11" t="s">
        <v>2000</v>
      </c>
      <c r="C10" s="12"/>
      <c r="D10" s="13">
        <f>SUM(AS213:AW213)</f>
        <v>76341.7</v>
      </c>
      <c r="E10" s="432" t="s">
        <v>1711</v>
      </c>
      <c r="F10" s="433"/>
      <c r="G10" s="433"/>
      <c r="H10" s="433"/>
      <c r="I10" s="433"/>
      <c r="J10" s="433"/>
      <c r="K10" s="433"/>
      <c r="L10" s="433"/>
      <c r="M10" s="433"/>
      <c r="N10" s="433"/>
      <c r="O10" s="433"/>
      <c r="P10" s="433"/>
      <c r="Q10" s="433"/>
      <c r="R10" s="433"/>
      <c r="S10" s="4">
        <f>O213</f>
        <v>0</v>
      </c>
      <c r="AY10" s="265"/>
    </row>
    <row r="11" spans="1:52" s="7" customFormat="1" ht="15" customHeight="1" x14ac:dyDescent="0.4">
      <c r="A11" s="6"/>
      <c r="B11" s="18"/>
      <c r="C11" s="14"/>
      <c r="D11" s="343"/>
      <c r="E11" s="433" t="s">
        <v>1712</v>
      </c>
      <c r="F11" s="433"/>
      <c r="G11" s="433"/>
      <c r="H11" s="433"/>
      <c r="I11" s="433"/>
      <c r="J11" s="433"/>
      <c r="K11" s="433"/>
      <c r="L11" s="433"/>
      <c r="M11" s="433"/>
      <c r="N11" s="433"/>
      <c r="O11" s="433"/>
      <c r="P11" s="433"/>
      <c r="Q11" s="433"/>
      <c r="R11" s="433"/>
      <c r="S11" s="4">
        <f>P213</f>
        <v>0</v>
      </c>
      <c r="AY11" s="265"/>
    </row>
    <row r="12" spans="1:52" s="7" customFormat="1" ht="15" customHeight="1" x14ac:dyDescent="0.4">
      <c r="A12" s="6"/>
      <c r="B12" s="16"/>
      <c r="C12" s="14"/>
      <c r="D12" s="223"/>
      <c r="E12" s="433" t="s">
        <v>1713</v>
      </c>
      <c r="F12" s="433"/>
      <c r="G12" s="433"/>
      <c r="H12" s="433"/>
      <c r="I12" s="433"/>
      <c r="J12" s="433"/>
      <c r="K12" s="433"/>
      <c r="L12" s="433"/>
      <c r="M12" s="433"/>
      <c r="N12" s="433"/>
      <c r="O12" s="433"/>
      <c r="P12" s="433"/>
      <c r="Q12" s="433"/>
      <c r="R12" s="433"/>
      <c r="S12" s="4">
        <f>Q213</f>
        <v>0</v>
      </c>
      <c r="AY12" s="265"/>
    </row>
    <row r="13" spans="1:52" s="7" customFormat="1" ht="15" customHeight="1" x14ac:dyDescent="0.4">
      <c r="A13" s="6"/>
      <c r="B13" s="15" t="s">
        <v>0</v>
      </c>
      <c r="C13" s="16"/>
      <c r="D13" s="3">
        <f>SUM(D6:D11)</f>
        <v>613404.6399999999</v>
      </c>
      <c r="E13" s="423" t="s">
        <v>1714</v>
      </c>
      <c r="F13" s="423"/>
      <c r="G13" s="423"/>
      <c r="H13" s="423"/>
      <c r="I13" s="423"/>
      <c r="J13" s="423"/>
      <c r="K13" s="423"/>
      <c r="L13" s="423"/>
      <c r="M13" s="423"/>
      <c r="N13" s="423"/>
      <c r="O13" s="423"/>
      <c r="P13" s="423"/>
      <c r="Q13" s="423"/>
      <c r="R13" s="423"/>
      <c r="S13" s="4">
        <f>R213</f>
        <v>0</v>
      </c>
      <c r="AY13" s="265"/>
    </row>
    <row r="14" spans="1:52" s="7" customFormat="1" ht="15.75" customHeight="1" x14ac:dyDescent="0.4">
      <c r="A14" s="6"/>
      <c r="B14" s="17" t="s">
        <v>1</v>
      </c>
      <c r="C14" s="16"/>
      <c r="D14" s="3">
        <f>D2-D13</f>
        <v>61613.646800000104</v>
      </c>
      <c r="E14" s="423" t="s">
        <v>149</v>
      </c>
      <c r="F14" s="423"/>
      <c r="G14" s="423"/>
      <c r="H14" s="423"/>
      <c r="I14" s="423"/>
      <c r="J14" s="423"/>
      <c r="K14" s="423"/>
      <c r="L14" s="423"/>
      <c r="M14" s="423"/>
      <c r="N14" s="423"/>
      <c r="O14" s="423"/>
      <c r="P14" s="423"/>
      <c r="Q14" s="423"/>
      <c r="R14" s="423"/>
      <c r="S14" s="4">
        <f>SUM(S2:S13)</f>
        <v>53780.794400000028</v>
      </c>
      <c r="AY14" s="265"/>
    </row>
    <row r="15" spans="1:52" s="5" customFormat="1" ht="16.5" customHeight="1" x14ac:dyDescent="0.4">
      <c r="A15" s="1"/>
      <c r="B15" s="18"/>
      <c r="C15" s="14"/>
      <c r="D15" s="14"/>
      <c r="F15" s="19"/>
      <c r="G15" s="19"/>
      <c r="H15" s="19"/>
      <c r="I15" s="19"/>
      <c r="J15" s="19"/>
      <c r="K15" s="20"/>
      <c r="L15" s="19"/>
      <c r="M15" s="19"/>
      <c r="N15" s="19"/>
      <c r="O15" s="19"/>
      <c r="P15" s="19"/>
      <c r="Q15" s="19"/>
      <c r="R15" s="19"/>
      <c r="AY15" s="166"/>
    </row>
    <row r="16" spans="1:52" s="23" customFormat="1" ht="17.25" customHeight="1" x14ac:dyDescent="0.3">
      <c r="A16" s="424" t="s">
        <v>2</v>
      </c>
      <c r="B16" s="426" t="s">
        <v>3</v>
      </c>
      <c r="C16" s="426" t="s">
        <v>4</v>
      </c>
      <c r="D16" s="426" t="s">
        <v>5</v>
      </c>
      <c r="E16" s="427" t="s">
        <v>6</v>
      </c>
      <c r="F16" s="438" t="s">
        <v>7</v>
      </c>
      <c r="G16" s="428" t="s">
        <v>800</v>
      </c>
      <c r="H16" s="428"/>
      <c r="I16" s="428"/>
      <c r="J16" s="428"/>
      <c r="K16" s="428"/>
      <c r="L16" s="428"/>
      <c r="M16" s="428"/>
      <c r="N16" s="428"/>
      <c r="O16" s="428"/>
      <c r="P16" s="428"/>
      <c r="Q16" s="428"/>
      <c r="R16" s="428"/>
      <c r="S16" s="429" t="s">
        <v>1995</v>
      </c>
      <c r="T16" s="429" t="s">
        <v>8</v>
      </c>
      <c r="U16" s="429" t="s">
        <v>9</v>
      </c>
      <c r="V16" s="21">
        <v>1</v>
      </c>
      <c r="W16" s="21">
        <v>2</v>
      </c>
      <c r="X16" s="21">
        <v>3</v>
      </c>
      <c r="Y16" s="21">
        <v>4</v>
      </c>
      <c r="Z16" s="21">
        <v>5</v>
      </c>
      <c r="AA16" s="21">
        <v>6</v>
      </c>
      <c r="AB16" s="21">
        <v>7</v>
      </c>
      <c r="AC16" s="21">
        <v>8</v>
      </c>
      <c r="AD16" s="21">
        <v>9</v>
      </c>
      <c r="AE16" s="21">
        <v>10</v>
      </c>
      <c r="AF16" s="21">
        <v>11</v>
      </c>
      <c r="AG16" s="21">
        <v>12</v>
      </c>
      <c r="AH16" s="21">
        <v>13</v>
      </c>
      <c r="AI16" s="21">
        <v>14</v>
      </c>
      <c r="AJ16" s="21">
        <v>15</v>
      </c>
      <c r="AK16" s="22">
        <v>16</v>
      </c>
      <c r="AL16" s="21">
        <v>17</v>
      </c>
      <c r="AM16" s="21">
        <v>18</v>
      </c>
      <c r="AN16" s="21">
        <v>19</v>
      </c>
      <c r="AO16" s="21">
        <v>20</v>
      </c>
      <c r="AP16" s="21">
        <v>21</v>
      </c>
      <c r="AQ16" s="21">
        <v>22</v>
      </c>
      <c r="AR16" s="21">
        <v>23</v>
      </c>
      <c r="AS16" s="21">
        <v>24</v>
      </c>
      <c r="AT16" s="21">
        <v>25</v>
      </c>
      <c r="AU16" s="21">
        <v>26</v>
      </c>
      <c r="AV16" s="21">
        <v>27</v>
      </c>
      <c r="AW16" s="21">
        <v>28</v>
      </c>
      <c r="AX16" s="430" t="s">
        <v>10</v>
      </c>
      <c r="AY16" s="431" t="s">
        <v>11</v>
      </c>
      <c r="AZ16" s="422" t="s">
        <v>12</v>
      </c>
    </row>
    <row r="17" spans="1:52" s="23" customFormat="1" ht="17.25" customHeight="1" x14ac:dyDescent="0.3">
      <c r="A17" s="425"/>
      <c r="B17" s="426"/>
      <c r="C17" s="426"/>
      <c r="D17" s="426"/>
      <c r="E17" s="427"/>
      <c r="F17" s="438"/>
      <c r="G17" s="24">
        <v>2024</v>
      </c>
      <c r="H17" s="336" t="s">
        <v>13</v>
      </c>
      <c r="I17" s="336" t="s">
        <v>14</v>
      </c>
      <c r="J17" s="336" t="s">
        <v>15</v>
      </c>
      <c r="K17" s="336" t="s">
        <v>16</v>
      </c>
      <c r="L17" s="336" t="s">
        <v>17</v>
      </c>
      <c r="M17" s="336" t="s">
        <v>18</v>
      </c>
      <c r="N17" s="336" t="s">
        <v>19</v>
      </c>
      <c r="O17" s="336" t="s">
        <v>20</v>
      </c>
      <c r="P17" s="336" t="s">
        <v>21</v>
      </c>
      <c r="Q17" s="336" t="s">
        <v>22</v>
      </c>
      <c r="R17" s="336" t="s">
        <v>150</v>
      </c>
      <c r="S17" s="429"/>
      <c r="T17" s="429"/>
      <c r="U17" s="429"/>
      <c r="V17" s="25" t="s">
        <v>25</v>
      </c>
      <c r="W17" s="25" t="s">
        <v>26</v>
      </c>
      <c r="X17" s="25" t="s">
        <v>27</v>
      </c>
      <c r="Y17" s="25" t="s">
        <v>28</v>
      </c>
      <c r="Z17" s="25" t="s">
        <v>28</v>
      </c>
      <c r="AA17" s="25" t="s">
        <v>23</v>
      </c>
      <c r="AB17" s="25" t="s">
        <v>24</v>
      </c>
      <c r="AC17" s="25" t="s">
        <v>25</v>
      </c>
      <c r="AD17" s="25" t="s">
        <v>26</v>
      </c>
      <c r="AE17" s="25" t="s">
        <v>27</v>
      </c>
      <c r="AF17" s="25" t="s">
        <v>28</v>
      </c>
      <c r="AG17" s="25" t="s">
        <v>28</v>
      </c>
      <c r="AH17" s="25" t="s">
        <v>23</v>
      </c>
      <c r="AI17" s="25" t="s">
        <v>24</v>
      </c>
      <c r="AJ17" s="25" t="s">
        <v>25</v>
      </c>
      <c r="AK17" s="25" t="s">
        <v>26</v>
      </c>
      <c r="AL17" s="25" t="s">
        <v>27</v>
      </c>
      <c r="AM17" s="25" t="s">
        <v>28</v>
      </c>
      <c r="AN17" s="25" t="s">
        <v>28</v>
      </c>
      <c r="AO17" s="25" t="s">
        <v>23</v>
      </c>
      <c r="AP17" s="25" t="s">
        <v>24</v>
      </c>
      <c r="AQ17" s="25" t="s">
        <v>25</v>
      </c>
      <c r="AR17" s="25" t="s">
        <v>26</v>
      </c>
      <c r="AS17" s="25" t="s">
        <v>27</v>
      </c>
      <c r="AT17" s="25" t="s">
        <v>28</v>
      </c>
      <c r="AU17" s="25" t="s">
        <v>28</v>
      </c>
      <c r="AV17" s="25" t="s">
        <v>23</v>
      </c>
      <c r="AW17" s="25" t="s">
        <v>24</v>
      </c>
      <c r="AX17" s="430"/>
      <c r="AY17" s="431"/>
      <c r="AZ17" s="422"/>
    </row>
    <row r="18" spans="1:52" s="23" customFormat="1" ht="52.5" customHeight="1" x14ac:dyDescent="0.3">
      <c r="A18" s="26">
        <v>1</v>
      </c>
      <c r="B18" s="43" t="s">
        <v>1720</v>
      </c>
      <c r="C18" s="28"/>
      <c r="D18" s="299" t="s">
        <v>1232</v>
      </c>
      <c r="E18" s="92">
        <v>1</v>
      </c>
      <c r="F18" s="30" t="s">
        <v>30</v>
      </c>
      <c r="G18" s="112">
        <f>[1]DICIEMBRE!$BA$91</f>
        <v>290</v>
      </c>
      <c r="H18" s="31">
        <f>ENERO!BA18</f>
        <v>580</v>
      </c>
      <c r="I18" s="31"/>
      <c r="J18" s="32"/>
      <c r="K18" s="33"/>
      <c r="L18" s="32"/>
      <c r="M18" s="32"/>
      <c r="N18" s="336"/>
      <c r="O18" s="32"/>
      <c r="P18" s="33"/>
      <c r="Q18" s="31"/>
      <c r="R18" s="31"/>
      <c r="S18" s="59">
        <f>(250*0.16+250)*E18</f>
        <v>290</v>
      </c>
      <c r="T18" s="34"/>
      <c r="U18" s="34"/>
      <c r="V18" s="35"/>
      <c r="W18" s="35"/>
      <c r="X18" s="35"/>
      <c r="Y18" s="35"/>
      <c r="Z18" s="36"/>
      <c r="AA18" s="35"/>
      <c r="AB18" s="35"/>
      <c r="AC18" s="54"/>
      <c r="AD18" s="35"/>
      <c r="AE18" s="35"/>
      <c r="AF18" s="35"/>
      <c r="AG18" s="35"/>
      <c r="AH18" s="35"/>
      <c r="AI18" s="35"/>
      <c r="AJ18" s="35"/>
      <c r="AK18" s="35"/>
      <c r="AL18" s="35"/>
      <c r="AM18" s="35"/>
      <c r="AN18" s="35"/>
      <c r="AO18" s="35"/>
      <c r="AP18" s="35"/>
      <c r="AQ18" s="35"/>
      <c r="AR18" s="35"/>
      <c r="AS18" s="35"/>
      <c r="AT18" s="35"/>
      <c r="AU18" s="35"/>
      <c r="AV18" s="35"/>
      <c r="AW18" s="35"/>
      <c r="AX18" s="33">
        <f>SUM(H18+S18+T18-U18-V18-W18-X18-Y18-Z18-AA18-AB18-AC18-AD18-AE18-AF18-AG18-AH18-AI18-AJ18-AK18-AL18-AM18-AN18-AO18-AP18-AQ18-AR18-AS18-AT18-AU18-AV18-AW18)</f>
        <v>870</v>
      </c>
      <c r="AY18" s="43"/>
    </row>
    <row r="19" spans="1:52" ht="80.25" customHeight="1" x14ac:dyDescent="0.35">
      <c r="A19" s="26">
        <v>2</v>
      </c>
      <c r="B19" s="27" t="s">
        <v>1721</v>
      </c>
      <c r="C19" s="28" t="s">
        <v>133</v>
      </c>
      <c r="D19" s="304" t="s">
        <v>1498</v>
      </c>
      <c r="E19" s="94">
        <v>18</v>
      </c>
      <c r="F19" s="60" t="s">
        <v>33</v>
      </c>
      <c r="G19" s="112">
        <f>[1]DICIEMBRE!$BA$21</f>
        <v>-0.39520000000266009</v>
      </c>
      <c r="H19" s="45">
        <f>ENERO!BA19</f>
        <v>-0.39520000000266009</v>
      </c>
      <c r="I19" s="45"/>
      <c r="J19" s="32"/>
      <c r="K19" s="33"/>
      <c r="L19" s="336"/>
      <c r="M19" s="32"/>
      <c r="N19" s="32"/>
      <c r="O19" s="33"/>
      <c r="P19" s="31"/>
      <c r="Q19" s="31"/>
      <c r="R19" s="31"/>
      <c r="S19" s="47">
        <f>(300*0.16+300)*E19</f>
        <v>6264</v>
      </c>
      <c r="T19" s="47"/>
      <c r="U19" s="48"/>
      <c r="V19" s="49"/>
      <c r="W19" s="49"/>
      <c r="X19" s="49"/>
      <c r="Y19" s="49"/>
      <c r="Z19" s="49"/>
      <c r="AA19" s="49"/>
      <c r="AB19" s="49">
        <v>6263.6</v>
      </c>
      <c r="AC19" s="49"/>
      <c r="AD19" s="50"/>
      <c r="AE19" s="49"/>
      <c r="AF19" s="49"/>
      <c r="AG19" s="51"/>
      <c r="AH19" s="49"/>
      <c r="AI19" s="49"/>
      <c r="AJ19" s="49"/>
      <c r="AK19" s="49"/>
      <c r="AL19" s="49"/>
      <c r="AM19" s="49"/>
      <c r="AN19" s="49"/>
      <c r="AO19" s="49"/>
      <c r="AP19" s="49"/>
      <c r="AQ19" s="49"/>
      <c r="AR19" s="49"/>
      <c r="AS19" s="49"/>
      <c r="AT19" s="49"/>
      <c r="AU19" s="49"/>
      <c r="AV19" s="49"/>
      <c r="AW19" s="49"/>
      <c r="AX19" s="33">
        <f>SUM(H19+S19+T19-U19-V19-W19-X19-Y19-Z19-AA19-AB19-AC19-AD19-AE19-AF19-AG19-AH19-AI19-AJ19-AK19-AL19-AM19-AN19-AO19-AP19-AQ19-AR19-AS19-AT19-AU19-AV19-AW19)</f>
        <v>4.799999996976112E-3</v>
      </c>
      <c r="AY19" s="268"/>
    </row>
    <row r="20" spans="1:52" s="23" customFormat="1" ht="64.5" customHeight="1" x14ac:dyDescent="0.3">
      <c r="A20" s="26">
        <v>3</v>
      </c>
      <c r="B20" s="43" t="s">
        <v>1722</v>
      </c>
      <c r="C20" s="53" t="s">
        <v>52</v>
      </c>
      <c r="D20" s="298" t="s">
        <v>1223</v>
      </c>
      <c r="E20" s="92">
        <v>5</v>
      </c>
      <c r="F20" s="56" t="s">
        <v>30</v>
      </c>
      <c r="G20" s="112">
        <f>[1]DICIEMBRE!$BA$75</f>
        <v>3190.0027999999993</v>
      </c>
      <c r="H20" s="31">
        <f>ENERO!BA20</f>
        <v>2.7999999992971425E-3</v>
      </c>
      <c r="I20" s="31"/>
      <c r="J20" s="32"/>
      <c r="K20" s="33"/>
      <c r="L20" s="336"/>
      <c r="M20" s="32"/>
      <c r="N20" s="336"/>
      <c r="O20" s="32"/>
      <c r="P20" s="33"/>
      <c r="Q20" s="31"/>
      <c r="R20" s="31"/>
      <c r="S20" s="34">
        <f>(280*0.16+280)*E20</f>
        <v>1624</v>
      </c>
      <c r="T20" s="34"/>
      <c r="U20" s="34"/>
      <c r="V20" s="35"/>
      <c r="W20" s="35"/>
      <c r="X20" s="35"/>
      <c r="Y20" s="54"/>
      <c r="Z20" s="35">
        <v>1624</v>
      </c>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3">
        <f>SUM(H20+S20+T20-U20-V20-W20-X20-Y20-Z20-AA20-AB20-AC20-AD20-AE20-AF20-AG20-AH20-AI20-AJ20-AK20-AL20-AM20-AN20-AO20-AP20-AQ20-AR20-AS20-AT20-AU20-AV20-AW20)</f>
        <v>2.7999999992971425E-3</v>
      </c>
      <c r="AY20" s="269"/>
    </row>
    <row r="21" spans="1:52" s="23" customFormat="1" ht="47.25" customHeight="1" x14ac:dyDescent="0.3">
      <c r="A21" s="26">
        <v>4</v>
      </c>
      <c r="B21" s="43" t="s">
        <v>375</v>
      </c>
      <c r="C21" s="28" t="s">
        <v>380</v>
      </c>
      <c r="D21" s="298" t="s">
        <v>1199</v>
      </c>
      <c r="E21" s="92">
        <v>3</v>
      </c>
      <c r="F21" s="30" t="s">
        <v>30</v>
      </c>
      <c r="G21" s="112">
        <f>[1]DICIEMBRE!$BA$23</f>
        <v>-3.1999999935123924E-3</v>
      </c>
      <c r="H21" s="31">
        <f>ENERO!BA21</f>
        <v>-3.1999999935123924E-3</v>
      </c>
      <c r="I21" s="31"/>
      <c r="J21" s="32"/>
      <c r="K21" s="32"/>
      <c r="L21" s="32"/>
      <c r="M21" s="32"/>
      <c r="N21" s="32"/>
      <c r="O21" s="32"/>
      <c r="P21" s="31"/>
      <c r="Q21" s="31"/>
      <c r="R21" s="31"/>
      <c r="S21" s="38">
        <f>(299*0.16+299)*E21</f>
        <v>1040.52</v>
      </c>
      <c r="T21" s="39"/>
      <c r="U21" s="39"/>
      <c r="V21" s="37"/>
      <c r="W21" s="37"/>
      <c r="X21" s="37"/>
      <c r="Y21" s="37"/>
      <c r="Z21" s="37"/>
      <c r="AA21" s="37"/>
      <c r="AB21" s="37"/>
      <c r="AC21" s="37"/>
      <c r="AD21" s="37"/>
      <c r="AE21" s="37"/>
      <c r="AF21" s="37"/>
      <c r="AG21" s="37"/>
      <c r="AH21" s="37"/>
      <c r="AI21" s="37"/>
      <c r="AJ21" s="37"/>
      <c r="AK21" s="35"/>
      <c r="AL21" s="37"/>
      <c r="AM21" s="37">
        <v>1040.52</v>
      </c>
      <c r="AN21" s="37"/>
      <c r="AO21" s="37"/>
      <c r="AP21" s="37"/>
      <c r="AQ21" s="37"/>
      <c r="AR21" s="37"/>
      <c r="AS21" s="37"/>
      <c r="AT21" s="37"/>
      <c r="AU21" s="37"/>
      <c r="AV21" s="37"/>
      <c r="AW21" s="37"/>
      <c r="AX21" s="33">
        <f t="shared" ref="AX21:AX84" si="0">SUM(H21+S21+T21-U21-V21-W21-X21-Y21-Z21-AA21-AB21-AC21-AD21-AE21-AF21-AG21-AH21-AI21-AJ21-AK21-AL21-AM21-AN21-AO21-AP21-AQ21-AR21-AS21-AT21-AU21-AV21-AW21)</f>
        <v>-3.1999999935123924E-3</v>
      </c>
      <c r="AY21" s="43"/>
    </row>
    <row r="22" spans="1:52" s="23" customFormat="1" ht="57.75" customHeight="1" x14ac:dyDescent="0.3">
      <c r="A22" s="26">
        <v>5</v>
      </c>
      <c r="B22" s="43" t="s">
        <v>750</v>
      </c>
      <c r="C22" s="28"/>
      <c r="D22" s="298" t="s">
        <v>1273</v>
      </c>
      <c r="E22" s="92">
        <v>10</v>
      </c>
      <c r="F22" s="30" t="s">
        <v>30</v>
      </c>
      <c r="G22" s="234">
        <f>[1]DICIEMBRE!$BA$24</f>
        <v>-0.39520000000266009</v>
      </c>
      <c r="H22" s="45">
        <f>ENERO!BA22</f>
        <v>-0.39520000000266009</v>
      </c>
      <c r="I22" s="31"/>
      <c r="J22" s="32"/>
      <c r="K22" s="32"/>
      <c r="L22" s="32"/>
      <c r="M22" s="32"/>
      <c r="N22" s="32"/>
      <c r="O22" s="33"/>
      <c r="P22" s="33"/>
      <c r="Q22" s="31"/>
      <c r="R22" s="31"/>
      <c r="S22" s="38">
        <f>(270*0.16+270)*E22</f>
        <v>3132</v>
      </c>
      <c r="T22" s="39"/>
      <c r="U22" s="39"/>
      <c r="V22" s="37"/>
      <c r="W22" s="37"/>
      <c r="X22" s="37"/>
      <c r="Y22" s="37"/>
      <c r="Z22" s="37"/>
      <c r="AA22" s="37"/>
      <c r="AB22" s="37">
        <v>3131.6</v>
      </c>
      <c r="AC22" s="37"/>
      <c r="AD22" s="37"/>
      <c r="AE22" s="37"/>
      <c r="AF22" s="37"/>
      <c r="AG22" s="37"/>
      <c r="AH22" s="37"/>
      <c r="AI22" s="37"/>
      <c r="AJ22" s="37"/>
      <c r="AK22" s="35"/>
      <c r="AL22" s="37"/>
      <c r="AM22" s="37"/>
      <c r="AN22" s="37"/>
      <c r="AO22" s="37"/>
      <c r="AP22" s="37"/>
      <c r="AQ22" s="37"/>
      <c r="AR22" s="37"/>
      <c r="AS22" s="37"/>
      <c r="AT22" s="37"/>
      <c r="AU22" s="37"/>
      <c r="AV22" s="37"/>
      <c r="AW22" s="37"/>
      <c r="AX22" s="33">
        <f t="shared" si="0"/>
        <v>4.7999999974308594E-3</v>
      </c>
      <c r="AY22" s="43"/>
    </row>
    <row r="23" spans="1:52" s="23" customFormat="1" ht="55.5" customHeight="1" x14ac:dyDescent="0.3">
      <c r="A23" s="26">
        <v>6</v>
      </c>
      <c r="B23" s="43" t="s">
        <v>1723</v>
      </c>
      <c r="C23" s="53" t="s">
        <v>39</v>
      </c>
      <c r="D23" s="298" t="s">
        <v>1209</v>
      </c>
      <c r="E23" s="92">
        <v>2</v>
      </c>
      <c r="F23" s="30" t="s">
        <v>30</v>
      </c>
      <c r="G23" s="234">
        <f>[1]DICIEMBRE!$BA$48</f>
        <v>696</v>
      </c>
      <c r="H23" s="31">
        <f>ENERO!BA23</f>
        <v>696</v>
      </c>
      <c r="I23" s="31"/>
      <c r="J23" s="32"/>
      <c r="K23" s="32"/>
      <c r="L23" s="32"/>
      <c r="M23" s="32"/>
      <c r="N23" s="32"/>
      <c r="O23" s="33"/>
      <c r="P23" s="31"/>
      <c r="Q23" s="31"/>
      <c r="R23" s="31"/>
      <c r="S23" s="34">
        <f>(300*0.16+300)*1</f>
        <v>348</v>
      </c>
      <c r="T23" s="34"/>
      <c r="U23" s="34"/>
      <c r="V23" s="34"/>
      <c r="W23" s="34"/>
      <c r="X23" s="34"/>
      <c r="Y23" s="34"/>
      <c r="Z23" s="52"/>
      <c r="AA23" s="34"/>
      <c r="AB23" s="34"/>
      <c r="AC23" s="34"/>
      <c r="AD23" s="34"/>
      <c r="AE23" s="34"/>
      <c r="AF23" s="34"/>
      <c r="AG23" s="34"/>
      <c r="AH23" s="34"/>
      <c r="AI23" s="34"/>
      <c r="AJ23" s="34"/>
      <c r="AK23" s="38"/>
      <c r="AL23" s="34"/>
      <c r="AM23" s="34"/>
      <c r="AN23" s="34"/>
      <c r="AO23" s="34"/>
      <c r="AP23" s="34"/>
      <c r="AQ23" s="34"/>
      <c r="AR23" s="34"/>
      <c r="AS23" s="34"/>
      <c r="AT23" s="34"/>
      <c r="AU23" s="34">
        <v>1044</v>
      </c>
      <c r="AV23" s="34"/>
      <c r="AW23" s="34"/>
      <c r="AX23" s="33">
        <f t="shared" si="0"/>
        <v>0</v>
      </c>
      <c r="AY23" s="43" t="s">
        <v>1589</v>
      </c>
    </row>
    <row r="24" spans="1:52" s="23" customFormat="1" ht="72" customHeight="1" x14ac:dyDescent="0.3">
      <c r="A24" s="26">
        <v>7</v>
      </c>
      <c r="B24" s="43" t="s">
        <v>779</v>
      </c>
      <c r="C24" s="28"/>
      <c r="D24" s="298" t="s">
        <v>1200</v>
      </c>
      <c r="E24" s="92">
        <v>1</v>
      </c>
      <c r="F24" s="30" t="s">
        <v>30</v>
      </c>
      <c r="G24" s="112">
        <f>[1]DICIEMBRE!$BA$25</f>
        <v>0</v>
      </c>
      <c r="H24" s="31">
        <f>ENERO!BA24</f>
        <v>0</v>
      </c>
      <c r="I24" s="31"/>
      <c r="J24" s="32"/>
      <c r="K24" s="33"/>
      <c r="L24" s="336"/>
      <c r="M24" s="336"/>
      <c r="N24" s="336"/>
      <c r="O24" s="32"/>
      <c r="P24" s="31"/>
      <c r="Q24" s="31"/>
      <c r="R24" s="31"/>
      <c r="S24" s="38">
        <f>250*0.16+250</f>
        <v>290</v>
      </c>
      <c r="T24" s="39"/>
      <c r="U24" s="39"/>
      <c r="V24" s="37"/>
      <c r="W24" s="37"/>
      <c r="X24" s="37"/>
      <c r="Y24" s="37">
        <v>290</v>
      </c>
      <c r="Z24" s="37"/>
      <c r="AA24" s="37"/>
      <c r="AB24" s="37"/>
      <c r="AC24" s="37"/>
      <c r="AD24" s="37"/>
      <c r="AE24" s="37"/>
      <c r="AF24" s="37"/>
      <c r="AG24" s="37"/>
      <c r="AH24" s="37"/>
      <c r="AI24" s="37"/>
      <c r="AJ24" s="37"/>
      <c r="AK24" s="35"/>
      <c r="AL24" s="37"/>
      <c r="AM24" s="37"/>
      <c r="AN24" s="37"/>
      <c r="AO24" s="37"/>
      <c r="AP24" s="37"/>
      <c r="AQ24" s="37"/>
      <c r="AR24" s="37"/>
      <c r="AS24" s="37"/>
      <c r="AT24" s="37"/>
      <c r="AU24" s="37"/>
      <c r="AV24" s="37"/>
      <c r="AW24" s="37"/>
      <c r="AX24" s="33">
        <f>SUM(H24+S24+T24-U24-V24-W24-X24-Y24-Z24-AA24-AB24-AC24-AD24-AE24-AF24-AG24-AH24-AI24-AJ24-AK24-AL24-AM24-AN24-AO24-AP24-AQ24-AR24-AS24-AT24-AU24-AV24-AW24)</f>
        <v>0</v>
      </c>
      <c r="AY24" s="43"/>
    </row>
    <row r="25" spans="1:52" s="23" customFormat="1" ht="51" customHeight="1" x14ac:dyDescent="0.3">
      <c r="A25" s="26">
        <v>8</v>
      </c>
      <c r="B25" s="43" t="s">
        <v>1724</v>
      </c>
      <c r="C25" s="28"/>
      <c r="D25" s="298" t="s">
        <v>1217</v>
      </c>
      <c r="E25" s="92">
        <v>5</v>
      </c>
      <c r="F25" s="30" t="s">
        <v>30</v>
      </c>
      <c r="G25" s="234">
        <f>[1]DICIEMBRE!$BA$64</f>
        <v>6.799999999202555E-3</v>
      </c>
      <c r="H25" s="45">
        <f>ENERO!BA25</f>
        <v>6.799999999202555E-3</v>
      </c>
      <c r="I25" s="31"/>
      <c r="J25" s="32"/>
      <c r="K25" s="32"/>
      <c r="L25" s="32"/>
      <c r="M25" s="32"/>
      <c r="N25" s="32"/>
      <c r="O25" s="33"/>
      <c r="P25" s="31"/>
      <c r="Q25" s="31"/>
      <c r="R25" s="31"/>
      <c r="S25" s="34">
        <f>(250*0.16+250)*E25</f>
        <v>1450</v>
      </c>
      <c r="T25" s="34"/>
      <c r="U25" s="34"/>
      <c r="V25" s="35"/>
      <c r="W25" s="35"/>
      <c r="X25" s="35"/>
      <c r="Y25" s="35"/>
      <c r="Z25" s="35"/>
      <c r="AA25" s="35"/>
      <c r="AB25" s="35">
        <v>1450.01</v>
      </c>
      <c r="AC25" s="35"/>
      <c r="AD25" s="35"/>
      <c r="AE25" s="35"/>
      <c r="AF25" s="35"/>
      <c r="AG25" s="35"/>
      <c r="AH25" s="35"/>
      <c r="AI25" s="35"/>
      <c r="AJ25" s="35"/>
      <c r="AK25" s="35"/>
      <c r="AL25" s="35"/>
      <c r="AM25" s="35"/>
      <c r="AN25" s="35"/>
      <c r="AO25" s="35"/>
      <c r="AP25" s="35"/>
      <c r="AQ25" s="35"/>
      <c r="AR25" s="35"/>
      <c r="AS25" s="35"/>
      <c r="AT25" s="35"/>
      <c r="AU25" s="35"/>
      <c r="AV25" s="35"/>
      <c r="AW25" s="35"/>
      <c r="AX25" s="33">
        <f t="shared" si="0"/>
        <v>-3.20000000078835E-3</v>
      </c>
      <c r="AY25" s="43"/>
    </row>
    <row r="26" spans="1:52" ht="60.75" customHeight="1" x14ac:dyDescent="0.35">
      <c r="A26" s="26">
        <v>9</v>
      </c>
      <c r="B26" s="43" t="s">
        <v>1582</v>
      </c>
      <c r="C26" s="27"/>
      <c r="D26" s="300" t="s">
        <v>1577</v>
      </c>
      <c r="E26" s="94">
        <v>1</v>
      </c>
      <c r="F26" s="44" t="s">
        <v>30</v>
      </c>
      <c r="G26" s="234">
        <f>[1]DICIEMBRE!$BA$134</f>
        <v>0</v>
      </c>
      <c r="H26" s="31">
        <f>ENERO!BA139</f>
        <v>48</v>
      </c>
      <c r="I26" s="45"/>
      <c r="J26" s="32"/>
      <c r="K26" s="32"/>
      <c r="L26" s="32"/>
      <c r="M26" s="336"/>
      <c r="N26" s="336"/>
      <c r="O26" s="32"/>
      <c r="P26" s="33"/>
      <c r="Q26" s="31"/>
      <c r="R26" s="31"/>
      <c r="S26" s="47">
        <f>(300*0.16+300)*E26</f>
        <v>348</v>
      </c>
      <c r="T26" s="47"/>
      <c r="U26" s="48"/>
      <c r="V26" s="49"/>
      <c r="W26" s="49"/>
      <c r="X26" s="49"/>
      <c r="Y26" s="49"/>
      <c r="Z26" s="49">
        <v>396</v>
      </c>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33">
        <f t="shared" si="0"/>
        <v>0</v>
      </c>
      <c r="AY26" s="43" t="s">
        <v>2195</v>
      </c>
    </row>
    <row r="27" spans="1:52" s="23" customFormat="1" ht="74.25" customHeight="1" x14ac:dyDescent="0.3">
      <c r="A27" s="26">
        <v>10</v>
      </c>
      <c r="B27" s="43" t="s">
        <v>783</v>
      </c>
      <c r="C27" s="28"/>
      <c r="D27" s="298" t="s">
        <v>1674</v>
      </c>
      <c r="E27" s="92">
        <v>5</v>
      </c>
      <c r="F27" s="30" t="s">
        <v>30</v>
      </c>
      <c r="G27" s="112">
        <f>[1]DICIEMBRE!$BA$27</f>
        <v>3.9999999989959178E-3</v>
      </c>
      <c r="H27" s="31">
        <f>ENERO!BA26</f>
        <v>3.9999999987685442E-3</v>
      </c>
      <c r="I27" s="31"/>
      <c r="J27" s="32"/>
      <c r="K27" s="32"/>
      <c r="L27" s="32"/>
      <c r="M27" s="32"/>
      <c r="N27" s="32"/>
      <c r="O27" s="33"/>
      <c r="P27" s="31"/>
      <c r="Q27" s="31"/>
      <c r="R27" s="31"/>
      <c r="S27" s="38">
        <f>(279*0.16+279)*E27</f>
        <v>1618.1999999999998</v>
      </c>
      <c r="T27" s="39"/>
      <c r="U27" s="39"/>
      <c r="V27" s="37"/>
      <c r="W27" s="37"/>
      <c r="X27" s="37"/>
      <c r="Y27" s="37"/>
      <c r="Z27" s="37">
        <v>1618.2</v>
      </c>
      <c r="AA27" s="37"/>
      <c r="AB27" s="37"/>
      <c r="AC27" s="37"/>
      <c r="AD27" s="37"/>
      <c r="AE27" s="37"/>
      <c r="AF27" s="37"/>
      <c r="AG27" s="37"/>
      <c r="AH27" s="37"/>
      <c r="AI27" s="37"/>
      <c r="AJ27" s="37"/>
      <c r="AK27" s="35"/>
      <c r="AL27" s="37"/>
      <c r="AM27" s="37"/>
      <c r="AN27" s="37"/>
      <c r="AO27" s="37"/>
      <c r="AP27" s="37"/>
      <c r="AQ27" s="37"/>
      <c r="AR27" s="37"/>
      <c r="AS27" s="37"/>
      <c r="AT27" s="37"/>
      <c r="AU27" s="37"/>
      <c r="AV27" s="37"/>
      <c r="AW27" s="37"/>
      <c r="AX27" s="33">
        <f t="shared" si="0"/>
        <v>3.9999999985411705E-3</v>
      </c>
      <c r="AY27" s="43"/>
    </row>
    <row r="28" spans="1:52" s="23" customFormat="1" ht="126.75" customHeight="1" x14ac:dyDescent="0.3">
      <c r="A28" s="26">
        <v>11</v>
      </c>
      <c r="B28" s="27" t="s">
        <v>31</v>
      </c>
      <c r="C28" s="28" t="s">
        <v>287</v>
      </c>
      <c r="D28" s="298" t="s">
        <v>1201</v>
      </c>
      <c r="E28" s="93">
        <v>5</v>
      </c>
      <c r="F28" s="40" t="s">
        <v>30</v>
      </c>
      <c r="G28" s="234">
        <f>[1]DICIEMBRE!$BA$28</f>
        <v>2.8000000004340109E-3</v>
      </c>
      <c r="H28" s="31">
        <f>ENERO!BA27</f>
        <v>2.8000000002066372E-3</v>
      </c>
      <c r="I28" s="31"/>
      <c r="J28" s="32"/>
      <c r="K28" s="33"/>
      <c r="L28" s="336"/>
      <c r="M28" s="336"/>
      <c r="N28" s="336"/>
      <c r="O28" s="32"/>
      <c r="P28" s="33"/>
      <c r="Q28" s="31"/>
      <c r="R28" s="31"/>
      <c r="S28" s="34">
        <f>(280*0.16+280)*E28</f>
        <v>1624</v>
      </c>
      <c r="T28" s="34"/>
      <c r="U28" s="34"/>
      <c r="V28" s="35"/>
      <c r="W28" s="35"/>
      <c r="X28" s="35"/>
      <c r="Y28" s="35"/>
      <c r="Z28" s="35">
        <v>1624</v>
      </c>
      <c r="AA28" s="36"/>
      <c r="AB28" s="35"/>
      <c r="AC28" s="35"/>
      <c r="AD28" s="35"/>
      <c r="AE28" s="35"/>
      <c r="AF28" s="35"/>
      <c r="AG28" s="35"/>
      <c r="AH28" s="35"/>
      <c r="AI28" s="35"/>
      <c r="AJ28" s="35"/>
      <c r="AK28" s="37"/>
      <c r="AL28" s="35"/>
      <c r="AM28" s="35"/>
      <c r="AN28" s="35"/>
      <c r="AO28" s="35"/>
      <c r="AP28" s="35"/>
      <c r="AQ28" s="35"/>
      <c r="AR28" s="35"/>
      <c r="AS28" s="35"/>
      <c r="AT28" s="35"/>
      <c r="AU28" s="35"/>
      <c r="AV28" s="35"/>
      <c r="AW28" s="35"/>
      <c r="AX28" s="33">
        <f t="shared" si="0"/>
        <v>2.8000000002066372E-3</v>
      </c>
      <c r="AY28" s="267"/>
    </row>
    <row r="29" spans="1:52" s="23" customFormat="1" ht="90" customHeight="1" x14ac:dyDescent="0.3">
      <c r="A29" s="26">
        <v>12</v>
      </c>
      <c r="B29" s="43" t="s">
        <v>1725</v>
      </c>
      <c r="C29" s="28" t="s">
        <v>484</v>
      </c>
      <c r="D29" s="298" t="s">
        <v>1198</v>
      </c>
      <c r="E29" s="92">
        <v>4</v>
      </c>
      <c r="F29" s="30" t="s">
        <v>30</v>
      </c>
      <c r="G29" s="234">
        <f>[1]DICIEMBRE!$BA$20</f>
        <v>0</v>
      </c>
      <c r="H29" s="45">
        <f>ENERO!BA28</f>
        <v>0</v>
      </c>
      <c r="I29" s="31"/>
      <c r="J29" s="32"/>
      <c r="K29" s="32"/>
      <c r="L29" s="32"/>
      <c r="M29" s="32"/>
      <c r="N29" s="32"/>
      <c r="O29" s="32"/>
      <c r="P29" s="33"/>
      <c r="Q29" s="31"/>
      <c r="R29" s="31"/>
      <c r="S29" s="34">
        <f>(300*0.16+300)*E29</f>
        <v>1392</v>
      </c>
      <c r="T29" s="34"/>
      <c r="U29" s="34"/>
      <c r="V29" s="35"/>
      <c r="W29" s="35"/>
      <c r="X29" s="35"/>
      <c r="Y29" s="35"/>
      <c r="Z29" s="36"/>
      <c r="AA29" s="35"/>
      <c r="AB29" s="35">
        <v>1392</v>
      </c>
      <c r="AC29" s="35"/>
      <c r="AD29" s="35"/>
      <c r="AE29" s="35"/>
      <c r="AF29" s="35"/>
      <c r="AG29" s="35"/>
      <c r="AH29" s="35"/>
      <c r="AI29" s="35"/>
      <c r="AJ29" s="35"/>
      <c r="AK29" s="37"/>
      <c r="AL29" s="35"/>
      <c r="AM29" s="35"/>
      <c r="AN29" s="35"/>
      <c r="AO29" s="35"/>
      <c r="AP29" s="35"/>
      <c r="AQ29" s="35"/>
      <c r="AR29" s="35"/>
      <c r="AS29" s="35"/>
      <c r="AT29" s="35"/>
      <c r="AU29" s="35"/>
      <c r="AV29" s="35"/>
      <c r="AW29" s="35"/>
      <c r="AX29" s="33">
        <f t="shared" si="0"/>
        <v>0</v>
      </c>
      <c r="AY29" s="43"/>
    </row>
    <row r="30" spans="1:52" s="23" customFormat="1" ht="92.25" customHeight="1" x14ac:dyDescent="0.3">
      <c r="A30" s="26">
        <v>13</v>
      </c>
      <c r="B30" s="43" t="s">
        <v>1352</v>
      </c>
      <c r="C30" s="28"/>
      <c r="D30" s="300" t="s">
        <v>1499</v>
      </c>
      <c r="E30" s="93">
        <v>5</v>
      </c>
      <c r="F30" s="30" t="s">
        <v>30</v>
      </c>
      <c r="G30" s="112">
        <f>[1]DICIEMBRE!$BA$31</f>
        <v>-3480</v>
      </c>
      <c r="H30" s="31">
        <f>ENERO!BA29</f>
        <v>-1740</v>
      </c>
      <c r="I30" s="31"/>
      <c r="J30" s="32"/>
      <c r="K30" s="32"/>
      <c r="L30" s="32"/>
      <c r="M30" s="32"/>
      <c r="N30" s="32"/>
      <c r="O30" s="33"/>
      <c r="P30" s="31"/>
      <c r="Q30" s="31"/>
      <c r="R30" s="31"/>
      <c r="S30" s="34">
        <f>(300*0.16+300)*E30</f>
        <v>1740</v>
      </c>
      <c r="T30" s="34"/>
      <c r="U30" s="34"/>
      <c r="V30" s="34"/>
      <c r="W30" s="34"/>
      <c r="X30" s="34"/>
      <c r="Y30" s="34"/>
      <c r="Z30" s="34"/>
      <c r="AA30" s="34"/>
      <c r="AB30" s="34"/>
      <c r="AC30" s="34"/>
      <c r="AD30" s="34"/>
      <c r="AE30" s="34"/>
      <c r="AF30" s="34"/>
      <c r="AG30" s="34"/>
      <c r="AH30" s="34"/>
      <c r="AI30" s="34"/>
      <c r="AJ30" s="34"/>
      <c r="AK30" s="38"/>
      <c r="AL30" s="34"/>
      <c r="AM30" s="34"/>
      <c r="AN30" s="34"/>
      <c r="AO30" s="34"/>
      <c r="AP30" s="34"/>
      <c r="AQ30" s="34"/>
      <c r="AR30" s="34"/>
      <c r="AS30" s="34"/>
      <c r="AT30" s="34"/>
      <c r="AU30" s="34"/>
      <c r="AV30" s="34"/>
      <c r="AW30" s="34"/>
      <c r="AX30" s="33">
        <f>SUM(H30+S30+T30-U30-V30-W30-X30-Y30-Z30-AA30-AB30-AC30-AD30-AE30-AF30-AG30-AH30-AI30-AJ30-AK30-AL30-AM30-AN30-AO30-AP30-AQ30-AR30-AS30-AT30-AU30-AV30-AW30)</f>
        <v>0</v>
      </c>
      <c r="AY30" s="43" t="s">
        <v>1673</v>
      </c>
    </row>
    <row r="31" spans="1:52" s="23" customFormat="1" ht="74.25" customHeight="1" x14ac:dyDescent="0.3">
      <c r="A31" s="26">
        <v>14</v>
      </c>
      <c r="B31" s="43" t="s">
        <v>1726</v>
      </c>
      <c r="C31" s="334"/>
      <c r="D31" s="298" t="s">
        <v>2210</v>
      </c>
      <c r="E31" s="93">
        <v>5</v>
      </c>
      <c r="F31" s="30" t="s">
        <v>30</v>
      </c>
      <c r="G31" s="234">
        <f>[1]DICIEMBRE!$BA$18</f>
        <v>-128</v>
      </c>
      <c r="H31" s="31">
        <f>ENERO!BA30</f>
        <v>-128</v>
      </c>
      <c r="I31" s="336"/>
      <c r="J31" s="336"/>
      <c r="K31" s="33"/>
      <c r="L31" s="336"/>
      <c r="M31" s="336"/>
      <c r="N31" s="336"/>
      <c r="O31" s="33"/>
      <c r="P31" s="33"/>
      <c r="Q31" s="31"/>
      <c r="R31" s="31"/>
      <c r="S31" s="34">
        <f>(350*0.16+350)*E31</f>
        <v>2030</v>
      </c>
      <c r="T31" s="335"/>
      <c r="U31" s="335"/>
      <c r="V31" s="25"/>
      <c r="X31" s="25"/>
      <c r="Y31" s="25"/>
      <c r="Z31" s="25"/>
      <c r="AA31" s="25"/>
      <c r="AB31" s="25"/>
      <c r="AC31" s="54"/>
      <c r="AD31" s="25"/>
      <c r="AE31" s="25"/>
      <c r="AF31" s="25"/>
      <c r="AG31" s="25"/>
      <c r="AH31" s="25"/>
      <c r="AI31" s="25"/>
      <c r="AJ31" s="25"/>
      <c r="AK31" s="25"/>
      <c r="AL31" s="25"/>
      <c r="AM31" s="25"/>
      <c r="AN31" s="25"/>
      <c r="AO31" s="25">
        <v>2030</v>
      </c>
      <c r="AP31" s="25"/>
      <c r="AQ31" s="25"/>
      <c r="AR31" s="25"/>
      <c r="AS31" s="25"/>
      <c r="AT31" s="25"/>
      <c r="AU31" s="25"/>
      <c r="AV31" s="25"/>
      <c r="AW31" s="25"/>
      <c r="AX31" s="33">
        <f t="shared" si="0"/>
        <v>-128</v>
      </c>
      <c r="AY31" s="266"/>
      <c r="AZ31" s="333"/>
    </row>
    <row r="32" spans="1:52" s="23" customFormat="1" ht="52.5" customHeight="1" x14ac:dyDescent="0.3">
      <c r="A32" s="26">
        <v>15</v>
      </c>
      <c r="B32" s="43" t="s">
        <v>1727</v>
      </c>
      <c r="C32" s="53"/>
      <c r="D32" s="298" t="s">
        <v>1225</v>
      </c>
      <c r="E32" s="92">
        <v>5</v>
      </c>
      <c r="F32" s="56" t="s">
        <v>30</v>
      </c>
      <c r="G32" s="112">
        <f>[1]DICIEMBRE!$BA$77</f>
        <v>1.1999999996987754E-3</v>
      </c>
      <c r="H32" s="45">
        <f>ENERO!BA31</f>
        <v>1.1999999996987754E-3</v>
      </c>
      <c r="I32" s="31"/>
      <c r="J32" s="32"/>
      <c r="K32" s="32"/>
      <c r="L32" s="32"/>
      <c r="M32" s="32"/>
      <c r="N32" s="32"/>
      <c r="O32" s="33"/>
      <c r="P32" s="33"/>
      <c r="Q32" s="31"/>
      <c r="R32" s="31"/>
      <c r="S32" s="34">
        <f>(250*0.16+250)*4+(300*0.16+300)*1</f>
        <v>1508</v>
      </c>
      <c r="T32" s="34"/>
      <c r="U32" s="34"/>
      <c r="V32" s="35"/>
      <c r="W32" s="35"/>
      <c r="X32" s="35"/>
      <c r="Y32" s="54">
        <v>1508</v>
      </c>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3">
        <f>SUM(H32+S32+T32-U32-V32-W32-X32-Y32-Z32-AA32-AB32-AC32-AD32-AE32-AF32-AG32-AH32-AI32-AJ32-AK32-AL32-AM32-AN32-AO32-AP32-AQ32-AR32-AS32-AT32-AU32-AV32-AW32)</f>
        <v>1.1999999996987754E-3</v>
      </c>
      <c r="AY32" s="269"/>
    </row>
    <row r="33" spans="1:51" s="23" customFormat="1" ht="92.25" customHeight="1" x14ac:dyDescent="0.3">
      <c r="A33" s="26">
        <v>16</v>
      </c>
      <c r="B33" s="43" t="s">
        <v>1632</v>
      </c>
      <c r="C33" s="28"/>
      <c r="D33" s="303" t="s">
        <v>1641</v>
      </c>
      <c r="E33" s="93">
        <v>6</v>
      </c>
      <c r="F33" s="30" t="s">
        <v>35</v>
      </c>
      <c r="G33" s="234">
        <f>[1]DICIEMBRE!$BA$32</f>
        <v>0</v>
      </c>
      <c r="H33" s="31">
        <f>ENERO!BA32</f>
        <v>-3.9999999999054126E-3</v>
      </c>
      <c r="I33" s="31"/>
      <c r="J33" s="32"/>
      <c r="K33" s="32"/>
      <c r="L33" s="32"/>
      <c r="M33" s="32"/>
      <c r="N33" s="32"/>
      <c r="O33" s="33"/>
      <c r="P33" s="31"/>
      <c r="Q33" s="31"/>
      <c r="R33" s="31"/>
      <c r="S33" s="34">
        <f>(279*0.16+279)*E33</f>
        <v>1941.84</v>
      </c>
      <c r="T33" s="34"/>
      <c r="U33" s="34"/>
      <c r="V33" s="34"/>
      <c r="W33" s="34"/>
      <c r="X33" s="34"/>
      <c r="Y33" s="34"/>
      <c r="Z33" s="34"/>
      <c r="AA33" s="34"/>
      <c r="AB33" s="34">
        <v>1941.84</v>
      </c>
      <c r="AC33" s="34"/>
      <c r="AD33" s="34"/>
      <c r="AE33" s="34"/>
      <c r="AF33" s="34"/>
      <c r="AG33" s="34"/>
      <c r="AH33" s="34"/>
      <c r="AI33" s="34"/>
      <c r="AJ33" s="34"/>
      <c r="AK33" s="38"/>
      <c r="AL33" s="34"/>
      <c r="AM33" s="34"/>
      <c r="AN33" s="34"/>
      <c r="AO33" s="34"/>
      <c r="AP33" s="34"/>
      <c r="AQ33" s="34"/>
      <c r="AR33" s="34"/>
      <c r="AS33" s="34"/>
      <c r="AT33" s="34"/>
      <c r="AU33" s="34"/>
      <c r="AV33" s="34"/>
      <c r="AW33" s="34"/>
      <c r="AX33" s="33">
        <f t="shared" si="0"/>
        <v>-3.9999999999054126E-3</v>
      </c>
      <c r="AY33" s="43"/>
    </row>
    <row r="34" spans="1:51" s="23" customFormat="1" ht="33" customHeight="1" x14ac:dyDescent="0.3">
      <c r="A34" s="26">
        <v>17</v>
      </c>
      <c r="B34" s="43" t="s">
        <v>1728</v>
      </c>
      <c r="C34" s="28"/>
      <c r="D34" s="298" t="s">
        <v>1215</v>
      </c>
      <c r="E34" s="92">
        <v>2</v>
      </c>
      <c r="F34" s="30"/>
      <c r="G34" s="112">
        <f>[1]DICIEMBRE!$BA$61</f>
        <v>2598.4</v>
      </c>
      <c r="H34" s="31">
        <f>ENERO!BA33</f>
        <v>2598.4</v>
      </c>
      <c r="I34" s="31"/>
      <c r="J34" s="32"/>
      <c r="K34" s="33"/>
      <c r="L34" s="336"/>
      <c r="M34" s="32"/>
      <c r="N34" s="336"/>
      <c r="O34" s="32"/>
      <c r="P34" s="31"/>
      <c r="Q34" s="31"/>
      <c r="R34" s="31"/>
      <c r="S34" s="34"/>
      <c r="T34" s="34"/>
      <c r="U34" s="34"/>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3">
        <f t="shared" si="0"/>
        <v>2598.4</v>
      </c>
      <c r="AY34" s="43" t="s">
        <v>456</v>
      </c>
    </row>
    <row r="35" spans="1:51" s="23" customFormat="1" ht="83.25" customHeight="1" x14ac:dyDescent="0.3">
      <c r="A35" s="26">
        <v>18</v>
      </c>
      <c r="B35" s="43" t="s">
        <v>1729</v>
      </c>
      <c r="C35" s="53"/>
      <c r="D35" s="300" t="s">
        <v>1500</v>
      </c>
      <c r="E35" s="320">
        <v>9</v>
      </c>
      <c r="F35" s="41" t="s">
        <v>30</v>
      </c>
      <c r="G35" s="234">
        <f>[1]DICIEMBRE!$BA$34</f>
        <v>0</v>
      </c>
      <c r="H35" s="45">
        <f>ENERO!BA34</f>
        <v>0</v>
      </c>
      <c r="I35" s="31"/>
      <c r="J35" s="32"/>
      <c r="K35" s="32"/>
      <c r="L35" s="32"/>
      <c r="M35" s="32"/>
      <c r="N35" s="32"/>
      <c r="O35" s="32"/>
      <c r="P35" s="31"/>
      <c r="Q35" s="31"/>
      <c r="R35" s="31"/>
      <c r="S35" s="38">
        <v>0</v>
      </c>
      <c r="T35" s="38"/>
      <c r="U35" s="35"/>
      <c r="V35" s="35"/>
      <c r="W35" s="35"/>
      <c r="X35" s="35"/>
      <c r="Y35" s="35"/>
      <c r="Z35" s="35"/>
      <c r="AA35" s="35"/>
      <c r="AB35" s="35"/>
      <c r="AC35" s="35"/>
      <c r="AD35" s="35"/>
      <c r="AE35" s="35"/>
      <c r="AF35" s="35"/>
      <c r="AG35" s="35"/>
      <c r="AH35" s="35"/>
      <c r="AI35" s="35"/>
      <c r="AJ35" s="35"/>
      <c r="AK35" s="42"/>
      <c r="AL35" s="35"/>
      <c r="AM35" s="35"/>
      <c r="AN35" s="35"/>
      <c r="AO35" s="35"/>
      <c r="AP35" s="35"/>
      <c r="AQ35" s="35"/>
      <c r="AR35" s="35"/>
      <c r="AS35" s="35"/>
      <c r="AT35" s="35"/>
      <c r="AU35" s="35"/>
      <c r="AV35" s="35"/>
      <c r="AW35" s="35"/>
      <c r="AX35" s="33">
        <f>SUM(H35+S35+T35-U35-V35-W35-X35-Y35-Z35-AA35-AB35-AC35-AD35-AE35-AF35-AG35-AH35-AI35-AJ35-AK35-AL35-AM35-AN35-AO35-AP35-AQ35-AR35-AS35-AT35-AU35-AV35-AW35)</f>
        <v>0</v>
      </c>
      <c r="AY35" s="268" t="s">
        <v>2001</v>
      </c>
    </row>
    <row r="36" spans="1:51" ht="37.5" customHeight="1" x14ac:dyDescent="0.35">
      <c r="A36" s="26">
        <v>19</v>
      </c>
      <c r="B36" s="43" t="s">
        <v>1274</v>
      </c>
      <c r="C36" s="28"/>
      <c r="D36" s="300" t="s">
        <v>1070</v>
      </c>
      <c r="E36" s="94">
        <v>1</v>
      </c>
      <c r="F36" s="44" t="s">
        <v>30</v>
      </c>
      <c r="G36" s="112">
        <f>[1]DICIEMBRE!$BA$35</f>
        <v>0</v>
      </c>
      <c r="H36" s="31">
        <f>ENERO!BA35</f>
        <v>0</v>
      </c>
      <c r="I36" s="45"/>
      <c r="J36" s="32"/>
      <c r="K36" s="32"/>
      <c r="L36" s="32"/>
      <c r="M36" s="32"/>
      <c r="N36" s="32"/>
      <c r="O36" s="33"/>
      <c r="P36" s="33"/>
      <c r="Q36" s="31"/>
      <c r="R36" s="31"/>
      <c r="S36" s="47">
        <f>(250*0.16+250)*E36</f>
        <v>290</v>
      </c>
      <c r="T36" s="47"/>
      <c r="U36" s="48"/>
      <c r="V36" s="49"/>
      <c r="W36" s="49"/>
      <c r="X36" s="49"/>
      <c r="Y36" s="49"/>
      <c r="Z36" s="49"/>
      <c r="AA36" s="49"/>
      <c r="AB36" s="49"/>
      <c r="AC36" s="49">
        <v>290</v>
      </c>
      <c r="AD36" s="49"/>
      <c r="AE36" s="50"/>
      <c r="AF36" s="49"/>
      <c r="AG36" s="49"/>
      <c r="AH36" s="49"/>
      <c r="AI36" s="49"/>
      <c r="AJ36" s="49"/>
      <c r="AK36" s="49"/>
      <c r="AL36" s="49"/>
      <c r="AM36" s="49"/>
      <c r="AN36" s="49"/>
      <c r="AO36" s="49"/>
      <c r="AP36" s="49"/>
      <c r="AQ36" s="49"/>
      <c r="AR36" s="49"/>
      <c r="AS36" s="49"/>
      <c r="AT36" s="49"/>
      <c r="AU36" s="49"/>
      <c r="AV36" s="49"/>
      <c r="AW36" s="49"/>
      <c r="AX36" s="33">
        <f t="shared" si="0"/>
        <v>0</v>
      </c>
      <c r="AY36" s="43"/>
    </row>
    <row r="37" spans="1:51" s="23" customFormat="1" ht="57.75" customHeight="1" x14ac:dyDescent="0.3">
      <c r="A37" s="26">
        <v>20</v>
      </c>
      <c r="B37" s="27" t="s">
        <v>36</v>
      </c>
      <c r="C37" s="28" t="s">
        <v>37</v>
      </c>
      <c r="D37" s="298" t="s">
        <v>1204</v>
      </c>
      <c r="E37" s="92">
        <v>2</v>
      </c>
      <c r="F37" s="30" t="s">
        <v>30</v>
      </c>
      <c r="G37" s="112">
        <f>[1]DICIEMBRE!$BA$37</f>
        <v>0</v>
      </c>
      <c r="H37" s="31">
        <f>ENERO!BA36</f>
        <v>0</v>
      </c>
      <c r="I37" s="31"/>
      <c r="J37" s="32"/>
      <c r="K37" s="33"/>
      <c r="L37" s="336"/>
      <c r="M37" s="336"/>
      <c r="N37" s="32"/>
      <c r="O37" s="32"/>
      <c r="P37" s="33"/>
      <c r="Q37" s="31"/>
      <c r="R37" s="31"/>
      <c r="S37" s="34">
        <f>(250*0.16+250)*1+(166.66*0.16+166.66)</f>
        <v>483.32560000000001</v>
      </c>
      <c r="T37" s="34"/>
      <c r="U37" s="34"/>
      <c r="V37" s="34"/>
      <c r="W37" s="34"/>
      <c r="X37" s="34"/>
      <c r="Y37" s="34"/>
      <c r="Z37" s="52"/>
      <c r="AA37" s="34"/>
      <c r="AB37" s="34"/>
      <c r="AC37" s="34"/>
      <c r="AD37" s="34"/>
      <c r="AE37" s="34"/>
      <c r="AF37" s="34"/>
      <c r="AG37" s="34"/>
      <c r="AH37" s="34">
        <v>483.33</v>
      </c>
      <c r="AI37" s="34"/>
      <c r="AJ37" s="34"/>
      <c r="AK37" s="38"/>
      <c r="AL37" s="34"/>
      <c r="AM37" s="34"/>
      <c r="AN37" s="34"/>
      <c r="AO37" s="34"/>
      <c r="AP37" s="34"/>
      <c r="AQ37" s="34"/>
      <c r="AR37" s="34"/>
      <c r="AS37" s="34"/>
      <c r="AT37" s="34"/>
      <c r="AU37" s="34"/>
      <c r="AV37" s="34"/>
      <c r="AW37" s="34"/>
      <c r="AX37" s="33">
        <f t="shared" si="0"/>
        <v>-4.3999999999755346E-3</v>
      </c>
      <c r="AY37" s="43" t="s">
        <v>2047</v>
      </c>
    </row>
    <row r="38" spans="1:51" s="23" customFormat="1" ht="90" customHeight="1" x14ac:dyDescent="0.3">
      <c r="A38" s="26">
        <v>21</v>
      </c>
      <c r="B38" s="27" t="s">
        <v>291</v>
      </c>
      <c r="C38" s="28" t="s">
        <v>292</v>
      </c>
      <c r="D38" s="298" t="s">
        <v>1205</v>
      </c>
      <c r="E38" s="92">
        <v>7</v>
      </c>
      <c r="F38" s="40" t="s">
        <v>30</v>
      </c>
      <c r="G38" s="234">
        <f>[1]DICIEMBRE!$BA$38</f>
        <v>-753.99240000000054</v>
      </c>
      <c r="H38" s="45">
        <f>ENERO!BA37</f>
        <v>-753.99240000000054</v>
      </c>
      <c r="I38" s="31"/>
      <c r="J38" s="32"/>
      <c r="K38" s="32"/>
      <c r="L38" s="32"/>
      <c r="M38" s="32"/>
      <c r="N38" s="32"/>
      <c r="O38" s="33"/>
      <c r="P38" s="31"/>
      <c r="Q38" s="31"/>
      <c r="R38" s="31"/>
      <c r="S38" s="34">
        <f>(350*0.16+350)*E38</f>
        <v>2842</v>
      </c>
      <c r="T38" s="34"/>
      <c r="U38" s="34"/>
      <c r="V38" s="35"/>
      <c r="W38" s="54"/>
      <c r="X38" s="35"/>
      <c r="Y38" s="35"/>
      <c r="Z38" s="35"/>
      <c r="AA38" s="35">
        <v>2842</v>
      </c>
      <c r="AB38" s="35"/>
      <c r="AC38" s="35"/>
      <c r="AD38" s="35"/>
      <c r="AE38" s="35"/>
      <c r="AF38" s="35"/>
      <c r="AG38" s="35"/>
      <c r="AH38" s="35"/>
      <c r="AI38" s="35"/>
      <c r="AJ38" s="35"/>
      <c r="AK38" s="35"/>
      <c r="AL38" s="35"/>
      <c r="AM38" s="35"/>
      <c r="AN38" s="35"/>
      <c r="AO38" s="35"/>
      <c r="AP38" s="35"/>
      <c r="AQ38" s="35"/>
      <c r="AR38" s="35"/>
      <c r="AS38" s="35"/>
      <c r="AT38" s="35"/>
      <c r="AU38" s="35"/>
      <c r="AV38" s="35"/>
      <c r="AW38" s="35"/>
      <c r="AX38" s="33">
        <f t="shared" si="0"/>
        <v>-753.99240000000054</v>
      </c>
      <c r="AY38" s="267"/>
    </row>
    <row r="39" spans="1:51" s="23" customFormat="1" ht="78" customHeight="1" x14ac:dyDescent="0.3">
      <c r="A39" s="26">
        <v>22</v>
      </c>
      <c r="B39" s="43" t="s">
        <v>1730</v>
      </c>
      <c r="C39" s="27"/>
      <c r="D39" s="298" t="s">
        <v>1213</v>
      </c>
      <c r="E39" s="92">
        <v>4</v>
      </c>
      <c r="F39" s="30" t="s">
        <v>30</v>
      </c>
      <c r="G39" s="112">
        <f>[1]DICIEMBRE!$BA$59</f>
        <v>6.8212102632969618E-13</v>
      </c>
      <c r="H39" s="31">
        <f>ENERO!BA38</f>
        <v>9.0949470177292824E-13</v>
      </c>
      <c r="I39" s="31"/>
      <c r="J39" s="32"/>
      <c r="K39" s="32"/>
      <c r="L39" s="32"/>
      <c r="M39" s="336"/>
      <c r="N39" s="32"/>
      <c r="O39" s="32"/>
      <c r="P39" s="31"/>
      <c r="Q39" s="31"/>
      <c r="R39" s="31"/>
      <c r="S39" s="34">
        <f>(249*0.16+249)*E39</f>
        <v>1155.3600000000001</v>
      </c>
      <c r="T39" s="35"/>
      <c r="U39" s="35"/>
      <c r="V39" s="35"/>
      <c r="W39" s="35"/>
      <c r="X39" s="35"/>
      <c r="Y39" s="35"/>
      <c r="Z39" s="35"/>
      <c r="AA39" s="35"/>
      <c r="AB39" s="35"/>
      <c r="AC39" s="35"/>
      <c r="AD39" s="35"/>
      <c r="AE39" s="35"/>
      <c r="AF39" s="35"/>
      <c r="AG39" s="35"/>
      <c r="AH39" s="35"/>
      <c r="AI39" s="35">
        <v>1155.3599999999999</v>
      </c>
      <c r="AJ39" s="35"/>
      <c r="AK39" s="42"/>
      <c r="AL39" s="35"/>
      <c r="AM39" s="35"/>
      <c r="AN39" s="35"/>
      <c r="AO39" s="35"/>
      <c r="AP39" s="35"/>
      <c r="AQ39" s="35"/>
      <c r="AR39" s="35"/>
      <c r="AS39" s="35"/>
      <c r="AT39" s="35"/>
      <c r="AU39" s="35"/>
      <c r="AV39" s="35"/>
      <c r="AW39" s="35"/>
      <c r="AX39" s="33">
        <f t="shared" si="0"/>
        <v>1.1368683772161603E-12</v>
      </c>
      <c r="AY39" s="43"/>
    </row>
    <row r="40" spans="1:51" s="23" customFormat="1" ht="65.25" customHeight="1" x14ac:dyDescent="0.3">
      <c r="A40" s="26">
        <v>23</v>
      </c>
      <c r="B40" s="43" t="s">
        <v>1446</v>
      </c>
      <c r="C40" s="53"/>
      <c r="D40" s="298" t="s">
        <v>2123</v>
      </c>
      <c r="E40" s="94">
        <v>2</v>
      </c>
      <c r="F40" s="44" t="s">
        <v>30</v>
      </c>
      <c r="G40" s="112">
        <f>[1]DICIEMBRE!$BA$41</f>
        <v>0</v>
      </c>
      <c r="H40" s="31">
        <f>ENERO!BA39</f>
        <v>0</v>
      </c>
      <c r="I40" s="45"/>
      <c r="J40" s="32"/>
      <c r="K40" s="32"/>
      <c r="L40" s="32"/>
      <c r="M40" s="336"/>
      <c r="N40" s="32"/>
      <c r="O40" s="33"/>
      <c r="P40" s="31"/>
      <c r="Q40" s="31"/>
      <c r="R40" s="31"/>
      <c r="S40" s="47">
        <f>(300*0.16+300)*2</f>
        <v>696</v>
      </c>
      <c r="T40" s="34"/>
      <c r="U40" s="34"/>
      <c r="V40" s="34"/>
      <c r="W40" s="34"/>
      <c r="X40" s="34"/>
      <c r="Y40" s="34"/>
      <c r="Z40" s="52"/>
      <c r="AA40" s="34"/>
      <c r="AB40" s="34">
        <v>696</v>
      </c>
      <c r="AC40" s="34"/>
      <c r="AD40" s="34"/>
      <c r="AE40" s="34"/>
      <c r="AF40" s="34"/>
      <c r="AG40" s="34"/>
      <c r="AH40" s="34"/>
      <c r="AI40" s="34"/>
      <c r="AJ40" s="34"/>
      <c r="AK40" s="38"/>
      <c r="AL40" s="34"/>
      <c r="AM40" s="34"/>
      <c r="AN40" s="34"/>
      <c r="AO40" s="34"/>
      <c r="AP40" s="34"/>
      <c r="AQ40" s="34"/>
      <c r="AR40" s="34"/>
      <c r="AS40" s="34"/>
      <c r="AT40" s="34"/>
      <c r="AU40" s="34"/>
      <c r="AV40" s="34"/>
      <c r="AW40" s="34"/>
      <c r="AX40" s="33">
        <f t="shared" si="0"/>
        <v>0</v>
      </c>
      <c r="AY40" s="43" t="s">
        <v>1588</v>
      </c>
    </row>
    <row r="41" spans="1:51" s="23" customFormat="1" ht="72" customHeight="1" x14ac:dyDescent="0.3">
      <c r="A41" s="26">
        <v>24</v>
      </c>
      <c r="B41" s="43" t="s">
        <v>960</v>
      </c>
      <c r="C41" s="43" t="s">
        <v>252</v>
      </c>
      <c r="D41" s="300" t="s">
        <v>1207</v>
      </c>
      <c r="E41" s="92">
        <v>674</v>
      </c>
      <c r="F41" s="30" t="s">
        <v>30</v>
      </c>
      <c r="G41" s="234">
        <f>[1]DICIEMBRE!$BA$42</f>
        <v>3220.0259999999871</v>
      </c>
      <c r="H41" s="45">
        <f>ENERO!BA40</f>
        <v>3220.0259999999835</v>
      </c>
      <c r="I41" s="31"/>
      <c r="J41" s="32"/>
      <c r="K41" s="32"/>
      <c r="L41" s="32"/>
      <c r="M41" s="32"/>
      <c r="N41" s="32"/>
      <c r="O41" s="33"/>
      <c r="P41" s="33"/>
      <c r="Q41" s="31"/>
      <c r="R41" s="31"/>
      <c r="S41" s="34">
        <f>(38.8*0.16+38.8)*E41</f>
        <v>30335.391999999996</v>
      </c>
      <c r="T41" s="34"/>
      <c r="U41" s="34"/>
      <c r="V41" s="34"/>
      <c r="W41" s="34"/>
      <c r="X41" s="34"/>
      <c r="Y41" s="34"/>
      <c r="Z41" s="52"/>
      <c r="AA41" s="34"/>
      <c r="AB41" s="34"/>
      <c r="AC41" s="34"/>
      <c r="AD41" s="34"/>
      <c r="AE41" s="34"/>
      <c r="AF41" s="34"/>
      <c r="AG41" s="34"/>
      <c r="AH41" s="34"/>
      <c r="AI41" s="34"/>
      <c r="AJ41" s="34"/>
      <c r="AK41" s="38"/>
      <c r="AL41" s="34"/>
      <c r="AM41" s="34">
        <v>30335.39</v>
      </c>
      <c r="AN41" s="34"/>
      <c r="AO41" s="34"/>
      <c r="AP41" s="34"/>
      <c r="AQ41" s="34"/>
      <c r="AR41" s="34"/>
      <c r="AS41" s="34"/>
      <c r="AT41" s="34"/>
      <c r="AU41" s="34"/>
      <c r="AV41" s="34"/>
      <c r="AW41" s="34"/>
      <c r="AX41" s="33">
        <f t="shared" si="0"/>
        <v>3220.0279999999766</v>
      </c>
      <c r="AY41" s="43"/>
    </row>
    <row r="42" spans="1:51" s="23" customFormat="1" ht="72" customHeight="1" x14ac:dyDescent="0.3">
      <c r="A42" s="26">
        <v>25</v>
      </c>
      <c r="B42" s="43" t="s">
        <v>1453</v>
      </c>
      <c r="C42" s="43"/>
      <c r="D42" s="300" t="s">
        <v>1503</v>
      </c>
      <c r="E42" s="92">
        <v>1</v>
      </c>
      <c r="F42" s="30" t="s">
        <v>30</v>
      </c>
      <c r="G42" s="112">
        <f>[1]DICIEMBRE!$BA$43</f>
        <v>348</v>
      </c>
      <c r="H42" s="31">
        <f>ENERO!BA41</f>
        <v>0</v>
      </c>
      <c r="I42" s="31"/>
      <c r="J42" s="32"/>
      <c r="K42" s="32"/>
      <c r="L42" s="32"/>
      <c r="M42" s="32"/>
      <c r="N42" s="32"/>
      <c r="O42" s="33"/>
      <c r="P42" s="33"/>
      <c r="Q42" s="31"/>
      <c r="R42" s="31"/>
      <c r="S42" s="34">
        <f>(300*0.16+300)*E42</f>
        <v>348</v>
      </c>
      <c r="T42" s="34"/>
      <c r="U42" s="34"/>
      <c r="V42" s="34"/>
      <c r="W42" s="34"/>
      <c r="X42" s="34"/>
      <c r="Y42" s="34"/>
      <c r="Z42" s="52"/>
      <c r="AA42" s="34"/>
      <c r="AB42" s="34"/>
      <c r="AC42" s="34"/>
      <c r="AD42" s="34"/>
      <c r="AE42" s="34">
        <v>348</v>
      </c>
      <c r="AF42" s="34"/>
      <c r="AG42" s="34"/>
      <c r="AH42" s="34"/>
      <c r="AI42" s="34"/>
      <c r="AJ42" s="34"/>
      <c r="AK42" s="38"/>
      <c r="AL42" s="34"/>
      <c r="AM42" s="34"/>
      <c r="AN42" s="34"/>
      <c r="AO42" s="34"/>
      <c r="AP42" s="34"/>
      <c r="AQ42" s="34"/>
      <c r="AR42" s="34"/>
      <c r="AS42" s="34"/>
      <c r="AT42" s="34"/>
      <c r="AU42" s="34"/>
      <c r="AV42" s="34"/>
      <c r="AW42" s="34"/>
      <c r="AX42" s="33">
        <f t="shared" si="0"/>
        <v>0</v>
      </c>
      <c r="AY42" s="43"/>
    </row>
    <row r="43" spans="1:51" s="23" customFormat="1" ht="57.75" customHeight="1" x14ac:dyDescent="0.3">
      <c r="A43" s="26">
        <v>26</v>
      </c>
      <c r="B43" s="43" t="s">
        <v>428</v>
      </c>
      <c r="C43" s="28" t="s">
        <v>429</v>
      </c>
      <c r="D43" s="298" t="s">
        <v>1208</v>
      </c>
      <c r="E43" s="92">
        <v>7</v>
      </c>
      <c r="F43" s="30" t="s">
        <v>30</v>
      </c>
      <c r="G43" s="234">
        <f>[1]DICIEMBRE!$BA$44</f>
        <v>2598.3956000000003</v>
      </c>
      <c r="H43" s="31">
        <f>ENERO!BA42</f>
        <v>5486.7956000000004</v>
      </c>
      <c r="I43" s="31"/>
      <c r="J43" s="32"/>
      <c r="K43" s="32"/>
      <c r="L43" s="32"/>
      <c r="M43" s="32"/>
      <c r="N43" s="336"/>
      <c r="O43" s="32"/>
      <c r="P43" s="31"/>
      <c r="Q43" s="31"/>
      <c r="R43" s="31"/>
      <c r="S43" s="34">
        <f>(320*0.16+320)*E43</f>
        <v>2598.4</v>
      </c>
      <c r="T43" s="34"/>
      <c r="U43" s="34"/>
      <c r="V43" s="34"/>
      <c r="W43" s="34"/>
      <c r="X43" s="34"/>
      <c r="Y43" s="34"/>
      <c r="Z43" s="52"/>
      <c r="AA43" s="34"/>
      <c r="AB43" s="34"/>
      <c r="AC43" s="34"/>
      <c r="AD43" s="34"/>
      <c r="AE43" s="34"/>
      <c r="AF43" s="34"/>
      <c r="AG43" s="34"/>
      <c r="AH43" s="34"/>
      <c r="AI43" s="34"/>
      <c r="AJ43" s="34"/>
      <c r="AK43" s="38"/>
      <c r="AL43" s="34"/>
      <c r="AM43" s="34"/>
      <c r="AN43" s="34"/>
      <c r="AO43" s="34"/>
      <c r="AP43" s="34"/>
      <c r="AQ43" s="34"/>
      <c r="AR43" s="34"/>
      <c r="AS43" s="34"/>
      <c r="AT43" s="34"/>
      <c r="AU43" s="34"/>
      <c r="AV43" s="34"/>
      <c r="AW43" s="34"/>
      <c r="AX43" s="33">
        <f t="shared" si="0"/>
        <v>8085.1956000000009</v>
      </c>
      <c r="AY43" s="43"/>
    </row>
    <row r="44" spans="1:51" s="23" customFormat="1" ht="57.75" customHeight="1" x14ac:dyDescent="0.3">
      <c r="A44" s="26">
        <v>27</v>
      </c>
      <c r="B44" s="43" t="s">
        <v>1685</v>
      </c>
      <c r="C44" s="28"/>
      <c r="D44" s="300" t="s">
        <v>1686</v>
      </c>
      <c r="E44" s="92">
        <v>4</v>
      </c>
      <c r="F44" s="30"/>
      <c r="G44" s="112">
        <f>[1]DICIEMBRE!$BA$45</f>
        <v>0</v>
      </c>
      <c r="H44" s="45">
        <f>ENERO!BA43</f>
        <v>1.2000000001535227E-3</v>
      </c>
      <c r="I44" s="31"/>
      <c r="J44" s="32"/>
      <c r="K44" s="32"/>
      <c r="L44" s="32"/>
      <c r="M44" s="32"/>
      <c r="N44" s="336"/>
      <c r="O44" s="32"/>
      <c r="P44" s="31"/>
      <c r="Q44" s="31"/>
      <c r="R44" s="31"/>
      <c r="S44" s="34">
        <f>(290*0.16+290)*E44+(405.99*0.16+405.99)</f>
        <v>1816.5483999999999</v>
      </c>
      <c r="T44" s="34">
        <f>4400*0.16+4400</f>
        <v>5104</v>
      </c>
      <c r="U44" s="34"/>
      <c r="V44" s="34"/>
      <c r="W44" s="34"/>
      <c r="X44" s="34"/>
      <c r="Y44" s="34"/>
      <c r="Z44" s="52"/>
      <c r="AA44" s="34"/>
      <c r="AB44" s="34">
        <v>6920.55</v>
      </c>
      <c r="AC44" s="34"/>
      <c r="AD44" s="34"/>
      <c r="AE44" s="34"/>
      <c r="AF44" s="34"/>
      <c r="AG44" s="34"/>
      <c r="AH44" s="34"/>
      <c r="AI44" s="34"/>
      <c r="AJ44" s="34"/>
      <c r="AK44" s="38"/>
      <c r="AL44" s="34"/>
      <c r="AM44" s="34"/>
      <c r="AN44" s="34"/>
      <c r="AO44" s="34"/>
      <c r="AP44" s="34"/>
      <c r="AQ44" s="34"/>
      <c r="AR44" s="34"/>
      <c r="AS44" s="34"/>
      <c r="AT44" s="34"/>
      <c r="AU44" s="34"/>
      <c r="AV44" s="34"/>
      <c r="AW44" s="34"/>
      <c r="AX44" s="33">
        <f t="shared" si="0"/>
        <v>-3.9999999989959178E-4</v>
      </c>
      <c r="AY44" s="43" t="s">
        <v>2034</v>
      </c>
    </row>
    <row r="45" spans="1:51" s="23" customFormat="1" ht="57.75" customHeight="1" x14ac:dyDescent="0.3">
      <c r="A45" s="26">
        <v>28</v>
      </c>
      <c r="B45" s="43" t="s">
        <v>1493</v>
      </c>
      <c r="C45" s="28"/>
      <c r="D45" s="298" t="s">
        <v>1504</v>
      </c>
      <c r="E45" s="92">
        <v>18</v>
      </c>
      <c r="F45" s="30" t="s">
        <v>30</v>
      </c>
      <c r="G45" s="234">
        <f>[1]DICIEMBRE!$BA$46</f>
        <v>9.0949470177292824E-13</v>
      </c>
      <c r="H45" s="31">
        <f>ENERO!BA44</f>
        <v>9.0949470177292824E-13</v>
      </c>
      <c r="I45" s="31"/>
      <c r="J45" s="32"/>
      <c r="K45" s="32"/>
      <c r="L45" s="32"/>
      <c r="M45" s="32"/>
      <c r="N45" s="336"/>
      <c r="O45" s="32"/>
      <c r="P45" s="31"/>
      <c r="Q45" s="31"/>
      <c r="R45" s="31"/>
      <c r="S45" s="34">
        <f>(300*0.16+300)*E45+(380*0.16+380)</f>
        <v>6704.8</v>
      </c>
      <c r="T45" s="34">
        <f>1537.2*0.16+1537.2</f>
        <v>1783.152</v>
      </c>
      <c r="U45" s="34"/>
      <c r="V45" s="34"/>
      <c r="W45" s="34"/>
      <c r="X45" s="34"/>
      <c r="Y45" s="34"/>
      <c r="Z45" s="52"/>
      <c r="AA45" s="34"/>
      <c r="AB45" s="34">
        <v>8487.9500000000007</v>
      </c>
      <c r="AC45" s="34"/>
      <c r="AD45" s="34"/>
      <c r="AE45" s="34"/>
      <c r="AF45" s="34"/>
      <c r="AG45" s="34"/>
      <c r="AH45" s="34"/>
      <c r="AI45" s="34"/>
      <c r="AJ45" s="34"/>
      <c r="AK45" s="38"/>
      <c r="AL45" s="34"/>
      <c r="AM45" s="34"/>
      <c r="AN45" s="34"/>
      <c r="AO45" s="34"/>
      <c r="AP45" s="34"/>
      <c r="AQ45" s="34"/>
      <c r="AR45" s="34"/>
      <c r="AS45" s="34"/>
      <c r="AT45" s="34"/>
      <c r="AU45" s="34"/>
      <c r="AV45" s="34"/>
      <c r="AW45" s="34"/>
      <c r="AX45" s="33">
        <f t="shared" si="0"/>
        <v>2.0000000004074536E-3</v>
      </c>
      <c r="AY45" s="43" t="s">
        <v>2036</v>
      </c>
    </row>
    <row r="46" spans="1:51" s="23" customFormat="1" ht="69.75" customHeight="1" x14ac:dyDescent="0.3">
      <c r="A46" s="26">
        <v>29</v>
      </c>
      <c r="B46" s="43" t="s">
        <v>1936</v>
      </c>
      <c r="C46" s="28"/>
      <c r="D46" s="300" t="s">
        <v>1960</v>
      </c>
      <c r="E46" s="92">
        <v>19</v>
      </c>
      <c r="F46" s="30" t="s">
        <v>30</v>
      </c>
      <c r="G46" s="234"/>
      <c r="H46" s="31">
        <f>ENERO!BA45</f>
        <v>9604.7999999999993</v>
      </c>
      <c r="I46" s="31"/>
      <c r="J46" s="32"/>
      <c r="K46" s="32"/>
      <c r="L46" s="32"/>
      <c r="M46" s="32"/>
      <c r="N46" s="336"/>
      <c r="O46" s="32"/>
      <c r="P46" s="31"/>
      <c r="Q46" s="31"/>
      <c r="R46" s="31"/>
      <c r="S46" s="34">
        <f>1190.4*0.16+1190.4</f>
        <v>1380.864</v>
      </c>
      <c r="T46" s="34"/>
      <c r="U46" s="34"/>
      <c r="V46" s="34">
        <v>9604.7999999999993</v>
      </c>
      <c r="W46" s="34"/>
      <c r="X46" s="34"/>
      <c r="Y46" s="34"/>
      <c r="Z46" s="52"/>
      <c r="AA46" s="34"/>
      <c r="AB46" s="34"/>
      <c r="AC46" s="34"/>
      <c r="AD46" s="34"/>
      <c r="AE46" s="34"/>
      <c r="AF46" s="34"/>
      <c r="AG46" s="34"/>
      <c r="AH46" s="34"/>
      <c r="AI46" s="34"/>
      <c r="AJ46" s="34"/>
      <c r="AK46" s="38"/>
      <c r="AL46" s="34"/>
      <c r="AM46" s="34"/>
      <c r="AN46" s="34"/>
      <c r="AO46" s="34"/>
      <c r="AP46" s="34"/>
      <c r="AQ46" s="34"/>
      <c r="AR46" s="34"/>
      <c r="AS46" s="34"/>
      <c r="AT46" s="34"/>
      <c r="AU46" s="34"/>
      <c r="AV46" s="34"/>
      <c r="AW46" s="34"/>
      <c r="AX46" s="33">
        <f t="shared" si="0"/>
        <v>1380.8639999999996</v>
      </c>
      <c r="AY46" s="43" t="s">
        <v>2206</v>
      </c>
    </row>
    <row r="47" spans="1:51" s="23" customFormat="1" ht="80.25" customHeight="1" x14ac:dyDescent="0.3">
      <c r="A47" s="26">
        <v>30</v>
      </c>
      <c r="B47" s="27" t="s">
        <v>42</v>
      </c>
      <c r="C47" s="28" t="s">
        <v>253</v>
      </c>
      <c r="D47" s="298" t="s">
        <v>1313</v>
      </c>
      <c r="E47" s="92">
        <v>14</v>
      </c>
      <c r="F47" s="40" t="s">
        <v>30</v>
      </c>
      <c r="G47" s="234">
        <f>[1]DICIEMBRE!$BA$50</f>
        <v>-3.9999999899009708E-4</v>
      </c>
      <c r="H47" s="45">
        <f>ENERO!BA46</f>
        <v>-3.9999999899009708E-4</v>
      </c>
      <c r="I47" s="31"/>
      <c r="J47" s="32"/>
      <c r="K47" s="33"/>
      <c r="L47" s="336"/>
      <c r="M47" s="336"/>
      <c r="N47" s="32"/>
      <c r="O47" s="32"/>
      <c r="P47" s="31"/>
      <c r="Q47" s="31"/>
      <c r="R47" s="31"/>
      <c r="S47" s="34">
        <f>(250*0.16+250)*E47</f>
        <v>4060</v>
      </c>
      <c r="T47" s="34"/>
      <c r="U47" s="34"/>
      <c r="V47" s="35"/>
      <c r="W47" s="54"/>
      <c r="X47" s="35"/>
      <c r="Y47" s="35"/>
      <c r="Z47" s="35"/>
      <c r="AA47" s="35"/>
      <c r="AB47" s="35"/>
      <c r="AC47" s="35"/>
      <c r="AD47" s="35"/>
      <c r="AE47" s="35">
        <v>4060</v>
      </c>
      <c r="AF47" s="35"/>
      <c r="AG47" s="35"/>
      <c r="AH47" s="35"/>
      <c r="AI47" s="36"/>
      <c r="AJ47" s="35"/>
      <c r="AK47" s="35"/>
      <c r="AL47" s="35"/>
      <c r="AM47" s="35"/>
      <c r="AN47" s="35"/>
      <c r="AO47" s="35"/>
      <c r="AP47" s="35"/>
      <c r="AQ47" s="35"/>
      <c r="AR47" s="35"/>
      <c r="AS47" s="35"/>
      <c r="AT47" s="35"/>
      <c r="AU47" s="35"/>
      <c r="AV47" s="35"/>
      <c r="AW47" s="35"/>
      <c r="AX47" s="33">
        <f t="shared" si="0"/>
        <v>-3.9999999899009708E-4</v>
      </c>
      <c r="AY47" s="267"/>
    </row>
    <row r="48" spans="1:51" s="23" customFormat="1" ht="83.25" customHeight="1" x14ac:dyDescent="0.3">
      <c r="A48" s="26">
        <v>31</v>
      </c>
      <c r="B48" s="27" t="s">
        <v>43</v>
      </c>
      <c r="C48" s="28" t="s">
        <v>44</v>
      </c>
      <c r="D48" s="298" t="s">
        <v>1211</v>
      </c>
      <c r="E48" s="92">
        <v>1</v>
      </c>
      <c r="F48" s="30" t="s">
        <v>30</v>
      </c>
      <c r="G48" s="234">
        <f>[1]DICIEMBRE!$BA$52</f>
        <v>0</v>
      </c>
      <c r="H48" s="31">
        <f>ENERO!BA47</f>
        <v>0</v>
      </c>
      <c r="I48" s="31"/>
      <c r="J48" s="32"/>
      <c r="K48" s="32"/>
      <c r="L48" s="32"/>
      <c r="M48" s="32"/>
      <c r="N48" s="336"/>
      <c r="O48" s="32"/>
      <c r="P48" s="31"/>
      <c r="Q48" s="31"/>
      <c r="R48" s="31"/>
      <c r="S48" s="34">
        <v>348</v>
      </c>
      <c r="T48" s="35"/>
      <c r="U48" s="35"/>
      <c r="V48" s="35"/>
      <c r="W48" s="35"/>
      <c r="X48" s="35"/>
      <c r="Y48" s="35"/>
      <c r="Z48" s="35"/>
      <c r="AA48" s="35"/>
      <c r="AB48" s="35">
        <v>348</v>
      </c>
      <c r="AC48" s="35"/>
      <c r="AD48" s="35"/>
      <c r="AE48" s="35"/>
      <c r="AF48" s="35"/>
      <c r="AG48" s="35"/>
      <c r="AH48" s="35"/>
      <c r="AI48" s="35"/>
      <c r="AJ48" s="35"/>
      <c r="AK48" s="42"/>
      <c r="AL48" s="35"/>
      <c r="AM48" s="35"/>
      <c r="AN48" s="35"/>
      <c r="AO48" s="35"/>
      <c r="AP48" s="35"/>
      <c r="AQ48" s="35"/>
      <c r="AR48" s="35"/>
      <c r="AS48" s="35"/>
      <c r="AT48" s="35"/>
      <c r="AU48" s="35"/>
      <c r="AV48" s="35"/>
      <c r="AW48" s="35"/>
      <c r="AX48" s="33">
        <f t="shared" si="0"/>
        <v>0</v>
      </c>
      <c r="AY48" s="43"/>
    </row>
    <row r="49" spans="1:51" s="23" customFormat="1" ht="78" customHeight="1" x14ac:dyDescent="0.3">
      <c r="A49" s="26">
        <v>32</v>
      </c>
      <c r="B49" s="27" t="s">
        <v>45</v>
      </c>
      <c r="C49" s="27" t="s">
        <v>46</v>
      </c>
      <c r="D49" s="298" t="s">
        <v>1211</v>
      </c>
      <c r="E49" s="92">
        <v>2</v>
      </c>
      <c r="F49" s="30" t="s">
        <v>30</v>
      </c>
      <c r="G49" s="112">
        <f>[1]DICIEMBRE!$BA$53</f>
        <v>0</v>
      </c>
      <c r="H49" s="31">
        <f>ENERO!BA48</f>
        <v>0</v>
      </c>
      <c r="I49" s="31"/>
      <c r="J49" s="32"/>
      <c r="K49" s="33"/>
      <c r="L49" s="336"/>
      <c r="M49" s="336"/>
      <c r="N49" s="32"/>
      <c r="O49" s="32"/>
      <c r="P49" s="33"/>
      <c r="Q49" s="31"/>
      <c r="R49" s="31"/>
      <c r="S49" s="34">
        <v>696</v>
      </c>
      <c r="T49" s="35"/>
      <c r="U49" s="35"/>
      <c r="V49" s="35"/>
      <c r="W49" s="35"/>
      <c r="X49" s="35"/>
      <c r="Y49" s="35"/>
      <c r="Z49" s="35"/>
      <c r="AA49" s="35"/>
      <c r="AB49" s="35">
        <v>696</v>
      </c>
      <c r="AC49" s="35"/>
      <c r="AD49" s="35"/>
      <c r="AE49" s="35"/>
      <c r="AF49" s="35"/>
      <c r="AG49" s="35"/>
      <c r="AH49" s="35"/>
      <c r="AI49" s="35"/>
      <c r="AJ49" s="35"/>
      <c r="AK49" s="42"/>
      <c r="AL49" s="35"/>
      <c r="AM49" s="35"/>
      <c r="AN49" s="35"/>
      <c r="AO49" s="35"/>
      <c r="AP49" s="35"/>
      <c r="AQ49" s="35"/>
      <c r="AR49" s="35"/>
      <c r="AS49" s="35"/>
      <c r="AT49" s="35"/>
      <c r="AU49" s="35"/>
      <c r="AV49" s="35"/>
      <c r="AW49" s="35"/>
      <c r="AX49" s="33">
        <f t="shared" si="0"/>
        <v>0</v>
      </c>
      <c r="AY49" s="43"/>
    </row>
    <row r="50" spans="1:51" s="23" customFormat="1" ht="78" customHeight="1" x14ac:dyDescent="0.3">
      <c r="A50" s="26">
        <v>33</v>
      </c>
      <c r="B50" s="43" t="s">
        <v>1458</v>
      </c>
      <c r="C50" s="27"/>
      <c r="D50" s="298" t="s">
        <v>1507</v>
      </c>
      <c r="E50" s="92">
        <v>3</v>
      </c>
      <c r="F50" s="30" t="s">
        <v>30</v>
      </c>
      <c r="G50" s="234">
        <f>[1]DICIEMBRE!$BA$54</f>
        <v>0</v>
      </c>
      <c r="H50" s="45">
        <f>ENERO!BA49</f>
        <v>0</v>
      </c>
      <c r="I50" s="31"/>
      <c r="J50" s="32"/>
      <c r="K50" s="33"/>
      <c r="L50" s="336"/>
      <c r="M50" s="336"/>
      <c r="N50" s="32"/>
      <c r="O50" s="32"/>
      <c r="P50" s="33"/>
      <c r="Q50" s="31"/>
      <c r="R50" s="31"/>
      <c r="S50" s="34">
        <f>(300*0.16+300)*E50</f>
        <v>1044</v>
      </c>
      <c r="T50" s="35"/>
      <c r="U50" s="35"/>
      <c r="V50" s="35"/>
      <c r="W50" s="35"/>
      <c r="X50" s="35"/>
      <c r="Y50" s="35"/>
      <c r="Z50" s="35"/>
      <c r="AA50" s="35"/>
      <c r="AB50" s="35">
        <v>1044</v>
      </c>
      <c r="AC50" s="35"/>
      <c r="AD50" s="35"/>
      <c r="AE50" s="35"/>
      <c r="AF50" s="35"/>
      <c r="AG50" s="35"/>
      <c r="AH50" s="35"/>
      <c r="AI50" s="35"/>
      <c r="AJ50" s="35"/>
      <c r="AK50" s="42"/>
      <c r="AL50" s="35"/>
      <c r="AM50" s="35"/>
      <c r="AN50" s="35"/>
      <c r="AO50" s="35"/>
      <c r="AP50" s="35"/>
      <c r="AQ50" s="35"/>
      <c r="AR50" s="35"/>
      <c r="AS50" s="35"/>
      <c r="AT50" s="35"/>
      <c r="AU50" s="35"/>
      <c r="AV50" s="35"/>
      <c r="AW50" s="35"/>
      <c r="AX50" s="33">
        <f t="shared" si="0"/>
        <v>0</v>
      </c>
      <c r="AY50" s="43"/>
    </row>
    <row r="51" spans="1:51" s="23" customFormat="1" ht="71.25" customHeight="1" x14ac:dyDescent="0.3">
      <c r="A51" s="26">
        <v>34</v>
      </c>
      <c r="B51" s="27" t="s">
        <v>40</v>
      </c>
      <c r="C51" s="28" t="s">
        <v>41</v>
      </c>
      <c r="D51" s="298" t="s">
        <v>1210</v>
      </c>
      <c r="E51" s="92">
        <v>3</v>
      </c>
      <c r="F51" s="30" t="s">
        <v>30</v>
      </c>
      <c r="G51" s="112">
        <f>[1]DICIEMBRE!$BA$49</f>
        <v>0</v>
      </c>
      <c r="H51" s="31">
        <f>ENERO!BA50</f>
        <v>0</v>
      </c>
      <c r="I51" s="45"/>
      <c r="J51" s="46"/>
      <c r="K51" s="32"/>
      <c r="L51" s="32"/>
      <c r="M51" s="32"/>
      <c r="N51" s="336"/>
      <c r="O51" s="32"/>
      <c r="P51" s="33"/>
      <c r="Q51" s="31"/>
      <c r="R51" s="31"/>
      <c r="S51" s="34">
        <f>(300*0.16+300)*E51</f>
        <v>1044</v>
      </c>
      <c r="T51" s="34"/>
      <c r="U51" s="34"/>
      <c r="V51" s="34"/>
      <c r="W51" s="34"/>
      <c r="X51" s="34"/>
      <c r="Y51" s="34"/>
      <c r="Z51" s="52"/>
      <c r="AA51" s="34"/>
      <c r="AB51" s="34"/>
      <c r="AC51" s="34"/>
      <c r="AD51" s="34"/>
      <c r="AE51" s="34">
        <v>1044</v>
      </c>
      <c r="AF51" s="34"/>
      <c r="AG51" s="34"/>
      <c r="AH51" s="34"/>
      <c r="AI51" s="34"/>
      <c r="AJ51" s="34"/>
      <c r="AK51" s="38"/>
      <c r="AL51" s="34"/>
      <c r="AM51" s="34"/>
      <c r="AN51" s="34"/>
      <c r="AO51" s="34"/>
      <c r="AP51" s="34"/>
      <c r="AQ51" s="34"/>
      <c r="AR51" s="34"/>
      <c r="AS51" s="34"/>
      <c r="AT51" s="34"/>
      <c r="AU51" s="34"/>
      <c r="AV51" s="34"/>
      <c r="AW51" s="34"/>
      <c r="AX51" s="33">
        <f t="shared" si="0"/>
        <v>0</v>
      </c>
      <c r="AY51" s="43"/>
    </row>
    <row r="52" spans="1:51" s="23" customFormat="1" ht="78" customHeight="1" x14ac:dyDescent="0.3">
      <c r="A52" s="26">
        <v>35</v>
      </c>
      <c r="B52" s="43" t="s">
        <v>780</v>
      </c>
      <c r="C52" s="27"/>
      <c r="D52" s="298" t="s">
        <v>1248</v>
      </c>
      <c r="E52" s="92">
        <v>4</v>
      </c>
      <c r="F52" s="30" t="s">
        <v>30</v>
      </c>
      <c r="G52" s="234">
        <f>[1]DICIEMBRE!$BA$56</f>
        <v>0</v>
      </c>
      <c r="H52" s="31">
        <f>ENERO!BA51</f>
        <v>0</v>
      </c>
      <c r="I52" s="31"/>
      <c r="J52" s="32"/>
      <c r="K52" s="32"/>
      <c r="L52" s="32"/>
      <c r="M52" s="32"/>
      <c r="N52" s="336"/>
      <c r="O52" s="32"/>
      <c r="P52" s="33"/>
      <c r="Q52" s="31"/>
      <c r="R52" s="31"/>
      <c r="S52" s="34">
        <f>(300*0.16+300)*E52</f>
        <v>1392</v>
      </c>
      <c r="T52" s="35"/>
      <c r="U52" s="35"/>
      <c r="V52" s="35"/>
      <c r="W52" s="35"/>
      <c r="X52" s="35"/>
      <c r="Y52" s="35">
        <v>1392</v>
      </c>
      <c r="Z52" s="35"/>
      <c r="AA52" s="35"/>
      <c r="AB52" s="35"/>
      <c r="AC52" s="35"/>
      <c r="AD52" s="35"/>
      <c r="AE52" s="35"/>
      <c r="AF52" s="35"/>
      <c r="AG52" s="35"/>
      <c r="AH52" s="35"/>
      <c r="AI52" s="35"/>
      <c r="AJ52" s="35"/>
      <c r="AK52" s="42"/>
      <c r="AL52" s="35"/>
      <c r="AM52" s="35"/>
      <c r="AN52" s="35"/>
      <c r="AO52" s="35"/>
      <c r="AP52" s="35"/>
      <c r="AQ52" s="35"/>
      <c r="AR52" s="35"/>
      <c r="AS52" s="35"/>
      <c r="AT52" s="35"/>
      <c r="AU52" s="35"/>
      <c r="AV52" s="35"/>
      <c r="AW52" s="35"/>
      <c r="AX52" s="33">
        <f>SUM(H52+S52+T52-U52-V52-W52-X52-Y52-Z52-AA52-AB52-AC52-AD52-AE52-AF52-AG52-AH52-AI52-AJ52-AK52-AL52-AM52-AN52-AO52-AP52-AQ52-AR52-AS52-AT52-AU52-AV52-AW52)</f>
        <v>0</v>
      </c>
      <c r="AY52" s="43"/>
    </row>
    <row r="53" spans="1:51" s="23" customFormat="1" ht="57.75" customHeight="1" x14ac:dyDescent="0.3">
      <c r="A53" s="26">
        <v>36</v>
      </c>
      <c r="B53" s="43" t="s">
        <v>1731</v>
      </c>
      <c r="C53" s="28" t="s">
        <v>558</v>
      </c>
      <c r="D53" s="298" t="s">
        <v>1501</v>
      </c>
      <c r="E53" s="92">
        <v>3</v>
      </c>
      <c r="F53" s="30" t="s">
        <v>30</v>
      </c>
      <c r="G53" s="112">
        <f>[1]DICIEMBRE!$BA$39</f>
        <v>9.0949470177292824E-13</v>
      </c>
      <c r="H53" s="45">
        <f>ENERO!BA52</f>
        <v>9.0949470177292824E-13</v>
      </c>
      <c r="I53" s="31"/>
      <c r="J53" s="32"/>
      <c r="K53" s="32"/>
      <c r="L53" s="32"/>
      <c r="M53" s="32"/>
      <c r="N53" s="336"/>
      <c r="O53" s="32"/>
      <c r="P53" s="33"/>
      <c r="Q53" s="31"/>
      <c r="R53" s="31"/>
      <c r="S53" s="34">
        <f>(250*0.16+250)*E53</f>
        <v>870</v>
      </c>
      <c r="T53" s="34"/>
      <c r="U53" s="34"/>
      <c r="V53" s="34"/>
      <c r="W53" s="34"/>
      <c r="X53" s="34"/>
      <c r="Y53" s="34"/>
      <c r="Z53" s="52"/>
      <c r="AA53" s="34"/>
      <c r="AB53" s="34"/>
      <c r="AC53" s="34"/>
      <c r="AD53" s="34"/>
      <c r="AE53" s="34">
        <v>870</v>
      </c>
      <c r="AF53" s="34"/>
      <c r="AG53" s="34"/>
      <c r="AH53" s="34"/>
      <c r="AI53" s="34"/>
      <c r="AJ53" s="34"/>
      <c r="AK53" s="38"/>
      <c r="AL53" s="34"/>
      <c r="AM53" s="34"/>
      <c r="AN53" s="34"/>
      <c r="AO53" s="34"/>
      <c r="AP53" s="34"/>
      <c r="AQ53" s="34"/>
      <c r="AR53" s="34"/>
      <c r="AS53" s="34"/>
      <c r="AT53" s="34"/>
      <c r="AU53" s="34"/>
      <c r="AV53" s="34"/>
      <c r="AW53" s="34"/>
      <c r="AX53" s="33">
        <f t="shared" si="0"/>
        <v>9.0949470177292824E-13</v>
      </c>
      <c r="AY53" s="43"/>
    </row>
    <row r="54" spans="1:51" s="23" customFormat="1" ht="45.75" customHeight="1" x14ac:dyDescent="0.3">
      <c r="A54" s="26">
        <v>37</v>
      </c>
      <c r="B54" s="43" t="s">
        <v>1733</v>
      </c>
      <c r="C54" s="28" t="s">
        <v>559</v>
      </c>
      <c r="D54" s="298" t="s">
        <v>1219</v>
      </c>
      <c r="E54" s="92">
        <v>1</v>
      </c>
      <c r="F54" s="30" t="s">
        <v>30</v>
      </c>
      <c r="G54" s="112">
        <f>[1]DICIEMBRE!$BA$67</f>
        <v>0</v>
      </c>
      <c r="H54" s="31">
        <f>ENERO!BA53</f>
        <v>0</v>
      </c>
      <c r="I54" s="31"/>
      <c r="J54" s="32"/>
      <c r="K54" s="32"/>
      <c r="L54" s="32"/>
      <c r="M54" s="336"/>
      <c r="N54" s="32"/>
      <c r="O54" s="32"/>
      <c r="P54" s="31"/>
      <c r="Q54" s="31"/>
      <c r="R54" s="31"/>
      <c r="S54" s="34">
        <f>(300*0.16+300)*E54</f>
        <v>348</v>
      </c>
      <c r="T54" s="34"/>
      <c r="U54" s="34"/>
      <c r="V54" s="35"/>
      <c r="W54" s="35"/>
      <c r="X54" s="35"/>
      <c r="Y54" s="35"/>
      <c r="Z54" s="35"/>
      <c r="AA54" s="35"/>
      <c r="AB54" s="35"/>
      <c r="AC54" s="35"/>
      <c r="AD54" s="35"/>
      <c r="AE54" s="35">
        <v>348</v>
      </c>
      <c r="AF54" s="35"/>
      <c r="AG54" s="35"/>
      <c r="AH54" s="35"/>
      <c r="AI54" s="35"/>
      <c r="AJ54" s="35"/>
      <c r="AK54" s="35"/>
      <c r="AL54" s="35"/>
      <c r="AM54" s="35"/>
      <c r="AN54" s="35"/>
      <c r="AO54" s="35"/>
      <c r="AP54" s="35"/>
      <c r="AQ54" s="35"/>
      <c r="AR54" s="35"/>
      <c r="AS54" s="35"/>
      <c r="AT54" s="35"/>
      <c r="AU54" s="35"/>
      <c r="AV54" s="35"/>
      <c r="AW54" s="35"/>
      <c r="AX54" s="33">
        <f t="shared" si="0"/>
        <v>0</v>
      </c>
      <c r="AY54" s="43"/>
    </row>
    <row r="55" spans="1:51" s="23" customFormat="1" ht="74.25" customHeight="1" x14ac:dyDescent="0.3">
      <c r="A55" s="26">
        <v>38</v>
      </c>
      <c r="B55" s="43" t="s">
        <v>1734</v>
      </c>
      <c r="C55" s="28" t="s">
        <v>246</v>
      </c>
      <c r="D55" s="298" t="s">
        <v>1653</v>
      </c>
      <c r="E55" s="92">
        <v>4</v>
      </c>
      <c r="F55" s="30" t="s">
        <v>30</v>
      </c>
      <c r="G55" s="234">
        <f>[1]DICIEMBRE!$BA$26</f>
        <v>3.2000000055631972E-3</v>
      </c>
      <c r="H55" s="31">
        <f>ENERO!BA54</f>
        <v>3.2000000057905709E-3</v>
      </c>
      <c r="I55" s="31"/>
      <c r="J55" s="32"/>
      <c r="K55" s="32"/>
      <c r="L55" s="32"/>
      <c r="M55" s="32"/>
      <c r="N55" s="32"/>
      <c r="O55" s="32"/>
      <c r="P55" s="33"/>
      <c r="Q55" s="31"/>
      <c r="R55" s="31"/>
      <c r="S55" s="38">
        <f>(349*0.16+349)*E55</f>
        <v>1619.3600000000001</v>
      </c>
      <c r="T55" s="39"/>
      <c r="U55" s="39"/>
      <c r="V55" s="37"/>
      <c r="W55" s="37"/>
      <c r="X55" s="37"/>
      <c r="Y55" s="37"/>
      <c r="Z55" s="37"/>
      <c r="AA55" s="37"/>
      <c r="AB55" s="37"/>
      <c r="AC55" s="37"/>
      <c r="AD55" s="37"/>
      <c r="AE55" s="37"/>
      <c r="AF55" s="37"/>
      <c r="AG55" s="37"/>
      <c r="AH55" s="37">
        <v>1619.36</v>
      </c>
      <c r="AI55" s="37"/>
      <c r="AJ55" s="37"/>
      <c r="AK55" s="35"/>
      <c r="AL55" s="37"/>
      <c r="AM55" s="37"/>
      <c r="AN55" s="37"/>
      <c r="AO55" s="37"/>
      <c r="AP55" s="37"/>
      <c r="AQ55" s="37"/>
      <c r="AR55" s="37"/>
      <c r="AS55" s="37"/>
      <c r="AT55" s="37"/>
      <c r="AU55" s="37"/>
      <c r="AV55" s="37"/>
      <c r="AW55" s="37"/>
      <c r="AX55" s="33">
        <f t="shared" si="0"/>
        <v>3.2000000060179445E-3</v>
      </c>
      <c r="AY55" s="43"/>
    </row>
    <row r="56" spans="1:51" s="23" customFormat="1" ht="78" customHeight="1" x14ac:dyDescent="0.3">
      <c r="A56" s="26">
        <v>39</v>
      </c>
      <c r="B56" s="43" t="s">
        <v>1415</v>
      </c>
      <c r="C56" s="27"/>
      <c r="D56" s="249" t="s">
        <v>1508</v>
      </c>
      <c r="E56" s="92">
        <v>13</v>
      </c>
      <c r="F56" s="30" t="s">
        <v>30</v>
      </c>
      <c r="G56" s="234">
        <f>[1]DICIEMBRE!$BA$58</f>
        <v>1525.006400000002</v>
      </c>
      <c r="H56" s="45">
        <f>ENERO!BA55</f>
        <v>-3.5999999979594577E-3</v>
      </c>
      <c r="I56" s="31"/>
      <c r="J56" s="32"/>
      <c r="K56" s="32"/>
      <c r="L56" s="32"/>
      <c r="M56" s="32"/>
      <c r="N56" s="336"/>
      <c r="O56" s="32"/>
      <c r="P56" s="33"/>
      <c r="Q56" s="31"/>
      <c r="R56" s="31"/>
      <c r="S56" s="34">
        <f>(250*0.16+250)*E56</f>
        <v>3770</v>
      </c>
      <c r="T56" s="35">
        <f>549*0.16+549</f>
        <v>636.84</v>
      </c>
      <c r="U56" s="35"/>
      <c r="V56" s="35"/>
      <c r="W56" s="35"/>
      <c r="X56" s="35"/>
      <c r="Y56" s="35">
        <v>4406.84</v>
      </c>
      <c r="Z56" s="35"/>
      <c r="AA56" s="35"/>
      <c r="AB56" s="35"/>
      <c r="AC56" s="35"/>
      <c r="AD56" s="35"/>
      <c r="AE56" s="35"/>
      <c r="AF56" s="35"/>
      <c r="AG56" s="35"/>
      <c r="AH56" s="35"/>
      <c r="AI56" s="35"/>
      <c r="AJ56" s="35"/>
      <c r="AK56" s="42"/>
      <c r="AL56" s="35"/>
      <c r="AM56" s="35"/>
      <c r="AN56" s="35"/>
      <c r="AO56" s="35"/>
      <c r="AP56" s="35"/>
      <c r="AQ56" s="35"/>
      <c r="AR56" s="35"/>
      <c r="AS56" s="35"/>
      <c r="AT56" s="35"/>
      <c r="AU56" s="35"/>
      <c r="AV56" s="35"/>
      <c r="AW56" s="35"/>
      <c r="AX56" s="33">
        <f>SUM(H56+S56+T56-U56-V56-W56-X56-Y56-Z56-AA56-AB56-AC56-AD56-AE56-AF56-AG56-AH56-AI56-AJ56-AK56-AL56-AM56-AN56-AO56-AP56-AQ56-AR56-AS56-AT56-AU56-AV56-AW56)</f>
        <v>-3.5999999981868314E-3</v>
      </c>
      <c r="AY56" s="43" t="s">
        <v>2053</v>
      </c>
    </row>
    <row r="57" spans="1:51" s="23" customFormat="1" ht="68.25" customHeight="1" x14ac:dyDescent="0.3">
      <c r="A57" s="26">
        <v>40</v>
      </c>
      <c r="B57" s="27" t="s">
        <v>1735</v>
      </c>
      <c r="C57" s="28" t="s">
        <v>123</v>
      </c>
      <c r="D57" s="298" t="s">
        <v>1229</v>
      </c>
      <c r="E57" s="94">
        <v>7</v>
      </c>
      <c r="F57" s="44" t="s">
        <v>30</v>
      </c>
      <c r="G57" s="112">
        <f>[1]DICIEMBRE!$BA$85</f>
        <v>4.7999999987951014E-3</v>
      </c>
      <c r="H57" s="31">
        <f>ENERO!BA56</f>
        <v>4.7999999987951014E-3</v>
      </c>
      <c r="I57" s="45"/>
      <c r="J57" s="32"/>
      <c r="K57" s="32"/>
      <c r="L57" s="32"/>
      <c r="M57" s="32"/>
      <c r="N57" s="336"/>
      <c r="O57" s="32"/>
      <c r="P57" s="33"/>
      <c r="Q57" s="31"/>
      <c r="R57" s="31"/>
      <c r="S57" s="47">
        <f>(220*0.16+220)*E57</f>
        <v>1786.3999999999999</v>
      </c>
      <c r="T57" s="75">
        <f>1950*0.16+1950</f>
        <v>2262</v>
      </c>
      <c r="U57" s="78"/>
      <c r="V57" s="35"/>
      <c r="W57" s="35"/>
      <c r="X57" s="35"/>
      <c r="Y57" s="35"/>
      <c r="Z57" s="36"/>
      <c r="AA57" s="35"/>
      <c r="AB57" s="35">
        <v>4048.4</v>
      </c>
      <c r="AC57" s="54"/>
      <c r="AD57" s="35"/>
      <c r="AE57" s="35"/>
      <c r="AF57" s="35"/>
      <c r="AG57" s="35"/>
      <c r="AH57" s="35"/>
      <c r="AI57" s="35"/>
      <c r="AJ57" s="35"/>
      <c r="AK57" s="35"/>
      <c r="AL57" s="35"/>
      <c r="AM57" s="35"/>
      <c r="AN57" s="35"/>
      <c r="AO57" s="35"/>
      <c r="AP57" s="35"/>
      <c r="AQ57" s="35"/>
      <c r="AR57" s="35"/>
      <c r="AS57" s="35"/>
      <c r="AT57" s="35"/>
      <c r="AU57" s="35"/>
      <c r="AV57" s="35"/>
      <c r="AW57" s="35"/>
      <c r="AX57" s="33">
        <f t="shared" si="0"/>
        <v>4.7999999983403541E-3</v>
      </c>
      <c r="AY57" s="43" t="s">
        <v>2048</v>
      </c>
    </row>
    <row r="58" spans="1:51" s="23" customFormat="1" ht="78" x14ac:dyDescent="0.3">
      <c r="A58" s="26">
        <v>41</v>
      </c>
      <c r="B58" s="27" t="s">
        <v>48</v>
      </c>
      <c r="C58" s="28" t="s">
        <v>49</v>
      </c>
      <c r="D58" s="298" t="s">
        <v>1214</v>
      </c>
      <c r="E58" s="92">
        <v>4</v>
      </c>
      <c r="F58" s="30" t="s">
        <v>30</v>
      </c>
      <c r="G58" s="234">
        <f>[1]DICIEMBRE!$BA$60</f>
        <v>-4.7999999997045961E-3</v>
      </c>
      <c r="H58" s="31">
        <f>ENERO!BA57</f>
        <v>-4.7999999997045961E-3</v>
      </c>
      <c r="I58" s="31"/>
      <c r="J58" s="32"/>
      <c r="K58" s="32"/>
      <c r="L58" s="32"/>
      <c r="M58" s="32"/>
      <c r="N58" s="32"/>
      <c r="O58" s="33"/>
      <c r="P58" s="33"/>
      <c r="Q58" s="31"/>
      <c r="R58" s="31"/>
      <c r="S58" s="34">
        <f>(330*0.16+330)*E58</f>
        <v>1531.2</v>
      </c>
      <c r="T58" s="34"/>
      <c r="U58" s="34"/>
      <c r="V58" s="35"/>
      <c r="W58" s="35"/>
      <c r="X58" s="35"/>
      <c r="Y58" s="35"/>
      <c r="Z58" s="35"/>
      <c r="AA58" s="35">
        <v>1531.2</v>
      </c>
      <c r="AB58" s="35"/>
      <c r="AC58" s="35"/>
      <c r="AD58" s="35"/>
      <c r="AE58" s="35"/>
      <c r="AF58" s="35"/>
      <c r="AG58" s="35"/>
      <c r="AH58" s="35"/>
      <c r="AI58" s="35"/>
      <c r="AJ58" s="35"/>
      <c r="AK58" s="35"/>
      <c r="AL58" s="35"/>
      <c r="AM58" s="35"/>
      <c r="AN58" s="35"/>
      <c r="AO58" s="35"/>
      <c r="AP58" s="35"/>
      <c r="AQ58" s="35"/>
      <c r="AR58" s="35"/>
      <c r="AS58" s="35"/>
      <c r="AT58" s="35"/>
      <c r="AU58" s="35"/>
      <c r="AV58" s="35"/>
      <c r="AW58" s="35"/>
      <c r="AX58" s="33">
        <f t="shared" si="0"/>
        <v>-4.7999999997045961E-3</v>
      </c>
      <c r="AY58" s="43"/>
    </row>
    <row r="59" spans="1:51" s="23" customFormat="1" ht="81" customHeight="1" x14ac:dyDescent="0.3">
      <c r="A59" s="26">
        <v>42</v>
      </c>
      <c r="B59" s="43" t="s">
        <v>1736</v>
      </c>
      <c r="C59" s="28"/>
      <c r="D59" s="303" t="s">
        <v>1031</v>
      </c>
      <c r="E59" s="92">
        <v>1</v>
      </c>
      <c r="F59" s="40" t="s">
        <v>30</v>
      </c>
      <c r="G59" s="234">
        <f>[1]DICIEMBRE!$BA$100</f>
        <v>0</v>
      </c>
      <c r="H59" s="45">
        <f>ENERO!BA58</f>
        <v>0</v>
      </c>
      <c r="I59" s="31"/>
      <c r="J59" s="32"/>
      <c r="K59" s="33"/>
      <c r="L59" s="32"/>
      <c r="M59" s="32"/>
      <c r="N59" s="32"/>
      <c r="O59" s="32"/>
      <c r="P59" s="31"/>
      <c r="Q59" s="31"/>
      <c r="R59" s="31"/>
      <c r="S59" s="34">
        <f>300*0.16+300</f>
        <v>348</v>
      </c>
      <c r="T59" s="34"/>
      <c r="U59" s="34"/>
      <c r="V59" s="35"/>
      <c r="W59" s="54"/>
      <c r="X59" s="35"/>
      <c r="Y59" s="35">
        <v>348</v>
      </c>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3">
        <f t="shared" si="0"/>
        <v>0</v>
      </c>
      <c r="AY59" s="267"/>
    </row>
    <row r="60" spans="1:51" ht="43.5" customHeight="1" x14ac:dyDescent="0.35">
      <c r="A60" s="26">
        <v>43</v>
      </c>
      <c r="B60" s="43" t="s">
        <v>1737</v>
      </c>
      <c r="C60" s="53" t="s">
        <v>128</v>
      </c>
      <c r="D60" s="298" t="s">
        <v>1234</v>
      </c>
      <c r="E60" s="94">
        <v>4</v>
      </c>
      <c r="F60" s="44" t="s">
        <v>30</v>
      </c>
      <c r="G60" s="234">
        <f>[1]DICIEMBRE!$BA$98</f>
        <v>-6</v>
      </c>
      <c r="H60" s="31">
        <f>ENERO!BA59</f>
        <v>-6</v>
      </c>
      <c r="I60" s="45"/>
      <c r="J60" s="32"/>
      <c r="K60" s="32"/>
      <c r="L60" s="336"/>
      <c r="M60" s="32"/>
      <c r="N60" s="336"/>
      <c r="O60" s="32"/>
      <c r="P60" s="31"/>
      <c r="Q60" s="31"/>
      <c r="R60" s="31"/>
      <c r="S60" s="47">
        <f>(300*0.16+300)*E60</f>
        <v>1392</v>
      </c>
      <c r="T60" s="47"/>
      <c r="U60" s="48"/>
      <c r="V60" s="49"/>
      <c r="W60" s="49"/>
      <c r="X60" s="49"/>
      <c r="Y60" s="49"/>
      <c r="Z60" s="49"/>
      <c r="AA60" s="49"/>
      <c r="AB60" s="49">
        <v>1386</v>
      </c>
      <c r="AC60" s="69"/>
      <c r="AD60" s="49"/>
      <c r="AE60" s="50"/>
      <c r="AF60" s="49"/>
      <c r="AG60" s="49"/>
      <c r="AH60" s="49"/>
      <c r="AI60" s="49"/>
      <c r="AJ60" s="49"/>
      <c r="AK60" s="49"/>
      <c r="AL60" s="49"/>
      <c r="AM60" s="49"/>
      <c r="AN60" s="49"/>
      <c r="AO60" s="49"/>
      <c r="AP60" s="49"/>
      <c r="AQ60" s="49"/>
      <c r="AR60" s="49"/>
      <c r="AS60" s="49"/>
      <c r="AT60" s="49"/>
      <c r="AU60" s="49"/>
      <c r="AV60" s="49"/>
      <c r="AW60" s="49"/>
      <c r="AX60" s="33">
        <f t="shared" si="0"/>
        <v>0</v>
      </c>
      <c r="AY60" s="43"/>
    </row>
    <row r="61" spans="1:51" s="23" customFormat="1" ht="51" customHeight="1" x14ac:dyDescent="0.3">
      <c r="A61" s="26">
        <v>44</v>
      </c>
      <c r="B61" s="43" t="s">
        <v>1306</v>
      </c>
      <c r="C61" s="28"/>
      <c r="D61" s="298" t="s">
        <v>1216</v>
      </c>
      <c r="E61" s="92">
        <v>2</v>
      </c>
      <c r="F61" s="30" t="s">
        <v>30</v>
      </c>
      <c r="G61" s="112">
        <f>[1]DICIEMBRE!$BA$63</f>
        <v>2.2737367544323206E-13</v>
      </c>
      <c r="H61" s="31">
        <f>ENERO!BA60</f>
        <v>2.2737367544323206E-13</v>
      </c>
      <c r="I61" s="31"/>
      <c r="J61" s="32"/>
      <c r="K61" s="32"/>
      <c r="L61" s="32"/>
      <c r="M61" s="336"/>
      <c r="N61" s="32"/>
      <c r="O61" s="32"/>
      <c r="P61" s="33"/>
      <c r="Q61" s="31"/>
      <c r="R61" s="31"/>
      <c r="S61" s="34">
        <f>(330*0.16+330)*E61</f>
        <v>765.6</v>
      </c>
      <c r="T61" s="34"/>
      <c r="U61" s="34"/>
      <c r="V61" s="35"/>
      <c r="W61" s="35"/>
      <c r="X61" s="35"/>
      <c r="Y61" s="35"/>
      <c r="Z61" s="35"/>
      <c r="AA61" s="35">
        <v>765.6</v>
      </c>
      <c r="AB61" s="35"/>
      <c r="AC61" s="35"/>
      <c r="AD61" s="35"/>
      <c r="AE61" s="35"/>
      <c r="AF61" s="35"/>
      <c r="AG61" s="35"/>
      <c r="AH61" s="35"/>
      <c r="AI61" s="35"/>
      <c r="AJ61" s="35"/>
      <c r="AK61" s="35"/>
      <c r="AL61" s="35"/>
      <c r="AM61" s="35"/>
      <c r="AN61" s="35"/>
      <c r="AO61" s="35"/>
      <c r="AP61" s="35"/>
      <c r="AQ61" s="35"/>
      <c r="AR61" s="35"/>
      <c r="AS61" s="35"/>
      <c r="AT61" s="35"/>
      <c r="AU61" s="35"/>
      <c r="AV61" s="35"/>
      <c r="AW61" s="35"/>
      <c r="AX61" s="33">
        <f t="shared" si="0"/>
        <v>2.2737367544323206E-13</v>
      </c>
      <c r="AY61" s="43"/>
    </row>
    <row r="62" spans="1:51" s="23" customFormat="1" ht="81" customHeight="1" x14ac:dyDescent="0.3">
      <c r="A62" s="26">
        <v>45</v>
      </c>
      <c r="B62" s="43" t="s">
        <v>1739</v>
      </c>
      <c r="C62" s="28" t="s">
        <v>61</v>
      </c>
      <c r="D62" s="302" t="s">
        <v>1235</v>
      </c>
      <c r="E62" s="92">
        <v>14</v>
      </c>
      <c r="F62" s="40" t="s">
        <v>30</v>
      </c>
      <c r="G62" s="112">
        <f>[1]DICIEMBRE!$BA$99</f>
        <v>4.0000000171858119E-3</v>
      </c>
      <c r="H62" s="45">
        <f>ENERO!BA61</f>
        <v>4693.3640000000178</v>
      </c>
      <c r="I62" s="31"/>
      <c r="J62" s="32"/>
      <c r="K62" s="32"/>
      <c r="L62" s="32"/>
      <c r="M62" s="336"/>
      <c r="N62" s="32"/>
      <c r="O62" s="33"/>
      <c r="P62" s="33"/>
      <c r="Q62" s="31"/>
      <c r="R62" s="31"/>
      <c r="S62" s="34">
        <f>(289*0.16+289)*E62</f>
        <v>4693.3600000000006</v>
      </c>
      <c r="T62" s="34"/>
      <c r="U62" s="34"/>
      <c r="V62" s="35"/>
      <c r="W62" s="54"/>
      <c r="X62" s="35"/>
      <c r="Y62" s="35"/>
      <c r="Z62" s="35"/>
      <c r="AA62" s="35"/>
      <c r="AB62" s="35"/>
      <c r="AC62" s="35"/>
      <c r="AD62" s="35"/>
      <c r="AE62" s="35"/>
      <c r="AF62" s="35">
        <v>9386.7199999999993</v>
      </c>
      <c r="AG62" s="35"/>
      <c r="AH62" s="35"/>
      <c r="AI62" s="35"/>
      <c r="AJ62" s="35"/>
      <c r="AK62" s="35"/>
      <c r="AL62" s="35"/>
      <c r="AM62" s="35"/>
      <c r="AN62" s="35"/>
      <c r="AO62" s="35"/>
      <c r="AP62" s="35"/>
      <c r="AQ62" s="35"/>
      <c r="AR62" s="35"/>
      <c r="AS62" s="35"/>
      <c r="AT62" s="35"/>
      <c r="AU62" s="35"/>
      <c r="AV62" s="35"/>
      <c r="AW62" s="35"/>
      <c r="AX62" s="33">
        <f t="shared" si="0"/>
        <v>4.0000000190048013E-3</v>
      </c>
      <c r="AY62" s="267"/>
    </row>
    <row r="63" spans="1:51" s="23" customFormat="1" ht="51" customHeight="1" x14ac:dyDescent="0.3">
      <c r="A63" s="26">
        <v>46</v>
      </c>
      <c r="B63" s="43" t="s">
        <v>713</v>
      </c>
      <c r="C63" s="28"/>
      <c r="D63" s="298" t="s">
        <v>1218</v>
      </c>
      <c r="E63" s="92">
        <v>4</v>
      </c>
      <c r="F63" s="30" t="s">
        <v>30</v>
      </c>
      <c r="G63" s="112">
        <f>[1]DICIEMBRE!$BA$65</f>
        <v>-3.9999999989959178E-4</v>
      </c>
      <c r="H63" s="31">
        <f>ENERO!BA63</f>
        <v>-3.9999999989959178E-4</v>
      </c>
      <c r="I63" s="31"/>
      <c r="J63" s="32"/>
      <c r="K63" s="32"/>
      <c r="L63" s="336"/>
      <c r="M63" s="32"/>
      <c r="N63" s="336"/>
      <c r="O63" s="32"/>
      <c r="P63" s="33"/>
      <c r="Q63" s="31"/>
      <c r="R63" s="31"/>
      <c r="S63" s="34">
        <f>(300*0.16+300)*E63</f>
        <v>1392</v>
      </c>
      <c r="T63" s="34"/>
      <c r="U63" s="34"/>
      <c r="V63" s="35"/>
      <c r="W63" s="35"/>
      <c r="X63" s="35"/>
      <c r="Y63" s="35"/>
      <c r="Z63" s="35"/>
      <c r="AA63" s="35">
        <v>1392</v>
      </c>
      <c r="AB63" s="35"/>
      <c r="AC63" s="35"/>
      <c r="AD63" s="35"/>
      <c r="AE63" s="35"/>
      <c r="AF63" s="35"/>
      <c r="AG63" s="35"/>
      <c r="AH63" s="35"/>
      <c r="AI63" s="35"/>
      <c r="AJ63" s="35"/>
      <c r="AK63" s="35"/>
      <c r="AL63" s="35"/>
      <c r="AM63" s="35"/>
      <c r="AN63" s="35"/>
      <c r="AO63" s="35"/>
      <c r="AP63" s="35"/>
      <c r="AQ63" s="35"/>
      <c r="AR63" s="35"/>
      <c r="AS63" s="35"/>
      <c r="AT63" s="35"/>
      <c r="AU63" s="35"/>
      <c r="AV63" s="35"/>
      <c r="AW63" s="35"/>
      <c r="AX63" s="33">
        <f t="shared" si="0"/>
        <v>-3.9999999989959178E-4</v>
      </c>
      <c r="AY63" s="43"/>
    </row>
    <row r="64" spans="1:51" s="23" customFormat="1" ht="51" customHeight="1" x14ac:dyDescent="0.3">
      <c r="A64" s="26">
        <v>47</v>
      </c>
      <c r="B64" s="43" t="s">
        <v>1551</v>
      </c>
      <c r="C64" s="28"/>
      <c r="D64" s="300" t="s">
        <v>1552</v>
      </c>
      <c r="E64" s="92">
        <v>1</v>
      </c>
      <c r="F64" s="30" t="s">
        <v>30</v>
      </c>
      <c r="G64" s="234">
        <f>[1]DICIEMBRE!$BA$66</f>
        <v>0</v>
      </c>
      <c r="H64" s="45">
        <f>ENERO!BA64</f>
        <v>0</v>
      </c>
      <c r="I64" s="31"/>
      <c r="J64" s="32"/>
      <c r="K64" s="32"/>
      <c r="L64" s="336"/>
      <c r="M64" s="32"/>
      <c r="N64" s="336"/>
      <c r="O64" s="32"/>
      <c r="P64" s="33"/>
      <c r="Q64" s="31"/>
      <c r="R64" s="31"/>
      <c r="S64" s="34">
        <f>(200*0.16+200)*E64</f>
        <v>232</v>
      </c>
      <c r="T64" s="34">
        <f>650*0.16+650</f>
        <v>754</v>
      </c>
      <c r="U64" s="34"/>
      <c r="V64" s="35"/>
      <c r="W64" s="35"/>
      <c r="X64" s="35"/>
      <c r="Y64" s="35"/>
      <c r="Z64" s="35"/>
      <c r="AA64" s="35"/>
      <c r="AB64" s="35"/>
      <c r="AC64" s="35"/>
      <c r="AD64" s="35"/>
      <c r="AE64" s="35"/>
      <c r="AF64" s="35">
        <v>986</v>
      </c>
      <c r="AG64" s="35"/>
      <c r="AH64" s="35"/>
      <c r="AI64" s="35"/>
      <c r="AJ64" s="35"/>
      <c r="AK64" s="35"/>
      <c r="AL64" s="35"/>
      <c r="AM64" s="35"/>
      <c r="AN64" s="35"/>
      <c r="AO64" s="35"/>
      <c r="AP64" s="35"/>
      <c r="AQ64" s="35"/>
      <c r="AR64" s="35"/>
      <c r="AS64" s="35"/>
      <c r="AT64" s="35"/>
      <c r="AU64" s="35"/>
      <c r="AV64" s="35"/>
      <c r="AW64" s="35"/>
      <c r="AX64" s="33">
        <f t="shared" si="0"/>
        <v>0</v>
      </c>
      <c r="AY64" s="43" t="s">
        <v>2038</v>
      </c>
    </row>
    <row r="65" spans="1:51" s="23" customFormat="1" ht="57" customHeight="1" x14ac:dyDescent="0.3">
      <c r="A65" s="26">
        <v>48</v>
      </c>
      <c r="B65" s="43" t="s">
        <v>693</v>
      </c>
      <c r="C65" s="28"/>
      <c r="D65" s="300" t="s">
        <v>1662</v>
      </c>
      <c r="E65" s="92">
        <v>1</v>
      </c>
      <c r="F65" s="30" t="s">
        <v>30</v>
      </c>
      <c r="G65" s="234">
        <f>[1]DICIEMBRE!$BA$68</f>
        <v>0</v>
      </c>
      <c r="H65" s="31">
        <f>ENERO!BA65</f>
        <v>0</v>
      </c>
      <c r="I65" s="31"/>
      <c r="J65" s="32"/>
      <c r="K65" s="32"/>
      <c r="L65" s="32"/>
      <c r="M65" s="336"/>
      <c r="N65" s="32"/>
      <c r="O65" s="32"/>
      <c r="P65" s="31"/>
      <c r="Q65" s="31"/>
      <c r="R65" s="31"/>
      <c r="S65" s="34">
        <f>(300*0.16+300)*E65</f>
        <v>348</v>
      </c>
      <c r="T65" s="34"/>
      <c r="U65" s="34"/>
      <c r="V65" s="35"/>
      <c r="W65" s="35"/>
      <c r="X65" s="35"/>
      <c r="Y65" s="35"/>
      <c r="Z65" s="35"/>
      <c r="AA65" s="35">
        <v>348</v>
      </c>
      <c r="AB65" s="35"/>
      <c r="AC65" s="35"/>
      <c r="AD65" s="35"/>
      <c r="AE65" s="35"/>
      <c r="AF65" s="35"/>
      <c r="AG65" s="35"/>
      <c r="AH65" s="35"/>
      <c r="AI65" s="35"/>
      <c r="AJ65" s="35"/>
      <c r="AK65" s="35"/>
      <c r="AL65" s="35"/>
      <c r="AM65" s="35"/>
      <c r="AN65" s="35"/>
      <c r="AO65" s="35"/>
      <c r="AP65" s="35"/>
      <c r="AQ65" s="35"/>
      <c r="AR65" s="35"/>
      <c r="AS65" s="35"/>
      <c r="AT65" s="35"/>
      <c r="AU65" s="35"/>
      <c r="AV65" s="35"/>
      <c r="AW65" s="35"/>
      <c r="AX65" s="33">
        <f t="shared" si="0"/>
        <v>0</v>
      </c>
      <c r="AY65" s="43"/>
    </row>
    <row r="66" spans="1:51" s="23" customFormat="1" ht="74.25" customHeight="1" x14ac:dyDescent="0.3">
      <c r="A66" s="26">
        <v>49</v>
      </c>
      <c r="B66" s="43" t="s">
        <v>1621</v>
      </c>
      <c r="C66" s="28"/>
      <c r="D66" s="300" t="s">
        <v>1622</v>
      </c>
      <c r="E66" s="92">
        <v>1</v>
      </c>
      <c r="F66" s="30" t="s">
        <v>30</v>
      </c>
      <c r="G66" s="112">
        <f>[1]DICIEMBRE!$BA$69</f>
        <v>0</v>
      </c>
      <c r="H66" s="31">
        <f>ENERO!BA66</f>
        <v>0</v>
      </c>
      <c r="I66" s="31"/>
      <c r="J66" s="32"/>
      <c r="K66" s="32"/>
      <c r="L66" s="32"/>
      <c r="M66" s="336"/>
      <c r="N66" s="32"/>
      <c r="O66" s="32"/>
      <c r="P66" s="31"/>
      <c r="Q66" s="31"/>
      <c r="R66" s="31"/>
      <c r="S66" s="34">
        <f>(250*0.16+250)*E66</f>
        <v>290</v>
      </c>
      <c r="T66" s="34"/>
      <c r="U66" s="34"/>
      <c r="V66" s="35"/>
      <c r="W66" s="35"/>
      <c r="X66" s="35"/>
      <c r="Y66" s="35"/>
      <c r="Z66" s="35"/>
      <c r="AA66" s="35"/>
      <c r="AB66" s="35"/>
      <c r="AC66" s="35"/>
      <c r="AD66" s="35"/>
      <c r="AE66" s="35"/>
      <c r="AF66" s="35">
        <v>290</v>
      </c>
      <c r="AG66" s="35"/>
      <c r="AH66" s="35"/>
      <c r="AI66" s="35"/>
      <c r="AJ66" s="35"/>
      <c r="AK66" s="35"/>
      <c r="AL66" s="35"/>
      <c r="AM66" s="35"/>
      <c r="AN66" s="35"/>
      <c r="AO66" s="35"/>
      <c r="AP66" s="35"/>
      <c r="AQ66" s="35"/>
      <c r="AR66" s="35"/>
      <c r="AS66" s="35"/>
      <c r="AT66" s="35"/>
      <c r="AU66" s="35"/>
      <c r="AV66" s="35"/>
      <c r="AW66" s="35"/>
      <c r="AX66" s="33">
        <f t="shared" si="0"/>
        <v>0</v>
      </c>
      <c r="AY66" s="43"/>
    </row>
    <row r="67" spans="1:51" s="23" customFormat="1" ht="96" customHeight="1" x14ac:dyDescent="0.3">
      <c r="A67" s="26">
        <v>50</v>
      </c>
      <c r="B67" s="43" t="s">
        <v>533</v>
      </c>
      <c r="C67" s="28" t="s">
        <v>560</v>
      </c>
      <c r="D67" s="301" t="s">
        <v>1220</v>
      </c>
      <c r="E67" s="92">
        <v>19</v>
      </c>
      <c r="F67" s="30" t="s">
        <v>30</v>
      </c>
      <c r="G67" s="234">
        <f>[1]DICIEMBRE!$BA$70</f>
        <v>2.0000000140498742E-3</v>
      </c>
      <c r="H67" s="45">
        <f>ENERO!BA67</f>
        <v>2.0000000149593689E-3</v>
      </c>
      <c r="I67" s="31"/>
      <c r="J67" s="32"/>
      <c r="K67" s="32"/>
      <c r="L67" s="32"/>
      <c r="M67" s="32"/>
      <c r="N67" s="32"/>
      <c r="O67" s="33"/>
      <c r="P67" s="33"/>
      <c r="Q67" s="31"/>
      <c r="R67" s="31"/>
      <c r="S67" s="34">
        <f>(249*0.16+249)*E67</f>
        <v>5487.9600000000009</v>
      </c>
      <c r="T67" s="34"/>
      <c r="U67" s="34"/>
      <c r="V67" s="35"/>
      <c r="W67" s="35"/>
      <c r="X67" s="35"/>
      <c r="Y67" s="35"/>
      <c r="Z67" s="35">
        <v>5487.96</v>
      </c>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3">
        <f t="shared" si="0"/>
        <v>2.0000000158688636E-3</v>
      </c>
      <c r="AY67" s="43"/>
    </row>
    <row r="68" spans="1:51" s="23" customFormat="1" ht="71.25" customHeight="1" x14ac:dyDescent="0.3">
      <c r="A68" s="26">
        <v>51</v>
      </c>
      <c r="B68" s="43" t="s">
        <v>1676</v>
      </c>
      <c r="C68" s="28"/>
      <c r="D68" s="341" t="s">
        <v>1677</v>
      </c>
      <c r="E68" s="92">
        <v>4</v>
      </c>
      <c r="F68" s="30" t="s">
        <v>30</v>
      </c>
      <c r="G68" s="112">
        <f>[1]DICIEMBRE!$BA$71</f>
        <v>0</v>
      </c>
      <c r="H68" s="31">
        <f>ENERO!BA68</f>
        <v>0</v>
      </c>
      <c r="I68" s="31"/>
      <c r="J68" s="32"/>
      <c r="K68" s="32"/>
      <c r="L68" s="32"/>
      <c r="M68" s="32"/>
      <c r="N68" s="32"/>
      <c r="O68" s="33"/>
      <c r="P68" s="33"/>
      <c r="Q68" s="31"/>
      <c r="R68" s="31"/>
      <c r="S68" s="34">
        <f>(300*0.16+300)*E68+(280*0.16+280)</f>
        <v>1716.8</v>
      </c>
      <c r="T68" s="34">
        <f>3600*0.16+3600</f>
        <v>4176</v>
      </c>
      <c r="U68" s="34"/>
      <c r="V68" s="35"/>
      <c r="W68" s="35"/>
      <c r="X68" s="35"/>
      <c r="Y68" s="35">
        <v>5892.8</v>
      </c>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3">
        <f>SUM(H68+S68+T68-U68-V68-W68-X68-Y68-Z68-AA68-AB68-AC68-AD68-AE68-AF68-AG68-AH68-AI68-AJ68-AK68-AL68-AM68-AN68-AO68-AP68-AQ68-AR68-AS68-AT68-AU68-AV68-AW68)</f>
        <v>0</v>
      </c>
      <c r="AY68" s="43" t="s">
        <v>2031</v>
      </c>
    </row>
    <row r="69" spans="1:51" s="23" customFormat="1" ht="71.25" customHeight="1" x14ac:dyDescent="0.3">
      <c r="A69" s="26">
        <v>52</v>
      </c>
      <c r="B69" s="43" t="s">
        <v>496</v>
      </c>
      <c r="C69" s="28" t="s">
        <v>561</v>
      </c>
      <c r="D69" s="298" t="s">
        <v>1276</v>
      </c>
      <c r="E69" s="92">
        <v>2</v>
      </c>
      <c r="F69" s="30" t="s">
        <v>30</v>
      </c>
      <c r="G69" s="234">
        <f>[1]DICIEMBRE!$BA$72</f>
        <v>-7.9999999981055225E-3</v>
      </c>
      <c r="H69" s="31">
        <f>ENERO!BA69</f>
        <v>-7.9999999979918357E-3</v>
      </c>
      <c r="I69" s="31"/>
      <c r="J69" s="32"/>
      <c r="K69" s="33"/>
      <c r="L69" s="336"/>
      <c r="M69" s="32"/>
      <c r="N69" s="336"/>
      <c r="O69" s="32"/>
      <c r="P69" s="31"/>
      <c r="Q69" s="31"/>
      <c r="R69" s="31"/>
      <c r="S69" s="34">
        <f>(249*0.16+249)*E69</f>
        <v>577.68000000000006</v>
      </c>
      <c r="T69" s="34"/>
      <c r="U69" s="34"/>
      <c r="V69" s="35"/>
      <c r="W69" s="35"/>
      <c r="X69" s="35"/>
      <c r="Y69" s="35"/>
      <c r="Z69" s="35"/>
      <c r="AA69" s="35"/>
      <c r="AB69" s="35"/>
      <c r="AC69" s="35"/>
      <c r="AD69" s="35"/>
      <c r="AE69" s="35"/>
      <c r="AF69" s="35"/>
      <c r="AG69" s="35"/>
      <c r="AH69" s="35">
        <v>577.66999999999996</v>
      </c>
      <c r="AI69" s="35"/>
      <c r="AJ69" s="35"/>
      <c r="AK69" s="35"/>
      <c r="AL69" s="35"/>
      <c r="AM69" s="35"/>
      <c r="AN69" s="35"/>
      <c r="AO69" s="35"/>
      <c r="AP69" s="35"/>
      <c r="AQ69" s="35"/>
      <c r="AR69" s="35"/>
      <c r="AS69" s="35"/>
      <c r="AT69" s="35"/>
      <c r="AU69" s="35"/>
      <c r="AV69" s="35"/>
      <c r="AW69" s="35"/>
      <c r="AX69" s="33">
        <f t="shared" si="0"/>
        <v>2.0000000021127562E-3</v>
      </c>
      <c r="AY69" s="43"/>
    </row>
    <row r="70" spans="1:51" s="23" customFormat="1" ht="65" x14ac:dyDescent="0.3">
      <c r="A70" s="26">
        <v>53</v>
      </c>
      <c r="B70" s="43" t="s">
        <v>323</v>
      </c>
      <c r="C70" s="28" t="s">
        <v>324</v>
      </c>
      <c r="D70" s="298" t="s">
        <v>1221</v>
      </c>
      <c r="E70" s="92">
        <v>1</v>
      </c>
      <c r="F70" s="30" t="s">
        <v>30</v>
      </c>
      <c r="G70" s="112">
        <f>[1]DICIEMBRE!$BA$73</f>
        <v>-866.51999999999782</v>
      </c>
      <c r="H70" s="45">
        <f>ENERO!BA70</f>
        <v>-577.67999999999779</v>
      </c>
      <c r="I70" s="31"/>
      <c r="J70" s="32"/>
      <c r="K70" s="32"/>
      <c r="L70" s="32"/>
      <c r="M70" s="336"/>
      <c r="N70" s="32"/>
      <c r="O70" s="32"/>
      <c r="P70" s="33"/>
      <c r="Q70" s="31"/>
      <c r="R70" s="31"/>
      <c r="S70" s="34">
        <f>(249*0.16+249)*E70</f>
        <v>288.84000000000003</v>
      </c>
      <c r="T70" s="34"/>
      <c r="U70" s="34"/>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3">
        <f t="shared" si="0"/>
        <v>-288.83999999999776</v>
      </c>
      <c r="AY70" s="43" t="s">
        <v>1449</v>
      </c>
    </row>
    <row r="71" spans="1:51" s="23" customFormat="1" ht="67.5" customHeight="1" x14ac:dyDescent="0.3">
      <c r="A71" s="26">
        <v>54</v>
      </c>
      <c r="B71" s="27" t="s">
        <v>50</v>
      </c>
      <c r="C71" s="28" t="s">
        <v>51</v>
      </c>
      <c r="D71" s="298" t="s">
        <v>1222</v>
      </c>
      <c r="E71" s="92">
        <v>1</v>
      </c>
      <c r="F71" s="56" t="s">
        <v>30</v>
      </c>
      <c r="G71" s="234">
        <f>[1]DICIEMBRE!$BA$74</f>
        <v>0</v>
      </c>
      <c r="H71" s="31">
        <f>ENERO!BA71</f>
        <v>0</v>
      </c>
      <c r="I71" s="31"/>
      <c r="J71" s="32"/>
      <c r="K71" s="32"/>
      <c r="L71" s="32"/>
      <c r="M71" s="32"/>
      <c r="N71" s="32"/>
      <c r="O71" s="33"/>
      <c r="P71" s="31"/>
      <c r="Q71" s="31"/>
      <c r="R71" s="31"/>
      <c r="S71" s="34">
        <v>348</v>
      </c>
      <c r="T71" s="34"/>
      <c r="U71" s="34"/>
      <c r="V71" s="35"/>
      <c r="W71" s="35"/>
      <c r="X71" s="35"/>
      <c r="Y71" s="35"/>
      <c r="Z71" s="35"/>
      <c r="AA71" s="35"/>
      <c r="AB71" s="35">
        <v>348</v>
      </c>
      <c r="AC71" s="35"/>
      <c r="AD71" s="35"/>
      <c r="AE71" s="35"/>
      <c r="AF71" s="35"/>
      <c r="AG71" s="35"/>
      <c r="AH71" s="35"/>
      <c r="AI71" s="35"/>
      <c r="AJ71" s="35"/>
      <c r="AK71" s="35"/>
      <c r="AL71" s="35"/>
      <c r="AM71" s="35"/>
      <c r="AN71" s="35"/>
      <c r="AO71" s="35"/>
      <c r="AP71" s="35"/>
      <c r="AQ71" s="54"/>
      <c r="AR71" s="35"/>
      <c r="AS71" s="35"/>
      <c r="AT71" s="35"/>
      <c r="AU71" s="35"/>
      <c r="AV71" s="35"/>
      <c r="AW71" s="35"/>
      <c r="AX71" s="33">
        <f t="shared" si="0"/>
        <v>0</v>
      </c>
      <c r="AY71" s="269"/>
    </row>
    <row r="72" spans="1:51" s="23" customFormat="1" ht="65" x14ac:dyDescent="0.3">
      <c r="A72" s="26">
        <v>55</v>
      </c>
      <c r="B72" s="43" t="s">
        <v>53</v>
      </c>
      <c r="C72" s="53" t="s">
        <v>54</v>
      </c>
      <c r="D72" s="298" t="s">
        <v>1224</v>
      </c>
      <c r="E72" s="92">
        <v>1</v>
      </c>
      <c r="F72" s="56" t="s">
        <v>30</v>
      </c>
      <c r="G72" s="234">
        <f>[1]DICIEMBRE!$BA$76</f>
        <v>0</v>
      </c>
      <c r="H72" s="31">
        <f>ENERO!BA72</f>
        <v>0</v>
      </c>
      <c r="I72" s="31"/>
      <c r="J72" s="32"/>
      <c r="K72" s="32"/>
      <c r="L72" s="32"/>
      <c r="M72" s="336"/>
      <c r="N72" s="32"/>
      <c r="O72" s="32"/>
      <c r="P72" s="31"/>
      <c r="Q72" s="31"/>
      <c r="R72" s="31"/>
      <c r="S72" s="34">
        <f>(300*0.16+300)*E72</f>
        <v>348</v>
      </c>
      <c r="T72" s="34"/>
      <c r="U72" s="34"/>
      <c r="V72" s="35"/>
      <c r="W72" s="35"/>
      <c r="X72" s="35"/>
      <c r="Y72" s="54"/>
      <c r="Z72" s="35"/>
      <c r="AA72" s="35"/>
      <c r="AB72" s="35"/>
      <c r="AC72" s="35"/>
      <c r="AD72" s="35"/>
      <c r="AE72" s="35">
        <v>348</v>
      </c>
      <c r="AF72" s="35"/>
      <c r="AG72" s="35"/>
      <c r="AH72" s="35"/>
      <c r="AI72" s="35"/>
      <c r="AJ72" s="35"/>
      <c r="AK72" s="35"/>
      <c r="AL72" s="35"/>
      <c r="AM72" s="35"/>
      <c r="AN72" s="35"/>
      <c r="AO72" s="35"/>
      <c r="AP72" s="35"/>
      <c r="AQ72" s="35"/>
      <c r="AR72" s="35"/>
      <c r="AS72" s="35"/>
      <c r="AT72" s="35"/>
      <c r="AU72" s="35"/>
      <c r="AV72" s="35"/>
      <c r="AW72" s="35"/>
      <c r="AX72" s="33">
        <f t="shared" si="0"/>
        <v>0</v>
      </c>
      <c r="AY72" s="269"/>
    </row>
    <row r="73" spans="1:51" s="23" customFormat="1" ht="93" customHeight="1" x14ac:dyDescent="0.3">
      <c r="A73" s="26">
        <v>56</v>
      </c>
      <c r="B73" s="43" t="s">
        <v>1741</v>
      </c>
      <c r="C73" s="28"/>
      <c r="D73" s="298" t="s">
        <v>1203</v>
      </c>
      <c r="E73" s="92">
        <v>11</v>
      </c>
      <c r="F73" s="41" t="s">
        <v>30</v>
      </c>
      <c r="G73" s="234">
        <f>[1]DICIEMBRE!$BA$36</f>
        <v>1.2000000006082701E-3</v>
      </c>
      <c r="H73" s="45">
        <f>ENERO!BA73</f>
        <v>-7.5999999990017386E-3</v>
      </c>
      <c r="I73" s="31"/>
      <c r="J73" s="32"/>
      <c r="K73" s="32"/>
      <c r="L73" s="32"/>
      <c r="M73" s="32"/>
      <c r="N73" s="336"/>
      <c r="O73" s="32"/>
      <c r="P73" s="31"/>
      <c r="Q73" s="31"/>
      <c r="R73" s="31"/>
      <c r="S73" s="38">
        <f>(250*0.16+250)*E73</f>
        <v>3190</v>
      </c>
      <c r="T73" s="38"/>
      <c r="U73" s="35"/>
      <c r="V73" s="35"/>
      <c r="W73" s="35"/>
      <c r="X73" s="35"/>
      <c r="Y73" s="35"/>
      <c r="Z73" s="35">
        <v>3189.99</v>
      </c>
      <c r="AA73" s="35"/>
      <c r="AB73" s="35"/>
      <c r="AC73" s="35"/>
      <c r="AD73" s="35"/>
      <c r="AE73" s="35"/>
      <c r="AF73" s="35"/>
      <c r="AG73" s="35"/>
      <c r="AH73" s="35"/>
      <c r="AI73" s="35"/>
      <c r="AJ73" s="35"/>
      <c r="AK73" s="42"/>
      <c r="AL73" s="35"/>
      <c r="AM73" s="35"/>
      <c r="AN73" s="35"/>
      <c r="AO73" s="35"/>
      <c r="AP73" s="35"/>
      <c r="AQ73" s="35"/>
      <c r="AR73" s="35"/>
      <c r="AS73" s="35"/>
      <c r="AT73" s="35"/>
      <c r="AU73" s="35"/>
      <c r="AV73" s="35"/>
      <c r="AW73" s="35"/>
      <c r="AX73" s="33">
        <f>SUM(H73+S73+T73-U73-V73-W73-X73-Y73-Z73-AA73-AB73-AC73-AD73-AE73-AF73-AG73-AH73-AI73-AJ73-AK73-AL73-AM73-AN73-AO73-AP73-AQ73-AR73-AS73-AT73-AU73-AV73-AW73)</f>
        <v>2.4000000012165401E-3</v>
      </c>
      <c r="AY73" s="268"/>
    </row>
    <row r="74" spans="1:51" s="23" customFormat="1" ht="52.5" customHeight="1" x14ac:dyDescent="0.3">
      <c r="A74" s="26">
        <v>57</v>
      </c>
      <c r="B74" s="43" t="s">
        <v>1450</v>
      </c>
      <c r="C74" s="53"/>
      <c r="D74" s="300" t="s">
        <v>595</v>
      </c>
      <c r="E74" s="94">
        <v>3</v>
      </c>
      <c r="F74" s="44" t="s">
        <v>30</v>
      </c>
      <c r="G74" s="234">
        <f>[1]DICIEMBRE!$BA$78</f>
        <v>1.1999999996987754E-3</v>
      </c>
      <c r="H74" s="31">
        <f>ENERO!BA74</f>
        <v>1.1999999996987754E-3</v>
      </c>
      <c r="I74" s="45"/>
      <c r="J74" s="32"/>
      <c r="K74" s="33"/>
      <c r="L74" s="336"/>
      <c r="M74" s="32"/>
      <c r="N74" s="336"/>
      <c r="O74" s="32"/>
      <c r="P74" s="31"/>
      <c r="Q74" s="31"/>
      <c r="R74" s="31"/>
      <c r="S74" s="47">
        <f>(250*0.16+250)*E74</f>
        <v>870</v>
      </c>
      <c r="T74" s="34"/>
      <c r="U74" s="34"/>
      <c r="V74" s="35"/>
      <c r="W74" s="35"/>
      <c r="X74" s="35"/>
      <c r="Y74" s="54"/>
      <c r="Z74" s="35"/>
      <c r="AA74" s="35"/>
      <c r="AB74" s="35"/>
      <c r="AC74" s="35">
        <v>870</v>
      </c>
      <c r="AD74" s="35"/>
      <c r="AE74" s="35"/>
      <c r="AF74" s="35"/>
      <c r="AG74" s="35"/>
      <c r="AH74" s="35"/>
      <c r="AI74" s="35"/>
      <c r="AJ74" s="35"/>
      <c r="AK74" s="35"/>
      <c r="AL74" s="35"/>
      <c r="AM74" s="35"/>
      <c r="AN74" s="35"/>
      <c r="AO74" s="35"/>
      <c r="AP74" s="35"/>
      <c r="AQ74" s="35"/>
      <c r="AR74" s="35"/>
      <c r="AS74" s="35"/>
      <c r="AT74" s="35"/>
      <c r="AU74" s="35"/>
      <c r="AV74" s="35"/>
      <c r="AW74" s="35"/>
      <c r="AX74" s="33">
        <f t="shared" si="0"/>
        <v>1.1999999996987754E-3</v>
      </c>
      <c r="AY74" s="269"/>
    </row>
    <row r="75" spans="1:51" s="23" customFormat="1" ht="80.25" customHeight="1" x14ac:dyDescent="0.3">
      <c r="A75" s="26">
        <v>58</v>
      </c>
      <c r="B75" s="43" t="s">
        <v>1742</v>
      </c>
      <c r="C75" s="28"/>
      <c r="D75" s="298" t="s">
        <v>1506</v>
      </c>
      <c r="E75" s="92">
        <v>5</v>
      </c>
      <c r="F75" s="40" t="s">
        <v>30</v>
      </c>
      <c r="G75" s="112">
        <f>[1]DICIEMBRE!$BA$51</f>
        <v>0</v>
      </c>
      <c r="H75" s="31">
        <f>ENERO!BA75</f>
        <v>0</v>
      </c>
      <c r="I75" s="31"/>
      <c r="J75" s="32"/>
      <c r="K75" s="32"/>
      <c r="L75" s="32"/>
      <c r="M75" s="32"/>
      <c r="N75" s="32"/>
      <c r="O75" s="33"/>
      <c r="P75" s="33"/>
      <c r="Q75" s="31"/>
      <c r="R75" s="31"/>
      <c r="S75" s="34">
        <f>(300*0.16+300)*E75</f>
        <v>1740</v>
      </c>
      <c r="T75" s="34"/>
      <c r="U75" s="34"/>
      <c r="V75" s="35"/>
      <c r="W75" s="54"/>
      <c r="X75" s="35"/>
      <c r="Y75" s="35"/>
      <c r="Z75" s="35">
        <v>1740</v>
      </c>
      <c r="AA75" s="35"/>
      <c r="AB75" s="35"/>
      <c r="AC75" s="35"/>
      <c r="AD75" s="35"/>
      <c r="AE75" s="35"/>
      <c r="AF75" s="35"/>
      <c r="AG75" s="35"/>
      <c r="AH75" s="35"/>
      <c r="AI75" s="36"/>
      <c r="AJ75" s="35"/>
      <c r="AK75" s="35"/>
      <c r="AL75" s="35"/>
      <c r="AM75" s="35"/>
      <c r="AN75" s="35"/>
      <c r="AO75" s="35"/>
      <c r="AP75" s="35"/>
      <c r="AQ75" s="35"/>
      <c r="AR75" s="35"/>
      <c r="AS75" s="35"/>
      <c r="AT75" s="35"/>
      <c r="AU75" s="35"/>
      <c r="AV75" s="35"/>
      <c r="AW75" s="35"/>
      <c r="AX75" s="33">
        <f t="shared" si="0"/>
        <v>0</v>
      </c>
      <c r="AY75" s="267"/>
    </row>
    <row r="76" spans="1:51" s="23" customFormat="1" ht="90" customHeight="1" x14ac:dyDescent="0.3">
      <c r="A76" s="26">
        <v>59</v>
      </c>
      <c r="B76" s="43" t="s">
        <v>1743</v>
      </c>
      <c r="C76" s="28"/>
      <c r="D76" s="298" t="s">
        <v>1238</v>
      </c>
      <c r="E76" s="92">
        <v>14</v>
      </c>
      <c r="F76" s="30" t="s">
        <v>30</v>
      </c>
      <c r="G76" s="234">
        <f>[1]DICIEMBRE!$BA$22</f>
        <v>-1.8189894035458565E-12</v>
      </c>
      <c r="H76" s="45">
        <f>ENERO!BA76</f>
        <v>-2.000000002226443E-3</v>
      </c>
      <c r="I76" s="31"/>
      <c r="J76" s="32"/>
      <c r="K76" s="33"/>
      <c r="L76" s="336"/>
      <c r="M76" s="336"/>
      <c r="N76" s="336"/>
      <c r="O76" s="32"/>
      <c r="P76" s="33"/>
      <c r="Q76" s="31"/>
      <c r="R76" s="31"/>
      <c r="S76" s="34">
        <f>(279*0.16+279)*E76</f>
        <v>4530.96</v>
      </c>
      <c r="T76" s="34"/>
      <c r="U76" s="34"/>
      <c r="V76" s="35"/>
      <c r="W76" s="35"/>
      <c r="X76" s="35"/>
      <c r="Y76" s="35"/>
      <c r="Z76" s="36">
        <v>4530.96</v>
      </c>
      <c r="AA76" s="35"/>
      <c r="AB76" s="35"/>
      <c r="AC76" s="35"/>
      <c r="AD76" s="35"/>
      <c r="AE76" s="35"/>
      <c r="AF76" s="35"/>
      <c r="AG76" s="35"/>
      <c r="AH76" s="35"/>
      <c r="AI76" s="35"/>
      <c r="AJ76" s="35"/>
      <c r="AK76" s="37"/>
      <c r="AL76" s="35"/>
      <c r="AM76" s="35"/>
      <c r="AN76" s="35"/>
      <c r="AO76" s="35"/>
      <c r="AP76" s="35"/>
      <c r="AQ76" s="35"/>
      <c r="AR76" s="35"/>
      <c r="AS76" s="35"/>
      <c r="AT76" s="35"/>
      <c r="AU76" s="35"/>
      <c r="AV76" s="35"/>
      <c r="AW76" s="35"/>
      <c r="AX76" s="33">
        <f t="shared" si="0"/>
        <v>-2.000000002226443E-3</v>
      </c>
      <c r="AY76" s="43"/>
    </row>
    <row r="77" spans="1:51" s="23" customFormat="1" ht="86.25" customHeight="1" x14ac:dyDescent="0.3">
      <c r="A77" s="26">
        <v>60</v>
      </c>
      <c r="B77" s="43" t="s">
        <v>1744</v>
      </c>
      <c r="C77" s="28"/>
      <c r="D77" s="298" t="s">
        <v>1206</v>
      </c>
      <c r="E77" s="92">
        <v>9</v>
      </c>
      <c r="F77" s="30" t="s">
        <v>30</v>
      </c>
      <c r="G77" s="234">
        <f>[1]DICIEMBRE!$BA$40</f>
        <v>4.0000000035433914E-4</v>
      </c>
      <c r="H77" s="31">
        <f>ENERO!BA77</f>
        <v>4.0000000035433914E-4</v>
      </c>
      <c r="I77" s="31"/>
      <c r="J77" s="32"/>
      <c r="K77" s="33"/>
      <c r="L77" s="336"/>
      <c r="M77" s="336"/>
      <c r="N77" s="32"/>
      <c r="O77" s="32"/>
      <c r="P77" s="31"/>
      <c r="Q77" s="31"/>
      <c r="R77" s="31"/>
      <c r="S77" s="34">
        <f>(269*0.16+269)*E77</f>
        <v>2808.36</v>
      </c>
      <c r="T77" s="34">
        <f>500*0.16+500</f>
        <v>580</v>
      </c>
      <c r="U77" s="34"/>
      <c r="V77" s="34"/>
      <c r="W77" s="34"/>
      <c r="X77" s="34"/>
      <c r="Y77" s="34"/>
      <c r="Z77" s="52">
        <v>3388.36</v>
      </c>
      <c r="AA77" s="34"/>
      <c r="AB77" s="34"/>
      <c r="AC77" s="34"/>
      <c r="AD77" s="34"/>
      <c r="AE77" s="34"/>
      <c r="AF77" s="34"/>
      <c r="AG77" s="34"/>
      <c r="AH77" s="34"/>
      <c r="AI77" s="34"/>
      <c r="AJ77" s="34"/>
      <c r="AK77" s="38"/>
      <c r="AL77" s="34"/>
      <c r="AM77" s="34"/>
      <c r="AN77" s="34"/>
      <c r="AO77" s="34"/>
      <c r="AP77" s="34"/>
      <c r="AQ77" s="34"/>
      <c r="AR77" s="34"/>
      <c r="AS77" s="34"/>
      <c r="AT77" s="34"/>
      <c r="AU77" s="34"/>
      <c r="AV77" s="34"/>
      <c r="AW77" s="34"/>
      <c r="AX77" s="33">
        <f t="shared" si="0"/>
        <v>4.0000000035433914E-4</v>
      </c>
      <c r="AY77" s="43" t="s">
        <v>2037</v>
      </c>
    </row>
    <row r="78" spans="1:51" s="23" customFormat="1" ht="69.75" customHeight="1" x14ac:dyDescent="0.3">
      <c r="A78" s="26">
        <v>61</v>
      </c>
      <c r="B78" s="43" t="s">
        <v>1745</v>
      </c>
      <c r="C78" s="53" t="s">
        <v>55</v>
      </c>
      <c r="D78" s="298" t="s">
        <v>1226</v>
      </c>
      <c r="E78" s="92">
        <v>17</v>
      </c>
      <c r="F78" s="56" t="s">
        <v>30</v>
      </c>
      <c r="G78" s="234"/>
      <c r="H78" s="31">
        <f>ENERO!BA78</f>
        <v>0</v>
      </c>
      <c r="I78" s="31"/>
      <c r="J78" s="32"/>
      <c r="K78" s="32"/>
      <c r="L78" s="32"/>
      <c r="M78" s="32"/>
      <c r="N78" s="32"/>
      <c r="O78" s="33"/>
      <c r="P78" s="31"/>
      <c r="Q78" s="31"/>
      <c r="R78" s="31"/>
      <c r="S78" s="34">
        <f>(289*0.16+289)*E78</f>
        <v>5699.08</v>
      </c>
      <c r="T78" s="34">
        <f>856.86*0.16+856.86</f>
        <v>993.95759999999996</v>
      </c>
      <c r="U78" s="34"/>
      <c r="V78" s="35"/>
      <c r="W78" s="35"/>
      <c r="X78" s="35"/>
      <c r="Y78" s="35"/>
      <c r="Z78" s="36"/>
      <c r="AA78" s="54"/>
      <c r="AB78" s="35"/>
      <c r="AC78" s="35"/>
      <c r="AD78" s="35"/>
      <c r="AE78" s="35"/>
      <c r="AF78" s="35"/>
      <c r="AG78" s="35"/>
      <c r="AH78" s="35"/>
      <c r="AI78" s="35"/>
      <c r="AJ78" s="35"/>
      <c r="AK78" s="35"/>
      <c r="AL78" s="35"/>
      <c r="AM78" s="35"/>
      <c r="AN78" s="35"/>
      <c r="AO78" s="35"/>
      <c r="AP78" s="35"/>
      <c r="AQ78" s="35"/>
      <c r="AR78" s="35"/>
      <c r="AS78" s="35"/>
      <c r="AT78" s="35"/>
      <c r="AU78" s="35"/>
      <c r="AV78" s="35"/>
      <c r="AW78" s="35">
        <v>6693.04</v>
      </c>
      <c r="AX78" s="33">
        <f t="shared" si="0"/>
        <v>-2.4000000003070454E-3</v>
      </c>
      <c r="AY78" s="269" t="s">
        <v>2040</v>
      </c>
    </row>
    <row r="79" spans="1:51" s="23" customFormat="1" ht="112.5" customHeight="1" x14ac:dyDescent="0.3">
      <c r="A79" s="26">
        <v>62</v>
      </c>
      <c r="B79" s="55" t="s">
        <v>56</v>
      </c>
      <c r="C79" s="28" t="s">
        <v>57</v>
      </c>
      <c r="D79" s="298" t="s">
        <v>1227</v>
      </c>
      <c r="E79" s="92">
        <v>16</v>
      </c>
      <c r="F79" s="57" t="s">
        <v>33</v>
      </c>
      <c r="G79" s="112">
        <f>[1]DICIEMBRE!$BA$81</f>
        <v>-1.1999999987892807E-3</v>
      </c>
      <c r="H79" s="45">
        <f>ENERO!BA79</f>
        <v>-1.1999999987892807E-3</v>
      </c>
      <c r="I79" s="31"/>
      <c r="J79" s="32"/>
      <c r="K79" s="32"/>
      <c r="L79" s="336"/>
      <c r="M79" s="32"/>
      <c r="N79" s="336"/>
      <c r="O79" s="32"/>
      <c r="P79" s="33"/>
      <c r="Q79" s="31"/>
      <c r="R79" s="31"/>
      <c r="S79" s="34">
        <f>(5250+300)*0.16+5250+300</f>
        <v>6438</v>
      </c>
      <c r="T79" s="34"/>
      <c r="U79" s="34"/>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v>6438</v>
      </c>
      <c r="AW79" s="35"/>
      <c r="AX79" s="33">
        <f t="shared" si="0"/>
        <v>-1.1999999987892807E-3</v>
      </c>
      <c r="AY79" s="270" t="s">
        <v>2313</v>
      </c>
    </row>
    <row r="80" spans="1:51" ht="84" customHeight="1" x14ac:dyDescent="0.35">
      <c r="A80" s="26">
        <v>63</v>
      </c>
      <c r="B80" s="43" t="s">
        <v>2187</v>
      </c>
      <c r="C80" s="28"/>
      <c r="D80" s="298" t="s">
        <v>1522</v>
      </c>
      <c r="E80" s="94">
        <v>5</v>
      </c>
      <c r="F80" s="62" t="s">
        <v>30</v>
      </c>
      <c r="G80" s="112">
        <f>[1]DICIEMBRE!$BA$119</f>
        <v>-1.999999999998181E-2</v>
      </c>
      <c r="H80" s="31">
        <f>ENERO!BA123</f>
        <v>-1.999999999998181E-2</v>
      </c>
      <c r="I80" s="45"/>
      <c r="J80" s="32"/>
      <c r="K80" s="32"/>
      <c r="L80" s="336"/>
      <c r="M80" s="336"/>
      <c r="N80" s="32"/>
      <c r="O80" s="32"/>
      <c r="P80" s="31"/>
      <c r="Q80" s="31"/>
      <c r="R80" s="31"/>
      <c r="S80" s="47">
        <f>(300*0.16+300)*E80</f>
        <v>1740</v>
      </c>
      <c r="T80" s="47">
        <f>1647*0.16+1647</f>
        <v>1910.52</v>
      </c>
      <c r="U80" s="48"/>
      <c r="V80" s="49"/>
      <c r="W80" s="50"/>
      <c r="X80" s="49"/>
      <c r="Y80" s="49">
        <v>3650.5</v>
      </c>
      <c r="Z80" s="49"/>
      <c r="AA80" s="49"/>
      <c r="AB80" s="70"/>
      <c r="AC80" s="49"/>
      <c r="AD80" s="49"/>
      <c r="AE80" s="49"/>
      <c r="AF80" s="49"/>
      <c r="AG80" s="49"/>
      <c r="AH80" s="49"/>
      <c r="AI80" s="49"/>
      <c r="AJ80" s="49"/>
      <c r="AK80" s="49"/>
      <c r="AL80" s="49"/>
      <c r="AM80" s="49"/>
      <c r="AN80" s="49"/>
      <c r="AO80" s="49"/>
      <c r="AP80" s="49"/>
      <c r="AQ80" s="49"/>
      <c r="AR80" s="49"/>
      <c r="AS80" s="49"/>
      <c r="AT80" s="49"/>
      <c r="AU80" s="49"/>
      <c r="AV80" s="49"/>
      <c r="AW80" s="49"/>
      <c r="AX80" s="33">
        <f>SUM(H80+S80+T80-U80-V80-W80-X80-Y80-Z80-AA80-AB80-AC80-AD80-AE80-AF80-AG80-AH80-AI80-AJ80-AK80-AL80-AM80-AN80-AO80-AP80-AQ80-AR80-AS80-AT80-AU80-AV80-AW80)</f>
        <v>0</v>
      </c>
      <c r="AY80" s="267" t="s">
        <v>2186</v>
      </c>
    </row>
    <row r="81" spans="1:51" s="23" customFormat="1" ht="68.25" customHeight="1" x14ac:dyDescent="0.3">
      <c r="A81" s="26">
        <v>64</v>
      </c>
      <c r="B81" s="43" t="s">
        <v>1437</v>
      </c>
      <c r="C81" s="28"/>
      <c r="D81" s="298" t="s">
        <v>1434</v>
      </c>
      <c r="E81" s="92">
        <v>2</v>
      </c>
      <c r="F81" s="30" t="s">
        <v>30</v>
      </c>
      <c r="G81" s="112">
        <f>[1]DICIEMBRE!$BA$83</f>
        <v>0</v>
      </c>
      <c r="H81" s="31">
        <f>ENERO!BA80</f>
        <v>0</v>
      </c>
      <c r="I81" s="31"/>
      <c r="J81" s="32"/>
      <c r="K81" s="33"/>
      <c r="L81" s="32"/>
      <c r="M81" s="336"/>
      <c r="N81" s="32"/>
      <c r="O81" s="32"/>
      <c r="P81" s="33"/>
      <c r="Q81" s="31"/>
      <c r="R81" s="31"/>
      <c r="S81" s="59">
        <f>(300*0.16+300)*E81</f>
        <v>696</v>
      </c>
      <c r="T81" s="34"/>
      <c r="U81" s="34"/>
      <c r="V81" s="35"/>
      <c r="W81" s="35"/>
      <c r="X81" s="35"/>
      <c r="Y81" s="35"/>
      <c r="Z81" s="36"/>
      <c r="AA81" s="35"/>
      <c r="AB81" s="35"/>
      <c r="AC81" s="54"/>
      <c r="AD81" s="35"/>
      <c r="AE81" s="35"/>
      <c r="AF81" s="35"/>
      <c r="AG81" s="35"/>
      <c r="AH81" s="35"/>
      <c r="AI81" s="35">
        <v>696</v>
      </c>
      <c r="AJ81" s="35"/>
      <c r="AK81" s="35"/>
      <c r="AL81" s="35"/>
      <c r="AM81" s="35"/>
      <c r="AN81" s="35"/>
      <c r="AO81" s="35"/>
      <c r="AP81" s="35"/>
      <c r="AQ81" s="35"/>
      <c r="AR81" s="35"/>
      <c r="AS81" s="35"/>
      <c r="AT81" s="35"/>
      <c r="AU81" s="35"/>
      <c r="AV81" s="35"/>
      <c r="AW81" s="35"/>
      <c r="AX81" s="33">
        <f t="shared" si="0"/>
        <v>0</v>
      </c>
      <c r="AY81" s="43"/>
    </row>
    <row r="82" spans="1:51" s="23" customFormat="1" ht="68.25" customHeight="1" x14ac:dyDescent="0.3">
      <c r="A82" s="26">
        <v>65</v>
      </c>
      <c r="B82" s="27" t="s">
        <v>1746</v>
      </c>
      <c r="C82" s="28" t="s">
        <v>59</v>
      </c>
      <c r="D82" s="298" t="s">
        <v>1228</v>
      </c>
      <c r="E82" s="92">
        <v>8</v>
      </c>
      <c r="F82" s="30" t="s">
        <v>30</v>
      </c>
      <c r="G82" s="234">
        <f>[1]DICIEMBRE!$BA$82</f>
        <v>2784.0048000000006</v>
      </c>
      <c r="H82" s="31">
        <f>ENERO!BA81</f>
        <v>4.8000000006140908E-3</v>
      </c>
      <c r="I82" s="31"/>
      <c r="J82" s="32"/>
      <c r="K82" s="33"/>
      <c r="L82" s="32"/>
      <c r="M82" s="336"/>
      <c r="N82" s="32"/>
      <c r="O82" s="32"/>
      <c r="P82" s="31"/>
      <c r="Q82" s="31"/>
      <c r="R82" s="31"/>
      <c r="S82" s="59">
        <f>(300*0.16+300)*E82</f>
        <v>2784</v>
      </c>
      <c r="T82" s="34"/>
      <c r="U82" s="34"/>
      <c r="V82" s="35"/>
      <c r="W82" s="35"/>
      <c r="X82" s="35"/>
      <c r="Y82" s="35"/>
      <c r="Z82" s="36"/>
      <c r="AA82" s="35"/>
      <c r="AB82" s="35">
        <v>2784</v>
      </c>
      <c r="AC82" s="54"/>
      <c r="AD82" s="35"/>
      <c r="AE82" s="35"/>
      <c r="AF82" s="35"/>
      <c r="AG82" s="35"/>
      <c r="AH82" s="35"/>
      <c r="AI82" s="35"/>
      <c r="AJ82" s="35"/>
      <c r="AK82" s="35"/>
      <c r="AL82" s="35"/>
      <c r="AM82" s="35"/>
      <c r="AN82" s="35"/>
      <c r="AO82" s="35"/>
      <c r="AP82" s="35"/>
      <c r="AQ82" s="35"/>
      <c r="AR82" s="35"/>
      <c r="AS82" s="35"/>
      <c r="AT82" s="35"/>
      <c r="AU82" s="35"/>
      <c r="AV82" s="35"/>
      <c r="AW82" s="35"/>
      <c r="AX82" s="33">
        <f t="shared" si="0"/>
        <v>4.8000000006140908E-3</v>
      </c>
      <c r="AY82" s="43"/>
    </row>
    <row r="83" spans="1:51" s="23" customFormat="1" ht="68.25" customHeight="1" x14ac:dyDescent="0.3">
      <c r="A83" s="26">
        <v>66</v>
      </c>
      <c r="B83" s="43" t="s">
        <v>1071</v>
      </c>
      <c r="C83" s="28"/>
      <c r="D83" s="298" t="s">
        <v>1312</v>
      </c>
      <c r="E83" s="92">
        <v>4</v>
      </c>
      <c r="F83" s="30" t="s">
        <v>30</v>
      </c>
      <c r="G83" s="234">
        <f>[1]DICIEMBRE!$BA$84</f>
        <v>0</v>
      </c>
      <c r="H83" s="45">
        <f>ENERO!BA82</f>
        <v>0</v>
      </c>
      <c r="I83" s="31"/>
      <c r="J83" s="32"/>
      <c r="K83" s="33"/>
      <c r="L83" s="32"/>
      <c r="M83" s="32"/>
      <c r="N83" s="32"/>
      <c r="O83" s="33"/>
      <c r="P83" s="31"/>
      <c r="Q83" s="31"/>
      <c r="R83" s="31"/>
      <c r="S83" s="59">
        <f>(220*0.16+220)*E83</f>
        <v>1020.8</v>
      </c>
      <c r="T83" s="34"/>
      <c r="U83" s="34"/>
      <c r="V83" s="35"/>
      <c r="W83" s="35"/>
      <c r="X83" s="35"/>
      <c r="Y83" s="35"/>
      <c r="Z83" s="36"/>
      <c r="AA83" s="35"/>
      <c r="AB83" s="35"/>
      <c r="AC83" s="54"/>
      <c r="AD83" s="35"/>
      <c r="AE83" s="35">
        <v>1020.8</v>
      </c>
      <c r="AF83" s="35"/>
      <c r="AG83" s="35"/>
      <c r="AH83" s="35"/>
      <c r="AI83" s="35"/>
      <c r="AJ83" s="35"/>
      <c r="AK83" s="35"/>
      <c r="AL83" s="35"/>
      <c r="AM83" s="35"/>
      <c r="AN83" s="35"/>
      <c r="AO83" s="35"/>
      <c r="AP83" s="35"/>
      <c r="AQ83" s="35"/>
      <c r="AR83" s="35"/>
      <c r="AS83" s="35"/>
      <c r="AT83" s="35"/>
      <c r="AU83" s="35"/>
      <c r="AV83" s="35"/>
      <c r="AW83" s="35"/>
      <c r="AX83" s="33">
        <f t="shared" si="0"/>
        <v>0</v>
      </c>
      <c r="AY83" s="43"/>
    </row>
    <row r="84" spans="1:51" s="23" customFormat="1" ht="68.25" customHeight="1" x14ac:dyDescent="0.3">
      <c r="A84" s="26">
        <v>67</v>
      </c>
      <c r="B84" s="43" t="s">
        <v>688</v>
      </c>
      <c r="C84" s="28"/>
      <c r="D84" s="299" t="s">
        <v>1230</v>
      </c>
      <c r="E84" s="92">
        <v>3</v>
      </c>
      <c r="F84" s="30" t="s">
        <v>30</v>
      </c>
      <c r="G84" s="112">
        <f>[1]DICIEMBRE!$BA$87</f>
        <v>-4.400000000032378E-3</v>
      </c>
      <c r="H84" s="31">
        <f>ENERO!BA84</f>
        <v>-4.400000000032378E-3</v>
      </c>
      <c r="I84" s="31"/>
      <c r="J84" s="32"/>
      <c r="K84" s="32"/>
      <c r="L84" s="336"/>
      <c r="M84" s="336"/>
      <c r="N84" s="32"/>
      <c r="O84" s="33"/>
      <c r="P84" s="33"/>
      <c r="Q84" s="31"/>
      <c r="R84" s="31"/>
      <c r="S84" s="59">
        <f>(250*0.16+250)*E84</f>
        <v>870</v>
      </c>
      <c r="T84" s="34"/>
      <c r="U84" s="34"/>
      <c r="V84" s="35"/>
      <c r="W84" s="35"/>
      <c r="X84" s="35"/>
      <c r="Y84" s="35"/>
      <c r="Z84" s="36"/>
      <c r="AA84" s="35"/>
      <c r="AB84" s="35">
        <v>870</v>
      </c>
      <c r="AC84" s="54"/>
      <c r="AD84" s="35"/>
      <c r="AE84" s="35"/>
      <c r="AF84" s="35"/>
      <c r="AG84" s="35"/>
      <c r="AH84" s="35"/>
      <c r="AI84" s="35"/>
      <c r="AJ84" s="35"/>
      <c r="AK84" s="35"/>
      <c r="AL84" s="35"/>
      <c r="AM84" s="35"/>
      <c r="AN84" s="35"/>
      <c r="AO84" s="35"/>
      <c r="AP84" s="35"/>
      <c r="AQ84" s="35"/>
      <c r="AR84" s="35"/>
      <c r="AS84" s="35"/>
      <c r="AT84" s="35"/>
      <c r="AU84" s="35"/>
      <c r="AV84" s="35"/>
      <c r="AW84" s="35"/>
      <c r="AX84" s="33">
        <f t="shared" si="0"/>
        <v>-4.400000000032378E-3</v>
      </c>
      <c r="AY84" s="43"/>
    </row>
    <row r="85" spans="1:51" s="23" customFormat="1" ht="68.25" customHeight="1" x14ac:dyDescent="0.3">
      <c r="A85" s="26">
        <v>68</v>
      </c>
      <c r="B85" s="43" t="s">
        <v>1543</v>
      </c>
      <c r="C85" s="28"/>
      <c r="D85" s="318" t="s">
        <v>1544</v>
      </c>
      <c r="E85" s="92">
        <v>3</v>
      </c>
      <c r="F85" s="30" t="s">
        <v>30</v>
      </c>
      <c r="G85" s="234">
        <f>[1]DICIEMBRE!$BA$88</f>
        <v>4.5474735088646412E-13</v>
      </c>
      <c r="H85" s="45">
        <f>ENERO!BA85</f>
        <v>4.5474735088646412E-13</v>
      </c>
      <c r="I85" s="31"/>
      <c r="J85" s="32"/>
      <c r="K85" s="32"/>
      <c r="L85" s="336"/>
      <c r="M85" s="336"/>
      <c r="N85" s="32"/>
      <c r="O85" s="33"/>
      <c r="P85" s="33"/>
      <c r="Q85" s="31"/>
      <c r="R85" s="31"/>
      <c r="S85" s="59">
        <f>(300*0.16+300)*E85</f>
        <v>1044</v>
      </c>
      <c r="T85" s="34"/>
      <c r="U85" s="34"/>
      <c r="V85" s="35"/>
      <c r="W85" s="35"/>
      <c r="X85" s="35"/>
      <c r="Y85" s="35"/>
      <c r="Z85" s="36"/>
      <c r="AA85" s="35"/>
      <c r="AB85" s="35"/>
      <c r="AC85" s="54"/>
      <c r="AD85" s="35"/>
      <c r="AE85" s="35">
        <v>1044</v>
      </c>
      <c r="AF85" s="35"/>
      <c r="AG85" s="35"/>
      <c r="AH85" s="35"/>
      <c r="AI85" s="35"/>
      <c r="AJ85" s="35"/>
      <c r="AK85" s="35"/>
      <c r="AL85" s="35"/>
      <c r="AM85" s="35"/>
      <c r="AN85" s="35"/>
      <c r="AO85" s="35"/>
      <c r="AP85" s="35"/>
      <c r="AQ85" s="35"/>
      <c r="AR85" s="35"/>
      <c r="AS85" s="35"/>
      <c r="AT85" s="35"/>
      <c r="AU85" s="35"/>
      <c r="AV85" s="35"/>
      <c r="AW85" s="35"/>
      <c r="AX85" s="33">
        <f t="shared" ref="AX85:AX148" si="1">SUM(H85+S85+T85-U85-V85-W85-X85-Y85-Z85-AA85-AB85-AC85-AD85-AE85-AF85-AG85-AH85-AI85-AJ85-AK85-AL85-AM85-AN85-AO85-AP85-AQ85-AR85-AS85-AT85-AU85-AV85-AW85)</f>
        <v>4.5474735088646412E-13</v>
      </c>
      <c r="AY85" s="43"/>
    </row>
    <row r="86" spans="1:51" s="23" customFormat="1" ht="68.25" customHeight="1" x14ac:dyDescent="0.3">
      <c r="A86" s="26">
        <v>69</v>
      </c>
      <c r="B86" s="43" t="s">
        <v>869</v>
      </c>
      <c r="C86" s="28"/>
      <c r="D86" s="299" t="s">
        <v>1231</v>
      </c>
      <c r="E86" s="92">
        <v>5</v>
      </c>
      <c r="F86" s="30" t="s">
        <v>30</v>
      </c>
      <c r="G86" s="112">
        <f>[1]DICIEMBRE!$BA$89</f>
        <v>0</v>
      </c>
      <c r="H86" s="31">
        <f>ENERO!BA86</f>
        <v>0</v>
      </c>
      <c r="I86" s="31"/>
      <c r="J86" s="32"/>
      <c r="K86" s="32"/>
      <c r="L86" s="32"/>
      <c r="M86" s="32"/>
      <c r="N86" s="32"/>
      <c r="O86" s="32"/>
      <c r="P86" s="31"/>
      <c r="Q86" s="31"/>
      <c r="R86" s="31"/>
      <c r="S86" s="59">
        <f>(300*0.16+300)*E86</f>
        <v>1740</v>
      </c>
      <c r="T86" s="34"/>
      <c r="U86" s="34"/>
      <c r="V86" s="35"/>
      <c r="W86" s="35"/>
      <c r="X86" s="35"/>
      <c r="Y86" s="35"/>
      <c r="Z86" s="36"/>
      <c r="AA86" s="35"/>
      <c r="AB86" s="35"/>
      <c r="AC86" s="54">
        <v>1740</v>
      </c>
      <c r="AD86" s="35"/>
      <c r="AE86" s="35"/>
      <c r="AF86" s="35"/>
      <c r="AG86" s="35"/>
      <c r="AH86" s="35"/>
      <c r="AI86" s="35"/>
      <c r="AJ86" s="35"/>
      <c r="AK86" s="35"/>
      <c r="AL86" s="35"/>
      <c r="AM86" s="35"/>
      <c r="AN86" s="35"/>
      <c r="AO86" s="35"/>
      <c r="AP86" s="35"/>
      <c r="AQ86" s="35"/>
      <c r="AR86" s="35"/>
      <c r="AS86" s="35"/>
      <c r="AT86" s="35"/>
      <c r="AU86" s="35"/>
      <c r="AV86" s="35"/>
      <c r="AW86" s="35"/>
      <c r="AX86" s="33">
        <f t="shared" si="1"/>
        <v>0</v>
      </c>
      <c r="AY86" s="43"/>
    </row>
    <row r="87" spans="1:51" s="23" customFormat="1" ht="68.25" customHeight="1" x14ac:dyDescent="0.3">
      <c r="A87" s="26">
        <v>70</v>
      </c>
      <c r="B87" s="43" t="s">
        <v>1471</v>
      </c>
      <c r="C87" s="28"/>
      <c r="D87" s="318" t="s">
        <v>1477</v>
      </c>
      <c r="E87" s="92">
        <v>8</v>
      </c>
      <c r="F87" s="30" t="s">
        <v>30</v>
      </c>
      <c r="G87" s="234">
        <f>[1]DICIEMBRE!$BA$90</f>
        <v>0</v>
      </c>
      <c r="H87" s="31">
        <f>ENERO!BA87</f>
        <v>0</v>
      </c>
      <c r="I87" s="31"/>
      <c r="J87" s="32"/>
      <c r="K87" s="32"/>
      <c r="L87" s="32"/>
      <c r="M87" s="32"/>
      <c r="N87" s="32"/>
      <c r="O87" s="32"/>
      <c r="P87" s="31"/>
      <c r="Q87" s="31"/>
      <c r="R87" s="31"/>
      <c r="S87" s="59">
        <f>(300*0.16+300)*E87</f>
        <v>2784</v>
      </c>
      <c r="T87" s="34"/>
      <c r="U87" s="34"/>
      <c r="V87" s="35"/>
      <c r="W87" s="35"/>
      <c r="X87" s="35"/>
      <c r="Y87" s="35"/>
      <c r="Z87" s="36"/>
      <c r="AA87" s="35"/>
      <c r="AB87" s="35"/>
      <c r="AC87" s="54">
        <v>2784</v>
      </c>
      <c r="AD87" s="35"/>
      <c r="AE87" s="35"/>
      <c r="AF87" s="35"/>
      <c r="AG87" s="35"/>
      <c r="AH87" s="35"/>
      <c r="AI87" s="35"/>
      <c r="AJ87" s="35"/>
      <c r="AK87" s="35"/>
      <c r="AL87" s="35"/>
      <c r="AM87" s="35"/>
      <c r="AN87" s="35"/>
      <c r="AO87" s="35"/>
      <c r="AP87" s="35"/>
      <c r="AQ87" s="35"/>
      <c r="AR87" s="35"/>
      <c r="AS87" s="35"/>
      <c r="AT87" s="35"/>
      <c r="AU87" s="35"/>
      <c r="AV87" s="35"/>
      <c r="AW87" s="35"/>
      <c r="AX87" s="33">
        <f t="shared" si="1"/>
        <v>0</v>
      </c>
      <c r="AY87" s="43"/>
    </row>
    <row r="88" spans="1:51" s="23" customFormat="1" ht="68.25" customHeight="1" x14ac:dyDescent="0.3">
      <c r="A88" s="26">
        <v>71</v>
      </c>
      <c r="B88" s="43" t="s">
        <v>1467</v>
      </c>
      <c r="C88" s="28"/>
      <c r="D88" s="308" t="s">
        <v>1654</v>
      </c>
      <c r="E88" s="92">
        <v>3</v>
      </c>
      <c r="F88" s="30" t="s">
        <v>30</v>
      </c>
      <c r="G88" s="234">
        <f>[1]DICIEMBRE!$BA$92</f>
        <v>0</v>
      </c>
      <c r="H88" s="45">
        <f>ENERO!BA88</f>
        <v>0</v>
      </c>
      <c r="I88" s="31"/>
      <c r="J88" s="32"/>
      <c r="K88" s="33"/>
      <c r="L88" s="32"/>
      <c r="M88" s="32"/>
      <c r="N88" s="336"/>
      <c r="O88" s="32"/>
      <c r="P88" s="33"/>
      <c r="Q88" s="31"/>
      <c r="R88" s="31"/>
      <c r="S88" s="59">
        <f>(300*0.16+300)*E88</f>
        <v>1044</v>
      </c>
      <c r="T88" s="34"/>
      <c r="U88" s="34"/>
      <c r="V88" s="35"/>
      <c r="W88" s="35"/>
      <c r="X88" s="35"/>
      <c r="Y88" s="35"/>
      <c r="Z88" s="36"/>
      <c r="AA88" s="35"/>
      <c r="AB88" s="35"/>
      <c r="AC88" s="54"/>
      <c r="AD88" s="35"/>
      <c r="AE88" s="35"/>
      <c r="AF88" s="35">
        <v>1044</v>
      </c>
      <c r="AG88" s="35"/>
      <c r="AH88" s="35"/>
      <c r="AI88" s="35"/>
      <c r="AJ88" s="35"/>
      <c r="AK88" s="35"/>
      <c r="AL88" s="35"/>
      <c r="AM88" s="35"/>
      <c r="AN88" s="35"/>
      <c r="AO88" s="35"/>
      <c r="AP88" s="35"/>
      <c r="AQ88" s="35"/>
      <c r="AR88" s="35"/>
      <c r="AS88" s="35"/>
      <c r="AT88" s="35"/>
      <c r="AU88" s="35"/>
      <c r="AV88" s="35"/>
      <c r="AW88" s="35"/>
      <c r="AX88" s="33">
        <f t="shared" si="1"/>
        <v>0</v>
      </c>
      <c r="AY88" s="43"/>
    </row>
    <row r="89" spans="1:51" s="23" customFormat="1" ht="92.25" customHeight="1" x14ac:dyDescent="0.3">
      <c r="A89" s="26">
        <v>72</v>
      </c>
      <c r="B89" s="43" t="s">
        <v>1747</v>
      </c>
      <c r="C89" s="28"/>
      <c r="D89" s="299" t="s">
        <v>1168</v>
      </c>
      <c r="E89" s="93">
        <v>2</v>
      </c>
      <c r="F89" s="30" t="s">
        <v>30</v>
      </c>
      <c r="G89" s="112">
        <f>[1]DICIEMBRE!$BA$33</f>
        <v>1.2000000001535227E-3</v>
      </c>
      <c r="H89" s="31">
        <f>ENERO!BA89</f>
        <v>1.2000000001535227E-3</v>
      </c>
      <c r="I89" s="31"/>
      <c r="J89" s="32"/>
      <c r="K89" s="32"/>
      <c r="L89" s="336"/>
      <c r="M89" s="336"/>
      <c r="N89" s="336"/>
      <c r="O89" s="32"/>
      <c r="P89" s="33"/>
      <c r="Q89" s="31"/>
      <c r="R89" s="31"/>
      <c r="S89" s="34">
        <f>(250*0.16+250)*E89</f>
        <v>580</v>
      </c>
      <c r="T89" s="34"/>
      <c r="U89" s="34"/>
      <c r="V89" s="34"/>
      <c r="W89" s="34"/>
      <c r="X89" s="34"/>
      <c r="Y89" s="34"/>
      <c r="Z89" s="34"/>
      <c r="AA89" s="34"/>
      <c r="AB89" s="34">
        <v>580</v>
      </c>
      <c r="AC89" s="34"/>
      <c r="AD89" s="34"/>
      <c r="AE89" s="34"/>
      <c r="AF89" s="34"/>
      <c r="AG89" s="34"/>
      <c r="AH89" s="34"/>
      <c r="AI89" s="34"/>
      <c r="AJ89" s="34"/>
      <c r="AK89" s="38"/>
      <c r="AL89" s="34"/>
      <c r="AM89" s="34"/>
      <c r="AN89" s="34"/>
      <c r="AO89" s="34"/>
      <c r="AP89" s="34"/>
      <c r="AQ89" s="34"/>
      <c r="AR89" s="34"/>
      <c r="AS89" s="34"/>
      <c r="AT89" s="34"/>
      <c r="AU89" s="34"/>
      <c r="AV89" s="34"/>
      <c r="AW89" s="34"/>
      <c r="AX89" s="33">
        <f t="shared" si="1"/>
        <v>1.2000000001535227E-3</v>
      </c>
      <c r="AY89" s="43"/>
    </row>
    <row r="90" spans="1:51" s="23" customFormat="1" ht="92.25" customHeight="1" x14ac:dyDescent="0.3">
      <c r="A90" s="26">
        <v>73</v>
      </c>
      <c r="B90" s="43" t="s">
        <v>1102</v>
      </c>
      <c r="C90" s="28"/>
      <c r="D90" s="367" t="s">
        <v>2211</v>
      </c>
      <c r="E90" s="368">
        <v>2</v>
      </c>
      <c r="F90" s="30"/>
      <c r="G90" s="112"/>
      <c r="H90" s="31">
        <f>166.66*0.16+166.66</f>
        <v>193.32560000000001</v>
      </c>
      <c r="I90" s="31"/>
      <c r="J90" s="32"/>
      <c r="K90" s="32"/>
      <c r="L90" s="336"/>
      <c r="M90" s="336"/>
      <c r="N90" s="336"/>
      <c r="O90" s="32"/>
      <c r="P90" s="33"/>
      <c r="Q90" s="31"/>
      <c r="R90" s="31"/>
      <c r="S90" s="34">
        <f>650*0.16+650</f>
        <v>754</v>
      </c>
      <c r="T90" s="34"/>
      <c r="U90" s="34"/>
      <c r="V90" s="34"/>
      <c r="W90" s="34"/>
      <c r="X90" s="34"/>
      <c r="Y90" s="34"/>
      <c r="Z90" s="34"/>
      <c r="AA90" s="34"/>
      <c r="AB90" s="34"/>
      <c r="AC90" s="34"/>
      <c r="AD90" s="34"/>
      <c r="AE90" s="34">
        <v>947.33</v>
      </c>
      <c r="AF90" s="34"/>
      <c r="AG90" s="34"/>
      <c r="AH90" s="34"/>
      <c r="AI90" s="34"/>
      <c r="AJ90" s="34"/>
      <c r="AK90" s="38"/>
      <c r="AL90" s="34"/>
      <c r="AM90" s="34"/>
      <c r="AN90" s="34"/>
      <c r="AO90" s="34"/>
      <c r="AP90" s="34"/>
      <c r="AQ90" s="34"/>
      <c r="AR90" s="34"/>
      <c r="AS90" s="34"/>
      <c r="AT90" s="34"/>
      <c r="AU90" s="34"/>
      <c r="AV90" s="34"/>
      <c r="AW90" s="34"/>
      <c r="AX90" s="33">
        <f t="shared" si="1"/>
        <v>-4.400000000032378E-3</v>
      </c>
      <c r="AY90" s="43" t="s">
        <v>2212</v>
      </c>
    </row>
    <row r="91" spans="1:51" s="23" customFormat="1" ht="80.25" customHeight="1" x14ac:dyDescent="0.3">
      <c r="A91" s="26">
        <v>74</v>
      </c>
      <c r="B91" s="43" t="s">
        <v>1748</v>
      </c>
      <c r="C91" s="28"/>
      <c r="D91" s="298" t="s">
        <v>1616</v>
      </c>
      <c r="E91" s="92">
        <v>5</v>
      </c>
      <c r="F91" s="40" t="s">
        <v>30</v>
      </c>
      <c r="G91" s="112">
        <f>[1]DICIEMBRE!$BA$29</f>
        <v>2900</v>
      </c>
      <c r="H91" s="31">
        <f>ENERO!BA90</f>
        <v>4350</v>
      </c>
      <c r="I91" s="31"/>
      <c r="J91" s="32"/>
      <c r="K91" s="32"/>
      <c r="L91" s="32"/>
      <c r="M91" s="32"/>
      <c r="N91" s="32"/>
      <c r="O91" s="32"/>
      <c r="P91" s="31"/>
      <c r="Q91" s="31"/>
      <c r="R91" s="31"/>
      <c r="S91" s="34">
        <f>(250*0.16+250)*E91</f>
        <v>1450</v>
      </c>
      <c r="T91" s="34"/>
      <c r="U91" s="34"/>
      <c r="V91" s="35"/>
      <c r="W91" s="54"/>
      <c r="X91" s="35"/>
      <c r="Y91" s="35"/>
      <c r="Z91" s="35"/>
      <c r="AA91" s="35"/>
      <c r="AB91" s="35"/>
      <c r="AC91" s="35"/>
      <c r="AD91" s="35"/>
      <c r="AE91" s="35"/>
      <c r="AF91" s="35"/>
      <c r="AG91" s="35"/>
      <c r="AH91" s="35"/>
      <c r="AI91" s="36"/>
      <c r="AJ91" s="35"/>
      <c r="AK91" s="35"/>
      <c r="AL91" s="35"/>
      <c r="AM91" s="35">
        <v>5800</v>
      </c>
      <c r="AN91" s="35"/>
      <c r="AO91" s="35"/>
      <c r="AP91" s="35"/>
      <c r="AQ91" s="35"/>
      <c r="AR91" s="35"/>
      <c r="AS91" s="35"/>
      <c r="AT91" s="35"/>
      <c r="AU91" s="35"/>
      <c r="AV91" s="35"/>
      <c r="AW91" s="35"/>
      <c r="AX91" s="33">
        <f>SUM(H91+S91+T91-U91-V91-W91-X91-Y91-Z91-AA91-AB91-AC91-AD91-AE91-AF91-AG91-AH91-AI91-AJ91-AK91-AL91-AM91-AN91-AO91-AP91-AQ91-AR91-AS91-AT91-AU91-AV91-AW91)</f>
        <v>0</v>
      </c>
      <c r="AY91" s="267" t="s">
        <v>796</v>
      </c>
    </row>
    <row r="92" spans="1:51" s="23" customFormat="1" ht="92.25" customHeight="1" x14ac:dyDescent="0.3">
      <c r="A92" s="26">
        <v>75</v>
      </c>
      <c r="B92" s="43" t="s">
        <v>1749</v>
      </c>
      <c r="C92" s="28" t="s">
        <v>32</v>
      </c>
      <c r="D92" s="298" t="s">
        <v>1202</v>
      </c>
      <c r="E92" s="93">
        <v>12</v>
      </c>
      <c r="F92" s="30" t="s">
        <v>30</v>
      </c>
      <c r="G92" s="234">
        <f>[1]DICIEMBRE!$BA$30</f>
        <v>0</v>
      </c>
      <c r="H92" s="45">
        <f>ENERO!BA91</f>
        <v>0</v>
      </c>
      <c r="I92" s="31"/>
      <c r="J92" s="32"/>
      <c r="K92" s="32"/>
      <c r="L92" s="32"/>
      <c r="M92" s="32"/>
      <c r="N92" s="32"/>
      <c r="O92" s="33"/>
      <c r="P92" s="33"/>
      <c r="Q92" s="31"/>
      <c r="R92" s="31"/>
      <c r="S92" s="34">
        <f>(250*0.16+250)*E92</f>
        <v>3480</v>
      </c>
      <c r="T92" s="34"/>
      <c r="U92" s="34"/>
      <c r="V92" s="34"/>
      <c r="W92" s="34"/>
      <c r="X92" s="34"/>
      <c r="Y92" s="34"/>
      <c r="Z92" s="34"/>
      <c r="AA92" s="34">
        <v>3480</v>
      </c>
      <c r="AB92" s="34"/>
      <c r="AC92" s="34"/>
      <c r="AD92" s="34"/>
      <c r="AE92" s="34"/>
      <c r="AF92" s="34"/>
      <c r="AG92" s="34"/>
      <c r="AH92" s="34"/>
      <c r="AI92" s="34"/>
      <c r="AJ92" s="34"/>
      <c r="AK92" s="38"/>
      <c r="AL92" s="34"/>
      <c r="AM92" s="34"/>
      <c r="AN92" s="34"/>
      <c r="AO92" s="34"/>
      <c r="AP92" s="34"/>
      <c r="AQ92" s="34"/>
      <c r="AR92" s="34"/>
      <c r="AS92" s="34"/>
      <c r="AT92" s="34"/>
      <c r="AU92" s="34"/>
      <c r="AV92" s="34"/>
      <c r="AW92" s="34"/>
      <c r="AX92" s="33">
        <f t="shared" si="1"/>
        <v>0</v>
      </c>
      <c r="AY92" s="43"/>
    </row>
    <row r="93" spans="1:51" s="23" customFormat="1" ht="81" customHeight="1" x14ac:dyDescent="0.3">
      <c r="A93" s="26">
        <v>76</v>
      </c>
      <c r="B93" s="43" t="s">
        <v>409</v>
      </c>
      <c r="C93" s="28" t="s">
        <v>412</v>
      </c>
      <c r="D93" s="298" t="s">
        <v>1233</v>
      </c>
      <c r="E93" s="92">
        <v>4</v>
      </c>
      <c r="F93" s="40" t="s">
        <v>30</v>
      </c>
      <c r="G93" s="112">
        <f>[1]DICIEMBRE!$BA$93</f>
        <v>-8.4799999995084363E-2</v>
      </c>
      <c r="H93" s="31">
        <f>ENERO!BA92</f>
        <v>-8.4799999995084363E-2</v>
      </c>
      <c r="I93" s="31"/>
      <c r="J93" s="32"/>
      <c r="K93" s="32"/>
      <c r="L93" s="32"/>
      <c r="M93" s="336"/>
      <c r="N93" s="32"/>
      <c r="O93" s="33"/>
      <c r="P93" s="33"/>
      <c r="Q93" s="31"/>
      <c r="R93" s="31"/>
      <c r="S93" s="34">
        <f>(350*0.16+350)*E93</f>
        <v>1624</v>
      </c>
      <c r="T93" s="34">
        <f>1100*0.16+1100</f>
        <v>1276</v>
      </c>
      <c r="U93" s="34"/>
      <c r="V93" s="35"/>
      <c r="W93" s="54"/>
      <c r="X93" s="35"/>
      <c r="Y93" s="35"/>
      <c r="Z93" s="35"/>
      <c r="AA93" s="35"/>
      <c r="AB93" s="35"/>
      <c r="AC93" s="35"/>
      <c r="AD93" s="35"/>
      <c r="AE93" s="35"/>
      <c r="AF93" s="35">
        <v>2899.92</v>
      </c>
      <c r="AG93" s="35"/>
      <c r="AH93" s="35"/>
      <c r="AI93" s="35"/>
      <c r="AJ93" s="35"/>
      <c r="AK93" s="35"/>
      <c r="AL93" s="35"/>
      <c r="AM93" s="35"/>
      <c r="AN93" s="35"/>
      <c r="AO93" s="35"/>
      <c r="AP93" s="35"/>
      <c r="AQ93" s="35"/>
      <c r="AR93" s="35"/>
      <c r="AS93" s="35"/>
      <c r="AT93" s="35"/>
      <c r="AU93" s="35"/>
      <c r="AV93" s="35"/>
      <c r="AW93" s="35"/>
      <c r="AX93" s="33">
        <f t="shared" si="1"/>
        <v>-4.7999999951571226E-3</v>
      </c>
      <c r="AY93" s="267" t="s">
        <v>2032</v>
      </c>
    </row>
    <row r="94" spans="1:51" s="23" customFormat="1" ht="81" customHeight="1" x14ac:dyDescent="0.3">
      <c r="A94" s="26">
        <v>77</v>
      </c>
      <c r="B94" s="43" t="s">
        <v>410</v>
      </c>
      <c r="C94" s="28" t="s">
        <v>411</v>
      </c>
      <c r="D94" s="298" t="s">
        <v>1233</v>
      </c>
      <c r="E94" s="92">
        <v>8</v>
      </c>
      <c r="F94" s="40" t="s">
        <v>30</v>
      </c>
      <c r="G94" s="234">
        <f>[1]DICIEMBRE!$BA$94</f>
        <v>-8.7999999996100087E-3</v>
      </c>
      <c r="H94" s="31">
        <f>ENERO!BA93</f>
        <v>-8.7999999996100087E-3</v>
      </c>
      <c r="I94" s="31"/>
      <c r="J94" s="32"/>
      <c r="K94" s="33"/>
      <c r="L94" s="32"/>
      <c r="M94" s="32"/>
      <c r="N94" s="32"/>
      <c r="O94" s="32"/>
      <c r="P94" s="31"/>
      <c r="Q94" s="31"/>
      <c r="R94" s="31"/>
      <c r="S94" s="34">
        <f>(350*0.16+350)*E94</f>
        <v>3248</v>
      </c>
      <c r="T94" s="34"/>
      <c r="U94" s="34"/>
      <c r="V94" s="35"/>
      <c r="W94" s="54"/>
      <c r="X94" s="35"/>
      <c r="Y94" s="35"/>
      <c r="Z94" s="35"/>
      <c r="AA94" s="35"/>
      <c r="AB94" s="35"/>
      <c r="AC94" s="35"/>
      <c r="AD94" s="35"/>
      <c r="AE94" s="35"/>
      <c r="AF94" s="35">
        <v>3247.99</v>
      </c>
      <c r="AG94" s="35"/>
      <c r="AH94" s="35"/>
      <c r="AI94" s="35"/>
      <c r="AJ94" s="35"/>
      <c r="AK94" s="35"/>
      <c r="AL94" s="35"/>
      <c r="AM94" s="35"/>
      <c r="AN94" s="35"/>
      <c r="AO94" s="35"/>
      <c r="AP94" s="35"/>
      <c r="AQ94" s="35"/>
      <c r="AR94" s="35"/>
      <c r="AS94" s="35"/>
      <c r="AT94" s="35"/>
      <c r="AU94" s="35"/>
      <c r="AV94" s="35"/>
      <c r="AW94" s="35"/>
      <c r="AX94" s="33">
        <f t="shared" si="1"/>
        <v>1.2000000006082701E-3</v>
      </c>
      <c r="AY94" s="267" t="s">
        <v>2033</v>
      </c>
    </row>
    <row r="95" spans="1:51" s="23" customFormat="1" ht="90" customHeight="1" x14ac:dyDescent="0.3">
      <c r="A95" s="26">
        <v>78</v>
      </c>
      <c r="B95" s="43" t="s">
        <v>1751</v>
      </c>
      <c r="C95" s="28" t="s">
        <v>29</v>
      </c>
      <c r="D95" s="298" t="s">
        <v>1197</v>
      </c>
      <c r="E95" s="92">
        <v>6</v>
      </c>
      <c r="F95" s="30" t="s">
        <v>30</v>
      </c>
      <c r="G95" s="112">
        <f>[1]DICIEMBRE!$BA$19</f>
        <v>0</v>
      </c>
      <c r="H95" s="45">
        <f>ENERO!BA94</f>
        <v>0</v>
      </c>
      <c r="I95" s="31"/>
      <c r="J95" s="32"/>
      <c r="K95" s="32"/>
      <c r="L95" s="32"/>
      <c r="M95" s="32"/>
      <c r="N95" s="32"/>
      <c r="O95" s="32"/>
      <c r="P95" s="31"/>
      <c r="Q95" s="31"/>
      <c r="R95" s="31"/>
      <c r="S95" s="34">
        <f>350*E95*0.16+350*E95</f>
        <v>2436</v>
      </c>
      <c r="T95" s="34">
        <f>1905*0.16+1905</f>
        <v>2209.8000000000002</v>
      </c>
      <c r="U95" s="34"/>
      <c r="V95" s="35"/>
      <c r="W95" s="35"/>
      <c r="X95" s="35"/>
      <c r="Y95" s="35"/>
      <c r="Z95" s="36">
        <v>4645.8</v>
      </c>
      <c r="AA95" s="35"/>
      <c r="AB95" s="35"/>
      <c r="AC95" s="35"/>
      <c r="AD95" s="35"/>
      <c r="AE95" s="35"/>
      <c r="AF95" s="35"/>
      <c r="AG95" s="35"/>
      <c r="AH95" s="35"/>
      <c r="AI95" s="35"/>
      <c r="AJ95" s="35"/>
      <c r="AK95" s="37"/>
      <c r="AL95" s="35"/>
      <c r="AM95" s="35"/>
      <c r="AN95" s="35"/>
      <c r="AO95" s="35"/>
      <c r="AP95" s="35"/>
      <c r="AQ95" s="35"/>
      <c r="AR95" s="35"/>
      <c r="AS95" s="35"/>
      <c r="AT95" s="35"/>
      <c r="AU95" s="35"/>
      <c r="AV95" s="35"/>
      <c r="AW95" s="35"/>
      <c r="AX95" s="33">
        <f t="shared" si="1"/>
        <v>0</v>
      </c>
      <c r="AY95" s="43" t="s">
        <v>2039</v>
      </c>
    </row>
    <row r="96" spans="1:51" s="23" customFormat="1" ht="90" customHeight="1" x14ac:dyDescent="0.3">
      <c r="A96" s="26">
        <v>79</v>
      </c>
      <c r="B96" s="348" t="s">
        <v>1904</v>
      </c>
      <c r="C96" s="28"/>
      <c r="D96" s="300" t="s">
        <v>1905</v>
      </c>
      <c r="E96" s="92">
        <v>1</v>
      </c>
      <c r="F96" s="30"/>
      <c r="G96" s="112"/>
      <c r="H96" s="31">
        <f>ENERO!BA95</f>
        <v>0</v>
      </c>
      <c r="I96" s="31"/>
      <c r="J96" s="32"/>
      <c r="K96" s="32"/>
      <c r="L96" s="32"/>
      <c r="M96" s="32"/>
      <c r="N96" s="32"/>
      <c r="O96" s="32"/>
      <c r="P96" s="31"/>
      <c r="Q96" s="31"/>
      <c r="R96" s="31"/>
      <c r="S96" s="34">
        <f>(249*0.16+249)*E96</f>
        <v>288.84000000000003</v>
      </c>
      <c r="T96" s="34"/>
      <c r="U96" s="34"/>
      <c r="V96" s="35"/>
      <c r="W96" s="35"/>
      <c r="X96" s="35"/>
      <c r="Y96" s="35"/>
      <c r="Z96" s="36">
        <v>288.83999999999997</v>
      </c>
      <c r="AA96" s="35"/>
      <c r="AB96" s="35"/>
      <c r="AC96" s="35"/>
      <c r="AD96" s="35"/>
      <c r="AE96" s="35"/>
      <c r="AF96" s="35"/>
      <c r="AG96" s="35"/>
      <c r="AH96" s="35"/>
      <c r="AI96" s="35"/>
      <c r="AJ96" s="35"/>
      <c r="AK96" s="37"/>
      <c r="AL96" s="35"/>
      <c r="AM96" s="35"/>
      <c r="AN96" s="35"/>
      <c r="AO96" s="35"/>
      <c r="AP96" s="35"/>
      <c r="AQ96" s="35"/>
      <c r="AR96" s="35"/>
      <c r="AS96" s="35"/>
      <c r="AT96" s="35"/>
      <c r="AU96" s="35"/>
      <c r="AV96" s="35"/>
      <c r="AW96" s="35"/>
      <c r="AX96" s="33">
        <f t="shared" si="1"/>
        <v>5.6843418860808015E-14</v>
      </c>
      <c r="AY96" s="43"/>
    </row>
    <row r="97" spans="1:52" s="23" customFormat="1" ht="81" customHeight="1" x14ac:dyDescent="0.3">
      <c r="A97" s="26">
        <v>80</v>
      </c>
      <c r="B97" s="43" t="s">
        <v>1548</v>
      </c>
      <c r="C97" s="28"/>
      <c r="D97" s="298" t="s">
        <v>2064</v>
      </c>
      <c r="E97" s="92">
        <v>9</v>
      </c>
      <c r="F97" s="40" t="s">
        <v>30</v>
      </c>
      <c r="G97" s="112">
        <f>[1]DICIEMBRE!$BA$95</f>
        <v>4.5474735088646412E-13</v>
      </c>
      <c r="H97" s="31">
        <f>ENERO!BA96</f>
        <v>4.5474735088646412E-13</v>
      </c>
      <c r="I97" s="31"/>
      <c r="J97" s="32"/>
      <c r="K97" s="33"/>
      <c r="L97" s="32"/>
      <c r="M97" s="32"/>
      <c r="N97" s="32"/>
      <c r="O97" s="32"/>
      <c r="P97" s="31"/>
      <c r="Q97" s="31"/>
      <c r="R97" s="31"/>
      <c r="S97" s="34">
        <f>(300*0.16+300)*E97</f>
        <v>3132</v>
      </c>
      <c r="T97" s="34"/>
      <c r="U97" s="34"/>
      <c r="V97" s="35"/>
      <c r="W97" s="54"/>
      <c r="X97" s="35"/>
      <c r="Y97" s="35"/>
      <c r="Z97" s="35"/>
      <c r="AA97" s="35"/>
      <c r="AB97" s="35">
        <v>3132</v>
      </c>
      <c r="AC97" s="35"/>
      <c r="AD97" s="35"/>
      <c r="AE97" s="35"/>
      <c r="AF97" s="35"/>
      <c r="AG97" s="35"/>
      <c r="AH97" s="35"/>
      <c r="AI97" s="35"/>
      <c r="AJ97" s="35"/>
      <c r="AK97" s="35"/>
      <c r="AL97" s="35"/>
      <c r="AM97" s="35"/>
      <c r="AN97" s="35"/>
      <c r="AO97" s="35"/>
      <c r="AP97" s="35"/>
      <c r="AQ97" s="35"/>
      <c r="AR97" s="35"/>
      <c r="AS97" s="35"/>
      <c r="AT97" s="35"/>
      <c r="AU97" s="35"/>
      <c r="AV97" s="35"/>
      <c r="AW97" s="35"/>
      <c r="AX97" s="33">
        <f t="shared" si="1"/>
        <v>4.5474735088646412E-13</v>
      </c>
      <c r="AY97" s="267"/>
    </row>
    <row r="98" spans="1:52" s="23" customFormat="1" ht="78" customHeight="1" x14ac:dyDescent="0.3">
      <c r="A98" s="26">
        <v>81</v>
      </c>
      <c r="B98" s="43" t="s">
        <v>1752</v>
      </c>
      <c r="C98" s="27" t="s">
        <v>381</v>
      </c>
      <c r="D98" s="298" t="s">
        <v>1212</v>
      </c>
      <c r="E98" s="92">
        <v>13</v>
      </c>
      <c r="F98" s="30" t="s">
        <v>30</v>
      </c>
      <c r="G98" s="112">
        <f>[1]DICIEMBRE!$BA$55</f>
        <v>-3.9999999989959178E-4</v>
      </c>
      <c r="H98" s="45">
        <f>ENERO!BA97</f>
        <v>-3.9999999989959178E-4</v>
      </c>
      <c r="I98" s="31"/>
      <c r="J98" s="32"/>
      <c r="K98" s="32"/>
      <c r="L98" s="32"/>
      <c r="M98" s="32"/>
      <c r="N98" s="32"/>
      <c r="O98" s="33"/>
      <c r="P98" s="31"/>
      <c r="Q98" s="31"/>
      <c r="R98" s="31"/>
      <c r="S98" s="34">
        <f>(300*0.16+300)*E98</f>
        <v>4524</v>
      </c>
      <c r="T98" s="35">
        <f>1000*0.16+1000</f>
        <v>1160</v>
      </c>
      <c r="U98" s="35"/>
      <c r="V98" s="35"/>
      <c r="W98" s="35"/>
      <c r="X98" s="35"/>
      <c r="Y98" s="35"/>
      <c r="Z98" s="35"/>
      <c r="AA98" s="35"/>
      <c r="AB98" s="35"/>
      <c r="AC98" s="35"/>
      <c r="AD98" s="35"/>
      <c r="AE98" s="35"/>
      <c r="AF98" s="35"/>
      <c r="AG98" s="35">
        <v>5684</v>
      </c>
      <c r="AH98" s="35"/>
      <c r="AI98" s="35"/>
      <c r="AJ98" s="35"/>
      <c r="AK98" s="42"/>
      <c r="AL98" s="35"/>
      <c r="AM98" s="35"/>
      <c r="AN98" s="35"/>
      <c r="AO98" s="35"/>
      <c r="AP98" s="35"/>
      <c r="AQ98" s="35"/>
      <c r="AR98" s="35"/>
      <c r="AS98" s="35"/>
      <c r="AT98" s="35"/>
      <c r="AU98" s="35"/>
      <c r="AV98" s="35"/>
      <c r="AW98" s="35"/>
      <c r="AX98" s="33">
        <f t="shared" si="1"/>
        <v>-3.9999999989959178E-4</v>
      </c>
      <c r="AY98" s="43" t="s">
        <v>2035</v>
      </c>
    </row>
    <row r="99" spans="1:52" ht="62.25" customHeight="1" x14ac:dyDescent="0.35">
      <c r="A99" s="26">
        <v>82</v>
      </c>
      <c r="B99" s="43" t="s">
        <v>1541</v>
      </c>
      <c r="C99" s="53"/>
      <c r="D99" s="300" t="s">
        <v>1495</v>
      </c>
      <c r="E99" s="94">
        <v>2</v>
      </c>
      <c r="F99" s="44" t="s">
        <v>30</v>
      </c>
      <c r="G99" s="112">
        <f>[1]DICIEMBRE!$BA$97</f>
        <v>2909.6628000000001</v>
      </c>
      <c r="H99" s="31">
        <f>ENERO!BA98</f>
        <v>3895.6628000000001</v>
      </c>
      <c r="I99" s="45"/>
      <c r="J99" s="32"/>
      <c r="K99" s="32"/>
      <c r="L99" s="32"/>
      <c r="M99" s="336"/>
      <c r="N99" s="32"/>
      <c r="O99" s="32"/>
      <c r="P99" s="33"/>
      <c r="Q99" s="31"/>
      <c r="R99" s="31"/>
      <c r="S99" s="47">
        <f>(250*0.16+250)*E99</f>
        <v>580</v>
      </c>
      <c r="T99" s="47"/>
      <c r="U99" s="48"/>
      <c r="V99" s="49"/>
      <c r="W99" s="49"/>
      <c r="X99" s="49"/>
      <c r="Y99" s="49"/>
      <c r="Z99" s="49"/>
      <c r="AA99" s="49">
        <v>500</v>
      </c>
      <c r="AB99" s="49"/>
      <c r="AC99" s="49"/>
      <c r="AD99" s="49"/>
      <c r="AE99" s="49"/>
      <c r="AF99" s="49"/>
      <c r="AG99" s="49"/>
      <c r="AH99" s="49"/>
      <c r="AI99" s="49"/>
      <c r="AJ99" s="49"/>
      <c r="AK99" s="49"/>
      <c r="AL99" s="49"/>
      <c r="AM99" s="49"/>
      <c r="AN99" s="49"/>
      <c r="AO99" s="49"/>
      <c r="AP99" s="49"/>
      <c r="AQ99" s="49"/>
      <c r="AR99" s="49"/>
      <c r="AS99" s="49">
        <v>727.66</v>
      </c>
      <c r="AT99" s="49"/>
      <c r="AU99" s="49"/>
      <c r="AV99" s="49"/>
      <c r="AW99" s="49"/>
      <c r="AX99" s="33">
        <f t="shared" si="1"/>
        <v>3248.0028000000002</v>
      </c>
      <c r="AY99" s="43"/>
    </row>
    <row r="100" spans="1:52" ht="62.25" customHeight="1" x14ac:dyDescent="0.35">
      <c r="A100" s="26">
        <v>83</v>
      </c>
      <c r="B100" s="43" t="s">
        <v>1924</v>
      </c>
      <c r="C100" s="53"/>
      <c r="D100" s="249" t="s">
        <v>1508</v>
      </c>
      <c r="E100" s="94">
        <v>5</v>
      </c>
      <c r="F100" s="44" t="s">
        <v>30</v>
      </c>
      <c r="G100" s="112"/>
      <c r="H100" s="31">
        <f>ENERO!BA99</f>
        <v>9.0949470177292824E-13</v>
      </c>
      <c r="I100" s="45"/>
      <c r="J100" s="32"/>
      <c r="K100" s="32"/>
      <c r="L100" s="32"/>
      <c r="M100" s="336"/>
      <c r="N100" s="32"/>
      <c r="O100" s="32"/>
      <c r="P100" s="33"/>
      <c r="Q100" s="31"/>
      <c r="R100" s="31"/>
      <c r="S100" s="47">
        <f>(175*0.16+175)*E100</f>
        <v>1015</v>
      </c>
      <c r="T100" s="47"/>
      <c r="U100" s="48"/>
      <c r="V100" s="49"/>
      <c r="W100" s="49"/>
      <c r="X100" s="49"/>
      <c r="Y100" s="49"/>
      <c r="Z100" s="49">
        <v>1015</v>
      </c>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33">
        <f t="shared" si="1"/>
        <v>9.0949470177292824E-13</v>
      </c>
      <c r="AY100" s="43" t="s">
        <v>2049</v>
      </c>
    </row>
    <row r="101" spans="1:52" s="23" customFormat="1" ht="82.5" customHeight="1" x14ac:dyDescent="0.3">
      <c r="A101" s="26">
        <v>84</v>
      </c>
      <c r="B101" s="43" t="s">
        <v>1753</v>
      </c>
      <c r="C101" s="28" t="s">
        <v>38</v>
      </c>
      <c r="D101" s="298" t="s">
        <v>1505</v>
      </c>
      <c r="E101" s="92">
        <v>9</v>
      </c>
      <c r="F101" s="30" t="s">
        <v>35</v>
      </c>
      <c r="G101" s="112">
        <f>[1]DICIEMBRE!$BA$47</f>
        <v>2.8000000056636054E-3</v>
      </c>
      <c r="H101" s="45">
        <f>ENERO!BA100</f>
        <v>2.8000000056636054E-3</v>
      </c>
      <c r="I101" s="31"/>
      <c r="J101" s="32"/>
      <c r="K101" s="33"/>
      <c r="L101" s="336"/>
      <c r="M101" s="336"/>
      <c r="N101" s="32"/>
      <c r="O101" s="32"/>
      <c r="P101" s="33"/>
      <c r="Q101" s="31"/>
      <c r="R101" s="31"/>
      <c r="S101" s="34">
        <f>(275*0.16+275)*E101</f>
        <v>2871</v>
      </c>
      <c r="T101" s="34"/>
      <c r="U101" s="34"/>
      <c r="V101" s="34"/>
      <c r="W101" s="34"/>
      <c r="X101" s="34"/>
      <c r="Y101" s="34"/>
      <c r="Z101" s="52"/>
      <c r="AA101" s="34"/>
      <c r="AB101" s="34"/>
      <c r="AC101" s="34"/>
      <c r="AD101" s="34"/>
      <c r="AE101" s="34"/>
      <c r="AF101" s="34"/>
      <c r="AG101" s="34"/>
      <c r="AH101" s="34"/>
      <c r="AI101" s="34">
        <v>2871</v>
      </c>
      <c r="AJ101" s="34"/>
      <c r="AK101" s="38"/>
      <c r="AL101" s="34"/>
      <c r="AM101" s="34"/>
      <c r="AN101" s="34"/>
      <c r="AO101" s="34"/>
      <c r="AP101" s="34"/>
      <c r="AQ101" s="34"/>
      <c r="AR101" s="34"/>
      <c r="AS101" s="34"/>
      <c r="AT101" s="34"/>
      <c r="AU101" s="34"/>
      <c r="AV101" s="34"/>
      <c r="AW101" s="34"/>
      <c r="AX101" s="33">
        <f t="shared" si="1"/>
        <v>2.8000000056636054E-3</v>
      </c>
      <c r="AY101" s="43"/>
    </row>
    <row r="102" spans="1:52" s="23" customFormat="1" ht="82.5" customHeight="1" x14ac:dyDescent="0.3">
      <c r="A102" s="26">
        <v>85</v>
      </c>
      <c r="B102" s="348" t="s">
        <v>1893</v>
      </c>
      <c r="C102" s="28"/>
      <c r="D102" s="300" t="s">
        <v>2018</v>
      </c>
      <c r="E102" s="92">
        <v>3</v>
      </c>
      <c r="F102" s="30"/>
      <c r="G102" s="112"/>
      <c r="H102" s="31">
        <f>ENERO!BA101</f>
        <v>9.0949470177292824E-13</v>
      </c>
      <c r="I102" s="31"/>
      <c r="J102" s="32"/>
      <c r="K102" s="33"/>
      <c r="L102" s="336"/>
      <c r="M102" s="336"/>
      <c r="N102" s="32"/>
      <c r="O102" s="32"/>
      <c r="P102" s="33"/>
      <c r="Q102" s="31"/>
      <c r="R102" s="31"/>
      <c r="S102" s="35">
        <f>(189.36*0.16+189.36)*E102</f>
        <v>658.97280000000001</v>
      </c>
      <c r="T102" s="34"/>
      <c r="U102" s="34"/>
      <c r="V102" s="34"/>
      <c r="W102" s="34"/>
      <c r="X102" s="34"/>
      <c r="Y102" s="34"/>
      <c r="Z102" s="52"/>
      <c r="AA102" s="34"/>
      <c r="AB102" s="34">
        <v>658.97</v>
      </c>
      <c r="AC102" s="34"/>
      <c r="AD102" s="34"/>
      <c r="AE102" s="34"/>
      <c r="AF102" s="34"/>
      <c r="AG102" s="34"/>
      <c r="AH102" s="34"/>
      <c r="AI102" s="34"/>
      <c r="AJ102" s="34"/>
      <c r="AK102" s="38"/>
      <c r="AL102" s="34"/>
      <c r="AM102" s="34"/>
      <c r="AN102" s="34"/>
      <c r="AO102" s="34"/>
      <c r="AP102" s="34"/>
      <c r="AQ102" s="34"/>
      <c r="AR102" s="34"/>
      <c r="AS102" s="34"/>
      <c r="AT102" s="34"/>
      <c r="AU102" s="34"/>
      <c r="AV102" s="34"/>
      <c r="AW102" s="34"/>
      <c r="AX102" s="33">
        <f t="shared" si="1"/>
        <v>2.8000000008887582E-3</v>
      </c>
      <c r="AY102" s="43" t="s">
        <v>2050</v>
      </c>
    </row>
    <row r="103" spans="1:52" ht="67.5" customHeight="1" x14ac:dyDescent="0.35">
      <c r="A103" s="26">
        <v>86</v>
      </c>
      <c r="B103" s="43" t="s">
        <v>1755</v>
      </c>
      <c r="C103" s="53" t="s">
        <v>127</v>
      </c>
      <c r="D103" s="298" t="s">
        <v>1923</v>
      </c>
      <c r="E103" s="94">
        <v>13</v>
      </c>
      <c r="F103" s="44" t="s">
        <v>30</v>
      </c>
      <c r="G103" s="234">
        <f>[1]DICIEMBRE!$BA$96</f>
        <v>0</v>
      </c>
      <c r="H103" s="31">
        <f>ENERO!BA102</f>
        <v>0</v>
      </c>
      <c r="I103" s="45"/>
      <c r="J103" s="32"/>
      <c r="K103" s="33"/>
      <c r="L103" s="336"/>
      <c r="M103" s="32"/>
      <c r="N103" s="32"/>
      <c r="O103" s="32"/>
      <c r="P103" s="33"/>
      <c r="Q103" s="31"/>
      <c r="R103" s="31"/>
      <c r="S103" s="47">
        <f>(300*0.16+300)*E103</f>
        <v>4524</v>
      </c>
      <c r="U103" s="48"/>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v>4524</v>
      </c>
      <c r="AT103" s="49"/>
      <c r="AU103" s="49"/>
      <c r="AV103" s="49"/>
      <c r="AW103" s="49"/>
      <c r="AX103" s="33">
        <f t="shared" si="1"/>
        <v>0</v>
      </c>
      <c r="AY103" s="43"/>
    </row>
    <row r="104" spans="1:52" ht="90" customHeight="1" x14ac:dyDescent="0.35">
      <c r="A104" s="26">
        <v>87</v>
      </c>
      <c r="B104" s="27" t="s">
        <v>62</v>
      </c>
      <c r="C104" s="28" t="s">
        <v>63</v>
      </c>
      <c r="D104" s="298" t="s">
        <v>1272</v>
      </c>
      <c r="E104" s="125">
        <v>5</v>
      </c>
      <c r="F104" s="60" t="s">
        <v>33</v>
      </c>
      <c r="G104" s="112">
        <f>[1]DICIEMBRE!$BA$101</f>
        <v>0</v>
      </c>
      <c r="H104" s="45">
        <f>ENERO!BA103</f>
        <v>0</v>
      </c>
      <c r="I104" s="45"/>
      <c r="J104" s="32"/>
      <c r="K104" s="32"/>
      <c r="L104" s="32"/>
      <c r="M104" s="336"/>
      <c r="N104" s="32"/>
      <c r="O104" s="33"/>
      <c r="P104" s="33"/>
      <c r="Q104" s="31"/>
      <c r="R104" s="31"/>
      <c r="S104" s="47">
        <f>(350*0.16+350)*E104</f>
        <v>2030</v>
      </c>
      <c r="T104" s="47"/>
      <c r="U104" s="48"/>
      <c r="V104" s="49"/>
      <c r="W104" s="49"/>
      <c r="X104" s="49"/>
      <c r="Y104" s="49"/>
      <c r="Z104" s="49"/>
      <c r="AA104" s="49"/>
      <c r="AB104" s="49"/>
      <c r="AC104" s="49"/>
      <c r="AD104" s="49"/>
      <c r="AE104" s="49"/>
      <c r="AF104" s="49">
        <v>2030</v>
      </c>
      <c r="AG104" s="49"/>
      <c r="AH104" s="49"/>
      <c r="AI104" s="49"/>
      <c r="AJ104" s="49"/>
      <c r="AK104" s="49"/>
      <c r="AL104" s="49"/>
      <c r="AM104" s="49"/>
      <c r="AN104" s="49"/>
      <c r="AO104" s="49"/>
      <c r="AP104" s="49"/>
      <c r="AQ104" s="49"/>
      <c r="AR104" s="49"/>
      <c r="AS104" s="49"/>
      <c r="AT104" s="49"/>
      <c r="AU104" s="49"/>
      <c r="AV104" s="49"/>
      <c r="AW104" s="49"/>
      <c r="AX104" s="33">
        <f t="shared" si="1"/>
        <v>0</v>
      </c>
      <c r="AY104" s="268"/>
    </row>
    <row r="105" spans="1:52" ht="81.75" customHeight="1" x14ac:dyDescent="0.35">
      <c r="A105" s="26">
        <v>88</v>
      </c>
      <c r="B105" s="55" t="s">
        <v>64</v>
      </c>
      <c r="C105" s="28" t="s">
        <v>65</v>
      </c>
      <c r="D105" s="298" t="s">
        <v>1236</v>
      </c>
      <c r="E105" s="125">
        <v>478</v>
      </c>
      <c r="F105" s="44" t="s">
        <v>30</v>
      </c>
      <c r="G105" s="234">
        <f>[1]DICIEMBRE!$BA$102</f>
        <v>1.0913936421275139E-11</v>
      </c>
      <c r="H105" s="31">
        <f>ENERO!BA104</f>
        <v>2.1827872842550278E-11</v>
      </c>
      <c r="I105" s="45"/>
      <c r="J105" s="32"/>
      <c r="K105" s="33"/>
      <c r="L105" s="32"/>
      <c r="M105" s="32"/>
      <c r="N105" s="32"/>
      <c r="O105" s="32"/>
      <c r="P105" s="31"/>
      <c r="Q105" s="31"/>
      <c r="R105" s="31"/>
      <c r="S105" s="61">
        <f>(150*0.16+150)*E105</f>
        <v>83172</v>
      </c>
      <c r="T105" s="47">
        <f>(9070*0.16+9070)+12544*0.16+12544</f>
        <v>25072.240000000002</v>
      </c>
      <c r="U105" s="48"/>
      <c r="V105" s="49"/>
      <c r="W105" s="49"/>
      <c r="X105" s="49"/>
      <c r="Y105" s="49"/>
      <c r="Z105" s="49"/>
      <c r="AA105" s="49"/>
      <c r="AB105" s="49"/>
      <c r="AC105" s="49"/>
      <c r="AD105" s="49"/>
      <c r="AE105" s="49"/>
      <c r="AF105" s="49"/>
      <c r="AG105" s="49"/>
      <c r="AH105" s="49"/>
      <c r="AI105" s="49">
        <v>93693.2</v>
      </c>
      <c r="AJ105" s="50"/>
      <c r="AK105" s="49"/>
      <c r="AL105" s="49"/>
      <c r="AM105" s="49"/>
      <c r="AN105" s="49"/>
      <c r="AO105" s="49"/>
      <c r="AP105" s="49"/>
      <c r="AQ105" s="49"/>
      <c r="AR105" s="49"/>
      <c r="AS105" s="49"/>
      <c r="AT105" s="49"/>
      <c r="AU105" s="49"/>
      <c r="AV105" s="49"/>
      <c r="AW105" s="49"/>
      <c r="AX105" s="33">
        <f t="shared" si="1"/>
        <v>14551.040000000037</v>
      </c>
      <c r="AY105" s="43" t="s">
        <v>2315</v>
      </c>
      <c r="AZ105" s="150"/>
    </row>
    <row r="106" spans="1:52" ht="69.75" customHeight="1" x14ac:dyDescent="0.35">
      <c r="A106" s="26">
        <v>89</v>
      </c>
      <c r="B106" s="27" t="s">
        <v>66</v>
      </c>
      <c r="C106" s="28" t="s">
        <v>67</v>
      </c>
      <c r="D106" s="298" t="s">
        <v>1237</v>
      </c>
      <c r="E106" s="125">
        <v>2</v>
      </c>
      <c r="F106" s="60" t="s">
        <v>33</v>
      </c>
      <c r="G106" s="112">
        <f>[1]DICIEMBRE!$BA$103</f>
        <v>0</v>
      </c>
      <c r="H106" s="31">
        <f>ENERO!BA105</f>
        <v>0</v>
      </c>
      <c r="I106" s="45"/>
      <c r="J106" s="32"/>
      <c r="K106" s="32"/>
      <c r="L106" s="336"/>
      <c r="M106" s="32"/>
      <c r="N106" s="336"/>
      <c r="O106" s="32"/>
      <c r="P106" s="33"/>
      <c r="Q106" s="31"/>
      <c r="R106" s="31"/>
      <c r="S106" s="47">
        <f>(300*0.16+300)*E106</f>
        <v>696</v>
      </c>
      <c r="T106" s="47"/>
      <c r="U106" s="48"/>
      <c r="V106" s="49"/>
      <c r="W106" s="49"/>
      <c r="X106" s="49"/>
      <c r="Y106" s="49"/>
      <c r="Z106" s="49"/>
      <c r="AA106" s="50"/>
      <c r="AB106" s="49"/>
      <c r="AC106" s="49"/>
      <c r="AD106" s="49"/>
      <c r="AE106" s="49"/>
      <c r="AF106" s="49"/>
      <c r="AG106" s="49"/>
      <c r="AH106" s="49"/>
      <c r="AI106" s="49"/>
      <c r="AJ106" s="49"/>
      <c r="AK106" s="49"/>
      <c r="AL106" s="49"/>
      <c r="AM106" s="49"/>
      <c r="AN106" s="49"/>
      <c r="AO106" s="49"/>
      <c r="AP106" s="49"/>
      <c r="AQ106" s="49"/>
      <c r="AR106" s="49"/>
      <c r="AS106" s="49"/>
      <c r="AT106" s="49"/>
      <c r="AU106" s="49"/>
      <c r="AV106" s="49">
        <v>696</v>
      </c>
      <c r="AW106" s="49"/>
      <c r="AX106" s="33">
        <f t="shared" si="1"/>
        <v>0</v>
      </c>
      <c r="AY106" s="268"/>
    </row>
    <row r="107" spans="1:52" ht="126.75" customHeight="1" x14ac:dyDescent="0.35">
      <c r="A107" s="26">
        <v>90</v>
      </c>
      <c r="B107" s="27" t="s">
        <v>68</v>
      </c>
      <c r="C107" s="28" t="s">
        <v>69</v>
      </c>
      <c r="D107" s="298" t="s">
        <v>1510</v>
      </c>
      <c r="E107" s="126">
        <v>46</v>
      </c>
      <c r="F107" s="62" t="s">
        <v>30</v>
      </c>
      <c r="G107" s="234">
        <f>[1]DICIEMBRE!$BA$104</f>
        <v>-4.3999999979860149E-3</v>
      </c>
      <c r="H107" s="45">
        <f>ENERO!BA106</f>
        <v>-4.3999999979860149E-3</v>
      </c>
      <c r="I107" s="45"/>
      <c r="J107" s="32"/>
      <c r="K107" s="32"/>
      <c r="L107" s="32"/>
      <c r="M107" s="336"/>
      <c r="N107" s="32"/>
      <c r="O107" s="32"/>
      <c r="P107" s="31"/>
      <c r="Q107" s="31"/>
      <c r="R107" s="31"/>
      <c r="S107" s="47">
        <f>(200*0.16+200)*E107</f>
        <v>10672</v>
      </c>
      <c r="T107" s="47">
        <f>650*0.16+650</f>
        <v>754</v>
      </c>
      <c r="U107" s="48"/>
      <c r="V107" s="49"/>
      <c r="W107" s="49"/>
      <c r="X107" s="49"/>
      <c r="Y107" s="49"/>
      <c r="Z107" s="49"/>
      <c r="AA107" s="49"/>
      <c r="AB107" s="49"/>
      <c r="AC107" s="49"/>
      <c r="AD107" s="49"/>
      <c r="AE107" s="49"/>
      <c r="AF107" s="49"/>
      <c r="AG107" s="49"/>
      <c r="AH107" s="49"/>
      <c r="AI107" s="49"/>
      <c r="AJ107" s="49"/>
      <c r="AK107" s="63"/>
      <c r="AL107" s="49"/>
      <c r="AM107" s="49"/>
      <c r="AN107" s="49"/>
      <c r="AO107" s="49"/>
      <c r="AP107" s="49"/>
      <c r="AQ107" s="49"/>
      <c r="AR107" s="49"/>
      <c r="AS107" s="49"/>
      <c r="AT107" s="49"/>
      <c r="AU107" s="49"/>
      <c r="AV107" s="49">
        <v>11426</v>
      </c>
      <c r="AW107" s="49"/>
      <c r="AX107" s="33">
        <f t="shared" si="1"/>
        <v>-4.3999999979860149E-3</v>
      </c>
      <c r="AY107" s="267" t="s">
        <v>2051</v>
      </c>
    </row>
    <row r="108" spans="1:52" ht="69" customHeight="1" x14ac:dyDescent="0.35">
      <c r="A108" s="26">
        <v>91</v>
      </c>
      <c r="B108" s="43" t="s">
        <v>70</v>
      </c>
      <c r="C108" s="53" t="s">
        <v>71</v>
      </c>
      <c r="D108" s="298" t="s">
        <v>1511</v>
      </c>
      <c r="E108" s="125">
        <v>1</v>
      </c>
      <c r="F108" s="44" t="s">
        <v>30</v>
      </c>
      <c r="G108" s="112">
        <f>[1]DICIEMBRE!$BA$105</f>
        <v>0</v>
      </c>
      <c r="H108" s="31">
        <f>ENERO!BA107</f>
        <v>0</v>
      </c>
      <c r="I108" s="45"/>
      <c r="J108" s="32"/>
      <c r="K108" s="33"/>
      <c r="L108" s="32"/>
      <c r="M108" s="32"/>
      <c r="N108" s="32"/>
      <c r="O108" s="32"/>
      <c r="P108" s="33"/>
      <c r="Q108" s="31"/>
      <c r="R108" s="31"/>
      <c r="S108" s="47">
        <v>406</v>
      </c>
      <c r="T108" s="47"/>
      <c r="U108" s="48"/>
      <c r="V108" s="49"/>
      <c r="W108" s="49"/>
      <c r="X108" s="49"/>
      <c r="Y108" s="49"/>
      <c r="Z108" s="49"/>
      <c r="AA108" s="50"/>
      <c r="AB108" s="49"/>
      <c r="AC108" s="49"/>
      <c r="AD108" s="49"/>
      <c r="AE108" s="49"/>
      <c r="AF108" s="49"/>
      <c r="AG108" s="49"/>
      <c r="AH108" s="49"/>
      <c r="AI108" s="49">
        <v>406</v>
      </c>
      <c r="AJ108" s="49"/>
      <c r="AK108" s="49"/>
      <c r="AL108" s="49"/>
      <c r="AM108" s="49"/>
      <c r="AN108" s="49"/>
      <c r="AO108" s="49"/>
      <c r="AP108" s="49"/>
      <c r="AQ108" s="49"/>
      <c r="AR108" s="49"/>
      <c r="AS108" s="49"/>
      <c r="AT108" s="49"/>
      <c r="AU108" s="49"/>
      <c r="AV108" s="49"/>
      <c r="AW108" s="49"/>
      <c r="AX108" s="33">
        <f t="shared" si="1"/>
        <v>0</v>
      </c>
      <c r="AY108" s="43"/>
    </row>
    <row r="109" spans="1:52" ht="95.25" customHeight="1" x14ac:dyDescent="0.35">
      <c r="A109" s="26">
        <v>92</v>
      </c>
      <c r="B109" s="27" t="s">
        <v>72</v>
      </c>
      <c r="C109" s="28" t="s">
        <v>73</v>
      </c>
      <c r="D109" s="298" t="s">
        <v>1512</v>
      </c>
      <c r="E109" s="126">
        <v>4</v>
      </c>
      <c r="F109" s="62" t="s">
        <v>35</v>
      </c>
      <c r="G109" s="234">
        <f>[1]DICIEMBRE!$BA$106</f>
        <v>0</v>
      </c>
      <c r="H109" s="31">
        <f>ENERO!BA108</f>
        <v>0</v>
      </c>
      <c r="I109" s="45"/>
      <c r="J109" s="32"/>
      <c r="K109" s="32"/>
      <c r="L109" s="336"/>
      <c r="M109" s="32"/>
      <c r="N109" s="336"/>
      <c r="O109" s="32"/>
      <c r="P109" s="31"/>
      <c r="Q109" s="31"/>
      <c r="R109" s="31"/>
      <c r="S109" s="47">
        <f>(250*0.16+250)*E109</f>
        <v>1160</v>
      </c>
      <c r="T109" s="47"/>
      <c r="U109" s="48"/>
      <c r="V109" s="49"/>
      <c r="W109" s="49"/>
      <c r="X109" s="49"/>
      <c r="Y109" s="49"/>
      <c r="Z109" s="49"/>
      <c r="AA109" s="49"/>
      <c r="AB109" s="49"/>
      <c r="AC109" s="50"/>
      <c r="AD109" s="49"/>
      <c r="AE109" s="49"/>
      <c r="AF109" s="49"/>
      <c r="AG109" s="49"/>
      <c r="AH109" s="49"/>
      <c r="AI109" s="49"/>
      <c r="AJ109" s="49"/>
      <c r="AK109" s="49"/>
      <c r="AL109" s="49"/>
      <c r="AM109" s="49"/>
      <c r="AN109" s="49"/>
      <c r="AO109" s="49"/>
      <c r="AP109" s="49"/>
      <c r="AQ109" s="49">
        <v>1160</v>
      </c>
      <c r="AR109" s="49"/>
      <c r="AS109" s="49"/>
      <c r="AT109" s="49"/>
      <c r="AU109" s="49"/>
      <c r="AV109" s="49"/>
      <c r="AW109" s="49"/>
      <c r="AX109" s="33">
        <f>SUM(H109+S109+T109-U109-V109-W109-X109-Y109-Z109-AA109-AB109-AC109-AD109-AE109-AF109-AG109-AH109-AI109-AJ109-AK109-AL109-AM109-AN109-AO109-AP109-AQ109-AR109-AS109-AT109-AU109-AV109-AW109)</f>
        <v>0</v>
      </c>
      <c r="AY109" s="267"/>
    </row>
    <row r="110" spans="1:52" ht="81" customHeight="1" x14ac:dyDescent="0.35">
      <c r="A110" s="26">
        <v>93</v>
      </c>
      <c r="B110" s="27" t="s">
        <v>74</v>
      </c>
      <c r="C110" s="28" t="s">
        <v>75</v>
      </c>
      <c r="D110" s="298" t="s">
        <v>1513</v>
      </c>
      <c r="E110" s="125">
        <v>21</v>
      </c>
      <c r="F110" s="60" t="s">
        <v>33</v>
      </c>
      <c r="G110" s="112">
        <f>[1]DICIEMBRE!$BA$107</f>
        <v>-2.2000000026309863E-2</v>
      </c>
      <c r="H110" s="45">
        <f>ENERO!BA109</f>
        <v>-2.600000002712477E-2</v>
      </c>
      <c r="I110" s="65"/>
      <c r="J110" s="32"/>
      <c r="K110" s="32"/>
      <c r="L110" s="32"/>
      <c r="M110" s="336"/>
      <c r="N110" s="32"/>
      <c r="O110" s="33"/>
      <c r="P110" s="33"/>
      <c r="Q110" s="31"/>
      <c r="R110" s="31"/>
      <c r="S110" s="66">
        <f>(315*0.16+315)*E110</f>
        <v>7673.4</v>
      </c>
      <c r="T110" s="66"/>
      <c r="U110" s="67"/>
      <c r="V110" s="68"/>
      <c r="W110" s="68"/>
      <c r="X110" s="68"/>
      <c r="Y110" s="68"/>
      <c r="Z110" s="68"/>
      <c r="AA110" s="68"/>
      <c r="AB110" s="68"/>
      <c r="AC110" s="68"/>
      <c r="AD110" s="68"/>
      <c r="AE110" s="68"/>
      <c r="AF110" s="68"/>
      <c r="AG110" s="68"/>
      <c r="AH110" s="68"/>
      <c r="AI110" s="68"/>
      <c r="AJ110" s="68"/>
      <c r="AK110" s="68"/>
      <c r="AL110" s="63"/>
      <c r="AM110" s="68"/>
      <c r="AN110" s="68"/>
      <c r="AO110" s="68">
        <v>7673.37</v>
      </c>
      <c r="AP110" s="68"/>
      <c r="AQ110" s="68"/>
      <c r="AR110" s="68"/>
      <c r="AS110" s="68"/>
      <c r="AT110" s="68"/>
      <c r="AU110" s="68"/>
      <c r="AV110" s="68"/>
      <c r="AW110" s="68"/>
      <c r="AX110" s="33">
        <f t="shared" si="1"/>
        <v>3.9999999726205715E-3</v>
      </c>
      <c r="AY110" s="268"/>
    </row>
    <row r="111" spans="1:52" ht="58.5" customHeight="1" x14ac:dyDescent="0.35">
      <c r="A111" s="26">
        <v>94</v>
      </c>
      <c r="B111" s="27" t="s">
        <v>80</v>
      </c>
      <c r="C111" s="28" t="s">
        <v>81</v>
      </c>
      <c r="D111" s="298" t="s">
        <v>1515</v>
      </c>
      <c r="E111" s="125">
        <v>2</v>
      </c>
      <c r="F111" s="71" t="s">
        <v>30</v>
      </c>
      <c r="G111" s="112">
        <f>[1]DICIEMBRE!$BA$109</f>
        <v>9.0949470177292824E-13</v>
      </c>
      <c r="H111" s="31">
        <f>ENERO!BA111</f>
        <v>9.0949470177292824E-13</v>
      </c>
      <c r="I111" s="45"/>
      <c r="J111" s="32"/>
      <c r="K111" s="32"/>
      <c r="L111" s="336"/>
      <c r="M111" s="32"/>
      <c r="N111" s="336"/>
      <c r="O111" s="32"/>
      <c r="P111" s="33"/>
      <c r="Q111" s="31"/>
      <c r="R111" s="31"/>
      <c r="S111" s="47">
        <f>(330*0.16+330)*E111</f>
        <v>765.6</v>
      </c>
      <c r="T111" s="47"/>
      <c r="U111" s="48"/>
      <c r="V111" s="47"/>
      <c r="W111" s="47"/>
      <c r="X111" s="47"/>
      <c r="Y111" s="47"/>
      <c r="Z111" s="47"/>
      <c r="AA111" s="47"/>
      <c r="AB111" s="47"/>
      <c r="AC111" s="47"/>
      <c r="AD111" s="47"/>
      <c r="AE111" s="47"/>
      <c r="AF111" s="47"/>
      <c r="AG111" s="47"/>
      <c r="AH111" s="47"/>
      <c r="AI111" s="47"/>
      <c r="AJ111" s="47">
        <v>765.6</v>
      </c>
      <c r="AK111" s="66"/>
      <c r="AL111" s="47"/>
      <c r="AM111" s="47"/>
      <c r="AN111" s="47"/>
      <c r="AO111" s="47"/>
      <c r="AP111" s="47"/>
      <c r="AQ111" s="47"/>
      <c r="AR111" s="47"/>
      <c r="AS111" s="47"/>
      <c r="AT111" s="47"/>
      <c r="AU111" s="47"/>
      <c r="AV111" s="47"/>
      <c r="AW111" s="47"/>
      <c r="AX111" s="33">
        <f t="shared" si="1"/>
        <v>9.0949470177292824E-13</v>
      </c>
      <c r="AY111" s="271"/>
    </row>
    <row r="112" spans="1:52" ht="69" customHeight="1" x14ac:dyDescent="0.35">
      <c r="A112" s="26">
        <v>95</v>
      </c>
      <c r="B112" s="27" t="s">
        <v>82</v>
      </c>
      <c r="C112" s="28" t="s">
        <v>83</v>
      </c>
      <c r="D112" s="298" t="s">
        <v>1516</v>
      </c>
      <c r="E112" s="127">
        <v>3</v>
      </c>
      <c r="F112" s="64" t="s">
        <v>30</v>
      </c>
      <c r="G112" s="234">
        <f>[1]DICIEMBRE!$BA$110</f>
        <v>-1.8189894035458565E-12</v>
      </c>
      <c r="H112" s="45"/>
      <c r="I112" s="45"/>
      <c r="J112" s="32"/>
      <c r="K112" s="32"/>
      <c r="L112" s="32"/>
      <c r="M112" s="336"/>
      <c r="N112" s="32"/>
      <c r="O112" s="33"/>
      <c r="P112" s="31"/>
      <c r="Q112" s="31"/>
      <c r="R112" s="31"/>
      <c r="S112" s="47"/>
      <c r="T112" s="61"/>
      <c r="U112" s="72"/>
      <c r="V112" s="49"/>
      <c r="W112" s="49"/>
      <c r="X112" s="49"/>
      <c r="Y112" s="49"/>
      <c r="Z112" s="49"/>
      <c r="AA112" s="49"/>
      <c r="AB112" s="49"/>
      <c r="AC112" s="49"/>
      <c r="AD112" s="49"/>
      <c r="AE112" s="49"/>
      <c r="AF112" s="49"/>
      <c r="AG112" s="49"/>
      <c r="AH112" s="49"/>
      <c r="AI112" s="49"/>
      <c r="AJ112" s="70"/>
      <c r="AK112" s="49"/>
      <c r="AL112" s="49"/>
      <c r="AM112" s="49"/>
      <c r="AN112" s="49"/>
      <c r="AO112" s="49"/>
      <c r="AP112" s="49"/>
      <c r="AQ112" s="49"/>
      <c r="AR112" s="49"/>
      <c r="AS112" s="49"/>
      <c r="AT112" s="49"/>
      <c r="AU112" s="49"/>
      <c r="AV112" s="49"/>
      <c r="AW112" s="49"/>
      <c r="AX112" s="33">
        <f>SUM(H112+S112+T112-U112-V112-W112-X112-Y112-Z112-AA112-AB112-AC112-AD112-AE112-AF112-AG112-AH112-AI112-AJ112-AK112-AL112-AM112-AN112-AO112-AP112-AQ112-AR112-AS112-AT112-AU112-AV112-AW112)</f>
        <v>0</v>
      </c>
      <c r="AY112" s="269" t="s">
        <v>2264</v>
      </c>
    </row>
    <row r="113" spans="1:51" ht="68.25" customHeight="1" x14ac:dyDescent="0.35">
      <c r="A113" s="26">
        <v>96</v>
      </c>
      <c r="B113" s="43" t="s">
        <v>1781</v>
      </c>
      <c r="C113" s="53" t="s">
        <v>84</v>
      </c>
      <c r="D113" s="298" t="s">
        <v>1517</v>
      </c>
      <c r="E113" s="128">
        <v>3</v>
      </c>
      <c r="F113" s="62" t="s">
        <v>30</v>
      </c>
      <c r="G113" s="112">
        <f>[1]DICIEMBRE!$BA$111</f>
        <v>216.52679999999509</v>
      </c>
      <c r="H113" s="31">
        <f>ENERO!BA113</f>
        <v>-2146.0032000000047</v>
      </c>
      <c r="I113" s="45"/>
      <c r="J113" s="32"/>
      <c r="K113" s="33"/>
      <c r="L113" s="32"/>
      <c r="M113" s="32"/>
      <c r="N113" s="32"/>
      <c r="O113" s="32"/>
      <c r="P113" s="33"/>
      <c r="Q113" s="31"/>
      <c r="R113" s="31"/>
      <c r="S113" s="73">
        <f>(350*0.16+350)*1+(400*0.16+400)*2</f>
        <v>1334</v>
      </c>
      <c r="T113" s="47"/>
      <c r="U113" s="48"/>
      <c r="V113" s="49"/>
      <c r="W113" s="50"/>
      <c r="X113" s="49"/>
      <c r="Y113" s="49"/>
      <c r="Z113" s="49"/>
      <c r="AA113" s="49"/>
      <c r="AB113" s="49"/>
      <c r="AC113" s="49"/>
      <c r="AD113" s="49"/>
      <c r="AE113" s="49"/>
      <c r="AF113" s="49">
        <v>1334</v>
      </c>
      <c r="AG113" s="49"/>
      <c r="AH113" s="49"/>
      <c r="AI113" s="49"/>
      <c r="AJ113" s="49"/>
      <c r="AK113" s="49"/>
      <c r="AL113" s="49"/>
      <c r="AM113" s="49"/>
      <c r="AN113" s="49"/>
      <c r="AO113" s="49"/>
      <c r="AP113" s="49"/>
      <c r="AQ113" s="49"/>
      <c r="AR113" s="49"/>
      <c r="AS113" s="49"/>
      <c r="AT113" s="49"/>
      <c r="AU113" s="49"/>
      <c r="AV113" s="49"/>
      <c r="AW113" s="49"/>
      <c r="AX113" s="33">
        <f t="shared" si="1"/>
        <v>-2146.0032000000047</v>
      </c>
      <c r="AY113" s="267"/>
    </row>
    <row r="114" spans="1:51" ht="68.25" customHeight="1" x14ac:dyDescent="0.35">
      <c r="A114" s="26">
        <v>97</v>
      </c>
      <c r="B114" s="348" t="s">
        <v>2003</v>
      </c>
      <c r="C114" s="53"/>
      <c r="D114" s="300" t="s">
        <v>2004</v>
      </c>
      <c r="E114" s="128">
        <v>2</v>
      </c>
      <c r="F114" s="62" t="s">
        <v>30</v>
      </c>
      <c r="G114" s="112"/>
      <c r="H114" s="31"/>
      <c r="I114" s="45"/>
      <c r="J114" s="32"/>
      <c r="K114" s="33"/>
      <c r="L114" s="32"/>
      <c r="M114" s="32"/>
      <c r="N114" s="32"/>
      <c r="O114" s="32"/>
      <c r="P114" s="33"/>
      <c r="Q114" s="31"/>
      <c r="R114" s="31"/>
      <c r="S114" s="73">
        <f>(350*0.16+350)*1+(400*0.16+400)*1</f>
        <v>870</v>
      </c>
      <c r="T114" s="47"/>
      <c r="U114" s="48"/>
      <c r="V114" s="49"/>
      <c r="W114" s="50"/>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v>870</v>
      </c>
      <c r="AT114" s="49"/>
      <c r="AU114" s="49"/>
      <c r="AV114" s="49"/>
      <c r="AW114" s="49"/>
      <c r="AX114" s="33">
        <f t="shared" si="1"/>
        <v>0</v>
      </c>
      <c r="AY114" s="267"/>
    </row>
    <row r="115" spans="1:51" ht="68.25" customHeight="1" x14ac:dyDescent="0.35">
      <c r="A115" s="26">
        <v>98</v>
      </c>
      <c r="B115" s="27" t="s">
        <v>85</v>
      </c>
      <c r="C115" s="28" t="s">
        <v>86</v>
      </c>
      <c r="D115" s="298" t="s">
        <v>1518</v>
      </c>
      <c r="E115" s="125">
        <v>5</v>
      </c>
      <c r="F115" s="71" t="s">
        <v>35</v>
      </c>
      <c r="G115" s="234">
        <f>[1]DICIEMBRE!$BA$112</f>
        <v>0</v>
      </c>
      <c r="H115" s="31">
        <f>ENERO!BA114</f>
        <v>0</v>
      </c>
      <c r="I115" s="45"/>
      <c r="J115" s="32"/>
      <c r="K115" s="32"/>
      <c r="L115" s="336"/>
      <c r="M115" s="32"/>
      <c r="N115" s="336"/>
      <c r="O115" s="32"/>
      <c r="P115" s="31"/>
      <c r="Q115" s="31"/>
      <c r="R115" s="31"/>
      <c r="S115" s="47">
        <f>(250*0.16+250)*E115</f>
        <v>1450</v>
      </c>
      <c r="T115" s="47"/>
      <c r="U115" s="48"/>
      <c r="V115" s="47"/>
      <c r="W115" s="47"/>
      <c r="X115" s="47"/>
      <c r="Y115" s="47"/>
      <c r="Z115" s="47">
        <v>1450</v>
      </c>
      <c r="AA115" s="47"/>
      <c r="AB115" s="47"/>
      <c r="AC115" s="47"/>
      <c r="AD115" s="47"/>
      <c r="AE115" s="47"/>
      <c r="AF115" s="47"/>
      <c r="AG115" s="47"/>
      <c r="AH115" s="74"/>
      <c r="AI115" s="47"/>
      <c r="AJ115" s="47"/>
      <c r="AK115" s="66"/>
      <c r="AL115" s="47"/>
      <c r="AM115" s="47"/>
      <c r="AN115" s="47"/>
      <c r="AO115" s="47"/>
      <c r="AP115" s="47"/>
      <c r="AQ115" s="47"/>
      <c r="AR115" s="47"/>
      <c r="AS115" s="47"/>
      <c r="AT115" s="47"/>
      <c r="AU115" s="47"/>
      <c r="AV115" s="47"/>
      <c r="AW115" s="47"/>
      <c r="AX115" s="33">
        <f>SUM(H115+S115+T115-U115-V115-W115-X115-Y115-Z115-AA115-AB115-AC115-AD115-AE115-AF115-AG115-AH115-AI115-AJ115-AK115-AL115-AM115-AN115-AO115-AP115-AQ115-AR115-AS115-AT115-AU115-AV115-AW115)</f>
        <v>0</v>
      </c>
      <c r="AY115" s="271"/>
    </row>
    <row r="116" spans="1:51" ht="57" customHeight="1" x14ac:dyDescent="0.35">
      <c r="A116" s="26">
        <v>99</v>
      </c>
      <c r="B116" s="27" t="s">
        <v>1297</v>
      </c>
      <c r="C116" s="28" t="s">
        <v>87</v>
      </c>
      <c r="D116" s="298" t="s">
        <v>1519</v>
      </c>
      <c r="E116" s="125">
        <v>6</v>
      </c>
      <c r="F116" s="60" t="s">
        <v>33</v>
      </c>
      <c r="G116" s="112">
        <f>[1]DICIEMBRE!$BA$113</f>
        <v>-1.8189894035458565E-12</v>
      </c>
      <c r="H116" s="45">
        <f>ENERO!BA115</f>
        <v>-1.8189894035458565E-12</v>
      </c>
      <c r="I116" s="45"/>
      <c r="J116" s="32"/>
      <c r="K116" s="32"/>
      <c r="L116" s="32"/>
      <c r="M116" s="336"/>
      <c r="N116" s="32"/>
      <c r="O116" s="33"/>
      <c r="P116" s="33"/>
      <c r="Q116" s="31"/>
      <c r="R116" s="31"/>
      <c r="S116" s="47">
        <f>(300*0.16+300)*5+(900*0.16+900)*1</f>
        <v>2784</v>
      </c>
      <c r="T116" s="47">
        <f>1879*0.16+1879</f>
        <v>2179.64</v>
      </c>
      <c r="U116" s="48"/>
      <c r="V116" s="49"/>
      <c r="W116" s="50"/>
      <c r="X116" s="49"/>
      <c r="Y116" s="51"/>
      <c r="Z116" s="49"/>
      <c r="AA116" s="49"/>
      <c r="AB116" s="49"/>
      <c r="AC116" s="49"/>
      <c r="AD116" s="49"/>
      <c r="AE116" s="49"/>
      <c r="AF116" s="49"/>
      <c r="AG116" s="49"/>
      <c r="AH116" s="49">
        <v>4963.6400000000003</v>
      </c>
      <c r="AI116" s="49"/>
      <c r="AJ116" s="49"/>
      <c r="AK116" s="49"/>
      <c r="AL116" s="49"/>
      <c r="AM116" s="49"/>
      <c r="AN116" s="49"/>
      <c r="AO116" s="49"/>
      <c r="AP116" s="49"/>
      <c r="AQ116" s="49"/>
      <c r="AR116" s="49"/>
      <c r="AS116" s="49"/>
      <c r="AT116" s="49"/>
      <c r="AU116" s="49"/>
      <c r="AV116" s="49"/>
      <c r="AW116" s="49"/>
      <c r="AX116" s="33">
        <f t="shared" si="1"/>
        <v>-2.7284841053187847E-12</v>
      </c>
      <c r="AY116" s="268" t="s">
        <v>2052</v>
      </c>
    </row>
    <row r="117" spans="1:51" ht="98.25" customHeight="1" x14ac:dyDescent="0.35">
      <c r="A117" s="26">
        <v>100</v>
      </c>
      <c r="B117" s="43" t="s">
        <v>2185</v>
      </c>
      <c r="C117" s="53"/>
      <c r="D117" s="300" t="s">
        <v>2216</v>
      </c>
      <c r="E117" s="125">
        <v>10</v>
      </c>
      <c r="F117" s="44" t="s">
        <v>30</v>
      </c>
      <c r="G117" s="112"/>
      <c r="H117" s="45"/>
      <c r="I117" s="45"/>
      <c r="J117" s="32"/>
      <c r="K117" s="32"/>
      <c r="L117" s="32"/>
      <c r="M117" s="336"/>
      <c r="N117" s="32"/>
      <c r="O117" s="33"/>
      <c r="P117" s="33"/>
      <c r="Q117" s="31"/>
      <c r="R117" s="31"/>
      <c r="S117" s="47">
        <f>(1800*0.16+1800)*E117</f>
        <v>20880</v>
      </c>
      <c r="T117" s="47">
        <f>(2400*0.16+2400)*8+(549*0.16+549)*2</f>
        <v>23545.68</v>
      </c>
      <c r="U117" s="48">
        <f>3000*0.16+3000</f>
        <v>3480</v>
      </c>
      <c r="V117" s="49"/>
      <c r="W117" s="50"/>
      <c r="X117" s="49"/>
      <c r="Y117" s="51"/>
      <c r="Z117" s="49"/>
      <c r="AA117" s="49"/>
      <c r="AB117" s="49"/>
      <c r="AC117" s="49"/>
      <c r="AD117" s="49"/>
      <c r="AE117" s="49"/>
      <c r="AF117" s="49"/>
      <c r="AG117" s="49"/>
      <c r="AH117" s="49"/>
      <c r="AI117" s="49"/>
      <c r="AJ117" s="49"/>
      <c r="AK117" s="49"/>
      <c r="AL117" s="49"/>
      <c r="AM117" s="49">
        <v>40945.68</v>
      </c>
      <c r="AN117" s="49"/>
      <c r="AO117" s="49"/>
      <c r="AP117" s="49"/>
      <c r="AQ117" s="49"/>
      <c r="AR117" s="49"/>
      <c r="AS117" s="49"/>
      <c r="AT117" s="49"/>
      <c r="AU117" s="49"/>
      <c r="AV117" s="49"/>
      <c r="AW117" s="49"/>
      <c r="AX117" s="33">
        <f t="shared" si="1"/>
        <v>0</v>
      </c>
      <c r="AY117" s="268" t="s">
        <v>2219</v>
      </c>
    </row>
    <row r="118" spans="1:51" s="23" customFormat="1" ht="81" customHeight="1" x14ac:dyDescent="0.3">
      <c r="A118" s="26">
        <v>101</v>
      </c>
      <c r="B118" s="43" t="s">
        <v>1478</v>
      </c>
      <c r="C118" s="28"/>
      <c r="D118" s="329" t="s">
        <v>1479</v>
      </c>
      <c r="E118" s="332"/>
      <c r="F118" s="40" t="s">
        <v>30</v>
      </c>
      <c r="G118" s="234">
        <f>[1]DICIEMBRE!$BA$114</f>
        <v>0</v>
      </c>
      <c r="H118" s="31">
        <f>ENERO!BA116</f>
        <v>0</v>
      </c>
      <c r="I118" s="31"/>
      <c r="J118" s="32"/>
      <c r="K118" s="33"/>
      <c r="L118" s="32"/>
      <c r="M118" s="32"/>
      <c r="N118" s="32"/>
      <c r="O118" s="32"/>
      <c r="P118" s="31"/>
      <c r="Q118" s="31"/>
      <c r="R118" s="31"/>
      <c r="S118" s="34"/>
      <c r="T118" s="34">
        <f>(4800*0.16+4800)+(8500*0.16+8500)</f>
        <v>15428</v>
      </c>
      <c r="U118" s="34"/>
      <c r="V118" s="35"/>
      <c r="W118" s="54"/>
      <c r="X118" s="35"/>
      <c r="Y118" s="35"/>
      <c r="Z118" s="35"/>
      <c r="AA118" s="35"/>
      <c r="AB118" s="35"/>
      <c r="AC118" s="35"/>
      <c r="AD118" s="35"/>
      <c r="AE118" s="35"/>
      <c r="AF118" s="35"/>
      <c r="AG118" s="35"/>
      <c r="AH118" s="35"/>
      <c r="AI118" s="35"/>
      <c r="AJ118" s="35"/>
      <c r="AK118" s="35"/>
      <c r="AL118" s="35">
        <f>5568+9860</f>
        <v>15428</v>
      </c>
      <c r="AM118" s="35"/>
      <c r="AN118" s="35"/>
      <c r="AO118" s="35"/>
      <c r="AP118" s="35"/>
      <c r="AQ118" s="35"/>
      <c r="AR118" s="35"/>
      <c r="AS118" s="35"/>
      <c r="AT118" s="35"/>
      <c r="AU118" s="35"/>
      <c r="AV118" s="35"/>
      <c r="AW118" s="35"/>
      <c r="AX118" s="33">
        <f>SUM(H118+S118+T118-U118-V118-W118-X118-Y118-Z118-AA118-AB118-AC118-AD118-AE118-AF118-AG118-AH118-AI118-AJ118-AK118-AL118-AM118-AN118-AO118-AP118-AQ118-AR118-AS118-AT118-AU118-AV118-AW118)</f>
        <v>0</v>
      </c>
      <c r="AY118" s="267" t="s">
        <v>2230</v>
      </c>
    </row>
    <row r="119" spans="1:51" s="23" customFormat="1" ht="113.25" customHeight="1" x14ac:dyDescent="0.3">
      <c r="A119" s="26">
        <v>102</v>
      </c>
      <c r="B119" s="43" t="s">
        <v>299</v>
      </c>
      <c r="C119" s="28"/>
      <c r="D119" s="298" t="s">
        <v>1951</v>
      </c>
      <c r="E119" s="128">
        <v>12</v>
      </c>
      <c r="F119" s="40"/>
      <c r="G119" s="234"/>
      <c r="H119" s="31">
        <f>ENERO!BA117</f>
        <v>0</v>
      </c>
      <c r="I119" s="31"/>
      <c r="J119" s="32"/>
      <c r="K119" s="33"/>
      <c r="L119" s="32"/>
      <c r="M119" s="32"/>
      <c r="N119" s="32"/>
      <c r="O119" s="32"/>
      <c r="P119" s="31"/>
      <c r="Q119" s="31"/>
      <c r="R119" s="31"/>
      <c r="S119" s="34">
        <f>(2790*0.16+2790)*E119</f>
        <v>38836.800000000003</v>
      </c>
      <c r="T119" s="34"/>
      <c r="U119" s="34"/>
      <c r="V119" s="35"/>
      <c r="W119" s="54"/>
      <c r="X119" s="35"/>
      <c r="Y119" s="35"/>
      <c r="Z119" s="35"/>
      <c r="AA119" s="35"/>
      <c r="AB119" s="35"/>
      <c r="AC119" s="35"/>
      <c r="AD119" s="35"/>
      <c r="AE119" s="35"/>
      <c r="AF119" s="35"/>
      <c r="AG119" s="35"/>
      <c r="AH119" s="35"/>
      <c r="AI119" s="35"/>
      <c r="AJ119" s="35"/>
      <c r="AK119" s="35"/>
      <c r="AL119" s="35"/>
      <c r="AM119" s="35"/>
      <c r="AN119" s="35">
        <v>38836.800000000003</v>
      </c>
      <c r="AO119" s="35"/>
      <c r="AP119" s="35"/>
      <c r="AQ119" s="35"/>
      <c r="AR119" s="35"/>
      <c r="AS119" s="35"/>
      <c r="AT119" s="35"/>
      <c r="AU119" s="35"/>
      <c r="AV119" s="35"/>
      <c r="AW119" s="35"/>
      <c r="AX119" s="33">
        <f t="shared" si="1"/>
        <v>0</v>
      </c>
      <c r="AY119" s="267" t="s">
        <v>2239</v>
      </c>
    </row>
    <row r="120" spans="1:51" s="23" customFormat="1" ht="81" customHeight="1" x14ac:dyDescent="0.3">
      <c r="A120" s="26">
        <v>103</v>
      </c>
      <c r="B120" s="43" t="s">
        <v>1680</v>
      </c>
      <c r="C120" s="28"/>
      <c r="D120" s="26" t="s">
        <v>1681</v>
      </c>
      <c r="E120" s="128">
        <v>3</v>
      </c>
      <c r="F120" s="40"/>
      <c r="G120" s="112">
        <f>[1]DICIEMBRE!$BA$115</f>
        <v>5146.92</v>
      </c>
      <c r="H120" s="45">
        <f>ENERO!BA118</f>
        <v>0</v>
      </c>
      <c r="I120" s="31"/>
      <c r="J120" s="32"/>
      <c r="K120" s="33"/>
      <c r="L120" s="32"/>
      <c r="M120" s="32"/>
      <c r="N120" s="32"/>
      <c r="O120" s="32"/>
      <c r="P120" s="31"/>
      <c r="Q120" s="31"/>
      <c r="R120" s="31"/>
      <c r="S120" s="34">
        <f>(2790*0.16+2790)*E120</f>
        <v>9709.2000000000007</v>
      </c>
      <c r="T120" s="34"/>
      <c r="U120" s="34"/>
      <c r="V120" s="35"/>
      <c r="W120" s="54"/>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3">
        <f t="shared" si="1"/>
        <v>9709.2000000000007</v>
      </c>
      <c r="AY120" s="267" t="s">
        <v>2058</v>
      </c>
    </row>
    <row r="121" spans="1:51" s="23" customFormat="1" ht="81" customHeight="1" x14ac:dyDescent="0.3">
      <c r="A121" s="26">
        <v>104</v>
      </c>
      <c r="B121" s="43" t="s">
        <v>2059</v>
      </c>
      <c r="C121" s="28"/>
      <c r="D121" s="30" t="s">
        <v>902</v>
      </c>
      <c r="E121" s="358">
        <v>2</v>
      </c>
      <c r="F121" s="40"/>
      <c r="G121" s="112"/>
      <c r="H121" s="45"/>
      <c r="I121" s="31"/>
      <c r="J121" s="32"/>
      <c r="K121" s="33"/>
      <c r="L121" s="32"/>
      <c r="M121" s="32"/>
      <c r="N121" s="32"/>
      <c r="O121" s="32"/>
      <c r="P121" s="31"/>
      <c r="Q121" s="31"/>
      <c r="R121" s="31"/>
      <c r="S121" s="34">
        <f>(2700*0.16+2700)*E121</f>
        <v>6264</v>
      </c>
      <c r="T121" s="34"/>
      <c r="U121" s="34"/>
      <c r="V121" s="35"/>
      <c r="W121" s="54"/>
      <c r="X121" s="35"/>
      <c r="Y121" s="35"/>
      <c r="Z121" s="35"/>
      <c r="AA121" s="35"/>
      <c r="AB121" s="35">
        <v>6264</v>
      </c>
      <c r="AC121" s="35"/>
      <c r="AD121" s="35"/>
      <c r="AE121" s="35"/>
      <c r="AF121" s="35"/>
      <c r="AG121" s="35"/>
      <c r="AH121" s="35"/>
      <c r="AI121" s="35"/>
      <c r="AJ121" s="35"/>
      <c r="AK121" s="35"/>
      <c r="AL121" s="35"/>
      <c r="AM121" s="35"/>
      <c r="AN121" s="35"/>
      <c r="AO121" s="35"/>
      <c r="AP121" s="35"/>
      <c r="AQ121" s="35"/>
      <c r="AR121" s="35"/>
      <c r="AS121" s="35"/>
      <c r="AT121" s="35"/>
      <c r="AU121" s="35"/>
      <c r="AV121" s="35"/>
      <c r="AW121" s="35"/>
      <c r="AX121" s="33">
        <f t="shared" si="1"/>
        <v>0</v>
      </c>
      <c r="AY121" s="267" t="s">
        <v>2060</v>
      </c>
    </row>
    <row r="122" spans="1:51" s="23" customFormat="1" ht="81" customHeight="1" x14ac:dyDescent="0.3">
      <c r="A122" s="26">
        <v>105</v>
      </c>
      <c r="B122" s="43" t="s">
        <v>2295</v>
      </c>
      <c r="C122" s="28"/>
      <c r="D122" s="30" t="s">
        <v>2292</v>
      </c>
      <c r="E122" s="358">
        <v>1</v>
      </c>
      <c r="F122" s="40"/>
      <c r="G122" s="112"/>
      <c r="H122" s="45"/>
      <c r="I122" s="31"/>
      <c r="J122" s="32"/>
      <c r="K122" s="33"/>
      <c r="L122" s="32"/>
      <c r="M122" s="32"/>
      <c r="N122" s="32"/>
      <c r="O122" s="32"/>
      <c r="P122" s="31"/>
      <c r="Q122" s="31"/>
      <c r="R122" s="31"/>
      <c r="S122" s="34">
        <f>10800*0.16+10800</f>
        <v>12528</v>
      </c>
      <c r="T122" s="34">
        <f>7400*0.16+7400</f>
        <v>8584</v>
      </c>
      <c r="U122" s="34">
        <f>900*0.16+900</f>
        <v>1044</v>
      </c>
      <c r="V122" s="35"/>
      <c r="W122" s="54"/>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v>20068</v>
      </c>
      <c r="AV122" s="35"/>
      <c r="AW122" s="35"/>
      <c r="AX122" s="33">
        <f t="shared" si="1"/>
        <v>0</v>
      </c>
      <c r="AY122" s="267" t="s">
        <v>2300</v>
      </c>
    </row>
    <row r="123" spans="1:51" ht="81.75" customHeight="1" x14ac:dyDescent="0.35">
      <c r="A123" s="26">
        <v>106</v>
      </c>
      <c r="B123" s="27" t="s">
        <v>88</v>
      </c>
      <c r="C123" s="28" t="s">
        <v>89</v>
      </c>
      <c r="D123" s="300" t="s">
        <v>1520</v>
      </c>
      <c r="E123" s="125">
        <v>5</v>
      </c>
      <c r="F123" s="62" t="s">
        <v>30</v>
      </c>
      <c r="G123" s="112">
        <f>[1]DICIEMBRE!$BA$117</f>
        <v>0</v>
      </c>
      <c r="H123" s="45">
        <f>ENERO!BA121</f>
        <v>0</v>
      </c>
      <c r="I123" s="45"/>
      <c r="J123" s="32"/>
      <c r="K123" s="32"/>
      <c r="L123" s="32"/>
      <c r="M123" s="32"/>
      <c r="N123" s="336"/>
      <c r="O123" s="32"/>
      <c r="P123" s="31"/>
      <c r="Q123" s="31"/>
      <c r="R123" s="31"/>
      <c r="S123" s="47">
        <f>(300*0.16+300)*E123</f>
        <v>1740</v>
      </c>
      <c r="T123" s="47"/>
      <c r="U123" s="48"/>
      <c r="V123" s="49"/>
      <c r="W123" s="50"/>
      <c r="X123" s="49"/>
      <c r="Y123" s="49"/>
      <c r="Z123" s="49"/>
      <c r="AA123" s="49"/>
      <c r="AB123" s="70"/>
      <c r="AC123" s="49"/>
      <c r="AD123" s="49"/>
      <c r="AE123" s="49"/>
      <c r="AF123" s="49"/>
      <c r="AG123" s="49"/>
      <c r="AH123" s="49"/>
      <c r="AI123" s="49">
        <v>1740</v>
      </c>
      <c r="AJ123" s="49"/>
      <c r="AK123" s="49"/>
      <c r="AL123" s="49"/>
      <c r="AM123" s="49"/>
      <c r="AN123" s="49"/>
      <c r="AO123" s="49"/>
      <c r="AP123" s="49"/>
      <c r="AQ123" s="49"/>
      <c r="AR123" s="49"/>
      <c r="AS123" s="49"/>
      <c r="AT123" s="49"/>
      <c r="AU123" s="49"/>
      <c r="AV123" s="49"/>
      <c r="AW123" s="49"/>
      <c r="AX123" s="33">
        <f t="shared" si="1"/>
        <v>0</v>
      </c>
      <c r="AY123" s="267"/>
    </row>
    <row r="124" spans="1:51" ht="78.75" customHeight="1" x14ac:dyDescent="0.35">
      <c r="A124" s="26">
        <v>107</v>
      </c>
      <c r="B124" s="43" t="s">
        <v>1080</v>
      </c>
      <c r="C124" s="28"/>
      <c r="D124" s="300" t="s">
        <v>1521</v>
      </c>
      <c r="E124" s="95">
        <v>1</v>
      </c>
      <c r="F124" s="62" t="s">
        <v>30</v>
      </c>
      <c r="G124" s="234">
        <f>[1]DICIEMBRE!$BA$118</f>
        <v>-250</v>
      </c>
      <c r="H124" s="31">
        <f>ENERO!BA122</f>
        <v>0</v>
      </c>
      <c r="I124" s="45"/>
      <c r="J124" s="32"/>
      <c r="K124" s="32"/>
      <c r="L124" s="336"/>
      <c r="M124" s="336"/>
      <c r="N124" s="32"/>
      <c r="O124" s="32"/>
      <c r="P124" s="33"/>
      <c r="Q124" s="31"/>
      <c r="R124" s="31"/>
      <c r="S124" s="47">
        <f>250*E124</f>
        <v>250</v>
      </c>
      <c r="T124" s="47"/>
      <c r="U124" s="48"/>
      <c r="V124" s="49"/>
      <c r="W124" s="50"/>
      <c r="X124" s="49"/>
      <c r="Y124" s="49"/>
      <c r="Z124" s="49">
        <v>1000</v>
      </c>
      <c r="AA124" s="49"/>
      <c r="AB124" s="70"/>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33">
        <f t="shared" si="1"/>
        <v>-750</v>
      </c>
      <c r="AY124" s="267" t="s">
        <v>2194</v>
      </c>
    </row>
    <row r="125" spans="1:51" ht="78.75" customHeight="1" x14ac:dyDescent="0.35">
      <c r="A125" s="26">
        <v>108</v>
      </c>
      <c r="B125" s="43" t="s">
        <v>569</v>
      </c>
      <c r="C125" s="28"/>
      <c r="D125" s="300" t="s">
        <v>1169</v>
      </c>
      <c r="E125" s="95">
        <v>2</v>
      </c>
      <c r="F125" s="62" t="s">
        <v>30</v>
      </c>
      <c r="G125" s="234">
        <f>[1]DICIEMBRE!$BA$120</f>
        <v>1262</v>
      </c>
      <c r="H125" s="45">
        <f>ENERO!BA124</f>
        <v>0</v>
      </c>
      <c r="I125" s="45"/>
      <c r="J125" s="32"/>
      <c r="K125" s="33"/>
      <c r="L125" s="32"/>
      <c r="M125" s="32"/>
      <c r="N125" s="32"/>
      <c r="O125" s="33"/>
      <c r="P125" s="33"/>
      <c r="Q125" s="31"/>
      <c r="R125" s="31"/>
      <c r="S125" s="47">
        <f>(300*0.16+300)*E125</f>
        <v>696</v>
      </c>
      <c r="T125" s="47">
        <f>1950*0.16+1950</f>
        <v>2262</v>
      </c>
      <c r="U125" s="48"/>
      <c r="V125" s="49"/>
      <c r="W125" s="50"/>
      <c r="X125" s="49"/>
      <c r="Y125" s="49"/>
      <c r="Z125" s="49">
        <v>2958</v>
      </c>
      <c r="AA125" s="49"/>
      <c r="AB125" s="70"/>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33">
        <f>SUM(H125+S125+T125-U125-V125-W125-X125-Y125-Z125-AA125-AB125-AC125-AD125-AE125-AF125-AG125-AH125-AI125-AJ125-AK125-AL125-AM125-AN125-AO125-AP125-AQ125-AR125-AS125-AT125-AU125-AV125-AW125)</f>
        <v>0</v>
      </c>
      <c r="AY125" s="267" t="s">
        <v>2080</v>
      </c>
    </row>
    <row r="126" spans="1:51" ht="69.75" customHeight="1" x14ac:dyDescent="0.35">
      <c r="A126" s="26">
        <v>109</v>
      </c>
      <c r="B126" s="27" t="s">
        <v>91</v>
      </c>
      <c r="C126" s="28" t="s">
        <v>92</v>
      </c>
      <c r="D126" s="304" t="s">
        <v>1170</v>
      </c>
      <c r="E126" s="95">
        <v>9</v>
      </c>
      <c r="F126" s="44" t="s">
        <v>30</v>
      </c>
      <c r="G126" s="112">
        <f>[1]DICIEMBRE!$BA$121</f>
        <v>0</v>
      </c>
      <c r="H126" s="31">
        <f>ENERO!BA125</f>
        <v>0</v>
      </c>
      <c r="I126" s="45"/>
      <c r="J126" s="32"/>
      <c r="K126" s="32"/>
      <c r="L126" s="32"/>
      <c r="M126" s="32"/>
      <c r="N126" s="336"/>
      <c r="O126" s="32"/>
      <c r="P126" s="31"/>
      <c r="Q126" s="31"/>
      <c r="R126" s="31"/>
      <c r="S126" s="47">
        <f>E126*300</f>
        <v>2700</v>
      </c>
      <c r="T126" s="47">
        <v>350</v>
      </c>
      <c r="U126" s="48"/>
      <c r="V126" s="49"/>
      <c r="W126" s="49"/>
      <c r="X126" s="49"/>
      <c r="Y126" s="49"/>
      <c r="Z126" s="49"/>
      <c r="AA126" s="49"/>
      <c r="AB126" s="49"/>
      <c r="AC126" s="69"/>
      <c r="AD126" s="49"/>
      <c r="AE126" s="49"/>
      <c r="AF126" s="49"/>
      <c r="AG126" s="49"/>
      <c r="AH126" s="49"/>
      <c r="AI126" s="49"/>
      <c r="AJ126" s="49"/>
      <c r="AK126" s="49"/>
      <c r="AL126" s="49"/>
      <c r="AM126" s="49"/>
      <c r="AN126" s="49">
        <v>3050</v>
      </c>
      <c r="AO126" s="49"/>
      <c r="AP126" s="49"/>
      <c r="AQ126" s="49"/>
      <c r="AR126" s="49"/>
      <c r="AS126" s="49"/>
      <c r="AT126" s="49"/>
      <c r="AU126" s="49"/>
      <c r="AV126" s="49"/>
      <c r="AW126" s="49"/>
      <c r="AX126" s="33">
        <f t="shared" si="1"/>
        <v>0</v>
      </c>
      <c r="AY126" s="43" t="s">
        <v>2041</v>
      </c>
    </row>
    <row r="127" spans="1:51" ht="28.5" customHeight="1" x14ac:dyDescent="0.35">
      <c r="A127" s="26">
        <v>110</v>
      </c>
      <c r="B127" s="43" t="s">
        <v>93</v>
      </c>
      <c r="C127" s="53" t="s">
        <v>94</v>
      </c>
      <c r="D127" s="298" t="s">
        <v>1523</v>
      </c>
      <c r="E127" s="95">
        <v>3</v>
      </c>
      <c r="F127" s="44" t="s">
        <v>30</v>
      </c>
      <c r="G127" s="234">
        <f>[1]DICIEMBRE!$BA$122</f>
        <v>-450</v>
      </c>
      <c r="H127" s="31">
        <f>ENERO!BA126</f>
        <v>-450</v>
      </c>
      <c r="I127" s="45"/>
      <c r="J127" s="32"/>
      <c r="K127" s="32"/>
      <c r="L127" s="336"/>
      <c r="M127" s="336"/>
      <c r="N127" s="32"/>
      <c r="O127" s="32"/>
      <c r="P127" s="33"/>
      <c r="Q127" s="31"/>
      <c r="R127" s="31"/>
      <c r="S127" s="47">
        <f>250*E127</f>
        <v>750</v>
      </c>
      <c r="T127" s="47"/>
      <c r="U127" s="48"/>
      <c r="V127" s="50"/>
      <c r="W127" s="50"/>
      <c r="X127" s="49"/>
      <c r="Y127" s="49"/>
      <c r="Z127" s="49"/>
      <c r="AA127" s="49"/>
      <c r="AB127" s="49"/>
      <c r="AC127" s="49"/>
      <c r="AD127" s="49"/>
      <c r="AE127" s="49"/>
      <c r="AF127" s="49"/>
      <c r="AG127" s="49"/>
      <c r="AH127" s="49"/>
      <c r="AI127" s="49">
        <v>750</v>
      </c>
      <c r="AJ127" s="49"/>
      <c r="AK127" s="49"/>
      <c r="AL127" s="49"/>
      <c r="AM127" s="49"/>
      <c r="AN127" s="49"/>
      <c r="AO127" s="49"/>
      <c r="AP127" s="49"/>
      <c r="AQ127" s="49"/>
      <c r="AR127" s="49"/>
      <c r="AS127" s="49"/>
      <c r="AT127" s="49"/>
      <c r="AU127" s="49"/>
      <c r="AV127" s="49"/>
      <c r="AW127" s="49"/>
      <c r="AX127" s="33">
        <f t="shared" si="1"/>
        <v>-450</v>
      </c>
      <c r="AY127" s="43"/>
    </row>
    <row r="128" spans="1:51" ht="45" customHeight="1" x14ac:dyDescent="0.35">
      <c r="A128" s="26">
        <v>111</v>
      </c>
      <c r="B128" s="43" t="s">
        <v>95</v>
      </c>
      <c r="C128" s="27" t="s">
        <v>96</v>
      </c>
      <c r="D128" s="298" t="s">
        <v>1647</v>
      </c>
      <c r="E128" s="95">
        <v>15</v>
      </c>
      <c r="F128" s="44" t="s">
        <v>30</v>
      </c>
      <c r="G128" s="112">
        <f>[1]DICIEMBRE!$BA$123</f>
        <v>-0.2000000000007276</v>
      </c>
      <c r="H128" s="45">
        <f>ENERO!BA127</f>
        <v>-0.2000000000007276</v>
      </c>
      <c r="I128" s="45"/>
      <c r="J128" s="32"/>
      <c r="K128" s="33"/>
      <c r="L128" s="32"/>
      <c r="M128" s="32"/>
      <c r="N128" s="32"/>
      <c r="O128" s="33"/>
      <c r="P128" s="31"/>
      <c r="Q128" s="31"/>
      <c r="R128" s="31"/>
      <c r="S128" s="47">
        <f>(300*0.16+300)*E128+(670*0.16+670)</f>
        <v>5997.2</v>
      </c>
      <c r="T128" s="47">
        <f>12800*0.16+12800</f>
        <v>14848</v>
      </c>
      <c r="U128" s="48"/>
      <c r="V128" s="50"/>
      <c r="W128" s="50"/>
      <c r="X128" s="49"/>
      <c r="Y128" s="49"/>
      <c r="Z128" s="49">
        <v>20845</v>
      </c>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33">
        <f>SUM(H128+S128+T128-U128-V128-W128-X128-Y128-Z128-AA128-AB128-AC128-AD128-AE128-AF128-AG128-AH128-AI128-AJ128-AK128-AL128-AM128-AN128-AO128-AP128-AQ128-AR128-AS128-AT128-AU128-AV128-AW128)</f>
        <v>0</v>
      </c>
      <c r="AY128" s="43" t="s">
        <v>2030</v>
      </c>
    </row>
    <row r="129" spans="1:51" ht="45" customHeight="1" x14ac:dyDescent="0.35">
      <c r="A129" s="26">
        <v>112</v>
      </c>
      <c r="B129" s="43" t="s">
        <v>1299</v>
      </c>
      <c r="C129" s="27"/>
      <c r="D129" s="300" t="s">
        <v>1524</v>
      </c>
      <c r="E129" s="95">
        <v>1</v>
      </c>
      <c r="F129" s="44" t="s">
        <v>30</v>
      </c>
      <c r="G129" s="234">
        <f>[1]DICIEMBRE!$BA$124</f>
        <v>0</v>
      </c>
      <c r="H129" s="31">
        <f>ENERO!BA128</f>
        <v>0</v>
      </c>
      <c r="I129" s="45"/>
      <c r="J129" s="32"/>
      <c r="K129" s="33"/>
      <c r="L129" s="32"/>
      <c r="M129" s="32"/>
      <c r="N129" s="32"/>
      <c r="O129" s="32"/>
      <c r="P129" s="33"/>
      <c r="Q129" s="31"/>
      <c r="R129" s="31"/>
      <c r="S129" s="47">
        <f>300*E129</f>
        <v>300</v>
      </c>
      <c r="T129" s="47"/>
      <c r="U129" s="48"/>
      <c r="V129" s="50"/>
      <c r="W129" s="50"/>
      <c r="X129" s="49"/>
      <c r="Y129" s="49"/>
      <c r="Z129" s="49"/>
      <c r="AA129" s="49"/>
      <c r="AB129" s="49"/>
      <c r="AC129" s="49"/>
      <c r="AD129" s="49"/>
      <c r="AE129" s="49">
        <v>300</v>
      </c>
      <c r="AF129" s="49"/>
      <c r="AG129" s="49"/>
      <c r="AH129" s="49"/>
      <c r="AI129" s="49"/>
      <c r="AJ129" s="49"/>
      <c r="AK129" s="49"/>
      <c r="AL129" s="49"/>
      <c r="AM129" s="49"/>
      <c r="AN129" s="49"/>
      <c r="AO129" s="49"/>
      <c r="AP129" s="49"/>
      <c r="AQ129" s="49"/>
      <c r="AR129" s="49"/>
      <c r="AS129" s="49"/>
      <c r="AT129" s="49"/>
      <c r="AU129" s="49"/>
      <c r="AV129" s="49"/>
      <c r="AW129" s="49"/>
      <c r="AX129" s="33">
        <f t="shared" si="1"/>
        <v>0</v>
      </c>
      <c r="AY129" s="43"/>
    </row>
    <row r="130" spans="1:51" ht="45" customHeight="1" x14ac:dyDescent="0.35">
      <c r="A130" s="26">
        <v>113</v>
      </c>
      <c r="B130" s="43" t="s">
        <v>1279</v>
      </c>
      <c r="C130" s="27"/>
      <c r="D130" s="300" t="s">
        <v>1285</v>
      </c>
      <c r="E130" s="95"/>
      <c r="F130" s="44" t="s">
        <v>30</v>
      </c>
      <c r="G130" s="112">
        <f>[1]DICIEMBRE!$BA$125</f>
        <v>250</v>
      </c>
      <c r="H130" s="31"/>
      <c r="I130" s="45"/>
      <c r="J130" s="32"/>
      <c r="K130" s="33"/>
      <c r="L130" s="32"/>
      <c r="M130" s="32"/>
      <c r="N130" s="336"/>
      <c r="O130" s="33"/>
      <c r="P130" s="31"/>
      <c r="Q130" s="31"/>
      <c r="R130" s="31"/>
      <c r="S130" s="47"/>
      <c r="T130" s="47"/>
      <c r="U130" s="48"/>
      <c r="V130" s="50"/>
      <c r="W130" s="50"/>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33">
        <f t="shared" si="1"/>
        <v>0</v>
      </c>
      <c r="AY130" s="43" t="s">
        <v>2197</v>
      </c>
    </row>
    <row r="131" spans="1:51" ht="45" customHeight="1" x14ac:dyDescent="0.35">
      <c r="A131" s="26">
        <v>114</v>
      </c>
      <c r="B131" s="43" t="s">
        <v>1963</v>
      </c>
      <c r="C131" s="27"/>
      <c r="D131" s="300" t="s">
        <v>1964</v>
      </c>
      <c r="E131" s="95">
        <v>1</v>
      </c>
      <c r="F131" s="44"/>
      <c r="G131" s="112"/>
      <c r="H131" s="45">
        <f>ENERO!BA130</f>
        <v>0</v>
      </c>
      <c r="I131" s="45"/>
      <c r="J131" s="32"/>
      <c r="K131" s="33"/>
      <c r="L131" s="32"/>
      <c r="M131" s="32"/>
      <c r="N131" s="336"/>
      <c r="O131" s="33"/>
      <c r="P131" s="31"/>
      <c r="Q131" s="31"/>
      <c r="R131" s="31"/>
      <c r="S131" s="47"/>
      <c r="T131" s="47"/>
      <c r="U131" s="48"/>
      <c r="V131" s="50"/>
      <c r="W131" s="50"/>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33">
        <f t="shared" si="1"/>
        <v>0</v>
      </c>
      <c r="AY131" s="43" t="s">
        <v>2065</v>
      </c>
    </row>
    <row r="132" spans="1:51" ht="45" customHeight="1" x14ac:dyDescent="0.35">
      <c r="A132" s="26">
        <v>115</v>
      </c>
      <c r="B132" s="43" t="s">
        <v>1663</v>
      </c>
      <c r="C132" s="27"/>
      <c r="D132" s="300" t="s">
        <v>1664</v>
      </c>
      <c r="E132" s="95">
        <v>2</v>
      </c>
      <c r="F132" s="44"/>
      <c r="G132" s="112">
        <f>[1]DICIEMBRE!$BA$127</f>
        <v>0</v>
      </c>
      <c r="H132" s="31">
        <f>ENERO!BA131</f>
        <v>-250</v>
      </c>
      <c r="I132" s="45"/>
      <c r="J132" s="32"/>
      <c r="K132" s="33"/>
      <c r="L132" s="32"/>
      <c r="M132" s="32"/>
      <c r="N132" s="32"/>
      <c r="O132" s="32"/>
      <c r="P132" s="33"/>
      <c r="Q132" s="31"/>
      <c r="R132" s="31"/>
      <c r="S132" s="47">
        <f>250*E132</f>
        <v>500</v>
      </c>
      <c r="T132" s="47">
        <f>1650+1850</f>
        <v>3500</v>
      </c>
      <c r="U132" s="48"/>
      <c r="V132" s="50"/>
      <c r="W132" s="50"/>
      <c r="X132" s="49"/>
      <c r="Y132" s="49"/>
      <c r="Z132" s="49"/>
      <c r="AA132" s="49"/>
      <c r="AB132" s="49"/>
      <c r="AC132" s="49">
        <v>1650</v>
      </c>
      <c r="AD132" s="49"/>
      <c r="AE132" s="49"/>
      <c r="AF132" s="49">
        <v>2100</v>
      </c>
      <c r="AG132" s="49"/>
      <c r="AH132" s="49"/>
      <c r="AI132" s="49"/>
      <c r="AJ132" s="49"/>
      <c r="AK132" s="49"/>
      <c r="AL132" s="49"/>
      <c r="AM132" s="49"/>
      <c r="AN132" s="49"/>
      <c r="AO132" s="49"/>
      <c r="AP132" s="49"/>
      <c r="AQ132" s="49"/>
      <c r="AR132" s="49"/>
      <c r="AS132" s="49"/>
      <c r="AT132" s="49"/>
      <c r="AU132" s="49"/>
      <c r="AV132" s="49">
        <v>750</v>
      </c>
      <c r="AW132" s="49"/>
      <c r="AX132" s="33">
        <f t="shared" si="1"/>
        <v>-750</v>
      </c>
      <c r="AY132" s="43" t="s">
        <v>2309</v>
      </c>
    </row>
    <row r="133" spans="1:51" ht="45" customHeight="1" x14ac:dyDescent="0.35">
      <c r="A133" s="26">
        <v>116</v>
      </c>
      <c r="B133" s="43" t="s">
        <v>1597</v>
      </c>
      <c r="C133" s="27"/>
      <c r="D133" s="300" t="s">
        <v>1598</v>
      </c>
      <c r="E133" s="95">
        <v>1</v>
      </c>
      <c r="F133" s="44"/>
      <c r="G133" s="234">
        <f>[1]DICIEMBRE!$BA$128</f>
        <v>348</v>
      </c>
      <c r="H133" s="31">
        <f>ENERO!BA132</f>
        <v>348</v>
      </c>
      <c r="I133" s="45"/>
      <c r="J133" s="32"/>
      <c r="K133" s="33"/>
      <c r="L133" s="32"/>
      <c r="M133" s="32"/>
      <c r="N133" s="32"/>
      <c r="O133" s="32"/>
      <c r="P133" s="33"/>
      <c r="Q133" s="31"/>
      <c r="R133" s="31"/>
      <c r="S133" s="47">
        <f>300*0.16+300</f>
        <v>348</v>
      </c>
      <c r="T133" s="47"/>
      <c r="U133" s="48"/>
      <c r="V133" s="50"/>
      <c r="W133" s="50"/>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33">
        <f t="shared" si="1"/>
        <v>696</v>
      </c>
      <c r="AY133" s="43" t="s">
        <v>456</v>
      </c>
    </row>
    <row r="134" spans="1:51" ht="45" customHeight="1" x14ac:dyDescent="0.35">
      <c r="A134" s="26">
        <v>117</v>
      </c>
      <c r="B134" s="43" t="s">
        <v>1571</v>
      </c>
      <c r="C134" s="27"/>
      <c r="D134" s="300" t="s">
        <v>1596</v>
      </c>
      <c r="E134" s="95"/>
      <c r="F134" s="44" t="s">
        <v>100</v>
      </c>
      <c r="G134" s="112">
        <f>[1]DICIEMBRE!$BA$129</f>
        <v>0</v>
      </c>
      <c r="H134" s="45">
        <f>ENERO!BA133</f>
        <v>0</v>
      </c>
      <c r="I134" s="45"/>
      <c r="J134" s="32"/>
      <c r="K134" s="33"/>
      <c r="L134" s="32"/>
      <c r="M134" s="32"/>
      <c r="N134" s="32"/>
      <c r="O134" s="32"/>
      <c r="P134" s="33"/>
      <c r="Q134" s="31"/>
      <c r="R134" s="31"/>
      <c r="S134" s="47">
        <f>150*E134</f>
        <v>0</v>
      </c>
      <c r="T134" s="47"/>
      <c r="U134" s="48"/>
      <c r="V134" s="50"/>
      <c r="W134" s="50"/>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33">
        <f>SUM(H134+S134+T134-U134-V134-W134-X134-Y134-Z134-AA134-AB134-AC134-AD134-AE134-AF134-AG134-AH134-AI134-AJ134-AK134-AL134-AM134-AN134-AO134-AP134-AQ134-AR134-AS134-AT134-AU134-AV134-AW134)</f>
        <v>0</v>
      </c>
      <c r="AY134" s="43" t="s">
        <v>1776</v>
      </c>
    </row>
    <row r="135" spans="1:51" ht="45" customHeight="1" x14ac:dyDescent="0.35">
      <c r="A135" s="26">
        <v>118</v>
      </c>
      <c r="B135" s="43" t="s">
        <v>1280</v>
      </c>
      <c r="C135" s="27"/>
      <c r="D135" s="298" t="s">
        <v>1525</v>
      </c>
      <c r="E135" s="95">
        <v>1</v>
      </c>
      <c r="F135" s="44" t="s">
        <v>30</v>
      </c>
      <c r="G135" s="234">
        <f>[1]DICIEMBRE!$BA$130</f>
        <v>0</v>
      </c>
      <c r="H135" s="31">
        <f>ENERO!BA134</f>
        <v>0</v>
      </c>
      <c r="I135" s="45"/>
      <c r="J135" s="32"/>
      <c r="K135" s="33"/>
      <c r="L135" s="32"/>
      <c r="M135" s="32"/>
      <c r="N135" s="32"/>
      <c r="O135" s="32"/>
      <c r="P135" s="31"/>
      <c r="Q135" s="31"/>
      <c r="R135" s="31"/>
      <c r="S135" s="47">
        <f>250*E135</f>
        <v>250</v>
      </c>
      <c r="T135" s="47"/>
      <c r="U135" s="48"/>
      <c r="V135" s="50"/>
      <c r="W135" s="50"/>
      <c r="X135" s="49"/>
      <c r="Y135" s="49"/>
      <c r="Z135" s="49"/>
      <c r="AA135" s="49">
        <v>250</v>
      </c>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33">
        <f t="shared" si="1"/>
        <v>0</v>
      </c>
      <c r="AY135" s="43"/>
    </row>
    <row r="136" spans="1:51" ht="45" customHeight="1" x14ac:dyDescent="0.35">
      <c r="A136" s="26">
        <v>119</v>
      </c>
      <c r="B136" s="43" t="s">
        <v>1240</v>
      </c>
      <c r="C136" s="27"/>
      <c r="D136" s="300" t="s">
        <v>1526</v>
      </c>
      <c r="E136" s="95">
        <v>1</v>
      </c>
      <c r="F136" s="44" t="s">
        <v>30</v>
      </c>
      <c r="G136" s="112">
        <f>[1]DICIEMBRE!$BA$131</f>
        <v>0</v>
      </c>
      <c r="H136" s="31">
        <f>ENERO!BA135</f>
        <v>0</v>
      </c>
      <c r="I136" s="45"/>
      <c r="J136" s="32"/>
      <c r="K136" s="33"/>
      <c r="L136" s="32"/>
      <c r="M136" s="336"/>
      <c r="N136" s="336"/>
      <c r="O136" s="33"/>
      <c r="P136" s="33"/>
      <c r="Q136" s="31"/>
      <c r="R136" s="31"/>
      <c r="S136" s="47">
        <f>250+900</f>
        <v>1150</v>
      </c>
      <c r="T136" s="47"/>
      <c r="U136" s="48"/>
      <c r="V136" s="50"/>
      <c r="W136" s="50"/>
      <c r="X136" s="49"/>
      <c r="Y136" s="49"/>
      <c r="Z136" s="49"/>
      <c r="AA136" s="49"/>
      <c r="AB136" s="49"/>
      <c r="AC136" s="49"/>
      <c r="AD136" s="49"/>
      <c r="AE136" s="49">
        <v>1150</v>
      </c>
      <c r="AF136" s="49"/>
      <c r="AG136" s="49"/>
      <c r="AH136" s="49"/>
      <c r="AI136" s="49"/>
      <c r="AJ136" s="49"/>
      <c r="AK136" s="49"/>
      <c r="AL136" s="49"/>
      <c r="AM136" s="49"/>
      <c r="AN136" s="49"/>
      <c r="AO136" s="49"/>
      <c r="AP136" s="49"/>
      <c r="AQ136" s="49"/>
      <c r="AR136" s="49"/>
      <c r="AS136" s="49"/>
      <c r="AT136" s="49"/>
      <c r="AU136" s="49"/>
      <c r="AV136" s="49"/>
      <c r="AW136" s="49"/>
      <c r="AX136" s="33">
        <f t="shared" si="1"/>
        <v>0</v>
      </c>
      <c r="AY136" s="43"/>
    </row>
    <row r="137" spans="1:51" ht="45" customHeight="1" x14ac:dyDescent="0.35">
      <c r="A137" s="26">
        <v>120</v>
      </c>
      <c r="B137" s="43" t="s">
        <v>2069</v>
      </c>
      <c r="C137" s="27"/>
      <c r="D137" s="300" t="s">
        <v>2070</v>
      </c>
      <c r="E137" s="95">
        <v>1</v>
      </c>
      <c r="F137" s="44" t="s">
        <v>100</v>
      </c>
      <c r="G137" s="112"/>
      <c r="H137" s="31">
        <f>ENERO!BA136</f>
        <v>0</v>
      </c>
      <c r="I137" s="45"/>
      <c r="J137" s="32"/>
      <c r="K137" s="33"/>
      <c r="L137" s="32"/>
      <c r="M137" s="336"/>
      <c r="N137" s="336"/>
      <c r="O137" s="33"/>
      <c r="P137" s="33"/>
      <c r="Q137" s="31"/>
      <c r="R137" s="31"/>
      <c r="S137" s="47"/>
      <c r="T137" s="47"/>
      <c r="U137" s="48"/>
      <c r="V137" s="50"/>
      <c r="W137" s="50"/>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33">
        <f>SUM(H137+S137+T137-U137-V137-W137-X137-Y137-Z137-AA137-AB137-AC137-AD137-AE137-AF137-AG137-AH137-AI137-AJ137-AK137-AL137-AM137-AN137-AO137-AP137-AQ137-AR137-AS137-AT137-AU137-AV137-AW137)</f>
        <v>0</v>
      </c>
      <c r="AY137" s="43" t="s">
        <v>2073</v>
      </c>
    </row>
    <row r="138" spans="1:51" ht="34.5" customHeight="1" x14ac:dyDescent="0.35">
      <c r="A138" s="26">
        <v>121</v>
      </c>
      <c r="B138" s="43" t="s">
        <v>513</v>
      </c>
      <c r="C138" s="28"/>
      <c r="D138" s="300" t="s">
        <v>1527</v>
      </c>
      <c r="E138" s="95">
        <v>1</v>
      </c>
      <c r="F138" s="44" t="s">
        <v>30</v>
      </c>
      <c r="G138" s="112">
        <f>[1]DICIEMBRE!$BA$133</f>
        <v>2250</v>
      </c>
      <c r="H138" s="31">
        <f>ENERO!BA138</f>
        <v>2250</v>
      </c>
      <c r="I138" s="45"/>
      <c r="J138" s="32"/>
      <c r="K138" s="33"/>
      <c r="L138" s="32"/>
      <c r="M138" s="336"/>
      <c r="N138" s="336"/>
      <c r="O138" s="33"/>
      <c r="P138" s="31"/>
      <c r="Q138" s="31"/>
      <c r="R138" s="31"/>
      <c r="S138" s="47"/>
      <c r="T138" s="47"/>
      <c r="U138" s="48"/>
      <c r="V138" s="49"/>
      <c r="W138" s="49"/>
      <c r="X138" s="49"/>
      <c r="Y138" s="49"/>
      <c r="Z138" s="49"/>
      <c r="AA138" s="49"/>
      <c r="AB138" s="49"/>
      <c r="AC138" s="50"/>
      <c r="AD138" s="49"/>
      <c r="AE138" s="49"/>
      <c r="AF138" s="49"/>
      <c r="AG138" s="49"/>
      <c r="AH138" s="51"/>
      <c r="AI138" s="49"/>
      <c r="AJ138" s="49"/>
      <c r="AK138" s="49"/>
      <c r="AL138" s="49"/>
      <c r="AM138" s="49"/>
      <c r="AN138" s="49"/>
      <c r="AO138" s="49"/>
      <c r="AP138" s="49"/>
      <c r="AQ138" s="49"/>
      <c r="AR138" s="49"/>
      <c r="AS138" s="49"/>
      <c r="AT138" s="49"/>
      <c r="AU138" s="49"/>
      <c r="AV138" s="49"/>
      <c r="AW138" s="49"/>
      <c r="AX138" s="33">
        <f t="shared" si="1"/>
        <v>2250</v>
      </c>
      <c r="AY138" s="43" t="s">
        <v>456</v>
      </c>
    </row>
    <row r="139" spans="1:51" ht="38.25" customHeight="1" x14ac:dyDescent="0.35">
      <c r="A139" s="26">
        <v>122</v>
      </c>
      <c r="B139" s="27" t="s">
        <v>98</v>
      </c>
      <c r="C139" s="28" t="s">
        <v>99</v>
      </c>
      <c r="D139" s="300" t="s">
        <v>1528</v>
      </c>
      <c r="E139" s="95">
        <v>2</v>
      </c>
      <c r="F139" s="44" t="s">
        <v>100</v>
      </c>
      <c r="G139" s="112">
        <f>[1]DICIEMBRE!$BA$135</f>
        <v>0</v>
      </c>
      <c r="H139" s="45">
        <f>ENERO!BA140</f>
        <v>600</v>
      </c>
      <c r="I139" s="45"/>
      <c r="J139" s="32"/>
      <c r="K139" s="32"/>
      <c r="L139" s="32"/>
      <c r="M139" s="32"/>
      <c r="N139" s="32"/>
      <c r="O139" s="32"/>
      <c r="P139" s="33"/>
      <c r="Q139" s="31"/>
      <c r="R139" s="31"/>
      <c r="S139" s="47">
        <f>300*E139</f>
        <v>600</v>
      </c>
      <c r="T139" s="47"/>
      <c r="U139" s="48"/>
      <c r="V139" s="49"/>
      <c r="W139" s="49"/>
      <c r="X139" s="49"/>
      <c r="Y139" s="49"/>
      <c r="Z139" s="49"/>
      <c r="AA139" s="49"/>
      <c r="AB139" s="49"/>
      <c r="AC139" s="50"/>
      <c r="AD139" s="49"/>
      <c r="AE139" s="49"/>
      <c r="AF139" s="49"/>
      <c r="AG139" s="49"/>
      <c r="AH139" s="51"/>
      <c r="AI139" s="49"/>
      <c r="AJ139" s="49"/>
      <c r="AK139" s="49"/>
      <c r="AL139" s="49"/>
      <c r="AM139" s="49"/>
      <c r="AN139" s="49"/>
      <c r="AO139" s="49"/>
      <c r="AP139" s="49"/>
      <c r="AQ139" s="49"/>
      <c r="AR139" s="49"/>
      <c r="AS139" s="49"/>
      <c r="AT139" s="49"/>
      <c r="AU139" s="49">
        <v>1200</v>
      </c>
      <c r="AV139" s="49"/>
      <c r="AW139" s="49"/>
      <c r="AX139" s="33">
        <f t="shared" si="1"/>
        <v>0</v>
      </c>
      <c r="AY139" s="43"/>
    </row>
    <row r="140" spans="1:51" ht="38.25" customHeight="1" x14ac:dyDescent="0.35">
      <c r="A140" s="26">
        <v>123</v>
      </c>
      <c r="B140" s="43" t="s">
        <v>1561</v>
      </c>
      <c r="C140" s="28"/>
      <c r="D140" s="300" t="s">
        <v>1562</v>
      </c>
      <c r="E140" s="95">
        <v>1</v>
      </c>
      <c r="F140" s="44" t="s">
        <v>30</v>
      </c>
      <c r="G140" s="234">
        <f>[1]DICIEMBRE!$BA$136</f>
        <v>-52</v>
      </c>
      <c r="H140" s="31">
        <f>ENERO!BA141</f>
        <v>-353</v>
      </c>
      <c r="I140" s="45"/>
      <c r="J140" s="32"/>
      <c r="K140" s="32"/>
      <c r="L140" s="32"/>
      <c r="M140" s="32"/>
      <c r="N140" s="32"/>
      <c r="O140" s="32"/>
      <c r="P140" s="33"/>
      <c r="Q140" s="31"/>
      <c r="R140" s="31"/>
      <c r="S140" s="47">
        <f>299*E140</f>
        <v>299</v>
      </c>
      <c r="T140" s="47"/>
      <c r="U140" s="48"/>
      <c r="V140" s="49"/>
      <c r="W140" s="49"/>
      <c r="X140" s="49"/>
      <c r="Y140" s="49"/>
      <c r="Z140" s="49"/>
      <c r="AA140" s="49"/>
      <c r="AB140" s="49"/>
      <c r="AC140" s="50"/>
      <c r="AD140" s="49"/>
      <c r="AE140" s="49"/>
      <c r="AF140" s="49"/>
      <c r="AG140" s="49"/>
      <c r="AH140" s="51"/>
      <c r="AI140" s="49"/>
      <c r="AJ140" s="49"/>
      <c r="AK140" s="49"/>
      <c r="AL140" s="49"/>
      <c r="AM140" s="49"/>
      <c r="AN140" s="49"/>
      <c r="AO140" s="49"/>
      <c r="AP140" s="49"/>
      <c r="AQ140" s="49"/>
      <c r="AR140" s="49"/>
      <c r="AS140" s="49"/>
      <c r="AT140" s="49"/>
      <c r="AU140" s="49"/>
      <c r="AV140" s="49"/>
      <c r="AW140" s="49"/>
      <c r="AX140" s="33">
        <f t="shared" si="1"/>
        <v>-54</v>
      </c>
      <c r="AY140" s="43"/>
    </row>
    <row r="141" spans="1:51" ht="37.5" customHeight="1" x14ac:dyDescent="0.35">
      <c r="A141" s="26">
        <v>124</v>
      </c>
      <c r="B141" s="27" t="s">
        <v>101</v>
      </c>
      <c r="C141" s="28" t="s">
        <v>102</v>
      </c>
      <c r="D141" s="300" t="s">
        <v>1171</v>
      </c>
      <c r="E141" s="95">
        <v>1</v>
      </c>
      <c r="F141" s="44" t="s">
        <v>30</v>
      </c>
      <c r="G141" s="112">
        <f>[1]DICIEMBRE!$BA$137</f>
        <v>300</v>
      </c>
      <c r="H141" s="31">
        <f>ENERO!BA142</f>
        <v>0</v>
      </c>
      <c r="I141" s="45"/>
      <c r="J141" s="32"/>
      <c r="K141" s="32"/>
      <c r="L141" s="32"/>
      <c r="M141" s="336"/>
      <c r="N141" s="336"/>
      <c r="O141" s="33"/>
      <c r="P141" s="33"/>
      <c r="Q141" s="31"/>
      <c r="R141" s="31"/>
      <c r="S141" s="47">
        <f>300*E141</f>
        <v>300</v>
      </c>
      <c r="T141" s="47"/>
      <c r="U141" s="48"/>
      <c r="V141" s="49"/>
      <c r="W141" s="49"/>
      <c r="X141" s="49"/>
      <c r="Y141" s="49"/>
      <c r="Z141" s="49"/>
      <c r="AA141" s="49"/>
      <c r="AB141" s="49"/>
      <c r="AC141" s="49"/>
      <c r="AD141" s="49"/>
      <c r="AE141" s="50"/>
      <c r="AF141" s="49"/>
      <c r="AG141" s="49">
        <v>600</v>
      </c>
      <c r="AH141" s="49"/>
      <c r="AI141" s="49"/>
      <c r="AJ141" s="49"/>
      <c r="AK141" s="49"/>
      <c r="AL141" s="49"/>
      <c r="AM141" s="49"/>
      <c r="AN141" s="49"/>
      <c r="AO141" s="49"/>
      <c r="AP141" s="49"/>
      <c r="AQ141" s="49"/>
      <c r="AR141" s="49"/>
      <c r="AS141" s="49"/>
      <c r="AT141" s="49"/>
      <c r="AU141" s="49"/>
      <c r="AV141" s="49"/>
      <c r="AW141" s="49"/>
      <c r="AX141" s="33">
        <f t="shared" si="1"/>
        <v>-300</v>
      </c>
      <c r="AY141" s="43" t="s">
        <v>2227</v>
      </c>
    </row>
    <row r="142" spans="1:51" ht="46.5" customHeight="1" x14ac:dyDescent="0.35">
      <c r="A142" s="26">
        <v>125</v>
      </c>
      <c r="B142" s="43" t="s">
        <v>1389</v>
      </c>
      <c r="C142" s="28"/>
      <c r="D142" s="298" t="s">
        <v>1529</v>
      </c>
      <c r="E142" s="95">
        <v>2</v>
      </c>
      <c r="F142" s="44" t="s">
        <v>30</v>
      </c>
      <c r="G142" s="234">
        <f>[1]DICIEMBRE!$BA$138</f>
        <v>0</v>
      </c>
      <c r="H142" s="45">
        <f>ENERO!BA143</f>
        <v>0</v>
      </c>
      <c r="I142" s="45"/>
      <c r="J142" s="32"/>
      <c r="K142" s="32"/>
      <c r="L142" s="32"/>
      <c r="M142" s="336"/>
      <c r="N142" s="336"/>
      <c r="O142" s="33"/>
      <c r="P142" s="31"/>
      <c r="Q142" s="31"/>
      <c r="R142" s="31"/>
      <c r="S142" s="47">
        <f>300*E142</f>
        <v>600</v>
      </c>
      <c r="T142" s="47"/>
      <c r="U142" s="48"/>
      <c r="V142" s="49">
        <v>600</v>
      </c>
      <c r="W142" s="49"/>
      <c r="X142" s="49"/>
      <c r="Y142" s="49"/>
      <c r="Z142" s="49"/>
      <c r="AA142" s="49"/>
      <c r="AB142" s="49"/>
      <c r="AC142" s="49"/>
      <c r="AD142" s="49"/>
      <c r="AE142" s="50"/>
      <c r="AF142" s="49"/>
      <c r="AG142" s="49"/>
      <c r="AH142" s="49"/>
      <c r="AI142" s="49"/>
      <c r="AJ142" s="49"/>
      <c r="AK142" s="49"/>
      <c r="AL142" s="49"/>
      <c r="AM142" s="49"/>
      <c r="AN142" s="49"/>
      <c r="AO142" s="49"/>
      <c r="AP142" s="49"/>
      <c r="AQ142" s="49"/>
      <c r="AR142" s="49"/>
      <c r="AS142" s="49"/>
      <c r="AT142" s="49"/>
      <c r="AU142" s="49"/>
      <c r="AV142" s="49"/>
      <c r="AW142" s="49"/>
      <c r="AX142" s="33">
        <f t="shared" si="1"/>
        <v>0</v>
      </c>
      <c r="AY142" s="43"/>
    </row>
    <row r="143" spans="1:51" ht="38.25" customHeight="1" x14ac:dyDescent="0.35">
      <c r="A143" s="26">
        <v>126</v>
      </c>
      <c r="B143" s="27" t="s">
        <v>103</v>
      </c>
      <c r="C143" s="28" t="s">
        <v>104</v>
      </c>
      <c r="D143" s="298" t="s">
        <v>1530</v>
      </c>
      <c r="E143" s="95">
        <v>1</v>
      </c>
      <c r="F143" s="44" t="s">
        <v>30</v>
      </c>
      <c r="G143" s="112">
        <f>[1]DICIEMBRE!$BA$139</f>
        <v>0</v>
      </c>
      <c r="H143" s="31">
        <f>ENERO!BA144</f>
        <v>-300</v>
      </c>
      <c r="I143" s="45"/>
      <c r="J143" s="32"/>
      <c r="K143" s="33"/>
      <c r="L143" s="336"/>
      <c r="M143" s="32"/>
      <c r="N143" s="32"/>
      <c r="O143" s="32"/>
      <c r="P143" s="33"/>
      <c r="Q143" s="31"/>
      <c r="R143" s="31"/>
      <c r="S143" s="47">
        <f>300*E143</f>
        <v>300</v>
      </c>
      <c r="T143" s="47"/>
      <c r="U143" s="48"/>
      <c r="V143" s="49"/>
      <c r="W143" s="49"/>
      <c r="X143" s="49"/>
      <c r="Y143" s="49"/>
      <c r="Z143" s="49"/>
      <c r="AA143" s="49"/>
      <c r="AB143" s="50"/>
      <c r="AC143" s="49"/>
      <c r="AD143" s="49"/>
      <c r="AE143" s="49"/>
      <c r="AF143" s="49"/>
      <c r="AG143" s="49"/>
      <c r="AH143" s="49"/>
      <c r="AI143" s="49"/>
      <c r="AJ143" s="49"/>
      <c r="AK143" s="49"/>
      <c r="AL143" s="49"/>
      <c r="AM143" s="49"/>
      <c r="AN143" s="49"/>
      <c r="AO143" s="49"/>
      <c r="AP143" s="49"/>
      <c r="AQ143" s="49"/>
      <c r="AR143" s="49"/>
      <c r="AS143" s="49"/>
      <c r="AT143" s="49"/>
      <c r="AU143" s="49"/>
      <c r="AV143" s="49">
        <v>300</v>
      </c>
      <c r="AW143" s="49"/>
      <c r="AX143" s="33">
        <f t="shared" si="1"/>
        <v>-300</v>
      </c>
      <c r="AY143" s="43" t="s">
        <v>2310</v>
      </c>
    </row>
    <row r="144" spans="1:51" ht="52.5" customHeight="1" x14ac:dyDescent="0.35">
      <c r="A144" s="26">
        <v>127</v>
      </c>
      <c r="B144" s="43" t="s">
        <v>1461</v>
      </c>
      <c r="C144" s="28"/>
      <c r="D144" s="300" t="s">
        <v>1462</v>
      </c>
      <c r="E144" s="95">
        <v>2</v>
      </c>
      <c r="F144" s="44" t="s">
        <v>30</v>
      </c>
      <c r="G144" s="234">
        <f>[1]DICIEMBRE!$BA$140</f>
        <v>0</v>
      </c>
      <c r="H144" s="31">
        <f>ENERO!BA145</f>
        <v>0</v>
      </c>
      <c r="I144" s="45"/>
      <c r="J144" s="32"/>
      <c r="K144" s="33"/>
      <c r="L144" s="336"/>
      <c r="M144" s="32"/>
      <c r="N144" s="32"/>
      <c r="O144" s="32"/>
      <c r="P144" s="33"/>
      <c r="Q144" s="31"/>
      <c r="R144" s="31"/>
      <c r="S144" s="47">
        <f>900*E144</f>
        <v>1800</v>
      </c>
      <c r="T144" s="47"/>
      <c r="U144" s="48"/>
      <c r="V144" s="49">
        <v>1800</v>
      </c>
      <c r="W144" s="49"/>
      <c r="X144" s="49"/>
      <c r="Y144" s="49"/>
      <c r="Z144" s="49"/>
      <c r="AA144" s="49"/>
      <c r="AB144" s="50"/>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33">
        <f t="shared" si="1"/>
        <v>0</v>
      </c>
      <c r="AY144" s="43"/>
    </row>
    <row r="145" spans="1:52" ht="45" customHeight="1" x14ac:dyDescent="0.35">
      <c r="A145" s="26">
        <v>128</v>
      </c>
      <c r="B145" s="43" t="s">
        <v>2063</v>
      </c>
      <c r="C145" s="28"/>
      <c r="D145" s="300" t="s">
        <v>1172</v>
      </c>
      <c r="E145" s="95">
        <v>6</v>
      </c>
      <c r="F145" s="44" t="s">
        <v>30</v>
      </c>
      <c r="G145" s="112">
        <f>[1]DICIEMBRE!$BA$141</f>
        <v>0</v>
      </c>
      <c r="H145" s="45">
        <f>ENERO!BA146</f>
        <v>0</v>
      </c>
      <c r="I145" s="45"/>
      <c r="J145" s="32"/>
      <c r="K145" s="32"/>
      <c r="L145" s="32"/>
      <c r="M145" s="336"/>
      <c r="N145" s="32"/>
      <c r="O145" s="32"/>
      <c r="P145" s="31"/>
      <c r="Q145" s="31"/>
      <c r="R145" s="31"/>
      <c r="S145" s="47">
        <f>250*E145</f>
        <v>1500</v>
      </c>
      <c r="T145" s="47">
        <v>500</v>
      </c>
      <c r="U145" s="48"/>
      <c r="V145" s="49"/>
      <c r="W145" s="49"/>
      <c r="X145" s="49">
        <v>2000</v>
      </c>
      <c r="Y145" s="49"/>
      <c r="Z145" s="49"/>
      <c r="AA145" s="49"/>
      <c r="AB145" s="50"/>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33">
        <f t="shared" si="1"/>
        <v>0</v>
      </c>
      <c r="AY145" s="43" t="s">
        <v>2038</v>
      </c>
    </row>
    <row r="146" spans="1:52" ht="38.25" customHeight="1" x14ac:dyDescent="0.35">
      <c r="A146" s="26">
        <v>129</v>
      </c>
      <c r="B146" s="43" t="s">
        <v>1440</v>
      </c>
      <c r="C146" s="28"/>
      <c r="D146" s="298" t="s">
        <v>1531</v>
      </c>
      <c r="E146" s="95">
        <v>1</v>
      </c>
      <c r="F146" s="44" t="s">
        <v>30</v>
      </c>
      <c r="G146" s="234">
        <f>[1]DICIEMBRE!$BA$142</f>
        <v>0</v>
      </c>
      <c r="H146" s="31">
        <f>ENERO!BA147</f>
        <v>0</v>
      </c>
      <c r="I146" s="45"/>
      <c r="J146" s="32"/>
      <c r="K146" s="32"/>
      <c r="L146" s="32"/>
      <c r="M146" s="336"/>
      <c r="N146" s="32"/>
      <c r="O146" s="32"/>
      <c r="P146" s="31"/>
      <c r="Q146" s="31"/>
      <c r="R146" s="31"/>
      <c r="S146" s="47">
        <f>300*E146</f>
        <v>300</v>
      </c>
      <c r="T146" s="47"/>
      <c r="U146" s="48"/>
      <c r="V146" s="49"/>
      <c r="W146" s="49"/>
      <c r="X146" s="49"/>
      <c r="Y146" s="49"/>
      <c r="Z146" s="49"/>
      <c r="AA146" s="49"/>
      <c r="AB146" s="50"/>
      <c r="AC146" s="49"/>
      <c r="AD146" s="49"/>
      <c r="AE146" s="49">
        <v>300</v>
      </c>
      <c r="AF146" s="49"/>
      <c r="AG146" s="49"/>
      <c r="AH146" s="49"/>
      <c r="AI146" s="49"/>
      <c r="AJ146" s="49"/>
      <c r="AK146" s="49"/>
      <c r="AL146" s="49"/>
      <c r="AM146" s="49"/>
      <c r="AN146" s="49"/>
      <c r="AO146" s="49"/>
      <c r="AP146" s="49"/>
      <c r="AQ146" s="49"/>
      <c r="AR146" s="49"/>
      <c r="AS146" s="49"/>
      <c r="AT146" s="49"/>
      <c r="AU146" s="49"/>
      <c r="AV146" s="49"/>
      <c r="AW146" s="49"/>
      <c r="AX146" s="33">
        <f t="shared" si="1"/>
        <v>0</v>
      </c>
      <c r="AY146" s="43"/>
    </row>
    <row r="147" spans="1:52" ht="38.25" customHeight="1" x14ac:dyDescent="0.35">
      <c r="A147" s="26">
        <v>130</v>
      </c>
      <c r="B147" s="43" t="s">
        <v>105</v>
      </c>
      <c r="C147" s="53" t="s">
        <v>106</v>
      </c>
      <c r="D147" s="298" t="s">
        <v>1533</v>
      </c>
      <c r="E147" s="96">
        <v>3</v>
      </c>
      <c r="F147" s="44" t="s">
        <v>30</v>
      </c>
      <c r="G147" s="112">
        <f>[1]DICIEMBRE!$BA$143</f>
        <v>0</v>
      </c>
      <c r="H147" s="31">
        <f>ENERO!BA148</f>
        <v>0</v>
      </c>
      <c r="I147" s="45"/>
      <c r="J147" s="32"/>
      <c r="K147" s="32"/>
      <c r="L147" s="32"/>
      <c r="M147" s="32"/>
      <c r="N147" s="336"/>
      <c r="O147" s="33"/>
      <c r="P147" s="33"/>
      <c r="Q147" s="31"/>
      <c r="R147" s="31"/>
      <c r="S147" s="47">
        <f>297*E147</f>
        <v>891</v>
      </c>
      <c r="T147" s="47"/>
      <c r="U147" s="48"/>
      <c r="V147" s="47"/>
      <c r="W147" s="75"/>
      <c r="X147" s="47"/>
      <c r="Y147" s="47"/>
      <c r="Z147" s="47">
        <v>891</v>
      </c>
      <c r="AA147" s="47"/>
      <c r="AB147" s="47"/>
      <c r="AC147" s="47"/>
      <c r="AD147" s="47"/>
      <c r="AE147" s="47"/>
      <c r="AF147" s="47"/>
      <c r="AG147" s="47"/>
      <c r="AH147" s="47"/>
      <c r="AI147" s="47"/>
      <c r="AJ147" s="47"/>
      <c r="AK147" s="66"/>
      <c r="AL147" s="47"/>
      <c r="AM147" s="47"/>
      <c r="AN147" s="47"/>
      <c r="AO147" s="47"/>
      <c r="AP147" s="47"/>
      <c r="AQ147" s="47"/>
      <c r="AR147" s="47"/>
      <c r="AS147" s="47"/>
      <c r="AT147" s="47"/>
      <c r="AU147" s="47"/>
      <c r="AV147" s="47"/>
      <c r="AW147" s="47"/>
      <c r="AX147" s="33">
        <f>SUM(H147+S147+T147-U147-V147-W147-X147-Y147-Z147-AA147-AB147-AC147-AD147-AE147-AF147-AG147-AH147-AI147-AJ147-AK147-AL147-AM147-AN147-AO147-AP147-AQ147-AR147-AS147-AT147-AU147-AV147-AW147)</f>
        <v>0</v>
      </c>
      <c r="AY147" s="43"/>
    </row>
    <row r="148" spans="1:52" ht="60" customHeight="1" x14ac:dyDescent="0.35">
      <c r="A148" s="26">
        <v>131</v>
      </c>
      <c r="B148" s="27" t="s">
        <v>107</v>
      </c>
      <c r="C148" s="28" t="s">
        <v>108</v>
      </c>
      <c r="D148" s="298" t="s">
        <v>2026</v>
      </c>
      <c r="E148" s="96">
        <v>1</v>
      </c>
      <c r="F148" s="44" t="s">
        <v>30</v>
      </c>
      <c r="G148" s="234">
        <f>[1]DICIEMBRE!$BA$144</f>
        <v>0</v>
      </c>
      <c r="H148" s="45">
        <f>ENERO!BA149</f>
        <v>0</v>
      </c>
      <c r="I148" s="45"/>
      <c r="J148" s="32"/>
      <c r="K148" s="33"/>
      <c r="L148" s="336"/>
      <c r="M148" s="32"/>
      <c r="N148" s="32"/>
      <c r="O148" s="32"/>
      <c r="P148" s="31"/>
      <c r="Q148" s="31"/>
      <c r="R148" s="31"/>
      <c r="S148" s="47">
        <f>300*E148</f>
        <v>300</v>
      </c>
      <c r="T148" s="47"/>
      <c r="U148" s="48"/>
      <c r="V148" s="47"/>
      <c r="W148" s="47"/>
      <c r="X148" s="47"/>
      <c r="Y148" s="47"/>
      <c r="Z148" s="47"/>
      <c r="AA148" s="47"/>
      <c r="AB148" s="47"/>
      <c r="AC148" s="47">
        <v>300</v>
      </c>
      <c r="AD148" s="47"/>
      <c r="AE148" s="47"/>
      <c r="AF148" s="47"/>
      <c r="AG148" s="47"/>
      <c r="AH148" s="47"/>
      <c r="AI148" s="47"/>
      <c r="AJ148" s="47"/>
      <c r="AK148" s="66"/>
      <c r="AL148" s="47"/>
      <c r="AM148" s="47"/>
      <c r="AN148" s="47"/>
      <c r="AO148" s="47"/>
      <c r="AP148" s="47"/>
      <c r="AQ148" s="47"/>
      <c r="AR148" s="47"/>
      <c r="AS148" s="47"/>
      <c r="AT148" s="47"/>
      <c r="AU148" s="47"/>
      <c r="AV148" s="47"/>
      <c r="AW148" s="47"/>
      <c r="AX148" s="33">
        <f t="shared" si="1"/>
        <v>0</v>
      </c>
      <c r="AY148" s="43"/>
    </row>
    <row r="149" spans="1:52" ht="39.75" customHeight="1" x14ac:dyDescent="0.35">
      <c r="A149" s="26">
        <v>132</v>
      </c>
      <c r="B149" s="43" t="s">
        <v>359</v>
      </c>
      <c r="C149" s="28" t="s">
        <v>383</v>
      </c>
      <c r="D149" s="300" t="s">
        <v>1534</v>
      </c>
      <c r="E149" s="96">
        <v>5</v>
      </c>
      <c r="F149" s="44" t="s">
        <v>30</v>
      </c>
      <c r="G149" s="112">
        <f>[1]DICIEMBRE!$BA$145</f>
        <v>0</v>
      </c>
      <c r="H149" s="31">
        <f>ENERO!BA150</f>
        <v>0</v>
      </c>
      <c r="I149" s="45"/>
      <c r="J149" s="32"/>
      <c r="K149" s="32"/>
      <c r="L149" s="32"/>
      <c r="M149" s="336"/>
      <c r="N149" s="32"/>
      <c r="O149" s="32"/>
      <c r="P149" s="33"/>
      <c r="Q149" s="31"/>
      <c r="R149" s="31"/>
      <c r="S149" s="47">
        <f>249*E149</f>
        <v>1245</v>
      </c>
      <c r="T149" s="47"/>
      <c r="U149" s="48"/>
      <c r="V149" s="47"/>
      <c r="W149" s="47"/>
      <c r="X149" s="47"/>
      <c r="Y149" s="47"/>
      <c r="Z149" s="47"/>
      <c r="AA149" s="47"/>
      <c r="AB149" s="47"/>
      <c r="AC149" s="47"/>
      <c r="AD149" s="47"/>
      <c r="AE149" s="47"/>
      <c r="AF149" s="47"/>
      <c r="AG149" s="47"/>
      <c r="AH149" s="47"/>
      <c r="AI149" s="47"/>
      <c r="AJ149" s="47"/>
      <c r="AK149" s="66"/>
      <c r="AL149" s="47"/>
      <c r="AM149" s="47"/>
      <c r="AN149" s="47"/>
      <c r="AO149" s="47"/>
      <c r="AP149" s="47"/>
      <c r="AQ149" s="47"/>
      <c r="AR149" s="47"/>
      <c r="AS149" s="47"/>
      <c r="AT149" s="47">
        <v>1245</v>
      </c>
      <c r="AU149" s="47"/>
      <c r="AV149" s="47"/>
      <c r="AW149" s="47"/>
      <c r="AX149" s="33">
        <f t="shared" ref="AX149:AX212" si="2">SUM(H149+S149+T149-U149-V149-W149-X149-Y149-Z149-AA149-AB149-AC149-AD149-AE149-AF149-AG149-AH149-AI149-AJ149-AK149-AL149-AM149-AN149-AO149-AP149-AQ149-AR149-AS149-AT149-AU149-AV149-AW149)</f>
        <v>0</v>
      </c>
      <c r="AY149" s="43"/>
    </row>
    <row r="150" spans="1:52" ht="60" customHeight="1" x14ac:dyDescent="0.35">
      <c r="A150" s="26">
        <v>133</v>
      </c>
      <c r="B150" s="43" t="s">
        <v>34</v>
      </c>
      <c r="C150" s="28" t="s">
        <v>382</v>
      </c>
      <c r="D150" s="330" t="s">
        <v>2196</v>
      </c>
      <c r="E150" s="95">
        <v>3</v>
      </c>
      <c r="F150" s="44" t="s">
        <v>30</v>
      </c>
      <c r="G150" s="234">
        <f>[1]DICIEMBRE!$BA$146</f>
        <v>-4.3999999998050043E-3</v>
      </c>
      <c r="H150" s="31">
        <f>ENERO!BA151</f>
        <v>269.99560000000019</v>
      </c>
      <c r="I150" s="45"/>
      <c r="J150" s="32"/>
      <c r="K150" s="32"/>
      <c r="L150" s="32"/>
      <c r="M150" s="32"/>
      <c r="N150" s="336"/>
      <c r="O150" s="33"/>
      <c r="P150" s="31"/>
      <c r="Q150" s="31"/>
      <c r="R150" s="31"/>
      <c r="S150" s="47">
        <f>(250*0.16+250)*E150</f>
        <v>870</v>
      </c>
      <c r="T150" s="47">
        <f>(650*0.16+650)*2</f>
        <v>1508</v>
      </c>
      <c r="U150" s="48"/>
      <c r="V150" s="49"/>
      <c r="W150" s="49"/>
      <c r="X150" s="49"/>
      <c r="Y150" s="49"/>
      <c r="Z150" s="49"/>
      <c r="AA150" s="49"/>
      <c r="AB150" s="50">
        <v>2648</v>
      </c>
      <c r="AC150" s="51"/>
      <c r="AD150" s="49"/>
      <c r="AE150" s="49"/>
      <c r="AF150" s="49"/>
      <c r="AG150" s="49"/>
      <c r="AH150" s="49"/>
      <c r="AI150" s="49"/>
      <c r="AJ150" s="49"/>
      <c r="AK150" s="49"/>
      <c r="AL150" s="49"/>
      <c r="AM150" s="49"/>
      <c r="AN150" s="49"/>
      <c r="AO150" s="49"/>
      <c r="AP150" s="49"/>
      <c r="AQ150" s="49"/>
      <c r="AR150" s="49"/>
      <c r="AS150" s="49"/>
      <c r="AT150" s="49"/>
      <c r="AU150" s="49"/>
      <c r="AV150" s="49"/>
      <c r="AW150" s="49"/>
      <c r="AX150" s="33">
        <f t="shared" si="2"/>
        <v>-4.3999999998050043E-3</v>
      </c>
      <c r="AY150" s="43" t="s">
        <v>2079</v>
      </c>
    </row>
    <row r="151" spans="1:52" ht="60" customHeight="1" x14ac:dyDescent="0.35">
      <c r="A151" s="26">
        <v>134</v>
      </c>
      <c r="B151" s="43" t="s">
        <v>1385</v>
      </c>
      <c r="C151" s="28"/>
      <c r="D151" s="305" t="s">
        <v>1535</v>
      </c>
      <c r="E151" s="95">
        <v>1</v>
      </c>
      <c r="F151" s="44" t="s">
        <v>30</v>
      </c>
      <c r="G151" s="112">
        <f>[1]DICIEMBRE!$BA$147</f>
        <v>-1</v>
      </c>
      <c r="H151" s="45">
        <f>ENERO!BA152</f>
        <v>-1</v>
      </c>
      <c r="I151" s="45"/>
      <c r="J151" s="32"/>
      <c r="K151" s="32"/>
      <c r="L151" s="32"/>
      <c r="M151" s="32"/>
      <c r="N151" s="336"/>
      <c r="O151" s="33"/>
      <c r="P151" s="33"/>
      <c r="Q151" s="31"/>
      <c r="R151" s="31"/>
      <c r="S151" s="47">
        <f>300*E151</f>
        <v>300</v>
      </c>
      <c r="T151" s="47"/>
      <c r="U151" s="48"/>
      <c r="V151" s="49"/>
      <c r="W151" s="49"/>
      <c r="X151" s="49"/>
      <c r="Y151" s="49"/>
      <c r="Z151" s="49">
        <v>299</v>
      </c>
      <c r="AA151" s="49"/>
      <c r="AB151" s="50"/>
      <c r="AC151" s="51"/>
      <c r="AD151" s="49"/>
      <c r="AE151" s="49"/>
      <c r="AF151" s="49"/>
      <c r="AG151" s="49"/>
      <c r="AH151" s="49"/>
      <c r="AI151" s="49"/>
      <c r="AJ151" s="49"/>
      <c r="AK151" s="49"/>
      <c r="AL151" s="49"/>
      <c r="AM151" s="49"/>
      <c r="AN151" s="49"/>
      <c r="AO151" s="49"/>
      <c r="AP151" s="49"/>
      <c r="AQ151" s="49"/>
      <c r="AR151" s="49"/>
      <c r="AS151" s="49"/>
      <c r="AT151" s="49"/>
      <c r="AU151" s="49"/>
      <c r="AV151" s="49"/>
      <c r="AW151" s="49"/>
      <c r="AX151" s="33">
        <f t="shared" si="2"/>
        <v>0</v>
      </c>
      <c r="AY151" s="43"/>
    </row>
    <row r="152" spans="1:52" ht="60" customHeight="1" x14ac:dyDescent="0.35">
      <c r="A152" s="26">
        <v>135</v>
      </c>
      <c r="B152" s="43" t="s">
        <v>1625</v>
      </c>
      <c r="C152" s="28"/>
      <c r="D152" s="329" t="s">
        <v>1626</v>
      </c>
      <c r="E152" s="95">
        <v>1</v>
      </c>
      <c r="F152" s="44" t="s">
        <v>30</v>
      </c>
      <c r="G152" s="234">
        <f>[1]DICIEMBRE!$BA$148</f>
        <v>0</v>
      </c>
      <c r="H152" s="31">
        <f>ENERO!BA153</f>
        <v>-300</v>
      </c>
      <c r="I152" s="45"/>
      <c r="J152" s="32"/>
      <c r="K152" s="32"/>
      <c r="L152" s="32"/>
      <c r="M152" s="32"/>
      <c r="N152" s="336"/>
      <c r="O152" s="33"/>
      <c r="P152" s="33"/>
      <c r="Q152" s="31"/>
      <c r="R152" s="31"/>
      <c r="S152" s="47">
        <f>300*E152</f>
        <v>300</v>
      </c>
      <c r="T152" s="47"/>
      <c r="U152" s="48"/>
      <c r="V152" s="49"/>
      <c r="W152" s="49"/>
      <c r="X152" s="49"/>
      <c r="Y152" s="49"/>
      <c r="Z152" s="49"/>
      <c r="AA152" s="49"/>
      <c r="AB152" s="50"/>
      <c r="AC152" s="51"/>
      <c r="AD152" s="49"/>
      <c r="AE152" s="49"/>
      <c r="AF152" s="49"/>
      <c r="AG152" s="49"/>
      <c r="AH152" s="49"/>
      <c r="AI152" s="49"/>
      <c r="AJ152" s="49"/>
      <c r="AK152" s="49"/>
      <c r="AL152" s="49"/>
      <c r="AM152" s="49"/>
      <c r="AN152" s="49"/>
      <c r="AO152" s="49"/>
      <c r="AP152" s="49"/>
      <c r="AQ152" s="49"/>
      <c r="AR152" s="49"/>
      <c r="AS152" s="49"/>
      <c r="AT152" s="49"/>
      <c r="AU152" s="49"/>
      <c r="AV152" s="49">
        <v>300</v>
      </c>
      <c r="AW152" s="49"/>
      <c r="AX152" s="33">
        <f t="shared" si="2"/>
        <v>-300</v>
      </c>
      <c r="AY152" s="43" t="s">
        <v>2310</v>
      </c>
    </row>
    <row r="153" spans="1:52" ht="60" customHeight="1" x14ac:dyDescent="0.35">
      <c r="A153" s="26">
        <v>136</v>
      </c>
      <c r="B153" s="43" t="s">
        <v>893</v>
      </c>
      <c r="C153" s="28"/>
      <c r="D153" s="298" t="s">
        <v>1536</v>
      </c>
      <c r="E153" s="97"/>
      <c r="F153" s="30" t="s">
        <v>30</v>
      </c>
      <c r="G153" s="112">
        <f>[1]DICIEMBRE!$BA$149</f>
        <v>600</v>
      </c>
      <c r="H153" s="31"/>
      <c r="I153" s="45"/>
      <c r="J153" s="32"/>
      <c r="K153" s="33"/>
      <c r="L153" s="336"/>
      <c r="M153" s="336"/>
      <c r="N153" s="32"/>
      <c r="O153" s="32"/>
      <c r="P153" s="31"/>
      <c r="Q153" s="31"/>
      <c r="R153" s="31"/>
      <c r="S153" s="47"/>
      <c r="T153" s="47"/>
      <c r="U153" s="48"/>
      <c r="V153" s="49"/>
      <c r="W153" s="49"/>
      <c r="X153" s="49"/>
      <c r="Y153" s="49"/>
      <c r="Z153" s="49"/>
      <c r="AA153" s="49"/>
      <c r="AB153" s="50"/>
      <c r="AC153" s="51"/>
      <c r="AD153" s="49"/>
      <c r="AE153" s="49"/>
      <c r="AF153" s="49"/>
      <c r="AG153" s="49"/>
      <c r="AH153" s="49"/>
      <c r="AI153" s="49"/>
      <c r="AJ153" s="49"/>
      <c r="AK153" s="49"/>
      <c r="AL153" s="49"/>
      <c r="AM153" s="49"/>
      <c r="AN153" s="49"/>
      <c r="AO153" s="49"/>
      <c r="AP153" s="49"/>
      <c r="AQ153" s="49"/>
      <c r="AR153" s="49"/>
      <c r="AS153" s="49"/>
      <c r="AT153" s="49"/>
      <c r="AU153" s="49"/>
      <c r="AV153" s="49"/>
      <c r="AW153" s="49"/>
      <c r="AX153" s="33">
        <f t="shared" si="2"/>
        <v>0</v>
      </c>
      <c r="AY153" s="43" t="s">
        <v>2220</v>
      </c>
    </row>
    <row r="154" spans="1:52" ht="31.5" customHeight="1" x14ac:dyDescent="0.35">
      <c r="A154" s="26">
        <v>137</v>
      </c>
      <c r="B154" s="43" t="s">
        <v>110</v>
      </c>
      <c r="C154" s="28" t="s">
        <v>111</v>
      </c>
      <c r="D154" s="300" t="s">
        <v>1173</v>
      </c>
      <c r="E154" s="96">
        <v>1</v>
      </c>
      <c r="F154" s="44" t="s">
        <v>35</v>
      </c>
      <c r="G154" s="234">
        <f>[1]DICIEMBRE!$BA$150</f>
        <v>0</v>
      </c>
      <c r="H154" s="45">
        <f>ENERO!BA155</f>
        <v>0</v>
      </c>
      <c r="I154" s="45"/>
      <c r="J154" s="32"/>
      <c r="K154" s="32"/>
      <c r="L154" s="32"/>
      <c r="M154" s="32"/>
      <c r="N154" s="32"/>
      <c r="O154" s="32"/>
      <c r="P154" s="33"/>
      <c r="Q154" s="31"/>
      <c r="R154" s="31"/>
      <c r="S154" s="47">
        <f>280*E154</f>
        <v>280</v>
      </c>
      <c r="T154" s="47"/>
      <c r="U154" s="48"/>
      <c r="V154" s="47"/>
      <c r="W154" s="47"/>
      <c r="X154" s="47"/>
      <c r="Y154" s="47"/>
      <c r="Z154" s="47"/>
      <c r="AA154" s="47"/>
      <c r="AB154" s="47"/>
      <c r="AC154" s="47"/>
      <c r="AD154" s="47"/>
      <c r="AE154" s="47"/>
      <c r="AF154" s="47">
        <v>280</v>
      </c>
      <c r="AG154" s="47"/>
      <c r="AH154" s="47"/>
      <c r="AI154" s="47"/>
      <c r="AJ154" s="47"/>
      <c r="AK154" s="66"/>
      <c r="AL154" s="47"/>
      <c r="AM154" s="47"/>
      <c r="AN154" s="47"/>
      <c r="AO154" s="47"/>
      <c r="AP154" s="47"/>
      <c r="AQ154" s="47"/>
      <c r="AR154" s="47"/>
      <c r="AS154" s="47"/>
      <c r="AT154" s="47"/>
      <c r="AU154" s="47"/>
      <c r="AV154" s="47"/>
      <c r="AW154" s="47"/>
      <c r="AX154" s="33">
        <f t="shared" si="2"/>
        <v>0</v>
      </c>
      <c r="AY154" s="43"/>
    </row>
    <row r="155" spans="1:52" ht="57" customHeight="1" x14ac:dyDescent="0.35">
      <c r="A155" s="26">
        <v>138</v>
      </c>
      <c r="B155" s="43" t="s">
        <v>1777</v>
      </c>
      <c r="C155" s="28"/>
      <c r="D155" s="300" t="s">
        <v>1699</v>
      </c>
      <c r="E155" s="96">
        <v>1</v>
      </c>
      <c r="F155" s="44" t="s">
        <v>30</v>
      </c>
      <c r="G155" s="112">
        <f>[1]DICIEMBRE!$BA$151</f>
        <v>0</v>
      </c>
      <c r="H155" s="31">
        <f>ENERO!BA156</f>
        <v>0</v>
      </c>
      <c r="I155" s="45"/>
      <c r="J155" s="32"/>
      <c r="K155" s="32"/>
      <c r="L155" s="32"/>
      <c r="M155" s="32"/>
      <c r="N155" s="32"/>
      <c r="O155" s="32"/>
      <c r="P155" s="33"/>
      <c r="Q155" s="31"/>
      <c r="R155" s="31"/>
      <c r="S155" s="47">
        <f>300*E155</f>
        <v>300</v>
      </c>
      <c r="T155" s="47"/>
      <c r="U155" s="48"/>
      <c r="V155" s="47"/>
      <c r="W155" s="47"/>
      <c r="X155" s="47"/>
      <c r="Y155" s="47">
        <v>300</v>
      </c>
      <c r="Z155" s="47"/>
      <c r="AA155" s="47"/>
      <c r="AB155" s="47"/>
      <c r="AC155" s="47"/>
      <c r="AD155" s="47"/>
      <c r="AE155" s="47"/>
      <c r="AF155" s="47"/>
      <c r="AG155" s="47"/>
      <c r="AH155" s="47"/>
      <c r="AI155" s="47"/>
      <c r="AJ155" s="47"/>
      <c r="AK155" s="66"/>
      <c r="AL155" s="47"/>
      <c r="AM155" s="47"/>
      <c r="AN155" s="47"/>
      <c r="AO155" s="47"/>
      <c r="AP155" s="47"/>
      <c r="AQ155" s="47"/>
      <c r="AR155" s="47"/>
      <c r="AS155" s="47"/>
      <c r="AT155" s="47"/>
      <c r="AU155" s="47"/>
      <c r="AV155" s="47"/>
      <c r="AW155" s="47"/>
      <c r="AX155" s="33">
        <f>SUM(H155+S155+T155-U155-V155-W155-X155-Y155-Z155-AA155-AB155-AC155-AD155-AE155-AF155-AG155-AH155-AI155-AJ155-AK155-AL155-AM155-AN155-AO155-AP155-AQ155-AR155-AS155-AT155-AU155-AV155-AW155)</f>
        <v>0</v>
      </c>
      <c r="AY155" s="43"/>
    </row>
    <row r="156" spans="1:52" ht="40.5" customHeight="1" x14ac:dyDescent="0.35">
      <c r="A156" s="26">
        <v>139</v>
      </c>
      <c r="B156" s="43" t="s">
        <v>1110</v>
      </c>
      <c r="C156" s="43"/>
      <c r="D156" s="308" t="s">
        <v>1537</v>
      </c>
      <c r="E156" s="95">
        <v>2</v>
      </c>
      <c r="F156" s="44" t="s">
        <v>30</v>
      </c>
      <c r="G156" s="112">
        <f>[1]DICIEMBRE!$BA$153</f>
        <v>696</v>
      </c>
      <c r="H156" s="45">
        <f>ENERO!BA158</f>
        <v>1392</v>
      </c>
      <c r="I156" s="45"/>
      <c r="J156" s="32"/>
      <c r="K156" s="32"/>
      <c r="L156" s="32"/>
      <c r="M156" s="336"/>
      <c r="N156" s="32"/>
      <c r="O156" s="32"/>
      <c r="P156" s="33"/>
      <c r="Q156" s="31"/>
      <c r="R156" s="31"/>
      <c r="S156" s="47">
        <f>(300*0.16+300)*E156</f>
        <v>696</v>
      </c>
      <c r="T156" s="47"/>
      <c r="U156" s="48"/>
      <c r="V156" s="47"/>
      <c r="W156" s="47"/>
      <c r="X156" s="47"/>
      <c r="Y156" s="47"/>
      <c r="Z156" s="47"/>
      <c r="AA156" s="47"/>
      <c r="AB156" s="47"/>
      <c r="AC156" s="47"/>
      <c r="AD156" s="47"/>
      <c r="AE156" s="47"/>
      <c r="AF156" s="47"/>
      <c r="AG156" s="47"/>
      <c r="AH156" s="47"/>
      <c r="AI156" s="47"/>
      <c r="AJ156" s="47"/>
      <c r="AK156" s="66"/>
      <c r="AL156" s="47"/>
      <c r="AM156" s="47"/>
      <c r="AN156" s="47"/>
      <c r="AO156" s="47"/>
      <c r="AP156" s="47"/>
      <c r="AQ156" s="47"/>
      <c r="AR156" s="47"/>
      <c r="AS156" s="47"/>
      <c r="AT156" s="47"/>
      <c r="AU156" s="47"/>
      <c r="AV156" s="47"/>
      <c r="AW156" s="47"/>
      <c r="AX156" s="33">
        <f t="shared" si="2"/>
        <v>2088</v>
      </c>
      <c r="AY156" s="43" t="s">
        <v>456</v>
      </c>
    </row>
    <row r="157" spans="1:52" ht="40.5" customHeight="1" x14ac:dyDescent="0.35">
      <c r="A157" s="26">
        <v>140</v>
      </c>
      <c r="B157" s="53" t="s">
        <v>2203</v>
      </c>
      <c r="C157" s="43"/>
      <c r="D157" s="308" t="s">
        <v>2204</v>
      </c>
      <c r="E157" s="95">
        <v>1</v>
      </c>
      <c r="F157" s="44" t="s">
        <v>30</v>
      </c>
      <c r="G157" s="112"/>
      <c r="H157" s="45"/>
      <c r="I157" s="45"/>
      <c r="J157" s="32"/>
      <c r="K157" s="32"/>
      <c r="L157" s="32"/>
      <c r="M157" s="336"/>
      <c r="N157" s="32"/>
      <c r="O157" s="32"/>
      <c r="P157" s="33"/>
      <c r="Q157" s="31"/>
      <c r="R157" s="31"/>
      <c r="S157" s="47">
        <f>300*0.16+300</f>
        <v>348</v>
      </c>
      <c r="T157" s="47">
        <v>350</v>
      </c>
      <c r="U157" s="48"/>
      <c r="V157" s="47"/>
      <c r="W157" s="47"/>
      <c r="X157" s="47"/>
      <c r="Y157" s="47"/>
      <c r="Z157" s="47"/>
      <c r="AA157" s="47"/>
      <c r="AB157" s="47">
        <v>350</v>
      </c>
      <c r="AC157" s="47"/>
      <c r="AD157" s="47"/>
      <c r="AE157" s="47"/>
      <c r="AF157" s="47"/>
      <c r="AG157" s="47"/>
      <c r="AH157" s="47"/>
      <c r="AI157" s="47"/>
      <c r="AJ157" s="47"/>
      <c r="AK157" s="66"/>
      <c r="AL157" s="47"/>
      <c r="AM157" s="47"/>
      <c r="AN157" s="47"/>
      <c r="AO157" s="47"/>
      <c r="AP157" s="47"/>
      <c r="AQ157" s="47"/>
      <c r="AR157" s="47"/>
      <c r="AS157" s="47"/>
      <c r="AT157" s="47"/>
      <c r="AU157" s="47"/>
      <c r="AV157" s="47">
        <v>696</v>
      </c>
      <c r="AW157" s="47"/>
      <c r="AX157" s="33">
        <f t="shared" si="2"/>
        <v>-348</v>
      </c>
      <c r="AY157" s="43" t="s">
        <v>2312</v>
      </c>
    </row>
    <row r="158" spans="1:52" ht="40.5" customHeight="1" x14ac:dyDescent="0.35">
      <c r="A158" s="26">
        <v>141</v>
      </c>
      <c r="B158" s="43" t="s">
        <v>1397</v>
      </c>
      <c r="C158" s="43"/>
      <c r="D158" s="306" t="s">
        <v>1538</v>
      </c>
      <c r="E158" s="95">
        <v>1</v>
      </c>
      <c r="F158" s="44" t="s">
        <v>30</v>
      </c>
      <c r="G158" s="234">
        <f>[1]DICIEMBRE!$BA$154</f>
        <v>0</v>
      </c>
      <c r="H158" s="31">
        <f>ENERO!BA159</f>
        <v>0</v>
      </c>
      <c r="I158" s="45"/>
      <c r="J158" s="32"/>
      <c r="K158" s="32"/>
      <c r="L158" s="32"/>
      <c r="M158" s="336"/>
      <c r="N158" s="32"/>
      <c r="O158" s="32"/>
      <c r="P158" s="31"/>
      <c r="Q158" s="31"/>
      <c r="R158" s="31"/>
      <c r="S158" s="47">
        <f>300*E158</f>
        <v>300</v>
      </c>
      <c r="T158" s="47"/>
      <c r="U158" s="48"/>
      <c r="V158" s="47"/>
      <c r="W158" s="47"/>
      <c r="X158" s="47"/>
      <c r="Y158" s="47"/>
      <c r="Z158" s="47"/>
      <c r="AA158" s="47"/>
      <c r="AB158" s="47"/>
      <c r="AC158" s="47"/>
      <c r="AD158" s="47"/>
      <c r="AE158" s="47"/>
      <c r="AF158" s="47"/>
      <c r="AG158" s="47"/>
      <c r="AH158" s="47"/>
      <c r="AI158" s="47"/>
      <c r="AJ158" s="47"/>
      <c r="AK158" s="66"/>
      <c r="AL158" s="47"/>
      <c r="AM158" s="47"/>
      <c r="AN158" s="47"/>
      <c r="AO158" s="47"/>
      <c r="AP158" s="47"/>
      <c r="AQ158" s="47"/>
      <c r="AR158" s="47"/>
      <c r="AS158" s="47">
        <v>300</v>
      </c>
      <c r="AT158" s="47"/>
      <c r="AU158" s="47"/>
      <c r="AV158" s="47"/>
      <c r="AW158" s="47"/>
      <c r="AX158" s="33">
        <f t="shared" si="2"/>
        <v>0</v>
      </c>
      <c r="AY158" s="43"/>
    </row>
    <row r="159" spans="1:52" ht="39" customHeight="1" x14ac:dyDescent="0.35">
      <c r="A159" s="26">
        <v>142</v>
      </c>
      <c r="B159" s="43" t="s">
        <v>951</v>
      </c>
      <c r="C159" s="28"/>
      <c r="D159" s="298"/>
      <c r="E159" s="95">
        <v>1</v>
      </c>
      <c r="F159" s="44" t="s">
        <v>30</v>
      </c>
      <c r="G159" s="112"/>
      <c r="H159" s="31">
        <f>ENERO!BA160</f>
        <v>0</v>
      </c>
      <c r="I159" s="45"/>
      <c r="J159" s="32"/>
      <c r="K159" s="32"/>
      <c r="L159" s="32"/>
      <c r="M159" s="32"/>
      <c r="N159" s="336"/>
      <c r="O159" s="33"/>
      <c r="P159" s="33"/>
      <c r="Q159" s="31"/>
      <c r="R159" s="31"/>
      <c r="S159" s="47">
        <v>0</v>
      </c>
      <c r="T159" s="47"/>
      <c r="U159" s="48"/>
      <c r="V159" s="49"/>
      <c r="W159" s="49"/>
      <c r="X159" s="49"/>
      <c r="Y159" s="49"/>
      <c r="Z159" s="49"/>
      <c r="AA159" s="49"/>
      <c r="AB159" s="50"/>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33">
        <f>SUM(H159+S159+T159-U159-V159-W159-X159-Y159-Z159-AA159-AB159-AC159-AD159-AE159-AF159-AG159-AH159-AI159-AJ159-AK159-AL159-AM159-AN159-AO159-AP159-AQ159-AR159-AS159-AT159-AU159-AV159-AW159)</f>
        <v>0</v>
      </c>
      <c r="AY159" s="43" t="s">
        <v>1348</v>
      </c>
      <c r="AZ159" s="76"/>
    </row>
    <row r="160" spans="1:52" ht="60.75" customHeight="1" x14ac:dyDescent="0.35">
      <c r="A160" s="26">
        <v>143</v>
      </c>
      <c r="B160" s="27" t="s">
        <v>112</v>
      </c>
      <c r="C160" s="28" t="s">
        <v>113</v>
      </c>
      <c r="D160" s="298" t="s">
        <v>1174</v>
      </c>
      <c r="E160" s="95">
        <v>3</v>
      </c>
      <c r="F160" s="44" t="s">
        <v>30</v>
      </c>
      <c r="G160" s="112">
        <f>[1]DICIEMBRE!$BA$157</f>
        <v>13200</v>
      </c>
      <c r="H160" s="31">
        <f>ENERO!BA162</f>
        <v>13200</v>
      </c>
      <c r="I160" s="45"/>
      <c r="J160" s="32"/>
      <c r="K160" s="32"/>
      <c r="L160" s="32"/>
      <c r="M160" s="32"/>
      <c r="N160" s="32"/>
      <c r="O160" s="32"/>
      <c r="P160" s="33"/>
      <c r="Q160" s="31"/>
      <c r="R160" s="31"/>
      <c r="S160" s="47">
        <f>350*E160</f>
        <v>1050</v>
      </c>
      <c r="T160" s="47">
        <v>1000</v>
      </c>
      <c r="U160" s="48"/>
      <c r="V160" s="49"/>
      <c r="W160" s="49"/>
      <c r="X160" s="49"/>
      <c r="Y160" s="49"/>
      <c r="Z160" s="49"/>
      <c r="AA160" s="49"/>
      <c r="AB160" s="49"/>
      <c r="AC160" s="49"/>
      <c r="AD160" s="49"/>
      <c r="AE160" s="49">
        <v>1050</v>
      </c>
      <c r="AF160" s="49"/>
      <c r="AG160" s="49"/>
      <c r="AH160" s="49"/>
      <c r="AI160" s="49"/>
      <c r="AJ160" s="49"/>
      <c r="AK160" s="49"/>
      <c r="AL160" s="49"/>
      <c r="AM160" s="49"/>
      <c r="AN160" s="49"/>
      <c r="AO160" s="49">
        <v>2000</v>
      </c>
      <c r="AP160" s="49"/>
      <c r="AQ160" s="49"/>
      <c r="AR160" s="49"/>
      <c r="AS160" s="49"/>
      <c r="AT160" s="49"/>
      <c r="AU160" s="49"/>
      <c r="AV160" s="49"/>
      <c r="AW160" s="49"/>
      <c r="AX160" s="33">
        <f t="shared" si="2"/>
        <v>12200</v>
      </c>
      <c r="AY160" s="43" t="s">
        <v>2079</v>
      </c>
    </row>
    <row r="161" spans="1:51" ht="60.75" customHeight="1" x14ac:dyDescent="0.35">
      <c r="A161" s="26">
        <v>144</v>
      </c>
      <c r="B161" s="43" t="s">
        <v>679</v>
      </c>
      <c r="C161" s="28"/>
      <c r="D161" s="298" t="s">
        <v>683</v>
      </c>
      <c r="E161" s="95">
        <v>4</v>
      </c>
      <c r="F161" s="44" t="s">
        <v>30</v>
      </c>
      <c r="G161" s="234">
        <f>[1]DICIEMBRE!$BA$158</f>
        <v>-1</v>
      </c>
      <c r="H161" s="31">
        <f>ENERO!BA163</f>
        <v>-1</v>
      </c>
      <c r="I161" s="45"/>
      <c r="J161" s="32"/>
      <c r="K161" s="32"/>
      <c r="L161" s="32"/>
      <c r="M161" s="336"/>
      <c r="N161" s="32"/>
      <c r="O161" s="32"/>
      <c r="P161" s="33"/>
      <c r="Q161" s="31"/>
      <c r="R161" s="31"/>
      <c r="S161" s="47">
        <f>250*E161</f>
        <v>1000</v>
      </c>
      <c r="T161" s="47"/>
      <c r="U161" s="48"/>
      <c r="V161" s="49"/>
      <c r="W161" s="49"/>
      <c r="X161" s="49"/>
      <c r="Y161" s="49"/>
      <c r="Z161" s="49"/>
      <c r="AA161" s="49"/>
      <c r="AB161" s="49">
        <v>999</v>
      </c>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33">
        <f t="shared" si="2"/>
        <v>0</v>
      </c>
      <c r="AY161" s="43"/>
    </row>
    <row r="162" spans="1:51" ht="60.75" customHeight="1" x14ac:dyDescent="0.35">
      <c r="A162" s="26">
        <v>145</v>
      </c>
      <c r="B162" s="43" t="s">
        <v>1367</v>
      </c>
      <c r="C162" s="28"/>
      <c r="D162" s="298" t="s">
        <v>1371</v>
      </c>
      <c r="E162" s="95">
        <v>1</v>
      </c>
      <c r="F162" s="44" t="s">
        <v>30</v>
      </c>
      <c r="G162" s="112">
        <f>[1]DICIEMBRE!$BA$159</f>
        <v>-111</v>
      </c>
      <c r="H162" s="45">
        <f>ENERO!BA164</f>
        <v>-111</v>
      </c>
      <c r="I162" s="45"/>
      <c r="J162" s="32"/>
      <c r="K162" s="32"/>
      <c r="L162" s="32"/>
      <c r="M162" s="336"/>
      <c r="N162" s="32"/>
      <c r="O162" s="32"/>
      <c r="P162" s="31"/>
      <c r="Q162" s="31"/>
      <c r="R162" s="31"/>
      <c r="S162" s="47">
        <f>300*E162</f>
        <v>300</v>
      </c>
      <c r="T162" s="47"/>
      <c r="U162" s="48"/>
      <c r="V162" s="49"/>
      <c r="W162" s="49"/>
      <c r="X162" s="49"/>
      <c r="Y162" s="49"/>
      <c r="Z162" s="49"/>
      <c r="AA162" s="49"/>
      <c r="AB162" s="49"/>
      <c r="AC162" s="49"/>
      <c r="AD162" s="49">
        <v>300</v>
      </c>
      <c r="AE162" s="49"/>
      <c r="AF162" s="49"/>
      <c r="AG162" s="49"/>
      <c r="AH162" s="49"/>
      <c r="AI162" s="49"/>
      <c r="AJ162" s="49"/>
      <c r="AK162" s="49"/>
      <c r="AL162" s="49"/>
      <c r="AM162" s="49"/>
      <c r="AN162" s="49"/>
      <c r="AO162" s="49"/>
      <c r="AP162" s="49"/>
      <c r="AQ162" s="49"/>
      <c r="AR162" s="49"/>
      <c r="AS162" s="49"/>
      <c r="AT162" s="49"/>
      <c r="AU162" s="49"/>
      <c r="AV162" s="49"/>
      <c r="AW162" s="49"/>
      <c r="AX162" s="33">
        <f t="shared" si="2"/>
        <v>-111</v>
      </c>
      <c r="AY162" s="43"/>
    </row>
    <row r="163" spans="1:51" ht="38.25" customHeight="1" x14ac:dyDescent="0.35">
      <c r="A163" s="26">
        <v>146</v>
      </c>
      <c r="B163" s="43" t="s">
        <v>908</v>
      </c>
      <c r="C163" s="53"/>
      <c r="D163" s="298" t="s">
        <v>1175</v>
      </c>
      <c r="E163" s="95">
        <v>2</v>
      </c>
      <c r="F163" s="44" t="s">
        <v>30</v>
      </c>
      <c r="G163" s="112">
        <f>[1]DICIEMBRE!$BA$161</f>
        <v>0</v>
      </c>
      <c r="H163" s="31">
        <f>ENERO!BA165</f>
        <v>0</v>
      </c>
      <c r="I163" s="45"/>
      <c r="J163" s="32"/>
      <c r="K163" s="32"/>
      <c r="L163" s="32"/>
      <c r="M163" s="32"/>
      <c r="N163" s="32"/>
      <c r="O163" s="33"/>
      <c r="P163" s="31"/>
      <c r="Q163" s="31"/>
      <c r="R163" s="31"/>
      <c r="S163" s="47">
        <f>250*E163</f>
        <v>500</v>
      </c>
      <c r="T163" s="47"/>
      <c r="U163" s="48"/>
      <c r="V163" s="49"/>
      <c r="W163" s="49"/>
      <c r="X163" s="49"/>
      <c r="Y163" s="49"/>
      <c r="Z163" s="49"/>
      <c r="AA163" s="49"/>
      <c r="AB163" s="49">
        <v>500</v>
      </c>
      <c r="AC163" s="49"/>
      <c r="AD163" s="49"/>
      <c r="AE163" s="49"/>
      <c r="AF163" s="49"/>
      <c r="AG163" s="49"/>
      <c r="AH163" s="49"/>
      <c r="AI163" s="49"/>
      <c r="AJ163" s="49"/>
      <c r="AK163" s="63"/>
      <c r="AL163" s="49"/>
      <c r="AM163" s="49"/>
      <c r="AN163" s="49"/>
      <c r="AO163" s="49"/>
      <c r="AP163" s="49"/>
      <c r="AQ163" s="49"/>
      <c r="AR163" s="49"/>
      <c r="AS163" s="49"/>
      <c r="AT163" s="49"/>
      <c r="AU163" s="49"/>
      <c r="AV163" s="49"/>
      <c r="AW163" s="49"/>
      <c r="AX163" s="33">
        <f t="shared" si="2"/>
        <v>0</v>
      </c>
      <c r="AY163" s="43"/>
    </row>
    <row r="164" spans="1:51" ht="38.25" customHeight="1" x14ac:dyDescent="0.35">
      <c r="A164" s="26">
        <v>147</v>
      </c>
      <c r="B164" s="43" t="s">
        <v>1642</v>
      </c>
      <c r="C164" s="53"/>
      <c r="D164" s="298" t="s">
        <v>1643</v>
      </c>
      <c r="E164" s="95">
        <v>1</v>
      </c>
      <c r="F164" s="44"/>
      <c r="G164" s="234">
        <f>[1]DICIEMBRE!$BA$162</f>
        <v>0</v>
      </c>
      <c r="H164" s="31">
        <f>ENERO!BA166</f>
        <v>0</v>
      </c>
      <c r="I164" s="45"/>
      <c r="J164" s="32"/>
      <c r="K164" s="32"/>
      <c r="L164" s="32"/>
      <c r="M164" s="32"/>
      <c r="N164" s="32"/>
      <c r="O164" s="33"/>
      <c r="P164" s="31"/>
      <c r="Q164" s="31"/>
      <c r="R164" s="31"/>
      <c r="S164" s="47">
        <f>300*E164</f>
        <v>300</v>
      </c>
      <c r="T164" s="47"/>
      <c r="U164" s="48"/>
      <c r="V164" s="49"/>
      <c r="W164" s="49"/>
      <c r="X164" s="49"/>
      <c r="Y164" s="49"/>
      <c r="Z164" s="49">
        <v>300</v>
      </c>
      <c r="AA164" s="49"/>
      <c r="AB164" s="49"/>
      <c r="AC164" s="49"/>
      <c r="AD164" s="49"/>
      <c r="AE164" s="49"/>
      <c r="AF164" s="49"/>
      <c r="AG164" s="49"/>
      <c r="AH164" s="49"/>
      <c r="AI164" s="49"/>
      <c r="AJ164" s="49"/>
      <c r="AK164" s="63"/>
      <c r="AL164" s="49"/>
      <c r="AM164" s="49"/>
      <c r="AN164" s="49"/>
      <c r="AO164" s="49"/>
      <c r="AP164" s="49"/>
      <c r="AQ164" s="49"/>
      <c r="AR164" s="49"/>
      <c r="AS164" s="49"/>
      <c r="AT164" s="49"/>
      <c r="AU164" s="49"/>
      <c r="AV164" s="49"/>
      <c r="AW164" s="49"/>
      <c r="AX164" s="33">
        <f>SUM(H164+S164+T164-U164-V164-W164-X164-Y164-Z164-AA164-AB164-AC164-AD164-AE164-AF164-AG164-AH164-AI164-AJ164-AK164-AL164-AM164-AN164-AO164-AP164-AQ164-AR164-AS164-AT164-AU164-AV164-AW164)</f>
        <v>0</v>
      </c>
      <c r="AY164" s="43"/>
    </row>
    <row r="165" spans="1:51" ht="38.25" customHeight="1" x14ac:dyDescent="0.35">
      <c r="A165" s="26">
        <v>148</v>
      </c>
      <c r="B165" s="43" t="s">
        <v>1485</v>
      </c>
      <c r="C165" s="53"/>
      <c r="D165" s="298" t="s">
        <v>1488</v>
      </c>
      <c r="E165" s="95">
        <v>1</v>
      </c>
      <c r="F165" s="44" t="s">
        <v>30</v>
      </c>
      <c r="G165" s="112">
        <f>[1]DICIEMBRE!$BA$163</f>
        <v>-1</v>
      </c>
      <c r="H165" s="45">
        <f>ENERO!BA167</f>
        <v>-250</v>
      </c>
      <c r="I165" s="45"/>
      <c r="J165" s="32"/>
      <c r="K165" s="32"/>
      <c r="L165" s="32"/>
      <c r="M165" s="32"/>
      <c r="N165" s="32"/>
      <c r="O165" s="33"/>
      <c r="P165" s="31"/>
      <c r="Q165" s="31"/>
      <c r="R165" s="31"/>
      <c r="S165" s="47">
        <f>249*E165</f>
        <v>249</v>
      </c>
      <c r="T165" s="47"/>
      <c r="U165" s="48"/>
      <c r="V165" s="49"/>
      <c r="W165" s="49"/>
      <c r="X165" s="49"/>
      <c r="Y165" s="49"/>
      <c r="Z165" s="49"/>
      <c r="AA165" s="49"/>
      <c r="AB165" s="49"/>
      <c r="AC165" s="49"/>
      <c r="AD165" s="49"/>
      <c r="AE165" s="49"/>
      <c r="AF165" s="49"/>
      <c r="AG165" s="49"/>
      <c r="AH165" s="49"/>
      <c r="AI165" s="49"/>
      <c r="AJ165" s="49"/>
      <c r="AK165" s="63"/>
      <c r="AL165" s="49"/>
      <c r="AM165" s="49"/>
      <c r="AN165" s="49"/>
      <c r="AO165" s="49"/>
      <c r="AP165" s="49"/>
      <c r="AQ165" s="49"/>
      <c r="AR165" s="49"/>
      <c r="AS165" s="49"/>
      <c r="AT165" s="49"/>
      <c r="AU165" s="49"/>
      <c r="AV165" s="49"/>
      <c r="AW165" s="49"/>
      <c r="AX165" s="33">
        <f>SUM(H165+S165+T165-U165-V165-W165-X165-Y165-Z165-AA165-AB165-AC165-AD165-AE165-AF165-AG165-AH165-AI165-AJ165-AK165-AL165-AM165-AN165-AO165-AP165-AQ165-AR165-AS165-AT165-AU165-AV165-AW165)</f>
        <v>-1</v>
      </c>
      <c r="AY165" s="43" t="s">
        <v>1970</v>
      </c>
    </row>
    <row r="166" spans="1:51" ht="54.75" customHeight="1" x14ac:dyDescent="0.35">
      <c r="A166" s="26">
        <v>149</v>
      </c>
      <c r="B166" s="43" t="s">
        <v>1633</v>
      </c>
      <c r="C166" s="53"/>
      <c r="D166" s="300" t="s">
        <v>1634</v>
      </c>
      <c r="E166" s="95"/>
      <c r="F166" s="44" t="s">
        <v>30</v>
      </c>
      <c r="G166" s="234">
        <f>[1]DICIEMBRE!$BA$164</f>
        <v>0</v>
      </c>
      <c r="H166" s="31">
        <f>ENERO!BA168</f>
        <v>0</v>
      </c>
      <c r="I166" s="45"/>
      <c r="J166" s="32"/>
      <c r="K166" s="32"/>
      <c r="L166" s="32"/>
      <c r="M166" s="32"/>
      <c r="N166" s="32"/>
      <c r="O166" s="33"/>
      <c r="P166" s="31"/>
      <c r="Q166" s="31"/>
      <c r="R166" s="31"/>
      <c r="S166" s="47"/>
      <c r="T166" s="47"/>
      <c r="U166" s="48"/>
      <c r="V166" s="49"/>
      <c r="W166" s="49"/>
      <c r="X166" s="49"/>
      <c r="Y166" s="49"/>
      <c r="Z166" s="49"/>
      <c r="AA166" s="49"/>
      <c r="AB166" s="49"/>
      <c r="AC166" s="49"/>
      <c r="AD166" s="49"/>
      <c r="AE166" s="49"/>
      <c r="AF166" s="49"/>
      <c r="AG166" s="49"/>
      <c r="AH166" s="49"/>
      <c r="AI166" s="49"/>
      <c r="AJ166" s="49"/>
      <c r="AK166" s="63"/>
      <c r="AL166" s="49"/>
      <c r="AM166" s="49"/>
      <c r="AN166" s="49"/>
      <c r="AO166" s="49"/>
      <c r="AP166" s="49"/>
      <c r="AQ166" s="49"/>
      <c r="AR166" s="49"/>
      <c r="AS166" s="49"/>
      <c r="AT166" s="49"/>
      <c r="AU166" s="49"/>
      <c r="AV166" s="49"/>
      <c r="AW166" s="49"/>
      <c r="AX166" s="33">
        <f t="shared" si="2"/>
        <v>0</v>
      </c>
      <c r="AY166" s="43" t="s">
        <v>2440</v>
      </c>
    </row>
    <row r="167" spans="1:51" ht="54.75" customHeight="1" x14ac:dyDescent="0.35">
      <c r="A167" s="26">
        <v>150</v>
      </c>
      <c r="B167" s="43" t="s">
        <v>1906</v>
      </c>
      <c r="C167" s="53"/>
      <c r="D167" s="300" t="s">
        <v>1907</v>
      </c>
      <c r="E167" s="95">
        <v>1</v>
      </c>
      <c r="F167" s="44"/>
      <c r="G167" s="234"/>
      <c r="H167" s="31">
        <f>ENERO!BA169</f>
        <v>0</v>
      </c>
      <c r="I167" s="45"/>
      <c r="J167" s="32"/>
      <c r="K167" s="32"/>
      <c r="L167" s="32"/>
      <c r="M167" s="32"/>
      <c r="N167" s="32"/>
      <c r="O167" s="33"/>
      <c r="P167" s="31"/>
      <c r="Q167" s="31"/>
      <c r="R167" s="31"/>
      <c r="S167" s="47">
        <f>250*E167</f>
        <v>250</v>
      </c>
      <c r="T167" s="47"/>
      <c r="U167" s="48"/>
      <c r="V167" s="49"/>
      <c r="W167" s="49"/>
      <c r="X167" s="49"/>
      <c r="Y167" s="49"/>
      <c r="Z167" s="49"/>
      <c r="AA167" s="49"/>
      <c r="AB167" s="49"/>
      <c r="AC167" s="49"/>
      <c r="AD167" s="49"/>
      <c r="AE167" s="49">
        <v>250</v>
      </c>
      <c r="AF167" s="49"/>
      <c r="AG167" s="49"/>
      <c r="AH167" s="49"/>
      <c r="AI167" s="49"/>
      <c r="AJ167" s="49"/>
      <c r="AK167" s="63"/>
      <c r="AL167" s="49"/>
      <c r="AM167" s="49"/>
      <c r="AN167" s="49"/>
      <c r="AO167" s="49"/>
      <c r="AP167" s="49"/>
      <c r="AQ167" s="49"/>
      <c r="AR167" s="49"/>
      <c r="AS167" s="49"/>
      <c r="AT167" s="49"/>
      <c r="AU167" s="49"/>
      <c r="AV167" s="49"/>
      <c r="AW167" s="49"/>
      <c r="AX167" s="33">
        <f t="shared" si="2"/>
        <v>0</v>
      </c>
      <c r="AY167" s="43"/>
    </row>
    <row r="168" spans="1:51" ht="53.25" customHeight="1" x14ac:dyDescent="0.35">
      <c r="A168" s="26">
        <v>151</v>
      </c>
      <c r="B168" s="27" t="s">
        <v>116</v>
      </c>
      <c r="C168" s="28" t="s">
        <v>117</v>
      </c>
      <c r="D168" s="298" t="s">
        <v>1176</v>
      </c>
      <c r="E168" s="95">
        <v>1</v>
      </c>
      <c r="F168" s="44" t="s">
        <v>30</v>
      </c>
      <c r="G168" s="112">
        <f>[1]DICIEMBRE!$BA$165</f>
        <v>0</v>
      </c>
      <c r="H168" s="45">
        <f>ENERO!BA170</f>
        <v>0</v>
      </c>
      <c r="I168" s="45"/>
      <c r="J168" s="32"/>
      <c r="K168" s="32"/>
      <c r="L168" s="336"/>
      <c r="M168" s="32"/>
      <c r="N168" s="32"/>
      <c r="O168" s="32"/>
      <c r="P168" s="31"/>
      <c r="Q168" s="31"/>
      <c r="R168" s="31"/>
      <c r="S168" s="47">
        <v>250</v>
      </c>
      <c r="T168" s="47"/>
      <c r="U168" s="48"/>
      <c r="V168" s="49"/>
      <c r="W168" s="49"/>
      <c r="X168" s="49"/>
      <c r="Y168" s="49"/>
      <c r="Z168" s="49"/>
      <c r="AA168" s="49"/>
      <c r="AB168" s="49"/>
      <c r="AC168" s="49"/>
      <c r="AD168" s="50"/>
      <c r="AE168" s="49"/>
      <c r="AF168" s="49"/>
      <c r="AG168" s="49"/>
      <c r="AH168" s="49"/>
      <c r="AI168" s="49"/>
      <c r="AJ168" s="49"/>
      <c r="AK168" s="49"/>
      <c r="AL168" s="49"/>
      <c r="AM168" s="49">
        <v>250</v>
      </c>
      <c r="AN168" s="49"/>
      <c r="AO168" s="49"/>
      <c r="AP168" s="49"/>
      <c r="AQ168" s="49"/>
      <c r="AR168" s="49"/>
      <c r="AS168" s="49"/>
      <c r="AT168" s="49"/>
      <c r="AU168" s="49"/>
      <c r="AV168" s="49"/>
      <c r="AW168" s="49"/>
      <c r="AX168" s="33">
        <f t="shared" si="2"/>
        <v>0</v>
      </c>
      <c r="AY168" s="43"/>
    </row>
    <row r="169" spans="1:51" ht="53.25" customHeight="1" x14ac:dyDescent="0.35">
      <c r="A169" s="26">
        <v>152</v>
      </c>
      <c r="B169" s="43" t="s">
        <v>1584</v>
      </c>
      <c r="C169" s="28"/>
      <c r="D169" s="298" t="s">
        <v>1585</v>
      </c>
      <c r="E169" s="95">
        <v>1</v>
      </c>
      <c r="F169" s="44" t="s">
        <v>30</v>
      </c>
      <c r="G169" s="234">
        <f>[1]DICIEMBRE!$BA$166</f>
        <v>0</v>
      </c>
      <c r="H169" s="31">
        <f>ENERO!BA171</f>
        <v>0</v>
      </c>
      <c r="I169" s="45"/>
      <c r="J169" s="32"/>
      <c r="K169" s="32"/>
      <c r="L169" s="336"/>
      <c r="M169" s="32"/>
      <c r="N169" s="32"/>
      <c r="O169" s="32"/>
      <c r="P169" s="31"/>
      <c r="Q169" s="31"/>
      <c r="R169" s="31"/>
      <c r="S169" s="47">
        <f>300*E169</f>
        <v>300</v>
      </c>
      <c r="T169" s="47"/>
      <c r="U169" s="48"/>
      <c r="V169" s="49"/>
      <c r="W169" s="49"/>
      <c r="X169" s="49"/>
      <c r="Y169" s="49"/>
      <c r="Z169" s="49"/>
      <c r="AA169" s="49"/>
      <c r="AB169" s="49">
        <v>300</v>
      </c>
      <c r="AC169" s="49"/>
      <c r="AD169" s="50"/>
      <c r="AE169" s="49"/>
      <c r="AF169" s="49"/>
      <c r="AG169" s="49"/>
      <c r="AH169" s="49"/>
      <c r="AI169" s="49"/>
      <c r="AJ169" s="49"/>
      <c r="AK169" s="49"/>
      <c r="AL169" s="49"/>
      <c r="AM169" s="49"/>
      <c r="AN169" s="49"/>
      <c r="AO169" s="49"/>
      <c r="AP169" s="49"/>
      <c r="AQ169" s="49"/>
      <c r="AR169" s="49"/>
      <c r="AS169" s="49"/>
      <c r="AT169" s="49"/>
      <c r="AU169" s="49"/>
      <c r="AV169" s="49"/>
      <c r="AW169" s="49"/>
      <c r="AX169" s="33">
        <f t="shared" si="2"/>
        <v>0</v>
      </c>
      <c r="AY169" s="43"/>
    </row>
    <row r="170" spans="1:51" ht="53.25" customHeight="1" x14ac:dyDescent="0.35">
      <c r="A170" s="26">
        <v>153</v>
      </c>
      <c r="B170" s="43" t="s">
        <v>457</v>
      </c>
      <c r="C170" s="28"/>
      <c r="D170" s="298" t="s">
        <v>1177</v>
      </c>
      <c r="E170" s="95">
        <v>2</v>
      </c>
      <c r="F170" s="44" t="s">
        <v>100</v>
      </c>
      <c r="G170" s="112">
        <f>[1]DICIEMBRE!$BA$167</f>
        <v>-250.25439999999981</v>
      </c>
      <c r="H170" s="31">
        <f>ENERO!BA172</f>
        <v>561.74560000000019</v>
      </c>
      <c r="I170" s="45"/>
      <c r="J170" s="32"/>
      <c r="K170" s="32"/>
      <c r="L170" s="32"/>
      <c r="M170" s="336"/>
      <c r="N170" s="32"/>
      <c r="O170" s="33"/>
      <c r="P170" s="33"/>
      <c r="Q170" s="31"/>
      <c r="R170" s="31"/>
      <c r="S170" s="47">
        <f>(350*0.16+350)*E170</f>
        <v>812</v>
      </c>
      <c r="T170" s="47"/>
      <c r="U170" s="48"/>
      <c r="V170" s="49"/>
      <c r="W170" s="49"/>
      <c r="X170" s="49"/>
      <c r="Y170" s="49"/>
      <c r="Z170" s="49"/>
      <c r="AA170" s="49"/>
      <c r="AB170" s="49"/>
      <c r="AC170" s="49"/>
      <c r="AD170" s="50"/>
      <c r="AE170" s="49"/>
      <c r="AF170" s="49"/>
      <c r="AG170" s="49"/>
      <c r="AH170" s="49"/>
      <c r="AI170" s="49"/>
      <c r="AJ170" s="49"/>
      <c r="AK170" s="49"/>
      <c r="AL170" s="49"/>
      <c r="AM170" s="49"/>
      <c r="AN170" s="49"/>
      <c r="AO170" s="49"/>
      <c r="AP170" s="49"/>
      <c r="AQ170" s="49"/>
      <c r="AR170" s="49"/>
      <c r="AS170" s="49"/>
      <c r="AT170" s="49">
        <v>3268</v>
      </c>
      <c r="AU170" s="49"/>
      <c r="AV170" s="49"/>
      <c r="AW170" s="49"/>
      <c r="AX170" s="33">
        <f t="shared" si="2"/>
        <v>-1894.2543999999998</v>
      </c>
      <c r="AY170" s="43" t="s">
        <v>2281</v>
      </c>
    </row>
    <row r="171" spans="1:51" ht="53.25" customHeight="1" x14ac:dyDescent="0.35">
      <c r="A171" s="26">
        <v>154</v>
      </c>
      <c r="B171" s="43" t="s">
        <v>1593</v>
      </c>
      <c r="C171" s="28"/>
      <c r="D171" s="298" t="s">
        <v>1594</v>
      </c>
      <c r="E171" s="95"/>
      <c r="F171" s="44" t="s">
        <v>30</v>
      </c>
      <c r="G171" s="234">
        <f>[1]DICIEMBRE!$BA$168</f>
        <v>0</v>
      </c>
      <c r="H171" s="45">
        <f>ENERO!BA173</f>
        <v>0</v>
      </c>
      <c r="I171" s="45"/>
      <c r="J171" s="32"/>
      <c r="K171" s="32"/>
      <c r="L171" s="32"/>
      <c r="M171" s="336"/>
      <c r="N171" s="32"/>
      <c r="O171" s="33"/>
      <c r="P171" s="33"/>
      <c r="Q171" s="31"/>
      <c r="R171" s="31"/>
      <c r="S171" s="47"/>
      <c r="T171" s="47"/>
      <c r="U171" s="48"/>
      <c r="V171" s="49"/>
      <c r="W171" s="49"/>
      <c r="X171" s="49"/>
      <c r="Y171" s="49"/>
      <c r="Z171" s="49"/>
      <c r="AA171" s="49"/>
      <c r="AB171" s="49"/>
      <c r="AC171" s="49"/>
      <c r="AD171" s="50"/>
      <c r="AE171" s="49"/>
      <c r="AF171" s="49"/>
      <c r="AG171" s="49"/>
      <c r="AH171" s="49"/>
      <c r="AI171" s="49"/>
      <c r="AJ171" s="49"/>
      <c r="AK171" s="49"/>
      <c r="AL171" s="49"/>
      <c r="AM171" s="49"/>
      <c r="AN171" s="49"/>
      <c r="AO171" s="49"/>
      <c r="AP171" s="49"/>
      <c r="AQ171" s="49"/>
      <c r="AR171" s="49"/>
      <c r="AS171" s="49"/>
      <c r="AT171" s="49"/>
      <c r="AU171" s="49"/>
      <c r="AV171" s="49"/>
      <c r="AW171" s="49"/>
      <c r="AX171" s="33">
        <f t="shared" si="2"/>
        <v>0</v>
      </c>
      <c r="AY171" s="43" t="s">
        <v>2220</v>
      </c>
    </row>
    <row r="172" spans="1:51" ht="53.25" customHeight="1" x14ac:dyDescent="0.35">
      <c r="A172" s="26">
        <v>155</v>
      </c>
      <c r="B172" s="43" t="s">
        <v>288</v>
      </c>
      <c r="C172" s="28"/>
      <c r="D172" s="298" t="s">
        <v>188</v>
      </c>
      <c r="E172" s="95">
        <v>5</v>
      </c>
      <c r="F172" s="44" t="s">
        <v>30</v>
      </c>
      <c r="G172" s="112">
        <f>[1]DICIEMBRE!$BA$169</f>
        <v>-50</v>
      </c>
      <c r="H172" s="31">
        <f>ENERO!BA174</f>
        <v>-50</v>
      </c>
      <c r="I172" s="45"/>
      <c r="J172" s="32"/>
      <c r="K172" s="33"/>
      <c r="L172" s="32"/>
      <c r="M172" s="32"/>
      <c r="N172" s="336"/>
      <c r="O172" s="32"/>
      <c r="P172" s="31"/>
      <c r="Q172" s="31"/>
      <c r="R172" s="31"/>
      <c r="S172" s="47">
        <f>300*E172</f>
        <v>1500</v>
      </c>
      <c r="T172" s="47"/>
      <c r="U172" s="48"/>
      <c r="V172" s="49"/>
      <c r="W172" s="49"/>
      <c r="X172" s="49"/>
      <c r="Y172" s="49">
        <v>1500</v>
      </c>
      <c r="Z172" s="49"/>
      <c r="AA172" s="49"/>
      <c r="AB172" s="49"/>
      <c r="AC172" s="49"/>
      <c r="AD172" s="50"/>
      <c r="AE172" s="49"/>
      <c r="AF172" s="49"/>
      <c r="AG172" s="49"/>
      <c r="AH172" s="49"/>
      <c r="AI172" s="49"/>
      <c r="AJ172" s="49"/>
      <c r="AK172" s="49"/>
      <c r="AL172" s="49"/>
      <c r="AM172" s="49"/>
      <c r="AN172" s="49"/>
      <c r="AO172" s="49"/>
      <c r="AP172" s="49"/>
      <c r="AQ172" s="49"/>
      <c r="AR172" s="49"/>
      <c r="AS172" s="49"/>
      <c r="AT172" s="49"/>
      <c r="AU172" s="49"/>
      <c r="AV172" s="49"/>
      <c r="AW172" s="49"/>
      <c r="AX172" s="33">
        <f t="shared" si="2"/>
        <v>-50</v>
      </c>
      <c r="AY172" s="43" t="s">
        <v>2224</v>
      </c>
    </row>
    <row r="173" spans="1:51" ht="53.25" customHeight="1" x14ac:dyDescent="0.35">
      <c r="A173" s="26">
        <v>156</v>
      </c>
      <c r="B173" s="43" t="s">
        <v>1356</v>
      </c>
      <c r="C173" s="28"/>
      <c r="D173" s="298" t="s">
        <v>1366</v>
      </c>
      <c r="E173" s="95">
        <v>1</v>
      </c>
      <c r="F173" s="44" t="s">
        <v>30</v>
      </c>
      <c r="G173" s="234">
        <f>[1]DICIEMBRE!$BA$170</f>
        <v>0</v>
      </c>
      <c r="H173" s="31">
        <f>ENERO!BA175</f>
        <v>0</v>
      </c>
      <c r="I173" s="45"/>
      <c r="J173" s="32"/>
      <c r="K173" s="33"/>
      <c r="L173" s="32"/>
      <c r="M173" s="32"/>
      <c r="N173" s="336"/>
      <c r="O173" s="32"/>
      <c r="P173" s="33"/>
      <c r="Q173" s="31"/>
      <c r="R173" s="31"/>
      <c r="S173" s="47">
        <f>250*E173</f>
        <v>250</v>
      </c>
      <c r="T173" s="47"/>
      <c r="U173" s="48"/>
      <c r="V173" s="49"/>
      <c r="W173" s="49"/>
      <c r="X173" s="49"/>
      <c r="Y173" s="49"/>
      <c r="Z173" s="49"/>
      <c r="AA173" s="49"/>
      <c r="AB173" s="49"/>
      <c r="AC173" s="49"/>
      <c r="AD173" s="50"/>
      <c r="AE173" s="49"/>
      <c r="AF173" s="49">
        <v>250</v>
      </c>
      <c r="AG173" s="49"/>
      <c r="AH173" s="49"/>
      <c r="AI173" s="49"/>
      <c r="AJ173" s="49"/>
      <c r="AK173" s="49"/>
      <c r="AL173" s="49"/>
      <c r="AM173" s="49"/>
      <c r="AN173" s="49"/>
      <c r="AO173" s="49"/>
      <c r="AP173" s="49"/>
      <c r="AQ173" s="49"/>
      <c r="AR173" s="49"/>
      <c r="AS173" s="49"/>
      <c r="AT173" s="49"/>
      <c r="AU173" s="49"/>
      <c r="AV173" s="49"/>
      <c r="AW173" s="49"/>
      <c r="AX173" s="33">
        <f t="shared" si="2"/>
        <v>0</v>
      </c>
      <c r="AY173" s="43"/>
    </row>
    <row r="174" spans="1:51" ht="53.25" customHeight="1" x14ac:dyDescent="0.35">
      <c r="A174" s="26">
        <v>157</v>
      </c>
      <c r="B174" s="43" t="s">
        <v>736</v>
      </c>
      <c r="C174" s="28"/>
      <c r="D174" s="298" t="s">
        <v>1178</v>
      </c>
      <c r="E174" s="95"/>
      <c r="F174" s="44" t="s">
        <v>100</v>
      </c>
      <c r="G174" s="112">
        <f>[1]DICIEMBRE!$BA$171</f>
        <v>2700</v>
      </c>
      <c r="H174" s="45">
        <f>ENERO!BA176</f>
        <v>0</v>
      </c>
      <c r="I174" s="45"/>
      <c r="J174" s="32"/>
      <c r="K174" s="32"/>
      <c r="L174" s="336"/>
      <c r="M174" s="32"/>
      <c r="N174" s="32"/>
      <c r="O174" s="32"/>
      <c r="P174" s="31"/>
      <c r="Q174" s="31"/>
      <c r="R174" s="31"/>
      <c r="S174" s="47"/>
      <c r="T174" s="47"/>
      <c r="U174" s="48"/>
      <c r="V174" s="49"/>
      <c r="W174" s="49"/>
      <c r="X174" s="49"/>
      <c r="Y174" s="49"/>
      <c r="Z174" s="49"/>
      <c r="AA174" s="49"/>
      <c r="AB174" s="49"/>
      <c r="AC174" s="49"/>
      <c r="AD174" s="50"/>
      <c r="AE174" s="49"/>
      <c r="AF174" s="49"/>
      <c r="AG174" s="49"/>
      <c r="AH174" s="49"/>
      <c r="AI174" s="49"/>
      <c r="AJ174" s="49"/>
      <c r="AK174" s="49"/>
      <c r="AL174" s="49"/>
      <c r="AM174" s="49"/>
      <c r="AN174" s="49"/>
      <c r="AO174" s="49"/>
      <c r="AP174" s="49"/>
      <c r="AQ174" s="49"/>
      <c r="AR174" s="49"/>
      <c r="AS174" s="49"/>
      <c r="AT174" s="49"/>
      <c r="AU174" s="49"/>
      <c r="AV174" s="49"/>
      <c r="AW174" s="49"/>
      <c r="AX174" s="33">
        <f>SUM(H174+S174+T174-U174-V174-W174-X174-Y174-Z174-AA174-AB174-AC174-AD174-AE174-AF174-AG174-AH174-AI174-AJ174-AK174-AL174-AM174-AN174-AO174-AP174-AQ174-AR174-AS174-AT174-AU174-AV174-AW174)</f>
        <v>0</v>
      </c>
      <c r="AY174" s="43" t="s">
        <v>2264</v>
      </c>
    </row>
    <row r="175" spans="1:51" ht="53.25" customHeight="1" x14ac:dyDescent="0.35">
      <c r="A175" s="26">
        <v>158</v>
      </c>
      <c r="B175" s="43" t="s">
        <v>1420</v>
      </c>
      <c r="C175" s="28"/>
      <c r="D175" s="298" t="s">
        <v>1421</v>
      </c>
      <c r="E175" s="95">
        <v>1</v>
      </c>
      <c r="F175" s="44" t="s">
        <v>30</v>
      </c>
      <c r="G175" s="234">
        <f>[1]DICIEMBRE!$BA$172</f>
        <v>0</v>
      </c>
      <c r="H175" s="31">
        <f>ENERO!BA177</f>
        <v>0</v>
      </c>
      <c r="I175" s="45"/>
      <c r="J175" s="32"/>
      <c r="K175" s="32"/>
      <c r="L175" s="336"/>
      <c r="M175" s="32"/>
      <c r="N175" s="32"/>
      <c r="O175" s="32"/>
      <c r="P175" s="33"/>
      <c r="Q175" s="31"/>
      <c r="R175" s="31"/>
      <c r="S175" s="47">
        <f>300*E175</f>
        <v>300</v>
      </c>
      <c r="T175" s="47"/>
      <c r="U175" s="48"/>
      <c r="V175" s="49"/>
      <c r="W175" s="49"/>
      <c r="X175" s="49"/>
      <c r="Y175" s="49"/>
      <c r="Z175" s="49"/>
      <c r="AA175" s="49"/>
      <c r="AB175" s="49"/>
      <c r="AC175" s="49"/>
      <c r="AD175" s="50"/>
      <c r="AE175" s="49">
        <v>300</v>
      </c>
      <c r="AF175" s="49"/>
      <c r="AG175" s="49"/>
      <c r="AH175" s="49"/>
      <c r="AI175" s="49"/>
      <c r="AJ175" s="49"/>
      <c r="AK175" s="49"/>
      <c r="AL175" s="49"/>
      <c r="AM175" s="49"/>
      <c r="AN175" s="49"/>
      <c r="AO175" s="49"/>
      <c r="AP175" s="49"/>
      <c r="AQ175" s="49"/>
      <c r="AR175" s="49"/>
      <c r="AS175" s="49"/>
      <c r="AT175" s="49"/>
      <c r="AU175" s="49"/>
      <c r="AV175" s="49"/>
      <c r="AW175" s="49"/>
      <c r="AX175" s="33">
        <f t="shared" si="2"/>
        <v>0</v>
      </c>
      <c r="AY175" s="43"/>
    </row>
    <row r="176" spans="1:51" ht="64.5" customHeight="1" x14ac:dyDescent="0.35">
      <c r="A176" s="26">
        <v>159</v>
      </c>
      <c r="B176" s="43" t="s">
        <v>1658</v>
      </c>
      <c r="C176" s="53" t="s">
        <v>119</v>
      </c>
      <c r="D176" s="298" t="s">
        <v>1179</v>
      </c>
      <c r="E176" s="95">
        <v>2</v>
      </c>
      <c r="F176" s="44" t="s">
        <v>30</v>
      </c>
      <c r="G176" s="112">
        <f>[1]DICIEMBRE!$BA$173</f>
        <v>-3.3400000000001455</v>
      </c>
      <c r="H176" s="31">
        <f>ENERO!BA178</f>
        <v>-3.3400000000001455</v>
      </c>
      <c r="I176" s="45"/>
      <c r="J176" s="32"/>
      <c r="K176" s="32"/>
      <c r="L176" s="32"/>
      <c r="M176" s="336"/>
      <c r="N176" s="32"/>
      <c r="O176" s="33"/>
      <c r="P176" s="31"/>
      <c r="Q176" s="31"/>
      <c r="R176" s="31"/>
      <c r="S176" s="47">
        <f>250*E176</f>
        <v>500</v>
      </c>
      <c r="T176" s="47"/>
      <c r="U176" s="48"/>
      <c r="V176" s="49"/>
      <c r="W176" s="49"/>
      <c r="X176" s="49"/>
      <c r="Y176" s="49"/>
      <c r="Z176" s="49"/>
      <c r="AA176" s="49"/>
      <c r="AB176" s="49"/>
      <c r="AC176" s="49"/>
      <c r="AD176" s="49"/>
      <c r="AE176" s="49"/>
      <c r="AF176" s="50"/>
      <c r="AG176" s="49"/>
      <c r="AH176" s="49">
        <v>496.66</v>
      </c>
      <c r="AI176" s="49"/>
      <c r="AJ176" s="49"/>
      <c r="AK176" s="49"/>
      <c r="AL176" s="49"/>
      <c r="AM176" s="49"/>
      <c r="AN176" s="49"/>
      <c r="AO176" s="49"/>
      <c r="AP176" s="49"/>
      <c r="AQ176" s="49"/>
      <c r="AR176" s="49"/>
      <c r="AS176" s="49"/>
      <c r="AT176" s="49"/>
      <c r="AU176" s="49"/>
      <c r="AV176" s="49"/>
      <c r="AW176" s="49"/>
      <c r="AX176" s="33">
        <f t="shared" si="2"/>
        <v>-1.7053025658242404E-13</v>
      </c>
      <c r="AY176" s="43"/>
    </row>
    <row r="177" spans="1:51" ht="45.75" customHeight="1" x14ac:dyDescent="0.35">
      <c r="A177" s="26">
        <v>160</v>
      </c>
      <c r="B177" s="43" t="s">
        <v>1242</v>
      </c>
      <c r="C177" s="53"/>
      <c r="D177" s="298" t="s">
        <v>1243</v>
      </c>
      <c r="E177" s="95">
        <v>1</v>
      </c>
      <c r="F177" s="44" t="s">
        <v>30</v>
      </c>
      <c r="G177" s="234">
        <f>[1]DICIEMBRE!$BA$174</f>
        <v>0</v>
      </c>
      <c r="H177" s="45">
        <f>ENERO!BA179</f>
        <v>0</v>
      </c>
      <c r="I177" s="45"/>
      <c r="J177" s="32"/>
      <c r="K177" s="33"/>
      <c r="L177" s="32"/>
      <c r="M177" s="32"/>
      <c r="N177" s="336"/>
      <c r="O177" s="32"/>
      <c r="P177" s="33"/>
      <c r="Q177" s="31"/>
      <c r="R177" s="31"/>
      <c r="S177" s="47">
        <f>250*E177</f>
        <v>250</v>
      </c>
      <c r="T177" s="47"/>
      <c r="U177" s="48"/>
      <c r="V177" s="49"/>
      <c r="W177" s="49"/>
      <c r="X177" s="49"/>
      <c r="Y177" s="49"/>
      <c r="Z177" s="49"/>
      <c r="AA177" s="49"/>
      <c r="AB177" s="49"/>
      <c r="AC177" s="49"/>
      <c r="AD177" s="49"/>
      <c r="AE177" s="49"/>
      <c r="AF177" s="50"/>
      <c r="AG177" s="49">
        <v>250</v>
      </c>
      <c r="AH177" s="49"/>
      <c r="AI177" s="49"/>
      <c r="AJ177" s="49"/>
      <c r="AK177" s="49"/>
      <c r="AL177" s="49"/>
      <c r="AM177" s="49"/>
      <c r="AN177" s="49"/>
      <c r="AO177" s="49"/>
      <c r="AP177" s="49"/>
      <c r="AQ177" s="49"/>
      <c r="AR177" s="49"/>
      <c r="AS177" s="49"/>
      <c r="AT177" s="49"/>
      <c r="AU177" s="49"/>
      <c r="AV177" s="49"/>
      <c r="AW177" s="49"/>
      <c r="AX177" s="33">
        <f t="shared" si="2"/>
        <v>0</v>
      </c>
      <c r="AY177" s="43"/>
    </row>
    <row r="178" spans="1:51" ht="45.75" customHeight="1" x14ac:dyDescent="0.35">
      <c r="A178" s="26">
        <v>161</v>
      </c>
      <c r="B178" s="43" t="s">
        <v>1289</v>
      </c>
      <c r="C178" s="53"/>
      <c r="D178" s="298" t="s">
        <v>1290</v>
      </c>
      <c r="E178" s="95">
        <v>1</v>
      </c>
      <c r="F178" s="44" t="s">
        <v>30</v>
      </c>
      <c r="G178" s="112">
        <f>[1]DICIEMBRE!$BA$175</f>
        <v>0</v>
      </c>
      <c r="H178" s="31">
        <f>ENERO!BA180</f>
        <v>0</v>
      </c>
      <c r="I178" s="45"/>
      <c r="J178" s="32"/>
      <c r="K178" s="33"/>
      <c r="L178" s="32"/>
      <c r="M178" s="32"/>
      <c r="N178" s="32"/>
      <c r="O178" s="32"/>
      <c r="P178" s="31"/>
      <c r="Q178" s="31"/>
      <c r="R178" s="31"/>
      <c r="S178" s="47">
        <f>250*E178</f>
        <v>250</v>
      </c>
      <c r="T178" s="47"/>
      <c r="U178" s="48"/>
      <c r="V178" s="49"/>
      <c r="W178" s="49"/>
      <c r="X178" s="49"/>
      <c r="Y178" s="49"/>
      <c r="Z178" s="49"/>
      <c r="AA178" s="49"/>
      <c r="AB178" s="49"/>
      <c r="AC178" s="49"/>
      <c r="AD178" s="49"/>
      <c r="AE178" s="49">
        <v>250</v>
      </c>
      <c r="AF178" s="50"/>
      <c r="AG178" s="49"/>
      <c r="AH178" s="49"/>
      <c r="AI178" s="49"/>
      <c r="AJ178" s="49"/>
      <c r="AK178" s="49"/>
      <c r="AL178" s="49"/>
      <c r="AM178" s="49"/>
      <c r="AN178" s="49"/>
      <c r="AO178" s="49"/>
      <c r="AP178" s="49"/>
      <c r="AQ178" s="49"/>
      <c r="AR178" s="49"/>
      <c r="AS178" s="49"/>
      <c r="AT178" s="49"/>
      <c r="AU178" s="49"/>
      <c r="AV178" s="49"/>
      <c r="AW178" s="49"/>
      <c r="AX178" s="33">
        <f t="shared" si="2"/>
        <v>0</v>
      </c>
      <c r="AY178" s="43"/>
    </row>
    <row r="179" spans="1:51" ht="45.75" customHeight="1" x14ac:dyDescent="0.35">
      <c r="A179" s="26">
        <v>162</v>
      </c>
      <c r="B179" s="43" t="s">
        <v>953</v>
      </c>
      <c r="C179" s="43"/>
      <c r="D179" s="306" t="s">
        <v>959</v>
      </c>
      <c r="E179" s="95">
        <v>4</v>
      </c>
      <c r="F179" s="44" t="s">
        <v>30</v>
      </c>
      <c r="G179" s="234">
        <f>[1]DICIEMBRE!$BA$176</f>
        <v>0</v>
      </c>
      <c r="H179" s="31">
        <f>ENERO!BA181</f>
        <v>0</v>
      </c>
      <c r="I179" s="45"/>
      <c r="J179" s="32"/>
      <c r="K179" s="32"/>
      <c r="L179" s="336"/>
      <c r="M179" s="336"/>
      <c r="N179" s="32"/>
      <c r="O179" s="33"/>
      <c r="P179" s="33"/>
      <c r="Q179" s="31"/>
      <c r="R179" s="31"/>
      <c r="S179" s="47">
        <f>150*E179</f>
        <v>600</v>
      </c>
      <c r="T179" s="47"/>
      <c r="U179" s="48"/>
      <c r="V179" s="49"/>
      <c r="W179" s="49"/>
      <c r="X179" s="49"/>
      <c r="Y179" s="49"/>
      <c r="Z179" s="49"/>
      <c r="AA179" s="49">
        <v>600</v>
      </c>
      <c r="AB179" s="49"/>
      <c r="AC179" s="49"/>
      <c r="AD179" s="49"/>
      <c r="AE179" s="49"/>
      <c r="AF179" s="50"/>
      <c r="AG179" s="49"/>
      <c r="AH179" s="49"/>
      <c r="AI179" s="49"/>
      <c r="AJ179" s="49"/>
      <c r="AK179" s="49"/>
      <c r="AL179" s="49"/>
      <c r="AM179" s="49"/>
      <c r="AN179" s="49"/>
      <c r="AO179" s="49"/>
      <c r="AP179" s="49"/>
      <c r="AQ179" s="49"/>
      <c r="AR179" s="49"/>
      <c r="AS179" s="49"/>
      <c r="AT179" s="49"/>
      <c r="AU179" s="49"/>
      <c r="AV179" s="49"/>
      <c r="AW179" s="49"/>
      <c r="AX179" s="33">
        <f t="shared" si="2"/>
        <v>0</v>
      </c>
      <c r="AY179" s="43"/>
    </row>
    <row r="180" spans="1:51" ht="45.75" customHeight="1" x14ac:dyDescent="0.35">
      <c r="A180" s="26">
        <v>163</v>
      </c>
      <c r="B180" s="43" t="s">
        <v>1294</v>
      </c>
      <c r="C180" s="53"/>
      <c r="D180" s="298" t="s">
        <v>1295</v>
      </c>
      <c r="E180" s="95">
        <v>2</v>
      </c>
      <c r="F180" s="44" t="s">
        <v>30</v>
      </c>
      <c r="G180" s="112">
        <f>[1]DICIEMBRE!$BA$177</f>
        <v>250</v>
      </c>
      <c r="H180" s="45">
        <f>ENERO!BA182</f>
        <v>0</v>
      </c>
      <c r="I180" s="45"/>
      <c r="J180" s="32"/>
      <c r="K180" s="32"/>
      <c r="L180" s="32"/>
      <c r="M180" s="32"/>
      <c r="N180" s="336"/>
      <c r="O180" s="32"/>
      <c r="P180" s="31"/>
      <c r="Q180" s="31"/>
      <c r="R180" s="31"/>
      <c r="S180" s="47">
        <f>250*E180</f>
        <v>500</v>
      </c>
      <c r="T180" s="47">
        <v>1900</v>
      </c>
      <c r="U180" s="48"/>
      <c r="V180" s="49"/>
      <c r="W180" s="49"/>
      <c r="X180" s="49"/>
      <c r="Y180" s="49"/>
      <c r="Z180" s="49"/>
      <c r="AA180" s="49"/>
      <c r="AB180" s="49"/>
      <c r="AC180" s="49"/>
      <c r="AD180" s="49"/>
      <c r="AE180" s="49"/>
      <c r="AF180" s="50"/>
      <c r="AG180" s="49"/>
      <c r="AH180" s="49"/>
      <c r="AI180" s="49"/>
      <c r="AJ180" s="49"/>
      <c r="AK180" s="49"/>
      <c r="AL180" s="49"/>
      <c r="AM180" s="49"/>
      <c r="AN180" s="49"/>
      <c r="AO180" s="49"/>
      <c r="AP180" s="49">
        <v>2400</v>
      </c>
      <c r="AQ180" s="49"/>
      <c r="AR180" s="49"/>
      <c r="AS180" s="49"/>
      <c r="AT180" s="49"/>
      <c r="AU180" s="49"/>
      <c r="AV180" s="49"/>
      <c r="AW180" s="49"/>
      <c r="AX180" s="33">
        <f t="shared" si="2"/>
        <v>0</v>
      </c>
      <c r="AY180" s="43" t="s">
        <v>2062</v>
      </c>
    </row>
    <row r="181" spans="1:51" ht="59.25" customHeight="1" x14ac:dyDescent="0.35">
      <c r="A181" s="26">
        <v>164</v>
      </c>
      <c r="B181" s="43" t="s">
        <v>1377</v>
      </c>
      <c r="C181" s="53"/>
      <c r="D181" s="298" t="s">
        <v>1379</v>
      </c>
      <c r="E181" s="95">
        <v>1</v>
      </c>
      <c r="F181" s="44" t="s">
        <v>30</v>
      </c>
      <c r="G181" s="234">
        <f>[1]DICIEMBRE!$BA$178</f>
        <v>348</v>
      </c>
      <c r="H181" s="31">
        <f>ENERO!BA183</f>
        <v>0</v>
      </c>
      <c r="I181" s="45"/>
      <c r="J181" s="32"/>
      <c r="K181" s="32"/>
      <c r="L181" s="336"/>
      <c r="M181" s="32"/>
      <c r="N181" s="32"/>
      <c r="O181" s="32"/>
      <c r="P181" s="31"/>
      <c r="Q181" s="31"/>
      <c r="R181" s="31"/>
      <c r="S181" s="47">
        <f>(300*0.16+300)*E181</f>
        <v>348</v>
      </c>
      <c r="T181" s="47"/>
      <c r="U181" s="48"/>
      <c r="V181" s="49"/>
      <c r="W181" s="49"/>
      <c r="X181" s="49"/>
      <c r="Y181" s="49"/>
      <c r="Z181" s="49"/>
      <c r="AA181" s="49"/>
      <c r="AB181" s="49"/>
      <c r="AC181" s="49"/>
      <c r="AD181" s="49"/>
      <c r="AE181" s="49"/>
      <c r="AF181" s="50"/>
      <c r="AG181" s="49"/>
      <c r="AH181" s="49"/>
      <c r="AI181" s="49"/>
      <c r="AJ181" s="49"/>
      <c r="AK181" s="49"/>
      <c r="AL181" s="49"/>
      <c r="AM181" s="49"/>
      <c r="AN181" s="49"/>
      <c r="AO181" s="49"/>
      <c r="AP181" s="49"/>
      <c r="AQ181" s="49"/>
      <c r="AR181" s="49"/>
      <c r="AS181" s="49"/>
      <c r="AT181" s="49"/>
      <c r="AU181" s="49">
        <v>696</v>
      </c>
      <c r="AV181" s="49"/>
      <c r="AW181" s="49"/>
      <c r="AX181" s="33">
        <f>SUM(H181+S181+T181-U181-V181-W181-X181-Y181-Z181-AA181-AB181-AC181-AD181-AE181-AF181-AG181-AH181-AI181-AJ181-AK181-AL181-AM181-AN181-AO181-AP181-AQ181-AR181-AS181-AT181-AU181-AV181-AW181)</f>
        <v>-348</v>
      </c>
      <c r="AY181" s="43" t="s">
        <v>2227</v>
      </c>
    </row>
    <row r="182" spans="1:51" ht="45.75" customHeight="1" x14ac:dyDescent="0.35">
      <c r="A182" s="26">
        <v>165</v>
      </c>
      <c r="B182" s="43" t="s">
        <v>1250</v>
      </c>
      <c r="C182" s="53"/>
      <c r="D182" s="298" t="s">
        <v>1251</v>
      </c>
      <c r="E182" s="95">
        <v>1</v>
      </c>
      <c r="F182" s="44" t="s">
        <v>35</v>
      </c>
      <c r="G182" s="112">
        <f>[1]DICIEMBRE!$BA$179</f>
        <v>2750</v>
      </c>
      <c r="H182" s="31">
        <f>ENERO!BA184</f>
        <v>3050</v>
      </c>
      <c r="I182" s="45"/>
      <c r="J182" s="32"/>
      <c r="K182" s="32"/>
      <c r="L182" s="336"/>
      <c r="M182" s="336"/>
      <c r="N182" s="32"/>
      <c r="O182" s="33"/>
      <c r="P182" s="33"/>
      <c r="Q182" s="31"/>
      <c r="R182" s="31"/>
      <c r="S182" s="47">
        <f>300*E182</f>
        <v>300</v>
      </c>
      <c r="T182" s="47"/>
      <c r="U182" s="48"/>
      <c r="V182" s="49"/>
      <c r="W182" s="49"/>
      <c r="X182" s="49"/>
      <c r="Y182" s="49"/>
      <c r="Z182" s="49"/>
      <c r="AA182" s="49"/>
      <c r="AB182" s="49"/>
      <c r="AC182" s="49"/>
      <c r="AD182" s="49"/>
      <c r="AE182" s="49"/>
      <c r="AF182" s="50"/>
      <c r="AG182" s="49"/>
      <c r="AH182" s="49"/>
      <c r="AI182" s="49"/>
      <c r="AJ182" s="49"/>
      <c r="AK182" s="49"/>
      <c r="AL182" s="49"/>
      <c r="AM182" s="49"/>
      <c r="AN182" s="49"/>
      <c r="AO182" s="49"/>
      <c r="AP182" s="49"/>
      <c r="AQ182" s="49"/>
      <c r="AR182" s="49"/>
      <c r="AS182" s="49"/>
      <c r="AT182" s="49"/>
      <c r="AU182" s="49"/>
      <c r="AV182" s="49"/>
      <c r="AW182" s="49"/>
      <c r="AX182" s="33">
        <f t="shared" si="2"/>
        <v>3350</v>
      </c>
      <c r="AY182" s="43"/>
    </row>
    <row r="183" spans="1:51" ht="45.75" customHeight="1" x14ac:dyDescent="0.35">
      <c r="A183" s="26">
        <v>166</v>
      </c>
      <c r="B183" s="43" t="s">
        <v>1566</v>
      </c>
      <c r="C183" s="53"/>
      <c r="D183" s="298" t="s">
        <v>1567</v>
      </c>
      <c r="E183" s="95">
        <v>1</v>
      </c>
      <c r="F183" s="44" t="s">
        <v>30</v>
      </c>
      <c r="G183" s="234">
        <f>[1]DICIEMBRE!$BA$180</f>
        <v>0</v>
      </c>
      <c r="H183" s="45">
        <f>ENERO!BA185</f>
        <v>0</v>
      </c>
      <c r="I183" s="45"/>
      <c r="J183" s="32"/>
      <c r="K183" s="32"/>
      <c r="L183" s="336"/>
      <c r="M183" s="336"/>
      <c r="N183" s="32"/>
      <c r="O183" s="33"/>
      <c r="P183" s="33"/>
      <c r="Q183" s="31"/>
      <c r="R183" s="31"/>
      <c r="S183" s="47">
        <f>300*E183</f>
        <v>300</v>
      </c>
      <c r="T183" s="47"/>
      <c r="U183" s="48"/>
      <c r="V183" s="49"/>
      <c r="W183" s="49"/>
      <c r="X183" s="49"/>
      <c r="Y183" s="49"/>
      <c r="Z183" s="49"/>
      <c r="AA183" s="49"/>
      <c r="AB183" s="49"/>
      <c r="AC183" s="49"/>
      <c r="AD183" s="49"/>
      <c r="AE183" s="49"/>
      <c r="AF183" s="50"/>
      <c r="AG183" s="49"/>
      <c r="AH183" s="49"/>
      <c r="AI183" s="49"/>
      <c r="AJ183" s="49"/>
      <c r="AK183" s="49"/>
      <c r="AL183" s="49"/>
      <c r="AM183" s="49"/>
      <c r="AN183" s="49"/>
      <c r="AO183" s="49"/>
      <c r="AP183" s="49"/>
      <c r="AQ183" s="49"/>
      <c r="AR183" s="49"/>
      <c r="AS183" s="49"/>
      <c r="AT183" s="49"/>
      <c r="AU183" s="49"/>
      <c r="AV183" s="49"/>
      <c r="AW183" s="49"/>
      <c r="AX183" s="33">
        <f t="shared" si="2"/>
        <v>300</v>
      </c>
      <c r="AY183" s="43"/>
    </row>
    <row r="184" spans="1:51" ht="45.75" customHeight="1" x14ac:dyDescent="0.35">
      <c r="A184" s="26">
        <v>167</v>
      </c>
      <c r="B184" s="43" t="s">
        <v>2042</v>
      </c>
      <c r="C184" s="53"/>
      <c r="D184" s="298" t="s">
        <v>1770</v>
      </c>
      <c r="E184" s="95">
        <v>1</v>
      </c>
      <c r="F184" s="44" t="s">
        <v>30</v>
      </c>
      <c r="G184" s="234"/>
      <c r="H184" s="31">
        <f>ENERO!BA186</f>
        <v>0</v>
      </c>
      <c r="I184" s="45"/>
      <c r="J184" s="32"/>
      <c r="K184" s="32"/>
      <c r="L184" s="336"/>
      <c r="M184" s="336"/>
      <c r="N184" s="32"/>
      <c r="O184" s="33"/>
      <c r="P184" s="33"/>
      <c r="Q184" s="31"/>
      <c r="R184" s="31"/>
      <c r="S184" s="47">
        <f>250*E184</f>
        <v>250</v>
      </c>
      <c r="T184" s="47"/>
      <c r="U184" s="48"/>
      <c r="V184" s="49"/>
      <c r="W184" s="49"/>
      <c r="X184" s="49"/>
      <c r="Y184" s="49"/>
      <c r="Z184" s="49"/>
      <c r="AA184" s="49"/>
      <c r="AB184" s="49">
        <v>250</v>
      </c>
      <c r="AC184" s="49"/>
      <c r="AD184" s="49"/>
      <c r="AE184" s="49"/>
      <c r="AF184" s="50"/>
      <c r="AG184" s="49"/>
      <c r="AH184" s="49"/>
      <c r="AI184" s="49"/>
      <c r="AJ184" s="49"/>
      <c r="AK184" s="49"/>
      <c r="AL184" s="49"/>
      <c r="AM184" s="49"/>
      <c r="AN184" s="49"/>
      <c r="AO184" s="49"/>
      <c r="AP184" s="49"/>
      <c r="AQ184" s="49"/>
      <c r="AR184" s="49"/>
      <c r="AS184" s="49"/>
      <c r="AT184" s="49"/>
      <c r="AU184" s="49"/>
      <c r="AV184" s="49"/>
      <c r="AW184" s="49"/>
      <c r="AX184" s="33">
        <f t="shared" si="2"/>
        <v>0</v>
      </c>
      <c r="AY184" s="43"/>
    </row>
    <row r="185" spans="1:51" ht="48" customHeight="1" x14ac:dyDescent="0.35">
      <c r="A185" s="26">
        <v>168</v>
      </c>
      <c r="B185" s="27" t="s">
        <v>120</v>
      </c>
      <c r="C185" s="28" t="s">
        <v>121</v>
      </c>
      <c r="D185" s="298" t="s">
        <v>1180</v>
      </c>
      <c r="E185" s="95">
        <v>1</v>
      </c>
      <c r="F185" s="64" t="s">
        <v>30</v>
      </c>
      <c r="G185" s="112">
        <f>[1]DICIEMBRE!$BA$181</f>
        <v>0</v>
      </c>
      <c r="H185" s="31">
        <f>ENERO!BA187</f>
        <v>0</v>
      </c>
      <c r="I185" s="45"/>
      <c r="J185" s="32"/>
      <c r="K185" s="32"/>
      <c r="L185" s="32"/>
      <c r="M185" s="32"/>
      <c r="N185" s="336"/>
      <c r="O185" s="32"/>
      <c r="P185" s="31"/>
      <c r="Q185" s="31"/>
      <c r="R185" s="31"/>
      <c r="S185" s="49">
        <f>250*E185</f>
        <v>250</v>
      </c>
      <c r="T185" s="47"/>
      <c r="U185" s="77"/>
      <c r="V185" s="49"/>
      <c r="W185" s="49"/>
      <c r="X185" s="49"/>
      <c r="Y185" s="49"/>
      <c r="Z185" s="49"/>
      <c r="AA185" s="49"/>
      <c r="AB185" s="49"/>
      <c r="AC185" s="49"/>
      <c r="AD185" s="49"/>
      <c r="AE185" s="49"/>
      <c r="AF185" s="51"/>
      <c r="AG185" s="49">
        <v>250</v>
      </c>
      <c r="AH185" s="49"/>
      <c r="AI185" s="49"/>
      <c r="AJ185" s="49"/>
      <c r="AK185" s="68"/>
      <c r="AL185" s="49"/>
      <c r="AM185" s="49"/>
      <c r="AN185" s="49"/>
      <c r="AO185" s="49"/>
      <c r="AP185" s="49"/>
      <c r="AQ185" s="49"/>
      <c r="AR185" s="49"/>
      <c r="AS185" s="49"/>
      <c r="AT185" s="49"/>
      <c r="AU185" s="49"/>
      <c r="AV185" s="49"/>
      <c r="AW185" s="49"/>
      <c r="AX185" s="33">
        <f t="shared" si="2"/>
        <v>0</v>
      </c>
      <c r="AY185" s="269"/>
    </row>
    <row r="186" spans="1:51" ht="48" customHeight="1" x14ac:dyDescent="0.35">
      <c r="A186" s="26">
        <v>169</v>
      </c>
      <c r="B186" s="43" t="s">
        <v>1056</v>
      </c>
      <c r="C186" s="28"/>
      <c r="D186" s="298" t="s">
        <v>1181</v>
      </c>
      <c r="E186" s="95">
        <v>1</v>
      </c>
      <c r="F186" s="64" t="s">
        <v>30</v>
      </c>
      <c r="G186" s="234">
        <f>[1]DICIEMBRE!$BA$182</f>
        <v>0</v>
      </c>
      <c r="H186" s="45">
        <f>ENERO!BA188</f>
        <v>0</v>
      </c>
      <c r="I186" s="45"/>
      <c r="J186" s="32"/>
      <c r="K186" s="32"/>
      <c r="L186" s="32"/>
      <c r="M186" s="32"/>
      <c r="N186" s="32"/>
      <c r="O186" s="32"/>
      <c r="P186" s="33"/>
      <c r="Q186" s="31"/>
      <c r="R186" s="31"/>
      <c r="S186" s="49">
        <f>300*E186</f>
        <v>300</v>
      </c>
      <c r="T186" s="47"/>
      <c r="U186" s="77"/>
      <c r="V186" s="49"/>
      <c r="W186" s="49"/>
      <c r="X186" s="49"/>
      <c r="Y186" s="49"/>
      <c r="Z186" s="49"/>
      <c r="AA186" s="49"/>
      <c r="AB186" s="49"/>
      <c r="AC186" s="49"/>
      <c r="AD186" s="49">
        <v>300</v>
      </c>
      <c r="AE186" s="49"/>
      <c r="AF186" s="51"/>
      <c r="AG186" s="49"/>
      <c r="AH186" s="49"/>
      <c r="AI186" s="49"/>
      <c r="AJ186" s="49"/>
      <c r="AK186" s="68"/>
      <c r="AL186" s="49"/>
      <c r="AM186" s="49"/>
      <c r="AN186" s="49"/>
      <c r="AO186" s="49"/>
      <c r="AP186" s="49"/>
      <c r="AQ186" s="49"/>
      <c r="AR186" s="49"/>
      <c r="AS186" s="49"/>
      <c r="AT186" s="49"/>
      <c r="AU186" s="49"/>
      <c r="AV186" s="49"/>
      <c r="AW186" s="49"/>
      <c r="AX186" s="33">
        <f t="shared" si="2"/>
        <v>0</v>
      </c>
      <c r="AY186" s="269"/>
    </row>
    <row r="187" spans="1:51" ht="48" customHeight="1" x14ac:dyDescent="0.35">
      <c r="A187" s="26">
        <v>170</v>
      </c>
      <c r="B187" s="43" t="s">
        <v>1609</v>
      </c>
      <c r="C187" s="28"/>
      <c r="D187" s="298" t="s">
        <v>1610</v>
      </c>
      <c r="E187" s="95">
        <v>3</v>
      </c>
      <c r="F187" s="64" t="s">
        <v>30</v>
      </c>
      <c r="G187" s="112">
        <f>[1]DICIEMBRE!$BA$183</f>
        <v>1.1368683772161603E-13</v>
      </c>
      <c r="H187" s="31">
        <f>ENERO!BA189</f>
        <v>0</v>
      </c>
      <c r="I187" s="45"/>
      <c r="J187" s="32"/>
      <c r="K187" s="32"/>
      <c r="L187" s="32"/>
      <c r="M187" s="32"/>
      <c r="N187" s="32"/>
      <c r="O187" s="32"/>
      <c r="P187" s="33"/>
      <c r="Q187" s="31"/>
      <c r="R187" s="31"/>
      <c r="S187" s="49">
        <f>(300*0.16+300)*E187</f>
        <v>1044</v>
      </c>
      <c r="T187" s="47"/>
      <c r="U187" s="77"/>
      <c r="V187" s="49"/>
      <c r="W187" s="49"/>
      <c r="X187" s="49"/>
      <c r="Y187" s="49"/>
      <c r="Z187" s="49"/>
      <c r="AA187" s="49"/>
      <c r="AB187" s="49">
        <v>1044</v>
      </c>
      <c r="AC187" s="49"/>
      <c r="AD187" s="49"/>
      <c r="AE187" s="49"/>
      <c r="AF187" s="51"/>
      <c r="AG187" s="49"/>
      <c r="AH187" s="49"/>
      <c r="AI187" s="49"/>
      <c r="AJ187" s="49"/>
      <c r="AK187" s="68"/>
      <c r="AL187" s="49"/>
      <c r="AM187" s="49"/>
      <c r="AN187" s="49"/>
      <c r="AO187" s="49"/>
      <c r="AP187" s="49"/>
      <c r="AQ187" s="49"/>
      <c r="AR187" s="49"/>
      <c r="AS187" s="49"/>
      <c r="AT187" s="49"/>
      <c r="AU187" s="49"/>
      <c r="AV187" s="49"/>
      <c r="AW187" s="49"/>
      <c r="AX187" s="33">
        <f t="shared" si="2"/>
        <v>0</v>
      </c>
      <c r="AY187" s="269"/>
    </row>
    <row r="188" spans="1:51" ht="48" customHeight="1" x14ac:dyDescent="0.35">
      <c r="A188" s="26">
        <v>171</v>
      </c>
      <c r="B188" s="43" t="s">
        <v>945</v>
      </c>
      <c r="C188" s="28"/>
      <c r="D188" s="298" t="s">
        <v>1182</v>
      </c>
      <c r="E188" s="95">
        <v>1</v>
      </c>
      <c r="F188" s="64" t="s">
        <v>30</v>
      </c>
      <c r="G188" s="234">
        <f>[1]DICIEMBRE!$BA$184</f>
        <v>0</v>
      </c>
      <c r="H188" s="31">
        <f>ENERO!BA190</f>
        <v>299</v>
      </c>
      <c r="I188" s="45"/>
      <c r="J188" s="32"/>
      <c r="K188" s="33"/>
      <c r="L188" s="336"/>
      <c r="M188" s="336"/>
      <c r="N188" s="32"/>
      <c r="O188" s="33"/>
      <c r="P188" s="31"/>
      <c r="Q188" s="31"/>
      <c r="R188" s="31"/>
      <c r="S188" s="49">
        <f>299*E188</f>
        <v>299</v>
      </c>
      <c r="T188" s="47"/>
      <c r="U188" s="77"/>
      <c r="V188" s="49"/>
      <c r="W188" s="49"/>
      <c r="X188" s="49"/>
      <c r="Y188" s="49"/>
      <c r="Z188" s="49"/>
      <c r="AA188" s="49"/>
      <c r="AB188" s="49"/>
      <c r="AC188" s="49"/>
      <c r="AD188" s="49"/>
      <c r="AE188" s="49"/>
      <c r="AF188" s="51">
        <v>598</v>
      </c>
      <c r="AG188" s="49"/>
      <c r="AH188" s="49"/>
      <c r="AI188" s="49"/>
      <c r="AJ188" s="49"/>
      <c r="AK188" s="68"/>
      <c r="AL188" s="49"/>
      <c r="AM188" s="49"/>
      <c r="AN188" s="49"/>
      <c r="AO188" s="49"/>
      <c r="AP188" s="49"/>
      <c r="AQ188" s="49"/>
      <c r="AR188" s="49"/>
      <c r="AS188" s="49"/>
      <c r="AT188" s="49"/>
      <c r="AU188" s="49"/>
      <c r="AV188" s="49"/>
      <c r="AW188" s="49"/>
      <c r="AX188" s="33">
        <f t="shared" si="2"/>
        <v>0</v>
      </c>
      <c r="AY188" s="269"/>
    </row>
    <row r="189" spans="1:51" ht="48" customHeight="1" x14ac:dyDescent="0.35">
      <c r="A189" s="26">
        <v>172</v>
      </c>
      <c r="B189" s="43" t="s">
        <v>1659</v>
      </c>
      <c r="C189" s="28"/>
      <c r="D189" s="298" t="s">
        <v>1600</v>
      </c>
      <c r="E189" s="95">
        <v>1</v>
      </c>
      <c r="F189" s="64"/>
      <c r="G189" s="112">
        <f>[1]DICIEMBRE!$BA$185</f>
        <v>0</v>
      </c>
      <c r="H189" s="45">
        <f>ENERO!BA191</f>
        <v>0</v>
      </c>
      <c r="I189" s="45"/>
      <c r="J189" s="32"/>
      <c r="K189" s="33"/>
      <c r="L189" s="336"/>
      <c r="M189" s="336"/>
      <c r="N189" s="32"/>
      <c r="O189" s="33"/>
      <c r="P189" s="31"/>
      <c r="Q189" s="31"/>
      <c r="R189" s="31"/>
      <c r="S189" s="49">
        <v>300</v>
      </c>
      <c r="T189" s="47"/>
      <c r="U189" s="77"/>
      <c r="V189" s="49"/>
      <c r="W189" s="49"/>
      <c r="X189" s="49"/>
      <c r="Y189" s="49"/>
      <c r="Z189" s="49">
        <v>300</v>
      </c>
      <c r="AA189" s="49"/>
      <c r="AB189" s="49"/>
      <c r="AC189" s="49"/>
      <c r="AD189" s="49"/>
      <c r="AE189" s="49"/>
      <c r="AF189" s="51"/>
      <c r="AG189" s="49"/>
      <c r="AH189" s="49"/>
      <c r="AI189" s="49"/>
      <c r="AJ189" s="49"/>
      <c r="AK189" s="68"/>
      <c r="AL189" s="49"/>
      <c r="AM189" s="49"/>
      <c r="AN189" s="49"/>
      <c r="AO189" s="49"/>
      <c r="AP189" s="49"/>
      <c r="AQ189" s="49"/>
      <c r="AR189" s="49"/>
      <c r="AS189" s="49"/>
      <c r="AT189" s="49"/>
      <c r="AU189" s="49"/>
      <c r="AV189" s="49"/>
      <c r="AW189" s="49"/>
      <c r="AX189" s="33">
        <f t="shared" si="2"/>
        <v>0</v>
      </c>
      <c r="AY189" s="269"/>
    </row>
    <row r="190" spans="1:51" ht="47.25" customHeight="1" x14ac:dyDescent="0.35">
      <c r="A190" s="26">
        <v>173</v>
      </c>
      <c r="B190" s="43" t="s">
        <v>124</v>
      </c>
      <c r="C190" s="53" t="s">
        <v>125</v>
      </c>
      <c r="D190" s="298" t="s">
        <v>1183</v>
      </c>
      <c r="E190" s="95">
        <v>1</v>
      </c>
      <c r="F190" s="44" t="s">
        <v>30</v>
      </c>
      <c r="G190" s="234">
        <f>[1]DICIEMBRE!$BA$186</f>
        <v>0</v>
      </c>
      <c r="H190" s="31">
        <f>ENERO!BA192</f>
        <v>-350</v>
      </c>
      <c r="I190" s="45"/>
      <c r="J190" s="32"/>
      <c r="K190" s="32"/>
      <c r="L190" s="32"/>
      <c r="M190" s="32"/>
      <c r="N190" s="336"/>
      <c r="O190" s="32"/>
      <c r="P190" s="33"/>
      <c r="Q190" s="31"/>
      <c r="R190" s="31"/>
      <c r="S190" s="47">
        <v>350</v>
      </c>
      <c r="T190" s="47"/>
      <c r="U190" s="48"/>
      <c r="V190" s="49"/>
      <c r="W190" s="49"/>
      <c r="X190" s="49"/>
      <c r="Y190" s="49"/>
      <c r="Z190" s="49"/>
      <c r="AA190" s="49"/>
      <c r="AB190" s="49"/>
      <c r="AC190" s="49"/>
      <c r="AD190" s="49"/>
      <c r="AE190" s="49"/>
      <c r="AF190" s="49"/>
      <c r="AG190" s="49"/>
      <c r="AH190" s="49"/>
      <c r="AI190" s="49"/>
      <c r="AJ190" s="49"/>
      <c r="AK190" s="63"/>
      <c r="AL190" s="49"/>
      <c r="AM190" s="49"/>
      <c r="AN190" s="49"/>
      <c r="AO190" s="49"/>
      <c r="AP190" s="49"/>
      <c r="AQ190" s="49"/>
      <c r="AR190" s="49"/>
      <c r="AS190" s="49"/>
      <c r="AT190" s="49"/>
      <c r="AU190" s="49"/>
      <c r="AV190" s="49"/>
      <c r="AW190" s="49"/>
      <c r="AX190" s="33">
        <f t="shared" si="2"/>
        <v>0</v>
      </c>
      <c r="AY190" s="43" t="s">
        <v>1970</v>
      </c>
    </row>
    <row r="191" spans="1:51" ht="45.75" customHeight="1" x14ac:dyDescent="0.35">
      <c r="A191" s="26">
        <v>174</v>
      </c>
      <c r="B191" s="43" t="s">
        <v>1304</v>
      </c>
      <c r="C191" s="53"/>
      <c r="D191" s="298" t="s">
        <v>621</v>
      </c>
      <c r="E191" s="95">
        <v>2</v>
      </c>
      <c r="F191" s="44" t="s">
        <v>30</v>
      </c>
      <c r="G191" s="112">
        <f>[1]DICIEMBRE!$BA$187</f>
        <v>0</v>
      </c>
      <c r="H191" s="31">
        <f>ENERO!BA193</f>
        <v>0</v>
      </c>
      <c r="I191" s="45"/>
      <c r="J191" s="32"/>
      <c r="K191" s="33"/>
      <c r="L191" s="336"/>
      <c r="M191" s="32"/>
      <c r="N191" s="32"/>
      <c r="O191" s="32"/>
      <c r="P191" s="31"/>
      <c r="Q191" s="31"/>
      <c r="R191" s="31"/>
      <c r="S191" s="47">
        <f>249*E191</f>
        <v>498</v>
      </c>
      <c r="T191" s="47"/>
      <c r="U191" s="48"/>
      <c r="V191" s="49"/>
      <c r="W191" s="49"/>
      <c r="X191" s="49"/>
      <c r="Y191" s="49"/>
      <c r="Z191" s="49"/>
      <c r="AA191" s="49"/>
      <c r="AB191" s="49">
        <v>498</v>
      </c>
      <c r="AC191" s="49"/>
      <c r="AD191" s="49"/>
      <c r="AE191" s="49"/>
      <c r="AF191" s="50"/>
      <c r="AG191" s="49"/>
      <c r="AH191" s="49"/>
      <c r="AI191" s="49"/>
      <c r="AJ191" s="49"/>
      <c r="AK191" s="49"/>
      <c r="AL191" s="49"/>
      <c r="AM191" s="49"/>
      <c r="AN191" s="49"/>
      <c r="AO191" s="49"/>
      <c r="AP191" s="49"/>
      <c r="AQ191" s="49"/>
      <c r="AR191" s="49"/>
      <c r="AS191" s="49"/>
      <c r="AT191" s="49"/>
      <c r="AU191" s="49"/>
      <c r="AV191" s="49"/>
      <c r="AW191" s="49"/>
      <c r="AX191" s="33">
        <f t="shared" si="2"/>
        <v>0</v>
      </c>
      <c r="AY191" s="43"/>
    </row>
    <row r="192" spans="1:51" ht="63.75" customHeight="1" x14ac:dyDescent="0.35">
      <c r="A192" s="26">
        <v>175</v>
      </c>
      <c r="B192" s="43" t="s">
        <v>1557</v>
      </c>
      <c r="C192" s="53"/>
      <c r="D192" s="300" t="s">
        <v>1558</v>
      </c>
      <c r="E192" s="95">
        <v>1</v>
      </c>
      <c r="F192" s="44" t="s">
        <v>30</v>
      </c>
      <c r="G192" s="112">
        <f>[1]DICIEMBRE!$BA$189</f>
        <v>0</v>
      </c>
      <c r="H192" s="31">
        <f>ENERO!BA195</f>
        <v>300</v>
      </c>
      <c r="I192" s="45"/>
      <c r="J192" s="32"/>
      <c r="K192" s="32"/>
      <c r="L192" s="32"/>
      <c r="M192" s="336"/>
      <c r="N192" s="32"/>
      <c r="O192" s="33"/>
      <c r="P192" s="33"/>
      <c r="Q192" s="31"/>
      <c r="R192" s="31"/>
      <c r="S192" s="47">
        <f>300*E192</f>
        <v>300</v>
      </c>
      <c r="T192" s="47"/>
      <c r="U192" s="48"/>
      <c r="V192" s="49"/>
      <c r="W192" s="49"/>
      <c r="X192" s="49"/>
      <c r="Y192" s="49"/>
      <c r="Z192" s="49"/>
      <c r="AA192" s="49"/>
      <c r="AB192" s="49">
        <v>600</v>
      </c>
      <c r="AC192" s="49"/>
      <c r="AD192" s="49"/>
      <c r="AE192" s="49"/>
      <c r="AF192" s="49"/>
      <c r="AG192" s="49"/>
      <c r="AH192" s="49"/>
      <c r="AI192" s="49"/>
      <c r="AJ192" s="49"/>
      <c r="AK192" s="63"/>
      <c r="AL192" s="49"/>
      <c r="AM192" s="49"/>
      <c r="AN192" s="49"/>
      <c r="AO192" s="49"/>
      <c r="AP192" s="49"/>
      <c r="AQ192" s="49"/>
      <c r="AR192" s="49"/>
      <c r="AS192" s="49"/>
      <c r="AT192" s="49"/>
      <c r="AU192" s="49"/>
      <c r="AV192" s="49"/>
      <c r="AW192" s="49"/>
      <c r="AX192" s="33">
        <f t="shared" si="2"/>
        <v>0</v>
      </c>
      <c r="AY192" s="43"/>
    </row>
    <row r="193" spans="1:52" s="23" customFormat="1" ht="48.75" customHeight="1" x14ac:dyDescent="0.3">
      <c r="A193" s="26">
        <v>176</v>
      </c>
      <c r="B193" s="58" t="s">
        <v>1265</v>
      </c>
      <c r="C193" s="53"/>
      <c r="D193" s="314" t="s">
        <v>1266</v>
      </c>
      <c r="E193" s="97">
        <v>3</v>
      </c>
      <c r="F193" s="30" t="s">
        <v>30</v>
      </c>
      <c r="G193" s="234">
        <f>[1]DICIEMBRE!$BA$190</f>
        <v>0</v>
      </c>
      <c r="H193" s="31">
        <f>ENERO!BA196</f>
        <v>0</v>
      </c>
      <c r="I193" s="31"/>
      <c r="J193" s="32"/>
      <c r="K193" s="32"/>
      <c r="L193" s="336"/>
      <c r="M193" s="32"/>
      <c r="N193" s="336"/>
      <c r="O193" s="32"/>
      <c r="P193" s="33"/>
      <c r="Q193" s="31"/>
      <c r="R193" s="31"/>
      <c r="S193" s="59">
        <f>300*E193</f>
        <v>900</v>
      </c>
      <c r="T193" s="34"/>
      <c r="U193" s="34"/>
      <c r="V193" s="35"/>
      <c r="W193" s="35"/>
      <c r="X193" s="35"/>
      <c r="Y193" s="35"/>
      <c r="Z193" s="35">
        <v>900</v>
      </c>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3">
        <f t="shared" si="2"/>
        <v>0</v>
      </c>
      <c r="AY193" s="43"/>
    </row>
    <row r="194" spans="1:52" ht="47.25" customHeight="1" x14ac:dyDescent="0.35">
      <c r="A194" s="26">
        <v>177</v>
      </c>
      <c r="B194" s="43" t="s">
        <v>971</v>
      </c>
      <c r="C194" s="53"/>
      <c r="D194" s="298" t="s">
        <v>972</v>
      </c>
      <c r="E194" s="95">
        <v>1</v>
      </c>
      <c r="F194" s="44" t="s">
        <v>30</v>
      </c>
      <c r="G194" s="112">
        <f>[1]DICIEMBRE!$BA$191</f>
        <v>0</v>
      </c>
      <c r="H194" s="45">
        <f>ENERO!BA197</f>
        <v>-250</v>
      </c>
      <c r="I194" s="45"/>
      <c r="J194" s="46"/>
      <c r="K194" s="32"/>
      <c r="L194" s="32"/>
      <c r="M194" s="32"/>
      <c r="N194" s="336"/>
      <c r="O194" s="32"/>
      <c r="P194" s="31"/>
      <c r="Q194" s="31"/>
      <c r="R194" s="31"/>
      <c r="S194" s="47">
        <f>250*E194</f>
        <v>250</v>
      </c>
      <c r="T194" s="47"/>
      <c r="U194" s="48"/>
      <c r="V194" s="49"/>
      <c r="W194" s="49"/>
      <c r="X194" s="49"/>
      <c r="Y194" s="49"/>
      <c r="Z194" s="49"/>
      <c r="AA194" s="49"/>
      <c r="AB194" s="49"/>
      <c r="AC194" s="49"/>
      <c r="AD194" s="49"/>
      <c r="AE194" s="49"/>
      <c r="AF194" s="49"/>
      <c r="AG194" s="49"/>
      <c r="AH194" s="49"/>
      <c r="AI194" s="49"/>
      <c r="AJ194" s="49"/>
      <c r="AK194" s="63"/>
      <c r="AL194" s="49"/>
      <c r="AM194" s="49"/>
      <c r="AN194" s="49"/>
      <c r="AO194" s="49"/>
      <c r="AP194" s="49"/>
      <c r="AQ194" s="49"/>
      <c r="AR194" s="49"/>
      <c r="AS194" s="49"/>
      <c r="AT194" s="49"/>
      <c r="AU194" s="49"/>
      <c r="AV194" s="49"/>
      <c r="AW194" s="49"/>
      <c r="AX194" s="33">
        <f t="shared" si="2"/>
        <v>0</v>
      </c>
      <c r="AY194" s="43" t="s">
        <v>1970</v>
      </c>
    </row>
    <row r="195" spans="1:52" ht="45.75" customHeight="1" x14ac:dyDescent="0.35">
      <c r="A195" s="26">
        <v>178</v>
      </c>
      <c r="B195" s="43" t="s">
        <v>1040</v>
      </c>
      <c r="C195" s="53"/>
      <c r="D195" s="298" t="s">
        <v>1184</v>
      </c>
      <c r="E195" s="95">
        <v>6</v>
      </c>
      <c r="F195" s="44" t="s">
        <v>35</v>
      </c>
      <c r="G195" s="234">
        <f>[1]DICIEMBRE!$BA$192</f>
        <v>-2.2737367544323206E-13</v>
      </c>
      <c r="H195" s="31">
        <f>ENERO!BA198</f>
        <v>1749.9999999999998</v>
      </c>
      <c r="I195" s="45"/>
      <c r="J195" s="32"/>
      <c r="K195" s="32"/>
      <c r="L195" s="32"/>
      <c r="M195" s="336"/>
      <c r="N195" s="32"/>
      <c r="O195" s="33"/>
      <c r="P195" s="33"/>
      <c r="Q195" s="31"/>
      <c r="R195" s="31"/>
      <c r="S195" s="47">
        <f>250*E195</f>
        <v>1500</v>
      </c>
      <c r="T195" s="47"/>
      <c r="U195" s="48"/>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33">
        <f t="shared" si="2"/>
        <v>3250</v>
      </c>
      <c r="AY195" s="43"/>
    </row>
    <row r="196" spans="1:52" ht="66.75" customHeight="1" x14ac:dyDescent="0.35">
      <c r="A196" s="26">
        <v>179</v>
      </c>
      <c r="B196" s="43" t="s">
        <v>1357</v>
      </c>
      <c r="C196" s="53"/>
      <c r="D196" s="298" t="s">
        <v>1358</v>
      </c>
      <c r="E196" s="95">
        <v>1</v>
      </c>
      <c r="F196" s="44" t="s">
        <v>30</v>
      </c>
      <c r="G196" s="234">
        <f>[1]DICIEMBRE!$BA$194</f>
        <v>0</v>
      </c>
      <c r="H196" s="45">
        <f>ENERO!BA200</f>
        <v>0</v>
      </c>
      <c r="I196" s="45"/>
      <c r="J196" s="32"/>
      <c r="K196" s="32"/>
      <c r="L196" s="32"/>
      <c r="M196" s="32"/>
      <c r="N196" s="336"/>
      <c r="O196" s="32"/>
      <c r="P196" s="33"/>
      <c r="Q196" s="31"/>
      <c r="R196" s="31"/>
      <c r="S196" s="47">
        <f>280*E196</f>
        <v>280</v>
      </c>
      <c r="T196" s="47"/>
      <c r="U196" s="48"/>
      <c r="V196" s="50"/>
      <c r="W196" s="49"/>
      <c r="X196" s="49"/>
      <c r="Y196" s="49">
        <v>280</v>
      </c>
      <c r="Z196" s="49"/>
      <c r="AA196" s="49"/>
      <c r="AB196" s="49"/>
      <c r="AC196" s="49"/>
      <c r="AD196" s="49"/>
      <c r="AE196" s="49"/>
      <c r="AF196" s="49"/>
      <c r="AG196" s="49"/>
      <c r="AH196" s="50"/>
      <c r="AI196" s="49"/>
      <c r="AJ196" s="49"/>
      <c r="AK196" s="49"/>
      <c r="AL196" s="49"/>
      <c r="AM196" s="49"/>
      <c r="AN196" s="49"/>
      <c r="AO196" s="49"/>
      <c r="AP196" s="49"/>
      <c r="AQ196" s="49"/>
      <c r="AR196" s="49"/>
      <c r="AS196" s="49"/>
      <c r="AT196" s="49"/>
      <c r="AU196" s="49"/>
      <c r="AV196" s="49"/>
      <c r="AW196" s="49"/>
      <c r="AX196" s="33">
        <f>SUM(H196+S196+T196-U196-V196-W196-X196-Y196-Z196-AA196-AB196-AC196-AD196-AE196-AF196-AG196-AH196-AI196-AJ196-AK196-AL196-AM196-AN196-AO196-AP196-AQ196-AR196-AS196-AT196-AU196-AV196-AW196)</f>
        <v>0</v>
      </c>
      <c r="AY196" s="43"/>
    </row>
    <row r="197" spans="1:52" ht="66.75" customHeight="1" x14ac:dyDescent="0.35">
      <c r="A197" s="26">
        <v>180</v>
      </c>
      <c r="B197" s="43" t="s">
        <v>618</v>
      </c>
      <c r="C197" s="53"/>
      <c r="D197" s="298" t="s">
        <v>1186</v>
      </c>
      <c r="E197" s="95">
        <v>3</v>
      </c>
      <c r="F197" s="44" t="s">
        <v>30</v>
      </c>
      <c r="G197" s="112">
        <f>[1]DICIEMBRE!$BA$195</f>
        <v>0</v>
      </c>
      <c r="H197" s="31">
        <f>ENERO!BA201</f>
        <v>0</v>
      </c>
      <c r="I197" s="45"/>
      <c r="J197" s="32"/>
      <c r="K197" s="32"/>
      <c r="L197" s="32"/>
      <c r="M197" s="336"/>
      <c r="N197" s="32"/>
      <c r="O197" s="33"/>
      <c r="P197" s="33"/>
      <c r="Q197" s="31"/>
      <c r="R197" s="31"/>
      <c r="S197" s="47">
        <f>300*E197</f>
        <v>900</v>
      </c>
      <c r="T197" s="47"/>
      <c r="U197" s="48"/>
      <c r="V197" s="50"/>
      <c r="W197" s="49"/>
      <c r="X197" s="49"/>
      <c r="Y197" s="49"/>
      <c r="Z197" s="49"/>
      <c r="AA197" s="49"/>
      <c r="AB197" s="49"/>
      <c r="AC197" s="49"/>
      <c r="AD197" s="49"/>
      <c r="AE197" s="49"/>
      <c r="AF197" s="49">
        <v>900</v>
      </c>
      <c r="AG197" s="49"/>
      <c r="AH197" s="50"/>
      <c r="AI197" s="49"/>
      <c r="AJ197" s="49"/>
      <c r="AK197" s="49"/>
      <c r="AL197" s="49"/>
      <c r="AM197" s="49"/>
      <c r="AN197" s="49"/>
      <c r="AO197" s="49"/>
      <c r="AP197" s="49"/>
      <c r="AQ197" s="49"/>
      <c r="AR197" s="49"/>
      <c r="AS197" s="49"/>
      <c r="AT197" s="49"/>
      <c r="AU197" s="49"/>
      <c r="AV197" s="49"/>
      <c r="AW197" s="49"/>
      <c r="AX197" s="33">
        <f t="shared" si="2"/>
        <v>0</v>
      </c>
      <c r="AY197" s="43"/>
    </row>
    <row r="198" spans="1:52" ht="53.25" customHeight="1" x14ac:dyDescent="0.35">
      <c r="A198" s="26">
        <v>181</v>
      </c>
      <c r="B198" s="43" t="s">
        <v>131</v>
      </c>
      <c r="C198" s="28" t="s">
        <v>132</v>
      </c>
      <c r="D198" s="298" t="s">
        <v>1187</v>
      </c>
      <c r="E198" s="98">
        <v>166</v>
      </c>
      <c r="F198" s="44" t="s">
        <v>30</v>
      </c>
      <c r="G198" s="234">
        <f>[1]DICIEMBRE!$BA$196</f>
        <v>-900</v>
      </c>
      <c r="H198" s="31">
        <f>ENERO!BA202</f>
        <v>-30</v>
      </c>
      <c r="I198" s="45"/>
      <c r="J198" s="32"/>
      <c r="K198" s="32"/>
      <c r="L198" s="32"/>
      <c r="M198" s="32"/>
      <c r="N198" s="336"/>
      <c r="O198" s="32"/>
      <c r="P198" s="31"/>
      <c r="Q198" s="31"/>
      <c r="R198" s="31"/>
      <c r="S198" s="49">
        <f>E198*120</f>
        <v>19920</v>
      </c>
      <c r="T198" s="47">
        <v>7150</v>
      </c>
      <c r="U198" s="77"/>
      <c r="V198" s="49"/>
      <c r="W198" s="49"/>
      <c r="X198" s="49"/>
      <c r="Y198" s="49"/>
      <c r="Z198" s="49"/>
      <c r="AA198" s="49"/>
      <c r="AB198" s="49"/>
      <c r="AC198" s="49"/>
      <c r="AD198" s="49"/>
      <c r="AE198" s="49"/>
      <c r="AF198" s="49"/>
      <c r="AG198" s="49"/>
      <c r="AH198" s="49"/>
      <c r="AI198" s="49"/>
      <c r="AJ198" s="49"/>
      <c r="AK198" s="63"/>
      <c r="AL198" s="49"/>
      <c r="AM198" s="49"/>
      <c r="AN198" s="49"/>
      <c r="AO198" s="49"/>
      <c r="AP198" s="49"/>
      <c r="AQ198" s="49">
        <v>15000</v>
      </c>
      <c r="AR198" s="49"/>
      <c r="AS198" s="49"/>
      <c r="AT198" s="49"/>
      <c r="AU198" s="49">
        <v>13000</v>
      </c>
      <c r="AV198" s="49"/>
      <c r="AW198" s="49"/>
      <c r="AX198" s="33">
        <f t="shared" si="2"/>
        <v>-960</v>
      </c>
      <c r="AY198" s="43" t="s">
        <v>2228</v>
      </c>
    </row>
    <row r="199" spans="1:52" ht="46.5" customHeight="1" x14ac:dyDescent="0.35">
      <c r="A199" s="26">
        <v>182</v>
      </c>
      <c r="B199" s="27" t="s">
        <v>802</v>
      </c>
      <c r="C199" s="79" t="s">
        <v>134</v>
      </c>
      <c r="D199" s="298" t="s">
        <v>1188</v>
      </c>
      <c r="E199" s="98">
        <v>80</v>
      </c>
      <c r="F199" s="64" t="s">
        <v>30</v>
      </c>
      <c r="G199" s="112">
        <f>[1]DICIEMBRE!$BA$197</f>
        <v>0</v>
      </c>
      <c r="H199" s="45">
        <f>ENERO!BA203</f>
        <v>0</v>
      </c>
      <c r="I199" s="45"/>
      <c r="J199" s="32"/>
      <c r="K199" s="32"/>
      <c r="L199" s="32"/>
      <c r="M199" s="336"/>
      <c r="N199" s="32"/>
      <c r="O199" s="32"/>
      <c r="P199" s="33"/>
      <c r="Q199" s="31"/>
      <c r="R199" s="31"/>
      <c r="S199" s="49">
        <f>120*E199</f>
        <v>9600</v>
      </c>
      <c r="T199" s="47">
        <f>7600+500+500+500</f>
        <v>9100</v>
      </c>
      <c r="U199" s="48"/>
      <c r="V199" s="49"/>
      <c r="W199" s="49"/>
      <c r="X199" s="49"/>
      <c r="Y199" s="49"/>
      <c r="Z199" s="49"/>
      <c r="AA199" s="49"/>
      <c r="AB199" s="49"/>
      <c r="AC199" s="49"/>
      <c r="AD199" s="49"/>
      <c r="AE199" s="49"/>
      <c r="AF199" s="49"/>
      <c r="AG199" s="49"/>
      <c r="AH199" s="49"/>
      <c r="AI199" s="49"/>
      <c r="AJ199" s="49">
        <v>8700</v>
      </c>
      <c r="AK199" s="49"/>
      <c r="AL199" s="49">
        <v>5000</v>
      </c>
      <c r="AM199" s="50">
        <v>5000</v>
      </c>
      <c r="AN199" s="49"/>
      <c r="AO199" s="49"/>
      <c r="AP199" s="49"/>
      <c r="AQ199" s="49"/>
      <c r="AR199" s="49"/>
      <c r="AS199" s="49"/>
      <c r="AT199" s="49"/>
      <c r="AU199" s="49"/>
      <c r="AV199" s="49"/>
      <c r="AW199" s="49"/>
      <c r="AX199" s="33">
        <f t="shared" si="2"/>
        <v>0</v>
      </c>
      <c r="AY199" s="269" t="s">
        <v>2229</v>
      </c>
    </row>
    <row r="200" spans="1:52" ht="51" customHeight="1" x14ac:dyDescent="0.35">
      <c r="A200" s="26">
        <v>183</v>
      </c>
      <c r="B200" s="43" t="s">
        <v>2252</v>
      </c>
      <c r="C200" s="28"/>
      <c r="D200" s="300" t="s">
        <v>2249</v>
      </c>
      <c r="E200" s="98">
        <v>1</v>
      </c>
      <c r="F200" s="44" t="s">
        <v>30</v>
      </c>
      <c r="G200" s="234"/>
      <c r="H200" s="31"/>
      <c r="I200" s="45"/>
      <c r="J200" s="32"/>
      <c r="K200" s="32"/>
      <c r="L200" s="32"/>
      <c r="M200" s="336"/>
      <c r="N200" s="32"/>
      <c r="O200" s="32"/>
      <c r="P200" s="31"/>
      <c r="Q200" s="31"/>
      <c r="R200" s="31"/>
      <c r="S200" s="47">
        <f>300*E200</f>
        <v>300</v>
      </c>
      <c r="T200" s="47">
        <v>2200</v>
      </c>
      <c r="U200" s="48"/>
      <c r="V200" s="49"/>
      <c r="W200" s="51"/>
      <c r="X200" s="49"/>
      <c r="Y200" s="50"/>
      <c r="Z200" s="49"/>
      <c r="AA200" s="49"/>
      <c r="AB200" s="49"/>
      <c r="AC200" s="49"/>
      <c r="AD200" s="49"/>
      <c r="AE200" s="49"/>
      <c r="AF200" s="49"/>
      <c r="AG200" s="49"/>
      <c r="AH200" s="49"/>
      <c r="AI200" s="49"/>
      <c r="AJ200" s="49"/>
      <c r="AK200" s="49"/>
      <c r="AL200" s="49">
        <v>2200</v>
      </c>
      <c r="AM200" s="49"/>
      <c r="AN200" s="49">
        <v>300</v>
      </c>
      <c r="AO200" s="49"/>
      <c r="AP200" s="49"/>
      <c r="AQ200" s="49"/>
      <c r="AR200" s="49"/>
      <c r="AS200" s="49"/>
      <c r="AT200" s="49"/>
      <c r="AU200" s="49"/>
      <c r="AV200" s="49"/>
      <c r="AW200" s="49"/>
      <c r="AX200" s="33">
        <f>SUM(H200+S200+T200-U200-V200-W200-X200-Y200-Z200-AA200-AB200-AC200-AD200-AE200-AF200-AG200-AH200-AI200-AJ200-AK200-AL200-AM200-AN200-AO200-AP200-AQ200-AR200-AS200-AT200-AU200-AV200-AW200)</f>
        <v>0</v>
      </c>
      <c r="AY200" s="43" t="s">
        <v>2250</v>
      </c>
      <c r="AZ200" s="76"/>
    </row>
    <row r="201" spans="1:52" ht="30" customHeight="1" x14ac:dyDescent="0.35">
      <c r="A201" s="26">
        <v>184</v>
      </c>
      <c r="B201" s="27" t="s">
        <v>135</v>
      </c>
      <c r="C201" s="28" t="s">
        <v>136</v>
      </c>
      <c r="D201" s="298" t="s">
        <v>1189</v>
      </c>
      <c r="E201" s="98">
        <v>18</v>
      </c>
      <c r="F201" s="44" t="s">
        <v>30</v>
      </c>
      <c r="G201" s="234">
        <f>[1]DICIEMBRE!$BA$198</f>
        <v>600</v>
      </c>
      <c r="H201" s="31">
        <f>ENERO!BA204</f>
        <v>2000</v>
      </c>
      <c r="I201" s="45"/>
      <c r="J201" s="32"/>
      <c r="K201" s="32"/>
      <c r="L201" s="32"/>
      <c r="M201" s="336"/>
      <c r="N201" s="32"/>
      <c r="O201" s="32"/>
      <c r="P201" s="31"/>
      <c r="Q201" s="31"/>
      <c r="R201" s="31"/>
      <c r="S201" s="47">
        <f>100*E201</f>
        <v>1800</v>
      </c>
      <c r="T201" s="47">
        <f>2000+2000</f>
        <v>4000</v>
      </c>
      <c r="U201" s="48"/>
      <c r="V201" s="49">
        <f>2000+1000</f>
        <v>3000</v>
      </c>
      <c r="W201" s="51"/>
      <c r="X201" s="49"/>
      <c r="Y201" s="50"/>
      <c r="Z201" s="49"/>
      <c r="AA201" s="49"/>
      <c r="AB201" s="49"/>
      <c r="AC201" s="49"/>
      <c r="AD201" s="49"/>
      <c r="AE201" s="49"/>
      <c r="AF201" s="49">
        <v>2000</v>
      </c>
      <c r="AG201" s="49"/>
      <c r="AH201" s="49"/>
      <c r="AI201" s="49"/>
      <c r="AJ201" s="49"/>
      <c r="AK201" s="49"/>
      <c r="AL201" s="49"/>
      <c r="AM201" s="49"/>
      <c r="AN201" s="49"/>
      <c r="AO201" s="49"/>
      <c r="AP201" s="49"/>
      <c r="AQ201" s="49"/>
      <c r="AR201" s="49"/>
      <c r="AS201" s="49"/>
      <c r="AT201" s="49"/>
      <c r="AU201" s="49"/>
      <c r="AV201" s="49"/>
      <c r="AW201" s="49"/>
      <c r="AX201" s="33">
        <f t="shared" si="2"/>
        <v>2800</v>
      </c>
      <c r="AY201" s="43" t="s">
        <v>2226</v>
      </c>
      <c r="AZ201" s="76"/>
    </row>
    <row r="202" spans="1:52" ht="37.5" customHeight="1" x14ac:dyDescent="0.35">
      <c r="A202" s="26">
        <v>185</v>
      </c>
      <c r="B202" s="27" t="s">
        <v>137</v>
      </c>
      <c r="C202" s="28" t="s">
        <v>138</v>
      </c>
      <c r="D202" s="298" t="s">
        <v>1190</v>
      </c>
      <c r="E202" s="98">
        <v>2</v>
      </c>
      <c r="F202" s="44" t="s">
        <v>30</v>
      </c>
      <c r="G202" s="112">
        <f>[1]DICIEMBRE!$BA$199</f>
        <v>0</v>
      </c>
      <c r="H202" s="31">
        <f>ENERO!BA205</f>
        <v>0</v>
      </c>
      <c r="I202" s="45"/>
      <c r="J202" s="32"/>
      <c r="K202" s="32"/>
      <c r="L202" s="32"/>
      <c r="M202" s="32"/>
      <c r="N202" s="336"/>
      <c r="O202" s="33"/>
      <c r="P202" s="33"/>
      <c r="Q202" s="31"/>
      <c r="R202" s="31"/>
      <c r="S202" s="47">
        <v>500</v>
      </c>
      <c r="T202" s="47"/>
      <c r="U202" s="48"/>
      <c r="V202" s="49"/>
      <c r="W202" s="49"/>
      <c r="X202" s="49"/>
      <c r="Y202" s="49"/>
      <c r="Z202" s="49"/>
      <c r="AA202" s="49"/>
      <c r="AB202" s="49"/>
      <c r="AC202" s="49"/>
      <c r="AD202" s="50"/>
      <c r="AE202" s="49"/>
      <c r="AF202" s="49"/>
      <c r="AG202" s="49"/>
      <c r="AH202" s="49"/>
      <c r="AI202" s="49"/>
      <c r="AJ202" s="49"/>
      <c r="AK202" s="49"/>
      <c r="AL202" s="49"/>
      <c r="AM202" s="49"/>
      <c r="AN202" s="49">
        <v>500</v>
      </c>
      <c r="AO202" s="49"/>
      <c r="AP202" s="49"/>
      <c r="AQ202" s="49"/>
      <c r="AR202" s="49"/>
      <c r="AS202" s="49"/>
      <c r="AT202" s="49"/>
      <c r="AU202" s="49"/>
      <c r="AV202" s="49"/>
      <c r="AW202" s="49"/>
      <c r="AX202" s="33">
        <f t="shared" si="2"/>
        <v>0</v>
      </c>
      <c r="AY202" s="43"/>
    </row>
    <row r="203" spans="1:52" ht="78.75" customHeight="1" x14ac:dyDescent="0.35">
      <c r="A203" s="26">
        <v>186</v>
      </c>
      <c r="B203" s="43" t="s">
        <v>76</v>
      </c>
      <c r="C203" s="53" t="s">
        <v>77</v>
      </c>
      <c r="D203" s="298" t="s">
        <v>1191</v>
      </c>
      <c r="E203" s="98">
        <v>18</v>
      </c>
      <c r="F203" s="60" t="s">
        <v>35</v>
      </c>
      <c r="G203" s="234">
        <f>[1]DICIEMBRE!$BA$200</f>
        <v>-0.1000000000003638</v>
      </c>
      <c r="H203" s="45">
        <f>ENERO!BA206</f>
        <v>-0.1000000000003638</v>
      </c>
      <c r="I203" s="65"/>
      <c r="J203" s="32"/>
      <c r="K203" s="32"/>
      <c r="L203" s="32"/>
      <c r="M203" s="32"/>
      <c r="N203" s="32"/>
      <c r="O203" s="32"/>
      <c r="P203" s="31"/>
      <c r="Q203" s="31"/>
      <c r="R203" s="31"/>
      <c r="S203" s="66">
        <f>250*E203</f>
        <v>4500</v>
      </c>
      <c r="T203" s="66"/>
      <c r="U203" s="67"/>
      <c r="V203" s="68"/>
      <c r="W203" s="68"/>
      <c r="X203" s="68"/>
      <c r="Y203" s="68"/>
      <c r="Z203" s="68"/>
      <c r="AA203" s="68"/>
      <c r="AB203" s="68"/>
      <c r="AC203" s="68"/>
      <c r="AD203" s="68"/>
      <c r="AE203" s="63"/>
      <c r="AF203" s="68"/>
      <c r="AG203" s="68"/>
      <c r="AH203" s="68"/>
      <c r="AI203" s="68"/>
      <c r="AJ203" s="68"/>
      <c r="AK203" s="68"/>
      <c r="AL203" s="68"/>
      <c r="AM203" s="68"/>
      <c r="AN203" s="68"/>
      <c r="AO203" s="68"/>
      <c r="AP203" s="68">
        <v>4499.8999999999996</v>
      </c>
      <c r="AQ203" s="68"/>
      <c r="AR203" s="68"/>
      <c r="AS203" s="68"/>
      <c r="AT203" s="68"/>
      <c r="AU203" s="68"/>
      <c r="AV203" s="68"/>
      <c r="AW203" s="68"/>
      <c r="AX203" s="33">
        <f t="shared" si="2"/>
        <v>0</v>
      </c>
      <c r="AY203" s="268"/>
    </row>
    <row r="204" spans="1:52" ht="39.75" customHeight="1" x14ac:dyDescent="0.35">
      <c r="A204" s="26">
        <v>187</v>
      </c>
      <c r="B204" s="43" t="s">
        <v>140</v>
      </c>
      <c r="C204" s="53" t="s">
        <v>141</v>
      </c>
      <c r="D204" s="298" t="s">
        <v>1192</v>
      </c>
      <c r="E204" s="98">
        <v>1</v>
      </c>
      <c r="F204" s="44" t="s">
        <v>35</v>
      </c>
      <c r="G204" s="112">
        <f>[1]DICIEMBRE!$BA$201</f>
        <v>0</v>
      </c>
      <c r="H204" s="31">
        <f>ENERO!BA207</f>
        <v>250</v>
      </c>
      <c r="I204" s="45"/>
      <c r="J204" s="32"/>
      <c r="K204" s="33"/>
      <c r="L204" s="336"/>
      <c r="M204" s="32"/>
      <c r="N204" s="336"/>
      <c r="O204" s="33"/>
      <c r="P204" s="31"/>
      <c r="Q204" s="31"/>
      <c r="R204" s="31"/>
      <c r="S204" s="66">
        <v>250</v>
      </c>
      <c r="T204" s="66"/>
      <c r="U204" s="67"/>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33">
        <f>SUM(H204+S204+T204-U204-V204-W204-X204-Y204-Z204-AA204-AB204-AC204-AD204-AE204-AF204-AG204-AH204-AI204-AJ204-AK204-AL204-AM204-AN204-AO204-AP204-AQ204-AR204-AS204-AT204-AU204-AV204-AW204)</f>
        <v>500</v>
      </c>
      <c r="AY204" s="43"/>
    </row>
    <row r="205" spans="1:52" ht="54.75" customHeight="1" x14ac:dyDescent="0.35">
      <c r="A205" s="26">
        <v>188</v>
      </c>
      <c r="B205" s="43" t="s">
        <v>2242</v>
      </c>
      <c r="C205" s="53"/>
      <c r="D205" s="300" t="s">
        <v>2243</v>
      </c>
      <c r="E205" s="98">
        <v>4</v>
      </c>
      <c r="F205" s="44" t="s">
        <v>35</v>
      </c>
      <c r="G205" s="112"/>
      <c r="H205" s="31"/>
      <c r="I205" s="45"/>
      <c r="J205" s="32"/>
      <c r="K205" s="33"/>
      <c r="L205" s="336"/>
      <c r="M205" s="32"/>
      <c r="N205" s="336"/>
      <c r="O205" s="33"/>
      <c r="P205" s="31"/>
      <c r="Q205" s="31"/>
      <c r="R205" s="31"/>
      <c r="S205" s="66"/>
      <c r="T205" s="66"/>
      <c r="U205" s="67"/>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33">
        <f t="shared" si="2"/>
        <v>0</v>
      </c>
      <c r="AY205" s="43" t="s">
        <v>2244</v>
      </c>
    </row>
    <row r="206" spans="1:52" ht="54.75" customHeight="1" x14ac:dyDescent="0.35">
      <c r="A206" s="26">
        <v>189</v>
      </c>
      <c r="B206" s="43" t="s">
        <v>2256</v>
      </c>
      <c r="C206" s="53"/>
      <c r="D206" s="300" t="s">
        <v>2260</v>
      </c>
      <c r="E206" s="98">
        <v>1</v>
      </c>
      <c r="F206" s="44" t="s">
        <v>30</v>
      </c>
      <c r="G206" s="112"/>
      <c r="H206" s="31"/>
      <c r="I206" s="45"/>
      <c r="J206" s="32"/>
      <c r="K206" s="33"/>
      <c r="L206" s="336"/>
      <c r="M206" s="32"/>
      <c r="N206" s="336"/>
      <c r="O206" s="33"/>
      <c r="P206" s="31"/>
      <c r="Q206" s="31"/>
      <c r="R206" s="31"/>
      <c r="S206" s="66">
        <f>299*E206</f>
        <v>299</v>
      </c>
      <c r="T206" s="66">
        <v>2200</v>
      </c>
      <c r="U206" s="67"/>
      <c r="V206" s="63"/>
      <c r="W206" s="63"/>
      <c r="X206" s="63"/>
      <c r="Y206" s="63"/>
      <c r="Z206" s="63"/>
      <c r="AA206" s="63"/>
      <c r="AB206" s="63"/>
      <c r="AC206" s="63"/>
      <c r="AD206" s="63"/>
      <c r="AE206" s="63"/>
      <c r="AF206" s="63"/>
      <c r="AG206" s="63"/>
      <c r="AH206" s="63"/>
      <c r="AI206" s="63"/>
      <c r="AJ206" s="63"/>
      <c r="AK206" s="63"/>
      <c r="AL206" s="63"/>
      <c r="AM206" s="63"/>
      <c r="AN206" s="63">
        <v>2200</v>
      </c>
      <c r="AO206" s="63">
        <v>299</v>
      </c>
      <c r="AP206" s="63"/>
      <c r="AQ206" s="63"/>
      <c r="AR206" s="63"/>
      <c r="AS206" s="63"/>
      <c r="AT206" s="63"/>
      <c r="AU206" s="63"/>
      <c r="AV206" s="63"/>
      <c r="AW206" s="63"/>
      <c r="AX206" s="33">
        <f t="shared" si="2"/>
        <v>0</v>
      </c>
      <c r="AY206" s="43" t="s">
        <v>2261</v>
      </c>
    </row>
    <row r="207" spans="1:52" ht="54.75" customHeight="1" x14ac:dyDescent="0.35">
      <c r="A207" s="26">
        <v>190</v>
      </c>
      <c r="B207" s="43" t="s">
        <v>2298</v>
      </c>
      <c r="C207" s="53"/>
      <c r="D207" s="300" t="s">
        <v>2297</v>
      </c>
      <c r="E207" s="98">
        <v>1</v>
      </c>
      <c r="F207" s="44" t="s">
        <v>30</v>
      </c>
      <c r="G207" s="112"/>
      <c r="H207" s="31"/>
      <c r="I207" s="45"/>
      <c r="J207" s="32"/>
      <c r="K207" s="33"/>
      <c r="L207" s="336"/>
      <c r="M207" s="32"/>
      <c r="N207" s="336"/>
      <c r="O207" s="33"/>
      <c r="P207" s="31"/>
      <c r="Q207" s="31"/>
      <c r="R207" s="31"/>
      <c r="S207" s="66">
        <f>300*E207</f>
        <v>300</v>
      </c>
      <c r="T207" s="66">
        <v>1800</v>
      </c>
      <c r="U207" s="67"/>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v>2100</v>
      </c>
      <c r="AV207" s="63"/>
      <c r="AW207" s="63"/>
      <c r="AX207" s="33">
        <f t="shared" si="2"/>
        <v>0</v>
      </c>
      <c r="AY207" s="43" t="s">
        <v>2299</v>
      </c>
    </row>
    <row r="208" spans="1:52" ht="57.75" customHeight="1" x14ac:dyDescent="0.35">
      <c r="A208" s="26">
        <v>191</v>
      </c>
      <c r="B208" s="27" t="s">
        <v>142</v>
      </c>
      <c r="C208" s="28" t="s">
        <v>143</v>
      </c>
      <c r="D208" s="307" t="s">
        <v>1193</v>
      </c>
      <c r="E208" s="99">
        <v>7</v>
      </c>
      <c r="F208" s="44" t="s">
        <v>35</v>
      </c>
      <c r="G208" s="234">
        <f>[1]DICIEMBRE!$BA$202</f>
        <v>-0.73000000000047294</v>
      </c>
      <c r="H208" s="31">
        <f>ENERO!BA208</f>
        <v>-0.73000000000047294</v>
      </c>
      <c r="I208" s="45"/>
      <c r="J208" s="32"/>
      <c r="K208" s="32"/>
      <c r="L208" s="32"/>
      <c r="M208" s="32"/>
      <c r="N208" s="32"/>
      <c r="O208" s="32"/>
      <c r="P208" s="33"/>
      <c r="Q208" s="31"/>
      <c r="R208" s="31"/>
      <c r="S208" s="47">
        <f>250*E208</f>
        <v>1750</v>
      </c>
      <c r="T208" s="47">
        <v>500</v>
      </c>
      <c r="U208" s="48"/>
      <c r="V208" s="49"/>
      <c r="W208" s="49"/>
      <c r="X208" s="50"/>
      <c r="Y208" s="49"/>
      <c r="Z208" s="49"/>
      <c r="AA208" s="49"/>
      <c r="AB208" s="50"/>
      <c r="AC208" s="49"/>
      <c r="AD208" s="49"/>
      <c r="AE208" s="49"/>
      <c r="AF208" s="50"/>
      <c r="AG208" s="49"/>
      <c r="AH208" s="49"/>
      <c r="AI208" s="50"/>
      <c r="AJ208" s="49"/>
      <c r="AK208" s="49"/>
      <c r="AL208" s="49"/>
      <c r="AM208" s="50"/>
      <c r="AN208" s="49"/>
      <c r="AO208" s="49">
        <v>2249.27</v>
      </c>
      <c r="AP208" s="50"/>
      <c r="AQ208" s="49"/>
      <c r="AR208" s="49"/>
      <c r="AS208" s="49"/>
      <c r="AT208" s="49"/>
      <c r="AU208" s="49"/>
      <c r="AV208" s="49"/>
      <c r="AW208" s="49"/>
      <c r="AX208" s="33">
        <f t="shared" si="2"/>
        <v>-4.5474735088646412E-13</v>
      </c>
      <c r="AY208" s="43" t="s">
        <v>2041</v>
      </c>
    </row>
    <row r="209" spans="1:51" s="5" customFormat="1" ht="49.5" customHeight="1" x14ac:dyDescent="0.35">
      <c r="A209" s="26">
        <v>192</v>
      </c>
      <c r="B209" s="43" t="s">
        <v>251</v>
      </c>
      <c r="C209" s="53" t="s">
        <v>1264</v>
      </c>
      <c r="D209" s="308" t="s">
        <v>1194</v>
      </c>
      <c r="E209" s="99">
        <v>2</v>
      </c>
      <c r="F209" s="44" t="s">
        <v>30</v>
      </c>
      <c r="G209" s="112">
        <f>[1]DICIEMBRE!$BA$203</f>
        <v>-3.3399999999999181</v>
      </c>
      <c r="H209" s="45">
        <f>ENERO!BA209</f>
        <v>-3.3399999999999181</v>
      </c>
      <c r="I209" s="309"/>
      <c r="J209" s="32"/>
      <c r="K209" s="32"/>
      <c r="L209" s="32"/>
      <c r="M209" s="336"/>
      <c r="N209" s="32"/>
      <c r="O209" s="32"/>
      <c r="P209" s="31"/>
      <c r="Q209" s="31"/>
      <c r="R209" s="31"/>
      <c r="S209" s="47">
        <f>250*E209</f>
        <v>500</v>
      </c>
      <c r="T209" s="310"/>
      <c r="U209" s="311"/>
      <c r="V209" s="86"/>
      <c r="W209" s="312"/>
      <c r="X209" s="86"/>
      <c r="Y209" s="86"/>
      <c r="Z209" s="86"/>
      <c r="AA209" s="312"/>
      <c r="AB209" s="86"/>
      <c r="AC209" s="86"/>
      <c r="AD209" s="86"/>
      <c r="AE209" s="312"/>
      <c r="AF209" s="86"/>
      <c r="AG209" s="86"/>
      <c r="AH209" s="312"/>
      <c r="AI209" s="313"/>
      <c r="AJ209" s="86"/>
      <c r="AK209" s="86"/>
      <c r="AL209" s="312"/>
      <c r="AM209" s="86"/>
      <c r="AN209" s="86"/>
      <c r="AO209" s="312">
        <v>496.66</v>
      </c>
      <c r="AP209" s="86"/>
      <c r="AQ209" s="86"/>
      <c r="AR209" s="86"/>
      <c r="AS209" s="86"/>
      <c r="AT209" s="86"/>
      <c r="AU209" s="86"/>
      <c r="AV209" s="86"/>
      <c r="AW209" s="86"/>
      <c r="AX209" s="33">
        <f t="shared" si="2"/>
        <v>5.6843418860808015E-14</v>
      </c>
      <c r="AY209" s="43"/>
    </row>
    <row r="210" spans="1:51" ht="68.25" customHeight="1" x14ac:dyDescent="0.35">
      <c r="A210" s="26">
        <v>193</v>
      </c>
      <c r="B210" s="43" t="s">
        <v>144</v>
      </c>
      <c r="C210" s="43" t="s">
        <v>145</v>
      </c>
      <c r="D210" s="307" t="s">
        <v>1195</v>
      </c>
      <c r="E210" s="98">
        <v>14</v>
      </c>
      <c r="F210" s="44" t="s">
        <v>30</v>
      </c>
      <c r="G210" s="234">
        <f>[1]DICIEMBRE!$BA$204</f>
        <v>0</v>
      </c>
      <c r="H210" s="31">
        <f>ENERO!BA210</f>
        <v>0</v>
      </c>
      <c r="I210" s="45"/>
      <c r="J210" s="32"/>
      <c r="K210" s="33"/>
      <c r="L210" s="336"/>
      <c r="M210" s="32"/>
      <c r="N210" s="336"/>
      <c r="O210" s="33"/>
      <c r="P210" s="33"/>
      <c r="Q210" s="31"/>
      <c r="R210" s="31"/>
      <c r="S210" s="47">
        <f>300*E210</f>
        <v>4200</v>
      </c>
      <c r="T210" s="47"/>
      <c r="U210" s="48"/>
      <c r="V210" s="49"/>
      <c r="W210" s="49"/>
      <c r="X210" s="49"/>
      <c r="Y210" s="49"/>
      <c r="Z210" s="49"/>
      <c r="AA210" s="49"/>
      <c r="AB210" s="49"/>
      <c r="AC210" s="49"/>
      <c r="AD210" s="49"/>
      <c r="AE210" s="49"/>
      <c r="AF210" s="49"/>
      <c r="AG210" s="49"/>
      <c r="AH210" s="49"/>
      <c r="AI210" s="49"/>
      <c r="AJ210" s="49"/>
      <c r="AK210" s="63"/>
      <c r="AL210" s="49"/>
      <c r="AM210" s="49">
        <v>4200</v>
      </c>
      <c r="AN210" s="49"/>
      <c r="AO210" s="49"/>
      <c r="AP210" s="49"/>
      <c r="AQ210" s="49"/>
      <c r="AR210" s="49"/>
      <c r="AS210" s="49"/>
      <c r="AT210" s="49"/>
      <c r="AU210" s="49"/>
      <c r="AV210" s="49"/>
      <c r="AW210" s="49"/>
      <c r="AX210" s="33">
        <f>SUM(H210+S210+T210-U210-V210-W210-X210-Y210-Z210-AA210-AB210-AC210-AD210-AE210-AF210-AG210-AH210-AI210-AJ210-AK210-AL210-AM210-AN210-AO210-AP210-AQ210-AR210-AS210-AT210-AU210-AV210-AW210)</f>
        <v>0</v>
      </c>
      <c r="AY210" s="43"/>
    </row>
    <row r="211" spans="1:51" ht="68.25" customHeight="1" x14ac:dyDescent="0.35">
      <c r="A211" s="26">
        <v>194</v>
      </c>
      <c r="B211" s="43" t="s">
        <v>261</v>
      </c>
      <c r="C211" s="43"/>
      <c r="D211" s="307" t="s">
        <v>2043</v>
      </c>
      <c r="E211" s="98">
        <v>1</v>
      </c>
      <c r="F211" s="44"/>
      <c r="G211" s="234"/>
      <c r="H211" s="31"/>
      <c r="I211" s="45"/>
      <c r="J211" s="32"/>
      <c r="K211" s="33"/>
      <c r="L211" s="336"/>
      <c r="M211" s="32"/>
      <c r="N211" s="336"/>
      <c r="O211" s="33"/>
      <c r="P211" s="33"/>
      <c r="Q211" s="31"/>
      <c r="R211" s="31"/>
      <c r="S211" s="47"/>
      <c r="T211" s="47">
        <f>1800+450+450</f>
        <v>2700</v>
      </c>
      <c r="U211" s="48"/>
      <c r="V211" s="49"/>
      <c r="W211" s="49"/>
      <c r="X211" s="49"/>
      <c r="Y211" s="49"/>
      <c r="Z211" s="49"/>
      <c r="AA211" s="49"/>
      <c r="AB211" s="49"/>
      <c r="AC211" s="49"/>
      <c r="AD211" s="49"/>
      <c r="AE211" s="49"/>
      <c r="AF211" s="49"/>
      <c r="AG211" s="49"/>
      <c r="AH211" s="49">
        <v>2250</v>
      </c>
      <c r="AI211" s="49"/>
      <c r="AJ211" s="49"/>
      <c r="AK211" s="63"/>
      <c r="AL211" s="49"/>
      <c r="AM211" s="49"/>
      <c r="AN211" s="49"/>
      <c r="AO211" s="49"/>
      <c r="AP211" s="49"/>
      <c r="AQ211" s="49"/>
      <c r="AR211" s="49"/>
      <c r="AS211" s="49"/>
      <c r="AT211" s="49"/>
      <c r="AU211" s="49"/>
      <c r="AV211" s="49"/>
      <c r="AW211" s="49"/>
      <c r="AX211" s="33">
        <f t="shared" si="2"/>
        <v>450</v>
      </c>
      <c r="AY211" s="43" t="s">
        <v>2285</v>
      </c>
    </row>
    <row r="212" spans="1:51" ht="45.75" customHeight="1" x14ac:dyDescent="0.35">
      <c r="A212" s="26">
        <v>195</v>
      </c>
      <c r="B212" s="256" t="s">
        <v>146</v>
      </c>
      <c r="C212" s="53" t="s">
        <v>147</v>
      </c>
      <c r="D212" s="298" t="s">
        <v>1196</v>
      </c>
      <c r="E212" s="98">
        <v>4</v>
      </c>
      <c r="F212" s="64" t="s">
        <v>30</v>
      </c>
      <c r="G212" s="112">
        <f>[1]DICIEMBRE!$BA$209</f>
        <v>0</v>
      </c>
      <c r="H212" s="45">
        <f>ENERO!BA213</f>
        <v>200</v>
      </c>
      <c r="I212" s="45"/>
      <c r="J212" s="32"/>
      <c r="K212" s="33"/>
      <c r="L212" s="32"/>
      <c r="M212" s="32"/>
      <c r="N212" s="336"/>
      <c r="O212" s="32"/>
      <c r="P212" s="33"/>
      <c r="Q212" s="31"/>
      <c r="R212" s="31"/>
      <c r="S212" s="47">
        <f>100*E212</f>
        <v>400</v>
      </c>
      <c r="T212" s="61"/>
      <c r="U212" s="72"/>
      <c r="V212" s="49"/>
      <c r="W212" s="49"/>
      <c r="X212" s="49"/>
      <c r="Y212" s="49"/>
      <c r="Z212" s="49"/>
      <c r="AA212" s="49"/>
      <c r="AB212" s="49"/>
      <c r="AC212" s="49"/>
      <c r="AD212" s="49"/>
      <c r="AE212" s="49"/>
      <c r="AF212" s="49"/>
      <c r="AG212" s="49"/>
      <c r="AH212" s="49"/>
      <c r="AI212" s="49"/>
      <c r="AJ212" s="49"/>
      <c r="AK212" s="49"/>
      <c r="AL212" s="49"/>
      <c r="AM212" s="49"/>
      <c r="AN212" s="49">
        <v>600</v>
      </c>
      <c r="AO212" s="49"/>
      <c r="AP212" s="49"/>
      <c r="AQ212" s="49"/>
      <c r="AR212" s="49"/>
      <c r="AS212" s="49"/>
      <c r="AT212" s="49"/>
      <c r="AU212" s="49"/>
      <c r="AV212" s="49"/>
      <c r="AW212" s="49"/>
      <c r="AX212" s="33">
        <f t="shared" si="2"/>
        <v>0</v>
      </c>
      <c r="AY212" s="269" t="s">
        <v>2188</v>
      </c>
    </row>
    <row r="213" spans="1:51" ht="17" x14ac:dyDescent="0.35">
      <c r="A213" s="26"/>
      <c r="B213" s="80"/>
      <c r="C213" s="81"/>
      <c r="D213" s="82"/>
      <c r="E213" s="83">
        <f>SUM(E18:E212)</f>
        <v>2226</v>
      </c>
      <c r="F213" s="84"/>
      <c r="G213" s="85">
        <f>SUM(G18:G212)</f>
        <v>46667.546400000021</v>
      </c>
      <c r="H213" s="85">
        <f>SUM(H18:H212)</f>
        <v>53780.794400000028</v>
      </c>
      <c r="I213" s="46">
        <f t="shared" ref="I213:N213" si="3">SUM(I31:I212)</f>
        <v>0</v>
      </c>
      <c r="J213" s="46">
        <f t="shared" si="3"/>
        <v>0</v>
      </c>
      <c r="K213" s="46">
        <f t="shared" si="3"/>
        <v>0</v>
      </c>
      <c r="L213" s="46">
        <f t="shared" si="3"/>
        <v>0</v>
      </c>
      <c r="M213" s="46">
        <f t="shared" si="3"/>
        <v>0</v>
      </c>
      <c r="N213" s="46">
        <f t="shared" si="3"/>
        <v>0</v>
      </c>
      <c r="O213" s="46">
        <f>SUM(O31+O95+O29+O19+O76+O21+O22+O24+O55+O27+O28+O91+O92+O30+O89+O35+O36+O73+O37+O38+O53+O77+O41+O43+O101+O23+O51+O47+O75+O48+O49+O98+O52+O39+O58+O34+O61+O25+O63+O54+O67+O69+O70+O71+O20+O72+O32+O74+O78+O79+O82+O83+O57+O84+O86+O18+O93+O94+O103+O60+O62+O59+O104+O105+O106+O108+O109+O110+O111+O112+O113+O115+O116+O123+O124+O125+O126+O127+O128+O129+O130+O135+O136+O138+O139+O141+O143+O145+O147+O148+O149+O150+O153+O154+O156+O159+O160+O161+O162+O163+O168+O170+O172+O173+O174+O176+O177+O178+O179+O180+O182+O185+O186+O188+O190+O191+O193+O194+O195+O196+O197+O198+O199+O201+O202+O203+O204+O208+O209+O210+O212)</f>
        <v>0</v>
      </c>
      <c r="P213" s="46">
        <f>SUM(P31:P212)</f>
        <v>0</v>
      </c>
      <c r="Q213" s="46">
        <f>SUM(Q31:Q212)</f>
        <v>0</v>
      </c>
      <c r="R213" s="46">
        <f>SUM(R31:R212)</f>
        <v>0</v>
      </c>
      <c r="S213" s="86">
        <f>SUM(S18:S212)</f>
        <v>471483.66279999999</v>
      </c>
      <c r="T213" s="86">
        <f>SUM(T18:T212)</f>
        <v>154277.8296</v>
      </c>
      <c r="U213" s="87">
        <f>-SUM(U18:U212)</f>
        <v>-4524</v>
      </c>
      <c r="V213" s="191">
        <f t="shared" ref="V213:AX213" si="4">SUM(V18:V212)</f>
        <v>15004.8</v>
      </c>
      <c r="W213" s="191">
        <f t="shared" si="4"/>
        <v>0</v>
      </c>
      <c r="X213" s="191">
        <f t="shared" si="4"/>
        <v>2000</v>
      </c>
      <c r="Y213" s="191">
        <f t="shared" si="4"/>
        <v>19568.14</v>
      </c>
      <c r="Z213" s="191">
        <f t="shared" si="4"/>
        <v>58492.11</v>
      </c>
      <c r="AA213" s="191">
        <f t="shared" si="4"/>
        <v>11708.8</v>
      </c>
      <c r="AB213" s="191">
        <f t="shared" si="4"/>
        <v>59631.920000000006</v>
      </c>
      <c r="AC213" s="191">
        <f t="shared" si="4"/>
        <v>7634</v>
      </c>
      <c r="AD213" s="191">
        <f t="shared" si="4"/>
        <v>600</v>
      </c>
      <c r="AE213" s="191">
        <f t="shared" si="4"/>
        <v>13630.13</v>
      </c>
      <c r="AF213" s="191">
        <f t="shared" si="4"/>
        <v>27346.629999999997</v>
      </c>
      <c r="AG213" s="191">
        <f t="shared" si="4"/>
        <v>6784</v>
      </c>
      <c r="AH213" s="191">
        <f t="shared" si="4"/>
        <v>10390.66</v>
      </c>
      <c r="AI213" s="191">
        <f t="shared" si="4"/>
        <v>101311.56</v>
      </c>
      <c r="AJ213" s="191">
        <f t="shared" si="4"/>
        <v>9465.6</v>
      </c>
      <c r="AK213" s="191">
        <f t="shared" si="4"/>
        <v>0</v>
      </c>
      <c r="AL213" s="191">
        <f t="shared" si="4"/>
        <v>22628</v>
      </c>
      <c r="AM213" s="191">
        <f t="shared" si="4"/>
        <v>87571.59</v>
      </c>
      <c r="AN213" s="191">
        <f t="shared" si="4"/>
        <v>45486.8</v>
      </c>
      <c r="AO213" s="191">
        <f t="shared" si="4"/>
        <v>14748.3</v>
      </c>
      <c r="AP213" s="191">
        <f t="shared" si="4"/>
        <v>6899.9</v>
      </c>
      <c r="AQ213" s="191">
        <f t="shared" si="4"/>
        <v>16160</v>
      </c>
      <c r="AR213" s="191">
        <f t="shared" si="4"/>
        <v>0</v>
      </c>
      <c r="AS213" s="191">
        <f t="shared" si="4"/>
        <v>6421.66</v>
      </c>
      <c r="AT213" s="191">
        <f t="shared" si="4"/>
        <v>4513</v>
      </c>
      <c r="AU213" s="191">
        <f t="shared" si="4"/>
        <v>38108</v>
      </c>
      <c r="AV213" s="191">
        <f t="shared" si="4"/>
        <v>20606</v>
      </c>
      <c r="AW213" s="191">
        <f t="shared" si="4"/>
        <v>6693.04</v>
      </c>
      <c r="AX213" s="88">
        <f t="shared" si="4"/>
        <v>61613.646800000039</v>
      </c>
      <c r="AY213" s="272" t="s">
        <v>148</v>
      </c>
    </row>
    <row r="215" spans="1:51" x14ac:dyDescent="0.35">
      <c r="B215" s="89"/>
      <c r="AY215" s="163" t="s">
        <v>946</v>
      </c>
    </row>
  </sheetData>
  <autoFilter ref="A16:AZ213" xr:uid="{00000000-0009-0000-0000-000001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27">
    <mergeCell ref="E12:R12"/>
    <mergeCell ref="E2:R2"/>
    <mergeCell ref="E3:R3"/>
    <mergeCell ref="B4:D4"/>
    <mergeCell ref="E4:R4"/>
    <mergeCell ref="E5:R5"/>
    <mergeCell ref="E6:R6"/>
    <mergeCell ref="E7:R7"/>
    <mergeCell ref="E8:R8"/>
    <mergeCell ref="E9:R9"/>
    <mergeCell ref="E10:R10"/>
    <mergeCell ref="E11:R11"/>
    <mergeCell ref="AZ16:AZ17"/>
    <mergeCell ref="E13:R13"/>
    <mergeCell ref="E14:R14"/>
    <mergeCell ref="A16:A17"/>
    <mergeCell ref="B16:B17"/>
    <mergeCell ref="C16:C17"/>
    <mergeCell ref="D16:D17"/>
    <mergeCell ref="E16:E17"/>
    <mergeCell ref="F16:F17"/>
    <mergeCell ref="G16:R16"/>
    <mergeCell ref="S16:S17"/>
    <mergeCell ref="T16:T17"/>
    <mergeCell ref="U16:U17"/>
    <mergeCell ref="AX16:AX17"/>
    <mergeCell ref="AY16:AY17"/>
  </mergeCells>
  <hyperlinks>
    <hyperlink ref="D84" r:id="rId1" display="facturacion@quitakilos.com     _x000a_" xr:uid="{00000000-0004-0000-0100-000000000000}"/>
    <hyperlink ref="D89" r:id="rId2" display="daniela.ochoa@seiarquitectos.com" xr:uid="{00000000-0004-0000-0100-000001000000}"/>
    <hyperlink ref="D100" r:id="rId3" display="ernesto.gomez@sanbox.com.mx" xr:uid="{00000000-0004-0000-0100-000002000000}"/>
    <hyperlink ref="D56" r:id="rId4" display="ernesto.gomez@sanbox.com.mx" xr:uid="{00000000-0004-0000-0100-000003000000}"/>
    <hyperlink ref="D90" r:id="rId5" display="se.arriaga@hotmail.com" xr:uid="{00000000-0004-0000-0100-000004000000}"/>
  </hyperlinks>
  <pageMargins left="0.7" right="0.7" top="0.75" bottom="0.75" header="0.3" footer="0.3"/>
  <pageSetup orientation="portrait" r:id="rId6"/>
  <drawing r:id="rId7"/>
  <legacyDrawing r:id="rId8"/>
  <extLst>
    <ext xmlns:x14="http://schemas.microsoft.com/office/spreadsheetml/2009/9/main" uri="{78C0D931-6437-407d-A8EE-F0AAD7539E65}">
      <x14:conditionalFormattings>
        <x14:conditionalFormatting xmlns:xm="http://schemas.microsoft.com/office/excel/2006/main">
          <x14:cfRule type="containsText" priority="1" operator="containsText" id="{BD0A0E0F-C0AA-412E-A4C7-AE6C8C1EA2FC}">
            <xm:f>NOT(ISERROR(SEARCH("-",P16)))</xm:f>
            <xm:f>"-"</xm:f>
            <x14:dxf>
              <font>
                <color rgb="FF9C6500"/>
              </font>
              <fill>
                <patternFill>
                  <bgColor rgb="FFFFEB9C"/>
                </patternFill>
              </fill>
            </x14:dxf>
          </x14:cfRule>
          <xm:sqref>AX16:AX213 Q18 P19 R19 Q20:Q21 P21 R21 P23:R25 Q26 P27 R27 Q28:Q29 P30:R30 P33:Q34 P35 Q36:R36 R37 P38:Q38 P39 P40:R40 Q41 R42 P43:Q44 P45:R46 P47 R47 P48:R48 Q50:R50 Q51 R52 Q53:R53 P54:Q54 Q55 Q56:R56 Q57 Q58:R58 P59 R59 P60:R60 Q61:Q62 Q64:R64 P65:Q65 P66:R66 P69:R69 Q70 P71 R71 P72:R72 P73:Q73 P74:R74 Q75:Q76 P77:P78 R78 Q79 P80 R80 P82:R83 Q84 Q85:R85 P86 P87:R87 R88 Q89:R90 P91:R91 Q93 P94 R94 P95:R96 P97:Q98 Q103:R103 Q104 P105 R105 Q106:Q107 P107 R107 P109 R109 Q109:Q112 P112 R112 P115 R115 Q115:Q117 P118:R122 P123 R123 Q123:Q126 P126 R126 P128 R128 Q128:Q129 P130:P131 R130:R131 Q132:Q134 R133 P135 R135 Q136:Q138 P138 R138:R139 Q140:Q141 R141 P142 R143 Q143:Q144 R145 P145:P146 Q146:Q147 R147 P148 R149 Q149:Q150 P150 R151 P153 R153 Q153:Q158 P158 R158 Q160 R161 P162:Q162 P163:P169 R164 Q165:Q169 R166:R167 R169 R171 P172 Q172:Q173 R173 P174 R175 Q175:Q176 P176 R177 P178 Q178:Q179 R179 P180 P181:R181 R183:R184 Q183:Q185 P185 R186 R188 P188:P189 Q188:Q190 R190 P191 Q192 R193 P194 Q194:Q195 R195 Q196:R196 P198 R198 Q198:Q199 P200:Q201 R202 P203:Q203 P204:P207 R208 Q208:Q209 P209 R210:R212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223"/>
  <sheetViews>
    <sheetView zoomScale="68" zoomScaleNormal="68" workbookViewId="0">
      <pane xSplit="21" ySplit="17" topLeftCell="AW70" activePane="bottomRight" state="frozenSplit"/>
      <selection pane="topRight" activeCell="Y1" sqref="Y1"/>
      <selection pane="bottomLeft" activeCell="A19" sqref="A19"/>
      <selection pane="bottomRight" activeCell="B71" sqref="B71"/>
    </sheetView>
  </sheetViews>
  <sheetFormatPr baseColWidth="10" defaultColWidth="11.453125" defaultRowHeight="14.5" x14ac:dyDescent="0.35"/>
  <cols>
    <col min="1" max="1" width="4.81640625" style="1" customWidth="1"/>
    <col min="2" max="2" width="28" style="91" customWidth="1"/>
    <col min="3" max="3" width="50.54296875" hidden="1" customWidth="1"/>
    <col min="4" max="4" width="34.81640625" style="90" customWidth="1"/>
    <col min="5" max="5" width="8.453125" customWidth="1"/>
    <col min="6" max="6" width="13.1796875" customWidth="1"/>
    <col min="7" max="7" width="13.7265625" hidden="1" customWidth="1"/>
    <col min="8" max="8" width="15" hidden="1" customWidth="1"/>
    <col min="9" max="9" width="18.81640625" customWidth="1"/>
    <col min="10" max="10" width="14.1796875" hidden="1" customWidth="1"/>
    <col min="11" max="11" width="15.453125" hidden="1" customWidth="1"/>
    <col min="12" max="12" width="15.26953125" hidden="1" customWidth="1"/>
    <col min="13" max="13" width="14.7265625" hidden="1" customWidth="1"/>
    <col min="14" max="14" width="14" hidden="1" customWidth="1"/>
    <col min="15" max="15" width="16.26953125" hidden="1" customWidth="1"/>
    <col min="16" max="16" width="17.453125" hidden="1" customWidth="1"/>
    <col min="17" max="18" width="13.81640625" hidden="1" customWidth="1"/>
    <col min="19" max="19" width="19" customWidth="1"/>
    <col min="20" max="20" width="15.26953125" customWidth="1"/>
    <col min="21" max="21" width="15.453125" customWidth="1"/>
    <col min="22" max="52" width="11.453125" customWidth="1"/>
    <col min="53" max="53" width="18.7265625" customWidth="1"/>
    <col min="54" max="54" width="34" style="163" customWidth="1"/>
    <col min="55" max="55" width="20.1796875" customWidth="1"/>
  </cols>
  <sheetData>
    <row r="1" spans="1:55" s="5" customFormat="1" ht="18" customHeight="1" x14ac:dyDescent="0.35">
      <c r="A1" s="1"/>
      <c r="C1" s="161"/>
      <c r="E1" s="337"/>
      <c r="F1" s="337"/>
      <c r="G1" s="337"/>
      <c r="H1" s="337"/>
      <c r="I1" s="337"/>
      <c r="J1" s="337"/>
      <c r="K1" s="337"/>
      <c r="L1" s="337"/>
      <c r="M1" s="337"/>
      <c r="N1" s="337"/>
      <c r="O1" s="337"/>
      <c r="P1" s="337"/>
      <c r="Q1" s="337"/>
      <c r="R1" s="337"/>
      <c r="BB1" s="166"/>
    </row>
    <row r="2" spans="1:55" s="5" customFormat="1" ht="15" customHeight="1" x14ac:dyDescent="0.4">
      <c r="A2" s="1"/>
      <c r="B2" s="2" t="s">
        <v>2547</v>
      </c>
      <c r="D2" s="3">
        <f>SUM(S2+S3+S4+S5+S6+S7+S8+S9+S10+S11+S12+S13+D5)</f>
        <v>626927.50800000003</v>
      </c>
      <c r="E2" s="434" t="s">
        <v>1703</v>
      </c>
      <c r="F2" s="434"/>
      <c r="G2" s="434"/>
      <c r="H2" s="434"/>
      <c r="I2" s="434"/>
      <c r="J2" s="434"/>
      <c r="K2" s="434"/>
      <c r="L2" s="434"/>
      <c r="M2" s="434"/>
      <c r="N2" s="434"/>
      <c r="O2" s="434"/>
      <c r="P2" s="434"/>
      <c r="Q2" s="434"/>
      <c r="R2" s="434"/>
      <c r="S2" s="4">
        <f>G216</f>
        <v>34476.146400000027</v>
      </c>
      <c r="BB2" s="166"/>
    </row>
    <row r="3" spans="1:55" s="5" customFormat="1" ht="15" customHeight="1" x14ac:dyDescent="0.4">
      <c r="A3" s="1"/>
      <c r="E3" s="433" t="s">
        <v>1704</v>
      </c>
      <c r="F3" s="433"/>
      <c r="G3" s="433"/>
      <c r="H3" s="433"/>
      <c r="I3" s="433"/>
      <c r="J3" s="433"/>
      <c r="K3" s="433"/>
      <c r="L3" s="433"/>
      <c r="M3" s="433"/>
      <c r="N3" s="433"/>
      <c r="O3" s="433"/>
      <c r="P3" s="433"/>
      <c r="Q3" s="433"/>
      <c r="R3" s="433"/>
      <c r="S3" s="4">
        <f>H216-S2</f>
        <v>9667.2480000000069</v>
      </c>
      <c r="BB3" s="166"/>
    </row>
    <row r="4" spans="1:55" s="7" customFormat="1" ht="15" customHeight="1" x14ac:dyDescent="0.4">
      <c r="A4" s="6"/>
      <c r="B4" s="435" t="s">
        <v>2266</v>
      </c>
      <c r="C4" s="436"/>
      <c r="D4" s="437"/>
      <c r="E4" s="432" t="s">
        <v>1705</v>
      </c>
      <c r="F4" s="433"/>
      <c r="G4" s="433"/>
      <c r="H4" s="433"/>
      <c r="I4" s="433"/>
      <c r="J4" s="433"/>
      <c r="K4" s="433"/>
      <c r="L4" s="433"/>
      <c r="M4" s="433"/>
      <c r="N4" s="433"/>
      <c r="O4" s="433"/>
      <c r="P4" s="433"/>
      <c r="Q4" s="433"/>
      <c r="R4" s="433"/>
      <c r="S4" s="4">
        <f>I216</f>
        <v>6487.8524000000107</v>
      </c>
      <c r="W4" s="5"/>
      <c r="BB4" s="265"/>
    </row>
    <row r="5" spans="1:55" s="7" customFormat="1" ht="15" customHeight="1" x14ac:dyDescent="0.4">
      <c r="A5" s="6"/>
      <c r="B5" s="8" t="s">
        <v>2267</v>
      </c>
      <c r="C5" s="9"/>
      <c r="D5" s="10">
        <f>S216+T216+U216</f>
        <v>576296.26119999995</v>
      </c>
      <c r="E5" s="432" t="s">
        <v>1706</v>
      </c>
      <c r="F5" s="433"/>
      <c r="G5" s="433"/>
      <c r="H5" s="433"/>
      <c r="I5" s="433"/>
      <c r="J5" s="433"/>
      <c r="K5" s="433"/>
      <c r="L5" s="433"/>
      <c r="M5" s="433"/>
      <c r="N5" s="433"/>
      <c r="O5" s="433"/>
      <c r="P5" s="433"/>
      <c r="Q5" s="433"/>
      <c r="R5" s="433"/>
      <c r="S5" s="4">
        <f>J216</f>
        <v>0</v>
      </c>
      <c r="W5" s="5"/>
      <c r="BB5" s="265"/>
    </row>
    <row r="6" spans="1:55" s="7" customFormat="1" ht="15" customHeight="1" x14ac:dyDescent="0.4">
      <c r="A6" s="6"/>
      <c r="B6" s="11" t="s">
        <v>1996</v>
      </c>
      <c r="C6" s="12"/>
      <c r="D6" s="13">
        <f>SUM(V216:W216)</f>
        <v>4330.8599999999997</v>
      </c>
      <c r="E6" s="432" t="s">
        <v>1707</v>
      </c>
      <c r="F6" s="433"/>
      <c r="G6" s="433"/>
      <c r="H6" s="433"/>
      <c r="I6" s="433"/>
      <c r="J6" s="433"/>
      <c r="K6" s="433"/>
      <c r="L6" s="433"/>
      <c r="M6" s="433"/>
      <c r="N6" s="433"/>
      <c r="O6" s="433"/>
      <c r="P6" s="433"/>
      <c r="Q6" s="433"/>
      <c r="R6" s="433"/>
      <c r="S6" s="4">
        <f>K216</f>
        <v>0</v>
      </c>
      <c r="T6"/>
      <c r="W6" s="5"/>
      <c r="BB6" s="265"/>
    </row>
    <row r="7" spans="1:55" s="7" customFormat="1" ht="15" customHeight="1" x14ac:dyDescent="0.4">
      <c r="A7" s="6"/>
      <c r="B7" s="11" t="s">
        <v>1997</v>
      </c>
      <c r="C7" s="12"/>
      <c r="D7" s="13">
        <f>SUM(X216:AD216)</f>
        <v>146485.35999999999</v>
      </c>
      <c r="E7" s="432" t="s">
        <v>1708</v>
      </c>
      <c r="F7" s="433"/>
      <c r="G7" s="433"/>
      <c r="H7" s="433"/>
      <c r="I7" s="433"/>
      <c r="J7" s="433"/>
      <c r="K7" s="433"/>
      <c r="L7" s="433"/>
      <c r="M7" s="433"/>
      <c r="N7" s="433"/>
      <c r="O7" s="433"/>
      <c r="P7" s="433"/>
      <c r="Q7" s="433"/>
      <c r="R7" s="433"/>
      <c r="S7" s="4">
        <f>L216</f>
        <v>0</v>
      </c>
      <c r="W7" s="5"/>
      <c r="BB7" s="265"/>
    </row>
    <row r="8" spans="1:55" s="7" customFormat="1" ht="15" customHeight="1" x14ac:dyDescent="0.4">
      <c r="A8" s="6"/>
      <c r="B8" s="11" t="s">
        <v>1998</v>
      </c>
      <c r="C8" s="12"/>
      <c r="D8" s="13">
        <f>SUM(AE216:AK216)</f>
        <v>93625.4</v>
      </c>
      <c r="E8" s="432" t="s">
        <v>1709</v>
      </c>
      <c r="F8" s="433"/>
      <c r="G8" s="433"/>
      <c r="H8" s="433"/>
      <c r="I8" s="433"/>
      <c r="J8" s="433"/>
      <c r="K8" s="433"/>
      <c r="L8" s="433"/>
      <c r="M8" s="433"/>
      <c r="N8" s="433"/>
      <c r="O8" s="433"/>
      <c r="P8" s="433"/>
      <c r="Q8" s="433"/>
      <c r="R8" s="433"/>
      <c r="S8" s="4">
        <f>M216</f>
        <v>0</v>
      </c>
      <c r="W8" s="5"/>
      <c r="BB8" s="265"/>
    </row>
    <row r="9" spans="1:55" s="7" customFormat="1" ht="15" customHeight="1" x14ac:dyDescent="0.4">
      <c r="A9" s="6"/>
      <c r="B9" s="11" t="s">
        <v>1999</v>
      </c>
      <c r="C9" s="12"/>
      <c r="D9" s="13">
        <f>SUM(AL216:AR216)</f>
        <v>154914.89999999997</v>
      </c>
      <c r="E9" s="432" t="s">
        <v>1710</v>
      </c>
      <c r="F9" s="433"/>
      <c r="G9" s="433"/>
      <c r="H9" s="433"/>
      <c r="I9" s="433"/>
      <c r="J9" s="433"/>
      <c r="K9" s="433"/>
      <c r="L9" s="433"/>
      <c r="M9" s="433"/>
      <c r="N9" s="433"/>
      <c r="O9" s="433"/>
      <c r="P9" s="433"/>
      <c r="Q9" s="433"/>
      <c r="R9" s="433"/>
      <c r="S9" s="4">
        <f>N216</f>
        <v>0</v>
      </c>
      <c r="Z9"/>
      <c r="BB9" s="265"/>
    </row>
    <row r="10" spans="1:55" s="7" customFormat="1" ht="15" customHeight="1" x14ac:dyDescent="0.4">
      <c r="A10" s="6"/>
      <c r="B10" s="11" t="s">
        <v>2268</v>
      </c>
      <c r="C10" s="12"/>
      <c r="D10" s="13">
        <f>SUM(AS216:AY216)</f>
        <v>163928.32000000001</v>
      </c>
      <c r="E10" s="432" t="s">
        <v>1711</v>
      </c>
      <c r="F10" s="433"/>
      <c r="G10" s="433"/>
      <c r="H10" s="433"/>
      <c r="I10" s="433"/>
      <c r="J10" s="433"/>
      <c r="K10" s="433"/>
      <c r="L10" s="433"/>
      <c r="M10" s="433"/>
      <c r="N10" s="433"/>
      <c r="O10" s="433"/>
      <c r="P10" s="433"/>
      <c r="Q10" s="433"/>
      <c r="R10" s="433"/>
      <c r="S10" s="4">
        <f>O216</f>
        <v>0</v>
      </c>
      <c r="BB10" s="265"/>
    </row>
    <row r="11" spans="1:55" s="7" customFormat="1" ht="15" customHeight="1" x14ac:dyDescent="0.4">
      <c r="A11" s="6"/>
      <c r="B11" s="11" t="s">
        <v>2269</v>
      </c>
      <c r="C11" s="12"/>
      <c r="D11" s="13">
        <f>SUM(AZ216)</f>
        <v>18015.169999999998</v>
      </c>
      <c r="E11" s="433" t="s">
        <v>1712</v>
      </c>
      <c r="F11" s="433"/>
      <c r="G11" s="433"/>
      <c r="H11" s="433"/>
      <c r="I11" s="433"/>
      <c r="J11" s="433"/>
      <c r="K11" s="433"/>
      <c r="L11" s="433"/>
      <c r="M11" s="433"/>
      <c r="N11" s="433"/>
      <c r="O11" s="433"/>
      <c r="P11" s="433"/>
      <c r="Q11" s="433"/>
      <c r="R11" s="433"/>
      <c r="S11" s="4">
        <f>P216</f>
        <v>0</v>
      </c>
      <c r="BB11" s="265"/>
    </row>
    <row r="12" spans="1:55" s="7" customFormat="1" ht="15" customHeight="1" x14ac:dyDescent="0.4">
      <c r="A12" s="6"/>
      <c r="B12" s="16"/>
      <c r="C12" s="14"/>
      <c r="D12" s="223"/>
      <c r="E12" s="433" t="s">
        <v>1713</v>
      </c>
      <c r="F12" s="433"/>
      <c r="G12" s="433"/>
      <c r="H12" s="433"/>
      <c r="I12" s="433"/>
      <c r="J12" s="433"/>
      <c r="K12" s="433"/>
      <c r="L12" s="433"/>
      <c r="M12" s="433"/>
      <c r="N12" s="433"/>
      <c r="O12" s="433"/>
      <c r="P12" s="433"/>
      <c r="Q12" s="433"/>
      <c r="R12" s="433"/>
      <c r="S12" s="4">
        <f>Q216</f>
        <v>0</v>
      </c>
      <c r="BB12" s="265"/>
    </row>
    <row r="13" spans="1:55" s="7" customFormat="1" ht="15" customHeight="1" x14ac:dyDescent="0.4">
      <c r="A13" s="6"/>
      <c r="B13" s="15" t="s">
        <v>0</v>
      </c>
      <c r="C13" s="16"/>
      <c r="D13" s="3">
        <f>SUM(D6:D11)</f>
        <v>581300.00999999989</v>
      </c>
      <c r="E13" s="423" t="s">
        <v>1714</v>
      </c>
      <c r="F13" s="423"/>
      <c r="G13" s="423"/>
      <c r="H13" s="423"/>
      <c r="I13" s="423"/>
      <c r="J13" s="423"/>
      <c r="K13" s="423"/>
      <c r="L13" s="423"/>
      <c r="M13" s="423"/>
      <c r="N13" s="423"/>
      <c r="O13" s="423"/>
      <c r="P13" s="423"/>
      <c r="Q13" s="423"/>
      <c r="R13" s="423"/>
      <c r="S13" s="4">
        <f>R216</f>
        <v>0</v>
      </c>
      <c r="BB13" s="265"/>
    </row>
    <row r="14" spans="1:55" s="7" customFormat="1" ht="15.75" customHeight="1" x14ac:dyDescent="0.4">
      <c r="A14" s="6"/>
      <c r="B14" s="17" t="s">
        <v>1</v>
      </c>
      <c r="C14" s="16"/>
      <c r="D14" s="3">
        <f>D2-D13</f>
        <v>45627.498000000138</v>
      </c>
      <c r="E14" s="423" t="s">
        <v>149</v>
      </c>
      <c r="F14" s="423"/>
      <c r="G14" s="423"/>
      <c r="H14" s="423"/>
      <c r="I14" s="423"/>
      <c r="J14" s="423"/>
      <c r="K14" s="423"/>
      <c r="L14" s="423"/>
      <c r="M14" s="423"/>
      <c r="N14" s="423"/>
      <c r="O14" s="423"/>
      <c r="P14" s="423"/>
      <c r="Q14" s="423"/>
      <c r="R14" s="423"/>
      <c r="S14" s="4">
        <f>SUM(S2:S13)</f>
        <v>50631.246800000044</v>
      </c>
      <c r="BB14" s="265"/>
    </row>
    <row r="15" spans="1:55" s="5" customFormat="1" ht="16.5" customHeight="1" x14ac:dyDescent="0.4">
      <c r="A15" s="1"/>
      <c r="B15" s="18"/>
      <c r="C15" s="14"/>
      <c r="D15" s="14"/>
      <c r="F15" s="19"/>
      <c r="G15" s="19"/>
      <c r="H15" s="19"/>
      <c r="I15" s="19"/>
      <c r="J15" s="19"/>
      <c r="K15" s="20"/>
      <c r="L15" s="19"/>
      <c r="M15" s="19"/>
      <c r="N15" s="19"/>
      <c r="O15" s="19"/>
      <c r="P15" s="19"/>
      <c r="Q15" s="19"/>
      <c r="R15" s="19"/>
      <c r="BB15" s="166"/>
    </row>
    <row r="16" spans="1:55" s="23" customFormat="1" ht="17.25" customHeight="1" x14ac:dyDescent="0.3">
      <c r="A16" s="424" t="s">
        <v>2</v>
      </c>
      <c r="B16" s="426" t="s">
        <v>3</v>
      </c>
      <c r="C16" s="426" t="s">
        <v>4</v>
      </c>
      <c r="D16" s="426" t="s">
        <v>5</v>
      </c>
      <c r="E16" s="427" t="s">
        <v>6</v>
      </c>
      <c r="F16" s="438" t="s">
        <v>7</v>
      </c>
      <c r="G16" s="428" t="s">
        <v>800</v>
      </c>
      <c r="H16" s="428"/>
      <c r="I16" s="428"/>
      <c r="J16" s="428"/>
      <c r="K16" s="428"/>
      <c r="L16" s="428"/>
      <c r="M16" s="428"/>
      <c r="N16" s="428"/>
      <c r="O16" s="428"/>
      <c r="P16" s="428"/>
      <c r="Q16" s="428"/>
      <c r="R16" s="428"/>
      <c r="S16" s="429" t="s">
        <v>2539</v>
      </c>
      <c r="T16" s="429" t="s">
        <v>8</v>
      </c>
      <c r="U16" s="429" t="s">
        <v>9</v>
      </c>
      <c r="V16" s="21">
        <v>1</v>
      </c>
      <c r="W16" s="21">
        <v>2</v>
      </c>
      <c r="X16" s="21">
        <v>3</v>
      </c>
      <c r="Y16" s="21">
        <v>4</v>
      </c>
      <c r="Z16" s="21">
        <v>5</v>
      </c>
      <c r="AA16" s="21">
        <v>6</v>
      </c>
      <c r="AB16" s="21">
        <v>7</v>
      </c>
      <c r="AC16" s="21">
        <v>8</v>
      </c>
      <c r="AD16" s="21">
        <v>9</v>
      </c>
      <c r="AE16" s="21">
        <v>10</v>
      </c>
      <c r="AF16" s="21">
        <v>11</v>
      </c>
      <c r="AG16" s="21">
        <v>12</v>
      </c>
      <c r="AH16" s="21">
        <v>13</v>
      </c>
      <c r="AI16" s="21">
        <v>14</v>
      </c>
      <c r="AJ16" s="21">
        <v>15</v>
      </c>
      <c r="AK16" s="22">
        <v>16</v>
      </c>
      <c r="AL16" s="21">
        <v>17</v>
      </c>
      <c r="AM16" s="21">
        <v>18</v>
      </c>
      <c r="AN16" s="21">
        <v>19</v>
      </c>
      <c r="AO16" s="21">
        <v>20</v>
      </c>
      <c r="AP16" s="21">
        <v>21</v>
      </c>
      <c r="AQ16" s="21">
        <v>22</v>
      </c>
      <c r="AR16" s="21">
        <v>23</v>
      </c>
      <c r="AS16" s="21">
        <v>24</v>
      </c>
      <c r="AT16" s="21">
        <v>25</v>
      </c>
      <c r="AU16" s="21">
        <v>26</v>
      </c>
      <c r="AV16" s="21">
        <v>27</v>
      </c>
      <c r="AW16" s="21">
        <v>28</v>
      </c>
      <c r="AX16" s="21">
        <v>29</v>
      </c>
      <c r="AY16" s="21">
        <v>30</v>
      </c>
      <c r="AZ16" s="21">
        <v>31</v>
      </c>
      <c r="BA16" s="430" t="s">
        <v>10</v>
      </c>
      <c r="BB16" s="431" t="s">
        <v>11</v>
      </c>
      <c r="BC16" s="422" t="s">
        <v>12</v>
      </c>
    </row>
    <row r="17" spans="1:55" s="23" customFormat="1" ht="17.25" customHeight="1" x14ac:dyDescent="0.3">
      <c r="A17" s="425"/>
      <c r="B17" s="426"/>
      <c r="C17" s="426"/>
      <c r="D17" s="426"/>
      <c r="E17" s="427"/>
      <c r="F17" s="438"/>
      <c r="G17" s="24">
        <v>2024</v>
      </c>
      <c r="H17" s="336" t="s">
        <v>13</v>
      </c>
      <c r="I17" s="336" t="s">
        <v>14</v>
      </c>
      <c r="J17" s="336" t="s">
        <v>15</v>
      </c>
      <c r="K17" s="336" t="s">
        <v>16</v>
      </c>
      <c r="L17" s="336" t="s">
        <v>17</v>
      </c>
      <c r="M17" s="336" t="s">
        <v>18</v>
      </c>
      <c r="N17" s="336" t="s">
        <v>19</v>
      </c>
      <c r="O17" s="336" t="s">
        <v>20</v>
      </c>
      <c r="P17" s="336" t="s">
        <v>21</v>
      </c>
      <c r="Q17" s="336" t="s">
        <v>22</v>
      </c>
      <c r="R17" s="336" t="s">
        <v>150</v>
      </c>
      <c r="S17" s="429"/>
      <c r="T17" s="429"/>
      <c r="U17" s="429"/>
      <c r="V17" s="25" t="s">
        <v>25</v>
      </c>
      <c r="W17" s="25" t="s">
        <v>26</v>
      </c>
      <c r="X17" s="25" t="s">
        <v>27</v>
      </c>
      <c r="Y17" s="25" t="s">
        <v>28</v>
      </c>
      <c r="Z17" s="25" t="s">
        <v>28</v>
      </c>
      <c r="AA17" s="25" t="s">
        <v>23</v>
      </c>
      <c r="AB17" s="25" t="s">
        <v>24</v>
      </c>
      <c r="AC17" s="25" t="s">
        <v>25</v>
      </c>
      <c r="AD17" s="25" t="s">
        <v>26</v>
      </c>
      <c r="AE17" s="25" t="s">
        <v>27</v>
      </c>
      <c r="AF17" s="25" t="s">
        <v>28</v>
      </c>
      <c r="AG17" s="25" t="s">
        <v>28</v>
      </c>
      <c r="AH17" s="25" t="s">
        <v>23</v>
      </c>
      <c r="AI17" s="25" t="s">
        <v>24</v>
      </c>
      <c r="AJ17" s="25" t="s">
        <v>25</v>
      </c>
      <c r="AK17" s="25" t="s">
        <v>26</v>
      </c>
      <c r="AL17" s="25" t="s">
        <v>27</v>
      </c>
      <c r="AM17" s="25" t="s">
        <v>28</v>
      </c>
      <c r="AN17" s="25" t="s">
        <v>28</v>
      </c>
      <c r="AO17" s="25" t="s">
        <v>23</v>
      </c>
      <c r="AP17" s="25" t="s">
        <v>24</v>
      </c>
      <c r="AQ17" s="25" t="s">
        <v>25</v>
      </c>
      <c r="AR17" s="25" t="s">
        <v>26</v>
      </c>
      <c r="AS17" s="25" t="s">
        <v>27</v>
      </c>
      <c r="AT17" s="25" t="s">
        <v>28</v>
      </c>
      <c r="AU17" s="25" t="s">
        <v>28</v>
      </c>
      <c r="AV17" s="25" t="s">
        <v>23</v>
      </c>
      <c r="AW17" s="25" t="s">
        <v>24</v>
      </c>
      <c r="AX17" s="25" t="s">
        <v>25</v>
      </c>
      <c r="AY17" s="25" t="s">
        <v>26</v>
      </c>
      <c r="AZ17" s="25" t="s">
        <v>27</v>
      </c>
      <c r="BA17" s="430"/>
      <c r="BB17" s="431"/>
      <c r="BC17" s="422"/>
    </row>
    <row r="18" spans="1:55" s="23" customFormat="1" ht="52.5" customHeight="1" x14ac:dyDescent="0.3">
      <c r="A18" s="26">
        <v>1</v>
      </c>
      <c r="B18" s="43" t="s">
        <v>1720</v>
      </c>
      <c r="C18" s="28"/>
      <c r="D18" s="299" t="s">
        <v>1232</v>
      </c>
      <c r="E18" s="92">
        <v>1</v>
      </c>
      <c r="F18" s="30" t="s">
        <v>30</v>
      </c>
      <c r="G18" s="112">
        <f>[1]DICIEMBRE!$BA$91</f>
        <v>290</v>
      </c>
      <c r="H18" s="31">
        <f>ENERO!BA18</f>
        <v>580</v>
      </c>
      <c r="I18" s="31">
        <f>FEBRERO!AX18</f>
        <v>870</v>
      </c>
      <c r="J18" s="32"/>
      <c r="K18" s="33"/>
      <c r="L18" s="32"/>
      <c r="M18" s="32"/>
      <c r="N18" s="336"/>
      <c r="O18" s="32"/>
      <c r="P18" s="33"/>
      <c r="Q18" s="31"/>
      <c r="R18" s="31"/>
      <c r="S18" s="59">
        <f>(250*0.16+250)*E18</f>
        <v>290</v>
      </c>
      <c r="T18" s="34"/>
      <c r="U18" s="34"/>
      <c r="V18" s="35"/>
      <c r="W18" s="35"/>
      <c r="X18" s="35"/>
      <c r="Y18" s="35"/>
      <c r="Z18" s="36"/>
      <c r="AA18" s="35"/>
      <c r="AB18" s="35"/>
      <c r="AC18" s="54"/>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3">
        <f>SUM(I18+S18+T18-U18-V18-W18-X18-Y18-Z18-AA18-AB18-AC18-AD18-AE18-AF18-AG18-AH18-AI18-AJ18-AK18-AL18-AM18-AN18-AO18-AP18-AQ18-AR18-AS18-AT18-AU18-AV18-AW18-AX18-AY18-AZ18)</f>
        <v>1160</v>
      </c>
      <c r="BB18" s="43"/>
    </row>
    <row r="19" spans="1:55" ht="80.25" customHeight="1" x14ac:dyDescent="0.35">
      <c r="A19" s="26">
        <v>2</v>
      </c>
      <c r="B19" s="27" t="s">
        <v>1721</v>
      </c>
      <c r="C19" s="28" t="s">
        <v>133</v>
      </c>
      <c r="D19" s="304" t="s">
        <v>1498</v>
      </c>
      <c r="E19" s="94">
        <v>18</v>
      </c>
      <c r="F19" s="60" t="s">
        <v>33</v>
      </c>
      <c r="G19" s="112">
        <f>[1]DICIEMBRE!$BA$21</f>
        <v>-0.39520000000266009</v>
      </c>
      <c r="H19" s="45">
        <f>ENERO!BA19</f>
        <v>-0.39520000000266009</v>
      </c>
      <c r="I19" s="45">
        <f>FEBRERO!AX19</f>
        <v>4.799999996976112E-3</v>
      </c>
      <c r="J19" s="32"/>
      <c r="K19" s="33"/>
      <c r="L19" s="336"/>
      <c r="M19" s="32"/>
      <c r="N19" s="32"/>
      <c r="O19" s="33"/>
      <c r="P19" s="31"/>
      <c r="Q19" s="31"/>
      <c r="R19" s="31"/>
      <c r="S19" s="47">
        <f>(300*0.16+300)*E19</f>
        <v>6264</v>
      </c>
      <c r="T19" s="47">
        <f>500*0.16+500</f>
        <v>580</v>
      </c>
      <c r="U19" s="48"/>
      <c r="V19" s="49"/>
      <c r="W19" s="49"/>
      <c r="X19" s="49"/>
      <c r="Y19" s="49"/>
      <c r="Z19" s="49">
        <v>6844</v>
      </c>
      <c r="AA19" s="49"/>
      <c r="AB19" s="49"/>
      <c r="AC19" s="49"/>
      <c r="AD19" s="50"/>
      <c r="AE19" s="49"/>
      <c r="AF19" s="49"/>
      <c r="AG19" s="51"/>
      <c r="AH19" s="49"/>
      <c r="AI19" s="49"/>
      <c r="AJ19" s="49"/>
      <c r="AK19" s="49"/>
      <c r="AL19" s="49"/>
      <c r="AM19" s="49"/>
      <c r="AN19" s="49"/>
      <c r="AO19" s="49"/>
      <c r="AP19" s="49"/>
      <c r="AQ19" s="49"/>
      <c r="AR19" s="49"/>
      <c r="AS19" s="49"/>
      <c r="AT19" s="49"/>
      <c r="AU19" s="49"/>
      <c r="AV19" s="49"/>
      <c r="AW19" s="49"/>
      <c r="AX19" s="49"/>
      <c r="AY19" s="49"/>
      <c r="AZ19" s="49"/>
      <c r="BA19" s="33">
        <f>SUM(I19+S19+T19-U19-V19-W19-X19-Y19-Z19-AA19-AB19-AC19-AD19-AE19-AF19-AG19-AH19-AI19-AJ19-AK19-AL19-AM19-AN19-AO19-AP19-AQ19-AR19-AS19-AT19-AU19-AV19-AW19-AX19-AY19-AZ19)</f>
        <v>4.799999996976112E-3</v>
      </c>
      <c r="BB19" s="268" t="s">
        <v>2276</v>
      </c>
    </row>
    <row r="20" spans="1:55" s="23" customFormat="1" ht="64.5" customHeight="1" x14ac:dyDescent="0.3">
      <c r="A20" s="26">
        <v>3</v>
      </c>
      <c r="B20" s="43" t="s">
        <v>1722</v>
      </c>
      <c r="C20" s="53" t="s">
        <v>52</v>
      </c>
      <c r="D20" s="298" t="s">
        <v>1223</v>
      </c>
      <c r="E20" s="92">
        <v>5</v>
      </c>
      <c r="F20" s="56" t="s">
        <v>30</v>
      </c>
      <c r="G20" s="112">
        <f>[1]DICIEMBRE!$BA$75</f>
        <v>3190.0027999999993</v>
      </c>
      <c r="H20" s="31">
        <f>ENERO!BA20</f>
        <v>2.7999999992971425E-3</v>
      </c>
      <c r="I20" s="31">
        <f>FEBRERO!AX20</f>
        <v>2.7999999992971425E-3</v>
      </c>
      <c r="J20" s="32"/>
      <c r="K20" s="33"/>
      <c r="L20" s="336"/>
      <c r="M20" s="32"/>
      <c r="N20" s="336"/>
      <c r="O20" s="32"/>
      <c r="P20" s="33"/>
      <c r="Q20" s="31"/>
      <c r="R20" s="31"/>
      <c r="S20" s="34">
        <f>(280*0.16+280)*E20</f>
        <v>1624</v>
      </c>
      <c r="T20" s="34"/>
      <c r="U20" s="34"/>
      <c r="V20" s="35"/>
      <c r="W20" s="35"/>
      <c r="X20" s="35"/>
      <c r="Y20" s="54"/>
      <c r="Z20" s="35"/>
      <c r="AA20" s="35"/>
      <c r="AB20" s="35"/>
      <c r="AC20" s="35"/>
      <c r="AD20" s="35"/>
      <c r="AE20" s="35"/>
      <c r="AF20" s="35"/>
      <c r="AG20" s="35"/>
      <c r="AH20" s="35"/>
      <c r="AI20" s="35"/>
      <c r="AJ20" s="35"/>
      <c r="AK20" s="35"/>
      <c r="AL20" s="35"/>
      <c r="AM20" s="35"/>
      <c r="AN20" s="35"/>
      <c r="AO20" s="35">
        <v>1624</v>
      </c>
      <c r="AP20" s="35"/>
      <c r="AQ20" s="35"/>
      <c r="AR20" s="35"/>
      <c r="AS20" s="35"/>
      <c r="AT20" s="35"/>
      <c r="AU20" s="35"/>
      <c r="AV20" s="35"/>
      <c r="AW20" s="35"/>
      <c r="AX20" s="35"/>
      <c r="AY20" s="35"/>
      <c r="AZ20" s="35"/>
      <c r="BA20" s="33">
        <f>SUM(I20+S20+T20-U20-V20-W20-X20-Y20-Z20-AA20-AB20-AC20-AD20-AE20-AF20-AG20-AH20-AI20-AJ20-AK20-AL20-AM20-AN20-AO20-AP20-AQ20-AR20-AS20-AT20-AU20-AV20-AW20-AX20-AY20-AZ20)</f>
        <v>2.7999999992971425E-3</v>
      </c>
      <c r="BB20" s="269"/>
    </row>
    <row r="21" spans="1:55" s="23" customFormat="1" ht="47.25" customHeight="1" x14ac:dyDescent="0.3">
      <c r="A21" s="26">
        <v>4</v>
      </c>
      <c r="B21" s="43" t="s">
        <v>375</v>
      </c>
      <c r="C21" s="28" t="s">
        <v>380</v>
      </c>
      <c r="D21" s="298" t="s">
        <v>1199</v>
      </c>
      <c r="E21" s="92">
        <v>4</v>
      </c>
      <c r="F21" s="30" t="s">
        <v>30</v>
      </c>
      <c r="G21" s="112">
        <f>[1]DICIEMBRE!$BA$23</f>
        <v>-3.1999999935123924E-3</v>
      </c>
      <c r="H21" s="31">
        <f>ENERO!BA21</f>
        <v>-3.1999999935123924E-3</v>
      </c>
      <c r="I21" s="31">
        <f>FEBRERO!AX21</f>
        <v>-3.1999999935123924E-3</v>
      </c>
      <c r="J21" s="32"/>
      <c r="K21" s="32"/>
      <c r="L21" s="32"/>
      <c r="M21" s="32"/>
      <c r="N21" s="32"/>
      <c r="O21" s="32"/>
      <c r="P21" s="31"/>
      <c r="Q21" s="31"/>
      <c r="R21" s="31"/>
      <c r="S21" s="38">
        <f>(299*0.16+299)*E21</f>
        <v>1387.3600000000001</v>
      </c>
      <c r="T21" s="39">
        <f>500*0.16+500</f>
        <v>580</v>
      </c>
      <c r="U21" s="39"/>
      <c r="V21" s="37"/>
      <c r="W21" s="37"/>
      <c r="X21" s="37"/>
      <c r="Y21" s="37"/>
      <c r="Z21" s="37"/>
      <c r="AA21" s="37"/>
      <c r="AB21" s="37"/>
      <c r="AC21" s="37"/>
      <c r="AD21" s="37"/>
      <c r="AE21" s="37"/>
      <c r="AF21" s="37"/>
      <c r="AG21" s="37"/>
      <c r="AH21" s="37"/>
      <c r="AI21" s="37"/>
      <c r="AJ21" s="37"/>
      <c r="AK21" s="35"/>
      <c r="AL21" s="37"/>
      <c r="AM21" s="37"/>
      <c r="AN21" s="37"/>
      <c r="AO21" s="37"/>
      <c r="AP21" s="37">
        <v>1967.36</v>
      </c>
      <c r="AQ21" s="37"/>
      <c r="AR21" s="37"/>
      <c r="AS21" s="37"/>
      <c r="AT21" s="37"/>
      <c r="AU21" s="37"/>
      <c r="AV21" s="37"/>
      <c r="AW21" s="37"/>
      <c r="AX21" s="37"/>
      <c r="AY21" s="37"/>
      <c r="AZ21" s="37"/>
      <c r="BA21" s="33">
        <f t="shared" ref="BA21:BA85" si="0">SUM(I21+S21+T21-U21-V21-W21-X21-Y21-Z21-AA21-AB21-AC21-AD21-AE21-AF21-AG21-AH21-AI21-AJ21-AK21-AL21-AM21-AN21-AO21-AP21-AQ21-AR21-AS21-AT21-AU21-AV21-AW21-AX21-AY21-AZ21)</f>
        <v>-3.1999999932850187E-3</v>
      </c>
      <c r="BB21" s="43" t="s">
        <v>2275</v>
      </c>
    </row>
    <row r="22" spans="1:55" s="23" customFormat="1" ht="57.75" customHeight="1" x14ac:dyDescent="0.3">
      <c r="A22" s="26">
        <v>5</v>
      </c>
      <c r="B22" s="43" t="s">
        <v>750</v>
      </c>
      <c r="C22" s="28"/>
      <c r="D22" s="298" t="s">
        <v>1273</v>
      </c>
      <c r="E22" s="92">
        <v>10</v>
      </c>
      <c r="F22" s="30" t="s">
        <v>30</v>
      </c>
      <c r="G22" s="234">
        <f>[1]DICIEMBRE!$BA$24</f>
        <v>-0.39520000000266009</v>
      </c>
      <c r="H22" s="45">
        <f>ENERO!BA22</f>
        <v>-0.39520000000266009</v>
      </c>
      <c r="I22" s="31">
        <f>FEBRERO!AX22</f>
        <v>4.7999999974308594E-3</v>
      </c>
      <c r="J22" s="32"/>
      <c r="K22" s="32"/>
      <c r="L22" s="32"/>
      <c r="M22" s="32"/>
      <c r="N22" s="32"/>
      <c r="O22" s="33"/>
      <c r="P22" s="33"/>
      <c r="Q22" s="31"/>
      <c r="R22" s="31"/>
      <c r="S22" s="38">
        <f>(270*0.16+270)*E22</f>
        <v>3132</v>
      </c>
      <c r="T22" s="39"/>
      <c r="U22" s="39"/>
      <c r="V22" s="37"/>
      <c r="W22" s="37"/>
      <c r="X22" s="37">
        <v>3132</v>
      </c>
      <c r="Y22" s="37"/>
      <c r="Z22" s="37"/>
      <c r="AA22" s="37"/>
      <c r="AB22" s="37"/>
      <c r="AC22" s="37"/>
      <c r="AD22" s="37"/>
      <c r="AE22" s="37"/>
      <c r="AF22" s="37"/>
      <c r="AG22" s="37"/>
      <c r="AH22" s="37"/>
      <c r="AI22" s="37"/>
      <c r="AJ22" s="37"/>
      <c r="AK22" s="35"/>
      <c r="AL22" s="37"/>
      <c r="AM22" s="37"/>
      <c r="AN22" s="37"/>
      <c r="AO22" s="37"/>
      <c r="AP22" s="37"/>
      <c r="AQ22" s="37"/>
      <c r="AR22" s="37"/>
      <c r="AS22" s="37"/>
      <c r="AT22" s="37"/>
      <c r="AU22" s="37"/>
      <c r="AV22" s="37"/>
      <c r="AW22" s="37"/>
      <c r="AX22" s="37"/>
      <c r="AY22" s="37"/>
      <c r="AZ22" s="37"/>
      <c r="BA22" s="33">
        <f t="shared" si="0"/>
        <v>4.7999999974308594E-3</v>
      </c>
      <c r="BB22" s="43"/>
    </row>
    <row r="23" spans="1:55" s="23" customFormat="1" ht="55.5" customHeight="1" x14ac:dyDescent="0.3">
      <c r="A23" s="26">
        <v>6</v>
      </c>
      <c r="B23" s="43" t="s">
        <v>1723</v>
      </c>
      <c r="C23" s="53" t="s">
        <v>39</v>
      </c>
      <c r="D23" s="298" t="s">
        <v>1209</v>
      </c>
      <c r="E23" s="92">
        <v>2</v>
      </c>
      <c r="F23" s="30" t="s">
        <v>30</v>
      </c>
      <c r="G23" s="234">
        <f>[1]DICIEMBRE!$BA$48</f>
        <v>696</v>
      </c>
      <c r="H23" s="31">
        <f>ENERO!BA23</f>
        <v>696</v>
      </c>
      <c r="I23" s="45">
        <f>FEBRERO!AX23</f>
        <v>0</v>
      </c>
      <c r="J23" s="32"/>
      <c r="K23" s="32"/>
      <c r="L23" s="32"/>
      <c r="M23" s="32"/>
      <c r="N23" s="32"/>
      <c r="O23" s="33"/>
      <c r="P23" s="31"/>
      <c r="Q23" s="31"/>
      <c r="R23" s="31"/>
      <c r="S23" s="34">
        <f>(300*0.16+300)*1</f>
        <v>348</v>
      </c>
      <c r="T23" s="34"/>
      <c r="U23" s="34"/>
      <c r="V23" s="34"/>
      <c r="W23" s="34"/>
      <c r="X23" s="34"/>
      <c r="Y23" s="34"/>
      <c r="Z23" s="52"/>
      <c r="AA23" s="34"/>
      <c r="AB23" s="34"/>
      <c r="AC23" s="34"/>
      <c r="AD23" s="34"/>
      <c r="AE23" s="34"/>
      <c r="AF23" s="34"/>
      <c r="AG23" s="34"/>
      <c r="AH23" s="34"/>
      <c r="AI23" s="34"/>
      <c r="AJ23" s="34"/>
      <c r="AK23" s="38"/>
      <c r="AL23" s="34"/>
      <c r="AM23" s="34"/>
      <c r="AN23" s="34"/>
      <c r="AO23" s="34"/>
      <c r="AP23" s="34">
        <v>348</v>
      </c>
      <c r="AQ23" s="34"/>
      <c r="AR23" s="34"/>
      <c r="AS23" s="34"/>
      <c r="AT23" s="34"/>
      <c r="AU23" s="34"/>
      <c r="AV23" s="34"/>
      <c r="AW23" s="34"/>
      <c r="AX23" s="34"/>
      <c r="AY23" s="34"/>
      <c r="AZ23" s="34"/>
      <c r="BA23" s="33">
        <f t="shared" si="0"/>
        <v>0</v>
      </c>
      <c r="BB23" s="43" t="s">
        <v>1589</v>
      </c>
    </row>
    <row r="24" spans="1:55" s="23" customFormat="1" ht="72" customHeight="1" x14ac:dyDescent="0.3">
      <c r="A24" s="26">
        <v>7</v>
      </c>
      <c r="B24" s="43" t="s">
        <v>779</v>
      </c>
      <c r="C24" s="28"/>
      <c r="D24" s="298" t="s">
        <v>1200</v>
      </c>
      <c r="E24" s="92">
        <v>1</v>
      </c>
      <c r="F24" s="30" t="s">
        <v>30</v>
      </c>
      <c r="G24" s="112">
        <f>[1]DICIEMBRE!$BA$25</f>
        <v>0</v>
      </c>
      <c r="H24" s="31">
        <f>ENERO!BA24</f>
        <v>0</v>
      </c>
      <c r="I24" s="31">
        <f>FEBRERO!AX24</f>
        <v>0</v>
      </c>
      <c r="J24" s="32"/>
      <c r="K24" s="33"/>
      <c r="L24" s="336"/>
      <c r="M24" s="336"/>
      <c r="N24" s="336"/>
      <c r="O24" s="32"/>
      <c r="P24" s="31"/>
      <c r="Q24" s="31"/>
      <c r="R24" s="31"/>
      <c r="S24" s="38">
        <f>250*0.16+250</f>
        <v>290</v>
      </c>
      <c r="T24" s="39"/>
      <c r="U24" s="39"/>
      <c r="V24" s="37"/>
      <c r="W24" s="37"/>
      <c r="X24" s="37">
        <v>290</v>
      </c>
      <c r="Y24" s="37"/>
      <c r="Z24" s="37"/>
      <c r="AA24" s="37"/>
      <c r="AB24" s="37"/>
      <c r="AC24" s="37"/>
      <c r="AD24" s="37"/>
      <c r="AE24" s="37"/>
      <c r="AF24" s="37"/>
      <c r="AG24" s="37"/>
      <c r="AH24" s="37"/>
      <c r="AI24" s="37"/>
      <c r="AJ24" s="37"/>
      <c r="AK24" s="35"/>
      <c r="AL24" s="37"/>
      <c r="AM24" s="37"/>
      <c r="AN24" s="37"/>
      <c r="AO24" s="37"/>
      <c r="AP24" s="37"/>
      <c r="AQ24" s="37"/>
      <c r="AR24" s="37"/>
      <c r="AS24" s="37"/>
      <c r="AT24" s="37"/>
      <c r="AU24" s="37"/>
      <c r="AV24" s="37"/>
      <c r="AW24" s="37"/>
      <c r="AX24" s="37"/>
      <c r="AY24" s="37"/>
      <c r="AZ24" s="37"/>
      <c r="BA24" s="33">
        <f t="shared" si="0"/>
        <v>0</v>
      </c>
      <c r="BB24" s="43"/>
    </row>
    <row r="25" spans="1:55" s="23" customFormat="1" ht="51" customHeight="1" x14ac:dyDescent="0.3">
      <c r="A25" s="26">
        <v>8</v>
      </c>
      <c r="B25" s="43" t="s">
        <v>1724</v>
      </c>
      <c r="C25" s="28"/>
      <c r="D25" s="298" t="s">
        <v>1217</v>
      </c>
      <c r="E25" s="92">
        <v>5</v>
      </c>
      <c r="F25" s="30" t="s">
        <v>30</v>
      </c>
      <c r="G25" s="234">
        <f>[1]DICIEMBRE!$BA$64</f>
        <v>6.799999999202555E-3</v>
      </c>
      <c r="H25" s="45">
        <f>ENERO!BA25</f>
        <v>6.799999999202555E-3</v>
      </c>
      <c r="I25" s="31">
        <f>FEBRERO!AX25</f>
        <v>-3.20000000078835E-3</v>
      </c>
      <c r="J25" s="32"/>
      <c r="K25" s="32"/>
      <c r="L25" s="32"/>
      <c r="M25" s="32"/>
      <c r="N25" s="32"/>
      <c r="O25" s="33"/>
      <c r="P25" s="31"/>
      <c r="Q25" s="31"/>
      <c r="R25" s="31"/>
      <c r="S25" s="34">
        <f>(250*0.16+250)*E25</f>
        <v>1450</v>
      </c>
      <c r="T25" s="34"/>
      <c r="U25" s="34"/>
      <c r="V25" s="35"/>
      <c r="W25" s="35"/>
      <c r="X25" s="35"/>
      <c r="Y25" s="35"/>
      <c r="Z25" s="35"/>
      <c r="AA25" s="35">
        <v>1450</v>
      </c>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3">
        <f t="shared" si="0"/>
        <v>-3.20000000078835E-3</v>
      </c>
      <c r="BB25" s="43"/>
    </row>
    <row r="26" spans="1:55" ht="60.75" customHeight="1" x14ac:dyDescent="0.35">
      <c r="A26" s="26">
        <v>9</v>
      </c>
      <c r="B26" s="43" t="s">
        <v>1582</v>
      </c>
      <c r="C26" s="27"/>
      <c r="D26" s="300" t="s">
        <v>1577</v>
      </c>
      <c r="E26" s="94">
        <v>1</v>
      </c>
      <c r="F26" s="44" t="s">
        <v>30</v>
      </c>
      <c r="G26" s="234">
        <f>[1]DICIEMBRE!$BA$134</f>
        <v>0</v>
      </c>
      <c r="H26" s="31">
        <f>ENERO!BA139</f>
        <v>48</v>
      </c>
      <c r="I26" s="31">
        <f>FEBRERO!AX26</f>
        <v>0</v>
      </c>
      <c r="J26" s="32"/>
      <c r="K26" s="32"/>
      <c r="L26" s="32"/>
      <c r="M26" s="336"/>
      <c r="N26" s="336"/>
      <c r="O26" s="32"/>
      <c r="P26" s="33"/>
      <c r="Q26" s="31"/>
      <c r="R26" s="31"/>
      <c r="S26" s="47">
        <f>(300*0.16+300)*E26</f>
        <v>348</v>
      </c>
      <c r="T26" s="47"/>
      <c r="U26" s="48"/>
      <c r="V26" s="49"/>
      <c r="W26" s="49"/>
      <c r="X26" s="49"/>
      <c r="Y26" s="49">
        <v>348</v>
      </c>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33">
        <f t="shared" si="0"/>
        <v>0</v>
      </c>
      <c r="BB26" s="43" t="s">
        <v>2195</v>
      </c>
    </row>
    <row r="27" spans="1:55" s="23" customFormat="1" ht="84" customHeight="1" x14ac:dyDescent="0.3">
      <c r="A27" s="26">
        <v>10</v>
      </c>
      <c r="B27" s="43" t="s">
        <v>783</v>
      </c>
      <c r="C27" s="28"/>
      <c r="D27" s="298" t="s">
        <v>1674</v>
      </c>
      <c r="E27" s="92">
        <v>5</v>
      </c>
      <c r="F27" s="30" t="s">
        <v>30</v>
      </c>
      <c r="G27" s="112">
        <f>[1]DICIEMBRE!$BA$27</f>
        <v>3.9999999989959178E-3</v>
      </c>
      <c r="H27" s="31">
        <f>ENERO!BA26</f>
        <v>3.9999999987685442E-3</v>
      </c>
      <c r="I27" s="45">
        <f>FEBRERO!AX27</f>
        <v>3.9999999985411705E-3</v>
      </c>
      <c r="J27" s="32"/>
      <c r="K27" s="32"/>
      <c r="L27" s="32"/>
      <c r="M27" s="32"/>
      <c r="N27" s="32"/>
      <c r="O27" s="33"/>
      <c r="P27" s="31"/>
      <c r="Q27" s="31"/>
      <c r="R27" s="31"/>
      <c r="S27" s="38">
        <f>(279*0.16+279)*E27</f>
        <v>1618.1999999999998</v>
      </c>
      <c r="T27" s="39"/>
      <c r="U27" s="39"/>
      <c r="V27" s="37"/>
      <c r="W27" s="37"/>
      <c r="X27" s="37"/>
      <c r="Y27" s="37">
        <v>1618.2</v>
      </c>
      <c r="Z27" s="37"/>
      <c r="AA27" s="37"/>
      <c r="AB27" s="37"/>
      <c r="AC27" s="37"/>
      <c r="AD27" s="37"/>
      <c r="AE27" s="37"/>
      <c r="AF27" s="37"/>
      <c r="AG27" s="37"/>
      <c r="AH27" s="37"/>
      <c r="AI27" s="37"/>
      <c r="AJ27" s="37"/>
      <c r="AK27" s="35"/>
      <c r="AL27" s="37"/>
      <c r="AM27" s="37"/>
      <c r="AN27" s="37"/>
      <c r="AO27" s="37"/>
      <c r="AP27" s="37"/>
      <c r="AQ27" s="37"/>
      <c r="AR27" s="37"/>
      <c r="AS27" s="37"/>
      <c r="AT27" s="37"/>
      <c r="AU27" s="37"/>
      <c r="AV27" s="37"/>
      <c r="AW27" s="37"/>
      <c r="AX27" s="37"/>
      <c r="AY27" s="37"/>
      <c r="AZ27" s="37"/>
      <c r="BA27" s="33">
        <f t="shared" si="0"/>
        <v>3.9999999983137968E-3</v>
      </c>
      <c r="BB27" s="43"/>
    </row>
    <row r="28" spans="1:55" s="23" customFormat="1" ht="126.75" customHeight="1" x14ac:dyDescent="0.3">
      <c r="A28" s="26">
        <v>11</v>
      </c>
      <c r="B28" s="27" t="s">
        <v>31</v>
      </c>
      <c r="C28" s="28" t="s">
        <v>287</v>
      </c>
      <c r="D28" s="298" t="s">
        <v>1201</v>
      </c>
      <c r="E28" s="93">
        <v>5</v>
      </c>
      <c r="F28" s="40" t="s">
        <v>30</v>
      </c>
      <c r="G28" s="234">
        <f>[1]DICIEMBRE!$BA$28</f>
        <v>2.8000000004340109E-3</v>
      </c>
      <c r="H28" s="31">
        <f>ENERO!BA27</f>
        <v>2.8000000002066372E-3</v>
      </c>
      <c r="I28" s="31">
        <f>FEBRERO!AX28</f>
        <v>2.8000000002066372E-3</v>
      </c>
      <c r="J28" s="32"/>
      <c r="K28" s="33"/>
      <c r="L28" s="336"/>
      <c r="M28" s="336"/>
      <c r="N28" s="336"/>
      <c r="O28" s="32"/>
      <c r="P28" s="33"/>
      <c r="Q28" s="31"/>
      <c r="R28" s="31"/>
      <c r="S28" s="34">
        <f>(280*0.16+280)*E28</f>
        <v>1624</v>
      </c>
      <c r="T28" s="34"/>
      <c r="U28" s="34"/>
      <c r="V28" s="35"/>
      <c r="W28" s="35"/>
      <c r="X28" s="35"/>
      <c r="Y28" s="35"/>
      <c r="Z28" s="35"/>
      <c r="AA28" s="36">
        <v>1624</v>
      </c>
      <c r="AB28" s="35"/>
      <c r="AC28" s="35"/>
      <c r="AD28" s="35"/>
      <c r="AE28" s="35"/>
      <c r="AF28" s="35"/>
      <c r="AG28" s="35"/>
      <c r="AH28" s="35"/>
      <c r="AI28" s="35"/>
      <c r="AJ28" s="35"/>
      <c r="AK28" s="37"/>
      <c r="AL28" s="35"/>
      <c r="AM28" s="35"/>
      <c r="AN28" s="35"/>
      <c r="AO28" s="35"/>
      <c r="AP28" s="35"/>
      <c r="AQ28" s="35"/>
      <c r="AR28" s="35"/>
      <c r="AS28" s="35"/>
      <c r="AT28" s="35"/>
      <c r="AU28" s="35"/>
      <c r="AV28" s="35"/>
      <c r="AW28" s="35"/>
      <c r="AX28" s="35"/>
      <c r="AY28" s="35"/>
      <c r="AZ28" s="35"/>
      <c r="BA28" s="33">
        <f t="shared" si="0"/>
        <v>2.8000000002066372E-3</v>
      </c>
      <c r="BB28" s="267"/>
    </row>
    <row r="29" spans="1:55" s="23" customFormat="1" ht="71.25" customHeight="1" x14ac:dyDescent="0.3">
      <c r="A29" s="26">
        <v>12</v>
      </c>
      <c r="B29" s="43" t="s">
        <v>1725</v>
      </c>
      <c r="C29" s="28" t="s">
        <v>484</v>
      </c>
      <c r="D29" s="298" t="s">
        <v>1198</v>
      </c>
      <c r="E29" s="92">
        <v>4</v>
      </c>
      <c r="F29" s="30" t="s">
        <v>30</v>
      </c>
      <c r="G29" s="234">
        <f>[1]DICIEMBRE!$BA$20</f>
        <v>0</v>
      </c>
      <c r="H29" s="45">
        <f>ENERO!BA28</f>
        <v>0</v>
      </c>
      <c r="I29" s="31">
        <f>FEBRERO!AX29</f>
        <v>0</v>
      </c>
      <c r="J29" s="32"/>
      <c r="K29" s="32"/>
      <c r="L29" s="32"/>
      <c r="M29" s="32"/>
      <c r="N29" s="32"/>
      <c r="O29" s="32"/>
      <c r="P29" s="33"/>
      <c r="Q29" s="31"/>
      <c r="R29" s="31"/>
      <c r="S29" s="34">
        <f>(300*0.16+300)*E29</f>
        <v>1392</v>
      </c>
      <c r="T29" s="34"/>
      <c r="U29" s="34"/>
      <c r="V29" s="35"/>
      <c r="W29" s="35"/>
      <c r="X29" s="35"/>
      <c r="Y29" s="35">
        <v>1392</v>
      </c>
      <c r="Z29" s="36"/>
      <c r="AA29" s="35"/>
      <c r="AB29" s="35"/>
      <c r="AC29" s="35"/>
      <c r="AD29" s="35"/>
      <c r="AE29" s="35"/>
      <c r="AF29" s="35"/>
      <c r="AG29" s="35"/>
      <c r="AH29" s="35"/>
      <c r="AI29" s="35"/>
      <c r="AJ29" s="35"/>
      <c r="AK29" s="37"/>
      <c r="AL29" s="35"/>
      <c r="AM29" s="35"/>
      <c r="AN29" s="35"/>
      <c r="AO29" s="35"/>
      <c r="AP29" s="35"/>
      <c r="AQ29" s="35"/>
      <c r="AR29" s="35"/>
      <c r="AS29" s="35"/>
      <c r="AT29" s="35"/>
      <c r="AU29" s="35"/>
      <c r="AV29" s="35"/>
      <c r="AW29" s="35"/>
      <c r="AX29" s="35"/>
      <c r="AY29" s="35"/>
      <c r="AZ29" s="35"/>
      <c r="BA29" s="33">
        <f t="shared" si="0"/>
        <v>0</v>
      </c>
      <c r="BB29" s="43"/>
    </row>
    <row r="30" spans="1:55" s="23" customFormat="1" ht="51" customHeight="1" x14ac:dyDescent="0.3">
      <c r="A30" s="26">
        <v>13</v>
      </c>
      <c r="B30" s="43" t="s">
        <v>1352</v>
      </c>
      <c r="C30" s="28"/>
      <c r="D30" s="300" t="s">
        <v>1499</v>
      </c>
      <c r="E30" s="93">
        <v>5</v>
      </c>
      <c r="F30" s="30" t="s">
        <v>30</v>
      </c>
      <c r="G30" s="112">
        <f>[1]DICIEMBRE!$BA$31</f>
        <v>-3480</v>
      </c>
      <c r="H30" s="31">
        <f>ENERO!BA29</f>
        <v>-1740</v>
      </c>
      <c r="I30" s="31">
        <f>FEBRERO!AX30</f>
        <v>0</v>
      </c>
      <c r="J30" s="32"/>
      <c r="K30" s="32"/>
      <c r="L30" s="32"/>
      <c r="M30" s="32"/>
      <c r="N30" s="32"/>
      <c r="O30" s="33"/>
      <c r="P30" s="31"/>
      <c r="Q30" s="31"/>
      <c r="R30" s="31"/>
      <c r="S30" s="34">
        <f>(300*0.16+300)*E30</f>
        <v>1740</v>
      </c>
      <c r="T30" s="34"/>
      <c r="U30" s="34"/>
      <c r="V30" s="34"/>
      <c r="W30" s="34"/>
      <c r="X30" s="34"/>
      <c r="Y30" s="34"/>
      <c r="Z30" s="34"/>
      <c r="AA30" s="34"/>
      <c r="AB30" s="34"/>
      <c r="AC30" s="34"/>
      <c r="AD30" s="34"/>
      <c r="AE30" s="34">
        <v>5220</v>
      </c>
      <c r="AF30" s="34"/>
      <c r="AG30" s="34"/>
      <c r="AH30" s="34"/>
      <c r="AI30" s="34"/>
      <c r="AJ30" s="34"/>
      <c r="AK30" s="38"/>
      <c r="AL30" s="34"/>
      <c r="AM30" s="34"/>
      <c r="AN30" s="34"/>
      <c r="AO30" s="34"/>
      <c r="AP30" s="34"/>
      <c r="AQ30" s="34"/>
      <c r="AR30" s="34"/>
      <c r="AS30" s="34"/>
      <c r="AT30" s="34"/>
      <c r="AU30" s="34"/>
      <c r="AV30" s="34"/>
      <c r="AW30" s="34"/>
      <c r="AX30" s="34"/>
      <c r="AY30" s="34"/>
      <c r="AZ30" s="34"/>
      <c r="BA30" s="33">
        <f t="shared" si="0"/>
        <v>-3480</v>
      </c>
      <c r="BB30" s="43" t="s">
        <v>2453</v>
      </c>
    </row>
    <row r="31" spans="1:55" s="23" customFormat="1" ht="69.75" customHeight="1" x14ac:dyDescent="0.3">
      <c r="A31" s="26">
        <v>14</v>
      </c>
      <c r="B31" s="43" t="s">
        <v>1726</v>
      </c>
      <c r="C31" s="334"/>
      <c r="D31" s="298" t="s">
        <v>2210</v>
      </c>
      <c r="E31" s="93">
        <v>5</v>
      </c>
      <c r="F31" s="30" t="s">
        <v>30</v>
      </c>
      <c r="G31" s="234">
        <f>[1]DICIEMBRE!$BA$18</f>
        <v>-128</v>
      </c>
      <c r="H31" s="31">
        <f>ENERO!BA30</f>
        <v>-128</v>
      </c>
      <c r="I31" s="45">
        <f>FEBRERO!AX31</f>
        <v>-128</v>
      </c>
      <c r="J31" s="336"/>
      <c r="K31" s="33"/>
      <c r="L31" s="336"/>
      <c r="M31" s="336"/>
      <c r="N31" s="336"/>
      <c r="O31" s="33"/>
      <c r="P31" s="33"/>
      <c r="Q31" s="31"/>
      <c r="R31" s="31"/>
      <c r="S31" s="34">
        <f>(350*0.16+350)*E31</f>
        <v>2030</v>
      </c>
      <c r="T31" s="335"/>
      <c r="U31" s="335"/>
      <c r="V31" s="25"/>
      <c r="X31" s="25"/>
      <c r="Y31" s="25"/>
      <c r="Z31" s="25"/>
      <c r="AA31" s="25"/>
      <c r="AB31" s="25"/>
      <c r="AC31" s="54"/>
      <c r="AD31" s="25"/>
      <c r="AE31" s="25"/>
      <c r="AF31" s="25"/>
      <c r="AG31" s="25"/>
      <c r="AH31" s="25"/>
      <c r="AI31" s="25"/>
      <c r="AJ31" s="25"/>
      <c r="AK31" s="25"/>
      <c r="AL31" s="25"/>
      <c r="AM31" s="25"/>
      <c r="AN31" s="25"/>
      <c r="AO31" s="25">
        <v>2030</v>
      </c>
      <c r="AP31" s="25"/>
      <c r="AQ31" s="25"/>
      <c r="AR31" s="25"/>
      <c r="AS31" s="25"/>
      <c r="AT31" s="25"/>
      <c r="AU31" s="25"/>
      <c r="AV31" s="25"/>
      <c r="AW31" s="25"/>
      <c r="AX31" s="25"/>
      <c r="AY31" s="25"/>
      <c r="AZ31" s="25"/>
      <c r="BA31" s="33">
        <f t="shared" si="0"/>
        <v>-128</v>
      </c>
      <c r="BB31" s="266"/>
      <c r="BC31" s="333"/>
    </row>
    <row r="32" spans="1:55" s="23" customFormat="1" ht="52.5" customHeight="1" x14ac:dyDescent="0.3">
      <c r="A32" s="26">
        <v>15</v>
      </c>
      <c r="B32" s="43" t="s">
        <v>1727</v>
      </c>
      <c r="C32" s="53"/>
      <c r="D32" s="298" t="s">
        <v>1225</v>
      </c>
      <c r="E32" s="92">
        <v>5</v>
      </c>
      <c r="F32" s="56" t="s">
        <v>30</v>
      </c>
      <c r="G32" s="112">
        <f>[1]DICIEMBRE!$BA$77</f>
        <v>1.1999999996987754E-3</v>
      </c>
      <c r="H32" s="45">
        <f>ENERO!BA31</f>
        <v>1.1999999996987754E-3</v>
      </c>
      <c r="I32" s="31">
        <f>FEBRERO!AX32</f>
        <v>1.1999999996987754E-3</v>
      </c>
      <c r="J32" s="32"/>
      <c r="K32" s="32"/>
      <c r="L32" s="32"/>
      <c r="M32" s="32"/>
      <c r="N32" s="32"/>
      <c r="O32" s="33"/>
      <c r="P32" s="33"/>
      <c r="Q32" s="31"/>
      <c r="R32" s="31"/>
      <c r="S32" s="34">
        <f>(250*0.16+250)*4+(300*0.16+300)*1</f>
        <v>1508</v>
      </c>
      <c r="T32" s="34"/>
      <c r="U32" s="34"/>
      <c r="V32" s="35"/>
      <c r="W32" s="35"/>
      <c r="X32" s="35"/>
      <c r="Y32" s="54"/>
      <c r="Z32" s="35">
        <v>1508</v>
      </c>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3">
        <f t="shared" si="0"/>
        <v>1.1999999996987754E-3</v>
      </c>
      <c r="BB32" s="269"/>
    </row>
    <row r="33" spans="1:54" s="23" customFormat="1" ht="60.75" customHeight="1" x14ac:dyDescent="0.3">
      <c r="A33" s="26">
        <v>16</v>
      </c>
      <c r="B33" s="43" t="s">
        <v>1632</v>
      </c>
      <c r="C33" s="28"/>
      <c r="D33" s="303" t="s">
        <v>1641</v>
      </c>
      <c r="E33" s="93">
        <v>6</v>
      </c>
      <c r="F33" s="30" t="s">
        <v>35</v>
      </c>
      <c r="G33" s="234">
        <f>[1]DICIEMBRE!$BA$32</f>
        <v>0</v>
      </c>
      <c r="H33" s="31">
        <f>ENERO!BA32</f>
        <v>-3.9999999999054126E-3</v>
      </c>
      <c r="I33" s="31">
        <f>FEBRERO!AX33</f>
        <v>-3.9999999999054126E-3</v>
      </c>
      <c r="J33" s="32"/>
      <c r="K33" s="32"/>
      <c r="L33" s="32"/>
      <c r="M33" s="32"/>
      <c r="N33" s="32"/>
      <c r="O33" s="33"/>
      <c r="P33" s="31"/>
      <c r="Q33" s="31"/>
      <c r="R33" s="31"/>
      <c r="S33" s="34">
        <f>(279*0.16+279)*E33</f>
        <v>1941.84</v>
      </c>
      <c r="T33" s="34"/>
      <c r="U33" s="34"/>
      <c r="V33" s="34"/>
      <c r="W33" s="34"/>
      <c r="X33" s="34"/>
      <c r="Y33" s="34"/>
      <c r="Z33" s="34"/>
      <c r="AA33" s="34"/>
      <c r="AB33" s="34"/>
      <c r="AC33" s="34"/>
      <c r="AD33" s="34"/>
      <c r="AE33" s="34"/>
      <c r="AF33" s="34">
        <v>1941.84</v>
      </c>
      <c r="AG33" s="34"/>
      <c r="AH33" s="34"/>
      <c r="AI33" s="34"/>
      <c r="AJ33" s="34"/>
      <c r="AK33" s="38"/>
      <c r="AL33" s="34"/>
      <c r="AM33" s="34"/>
      <c r="AN33" s="34"/>
      <c r="AO33" s="34"/>
      <c r="AP33" s="34"/>
      <c r="AQ33" s="34"/>
      <c r="AR33" s="34"/>
      <c r="AS33" s="34"/>
      <c r="AT33" s="34"/>
      <c r="AU33" s="34"/>
      <c r="AV33" s="34"/>
      <c r="AW33" s="34"/>
      <c r="AX33" s="34"/>
      <c r="AY33" s="34"/>
      <c r="AZ33" s="34"/>
      <c r="BA33" s="33">
        <f t="shared" si="0"/>
        <v>-3.9999999999054126E-3</v>
      </c>
      <c r="BB33" s="43"/>
    </row>
    <row r="34" spans="1:54" s="23" customFormat="1" ht="83.25" customHeight="1" x14ac:dyDescent="0.3">
      <c r="A34" s="26">
        <v>17</v>
      </c>
      <c r="B34" s="43" t="s">
        <v>1729</v>
      </c>
      <c r="C34" s="53"/>
      <c r="D34" s="300" t="s">
        <v>1500</v>
      </c>
      <c r="E34" s="320">
        <v>9</v>
      </c>
      <c r="F34" s="41" t="s">
        <v>30</v>
      </c>
      <c r="G34" s="234">
        <f>[1]DICIEMBRE!$BA$34</f>
        <v>0</v>
      </c>
      <c r="H34" s="45">
        <f>ENERO!BA34</f>
        <v>0</v>
      </c>
      <c r="I34" s="45">
        <f>FEBRERO!AX35</f>
        <v>0</v>
      </c>
      <c r="J34" s="32"/>
      <c r="K34" s="32"/>
      <c r="L34" s="32"/>
      <c r="M34" s="32"/>
      <c r="N34" s="32"/>
      <c r="O34" s="32"/>
      <c r="P34" s="31"/>
      <c r="Q34" s="31"/>
      <c r="R34" s="31"/>
      <c r="S34" s="38">
        <f>(300*0.16+300)*E34</f>
        <v>3132</v>
      </c>
      <c r="T34" s="38"/>
      <c r="U34" s="35"/>
      <c r="V34" s="35"/>
      <c r="W34" s="35"/>
      <c r="X34" s="35"/>
      <c r="Y34" s="35"/>
      <c r="Z34" s="35"/>
      <c r="AA34" s="35"/>
      <c r="AB34" s="35"/>
      <c r="AC34" s="35"/>
      <c r="AD34" s="35"/>
      <c r="AE34" s="35"/>
      <c r="AF34" s="35"/>
      <c r="AG34" s="35"/>
      <c r="AH34" s="35"/>
      <c r="AI34" s="35">
        <v>18792</v>
      </c>
      <c r="AJ34" s="35"/>
      <c r="AK34" s="42"/>
      <c r="AL34" s="35"/>
      <c r="AM34" s="35"/>
      <c r="AN34" s="35"/>
      <c r="AO34" s="35"/>
      <c r="AP34" s="35"/>
      <c r="AQ34" s="35"/>
      <c r="AR34" s="35"/>
      <c r="AS34" s="35"/>
      <c r="AT34" s="35"/>
      <c r="AU34" s="35"/>
      <c r="AV34" s="35"/>
      <c r="AW34" s="35"/>
      <c r="AX34" s="35"/>
      <c r="AY34" s="35"/>
      <c r="AZ34" s="35"/>
      <c r="BA34" s="33">
        <f t="shared" si="0"/>
        <v>-15660</v>
      </c>
      <c r="BB34" s="268" t="s">
        <v>2500</v>
      </c>
    </row>
    <row r="35" spans="1:54" ht="37.5" customHeight="1" x14ac:dyDescent="0.35">
      <c r="A35" s="26">
        <v>18</v>
      </c>
      <c r="B35" s="43" t="s">
        <v>1274</v>
      </c>
      <c r="C35" s="28"/>
      <c r="D35" s="300" t="s">
        <v>1070</v>
      </c>
      <c r="E35" s="94">
        <v>1</v>
      </c>
      <c r="F35" s="44" t="s">
        <v>30</v>
      </c>
      <c r="G35" s="112">
        <f>[1]DICIEMBRE!$BA$35</f>
        <v>0</v>
      </c>
      <c r="H35" s="31">
        <f>ENERO!BA35</f>
        <v>0</v>
      </c>
      <c r="I35" s="31">
        <f>FEBRERO!AX36</f>
        <v>0</v>
      </c>
      <c r="J35" s="32"/>
      <c r="K35" s="32"/>
      <c r="L35" s="32"/>
      <c r="M35" s="32"/>
      <c r="N35" s="32"/>
      <c r="O35" s="33"/>
      <c r="P35" s="33"/>
      <c r="Q35" s="31"/>
      <c r="R35" s="31"/>
      <c r="S35" s="47">
        <f>(250*0.16+250)*E35</f>
        <v>290</v>
      </c>
      <c r="T35" s="47"/>
      <c r="U35" s="48"/>
      <c r="V35" s="49"/>
      <c r="W35" s="49"/>
      <c r="X35" s="49"/>
      <c r="Y35" s="49"/>
      <c r="Z35" s="49"/>
      <c r="AA35" s="49"/>
      <c r="AB35" s="49">
        <v>290</v>
      </c>
      <c r="AC35" s="49"/>
      <c r="AD35" s="49"/>
      <c r="AE35" s="50"/>
      <c r="AF35" s="49"/>
      <c r="AG35" s="49"/>
      <c r="AH35" s="49"/>
      <c r="AI35" s="49"/>
      <c r="AJ35" s="49"/>
      <c r="AK35" s="49"/>
      <c r="AL35" s="49"/>
      <c r="AM35" s="49"/>
      <c r="AN35" s="49"/>
      <c r="AO35" s="49"/>
      <c r="AP35" s="49"/>
      <c r="AQ35" s="49"/>
      <c r="AR35" s="49"/>
      <c r="AS35" s="49"/>
      <c r="AT35" s="49"/>
      <c r="AU35" s="49"/>
      <c r="AV35" s="49"/>
      <c r="AW35" s="49"/>
      <c r="AX35" s="49"/>
      <c r="AY35" s="49"/>
      <c r="AZ35" s="49"/>
      <c r="BA35" s="33">
        <f t="shared" si="0"/>
        <v>0</v>
      </c>
      <c r="BB35" s="43"/>
    </row>
    <row r="36" spans="1:54" s="23" customFormat="1" ht="39.75" customHeight="1" x14ac:dyDescent="0.3">
      <c r="A36" s="26">
        <v>19</v>
      </c>
      <c r="B36" s="27" t="s">
        <v>36</v>
      </c>
      <c r="C36" s="28" t="s">
        <v>37</v>
      </c>
      <c r="D36" s="298" t="s">
        <v>1204</v>
      </c>
      <c r="E36" s="92">
        <v>2</v>
      </c>
      <c r="F36" s="30" t="s">
        <v>30</v>
      </c>
      <c r="G36" s="112">
        <f>[1]DICIEMBRE!$BA$37</f>
        <v>0</v>
      </c>
      <c r="H36" s="31">
        <f>ENERO!BA36</f>
        <v>0</v>
      </c>
      <c r="I36" s="31">
        <f>FEBRERO!AX37</f>
        <v>-4.3999999999755346E-3</v>
      </c>
      <c r="J36" s="32"/>
      <c r="K36" s="33"/>
      <c r="L36" s="336"/>
      <c r="M36" s="336"/>
      <c r="N36" s="32"/>
      <c r="O36" s="32"/>
      <c r="P36" s="33"/>
      <c r="Q36" s="31"/>
      <c r="R36" s="31"/>
      <c r="S36" s="34">
        <f>(250*0.16+250)*E36</f>
        <v>580</v>
      </c>
      <c r="T36" s="34"/>
      <c r="U36" s="34"/>
      <c r="V36" s="34"/>
      <c r="W36" s="34"/>
      <c r="X36" s="34"/>
      <c r="Y36" s="34">
        <v>580</v>
      </c>
      <c r="Z36" s="52"/>
      <c r="AA36" s="34"/>
      <c r="AB36" s="34"/>
      <c r="AC36" s="34"/>
      <c r="AD36" s="34"/>
      <c r="AE36" s="34"/>
      <c r="AF36" s="34"/>
      <c r="AG36" s="34"/>
      <c r="AH36" s="34"/>
      <c r="AI36" s="34"/>
      <c r="AJ36" s="34"/>
      <c r="AK36" s="38"/>
      <c r="AL36" s="34"/>
      <c r="AM36" s="34"/>
      <c r="AN36" s="34"/>
      <c r="AO36" s="34"/>
      <c r="AP36" s="34"/>
      <c r="AQ36" s="34"/>
      <c r="AR36" s="34"/>
      <c r="AS36" s="34"/>
      <c r="AT36" s="34"/>
      <c r="AU36" s="34"/>
      <c r="AV36" s="34"/>
      <c r="AW36" s="34"/>
      <c r="AX36" s="34"/>
      <c r="AY36" s="34"/>
      <c r="AZ36" s="34"/>
      <c r="BA36" s="33">
        <f t="shared" si="0"/>
        <v>-4.400000000032378E-3</v>
      </c>
      <c r="BB36" s="43"/>
    </row>
    <row r="37" spans="1:54" s="23" customFormat="1" ht="140.25" customHeight="1" x14ac:dyDescent="0.3">
      <c r="A37" s="26">
        <v>20</v>
      </c>
      <c r="B37" s="27" t="s">
        <v>291</v>
      </c>
      <c r="C37" s="28" t="s">
        <v>292</v>
      </c>
      <c r="D37" s="298" t="s">
        <v>1205</v>
      </c>
      <c r="E37" s="92">
        <v>7</v>
      </c>
      <c r="F37" s="40" t="s">
        <v>30</v>
      </c>
      <c r="G37" s="234">
        <f>[1]DICIEMBRE!$BA$38</f>
        <v>-753.99240000000054</v>
      </c>
      <c r="H37" s="45">
        <f>ENERO!BA37</f>
        <v>-753.99240000000054</v>
      </c>
      <c r="I37" s="31">
        <f>FEBRERO!AX38</f>
        <v>-753.99240000000054</v>
      </c>
      <c r="J37" s="32"/>
      <c r="K37" s="32"/>
      <c r="L37" s="32"/>
      <c r="M37" s="32"/>
      <c r="N37" s="32"/>
      <c r="O37" s="33"/>
      <c r="P37" s="31"/>
      <c r="Q37" s="31"/>
      <c r="R37" s="31"/>
      <c r="S37" s="34">
        <f>(350*0.16+350)*E37</f>
        <v>2842</v>
      </c>
      <c r="T37" s="34"/>
      <c r="U37" s="34"/>
      <c r="V37" s="35"/>
      <c r="W37" s="54"/>
      <c r="X37" s="35"/>
      <c r="Y37" s="35"/>
      <c r="Z37" s="35"/>
      <c r="AA37" s="35"/>
      <c r="AB37" s="35"/>
      <c r="AC37" s="35"/>
      <c r="AD37" s="35"/>
      <c r="AE37" s="35"/>
      <c r="AF37" s="35">
        <v>2842</v>
      </c>
      <c r="AG37" s="35"/>
      <c r="AH37" s="35"/>
      <c r="AI37" s="35"/>
      <c r="AJ37" s="35"/>
      <c r="AK37" s="35"/>
      <c r="AL37" s="35"/>
      <c r="AM37" s="35"/>
      <c r="AN37" s="35"/>
      <c r="AO37" s="35"/>
      <c r="AP37" s="35"/>
      <c r="AQ37" s="35"/>
      <c r="AR37" s="35"/>
      <c r="AS37" s="35"/>
      <c r="AT37" s="35"/>
      <c r="AU37" s="35"/>
      <c r="AV37" s="35"/>
      <c r="AW37" s="35"/>
      <c r="AX37" s="35"/>
      <c r="AY37" s="35"/>
      <c r="AZ37" s="35"/>
      <c r="BA37" s="33">
        <f t="shared" si="0"/>
        <v>-753.99240000000054</v>
      </c>
      <c r="BB37" s="267"/>
    </row>
    <row r="38" spans="1:54" s="23" customFormat="1" ht="78" customHeight="1" x14ac:dyDescent="0.3">
      <c r="A38" s="26">
        <v>21</v>
      </c>
      <c r="B38" s="43" t="s">
        <v>1730</v>
      </c>
      <c r="C38" s="27"/>
      <c r="D38" s="298" t="s">
        <v>1213</v>
      </c>
      <c r="E38" s="92">
        <v>4</v>
      </c>
      <c r="F38" s="30" t="s">
        <v>30</v>
      </c>
      <c r="G38" s="112">
        <f>[1]DICIEMBRE!$BA$59</f>
        <v>6.8212102632969618E-13</v>
      </c>
      <c r="H38" s="31">
        <f>ENERO!BA38</f>
        <v>9.0949470177292824E-13</v>
      </c>
      <c r="I38" s="45">
        <f>FEBRERO!AX39</f>
        <v>1.1368683772161603E-12</v>
      </c>
      <c r="J38" s="32"/>
      <c r="K38" s="32"/>
      <c r="L38" s="32"/>
      <c r="M38" s="336"/>
      <c r="N38" s="32"/>
      <c r="O38" s="32"/>
      <c r="P38" s="31"/>
      <c r="Q38" s="31"/>
      <c r="R38" s="31"/>
      <c r="S38" s="34">
        <f>(249*0.16+249)*E38</f>
        <v>1155.3600000000001</v>
      </c>
      <c r="T38" s="35"/>
      <c r="U38" s="35"/>
      <c r="V38" s="35"/>
      <c r="W38" s="35"/>
      <c r="X38" s="35"/>
      <c r="Y38" s="35"/>
      <c r="Z38" s="35"/>
      <c r="AA38" s="35"/>
      <c r="AB38" s="35"/>
      <c r="AC38" s="35"/>
      <c r="AD38" s="35"/>
      <c r="AE38" s="35">
        <v>1155.3599999999999</v>
      </c>
      <c r="AF38" s="35"/>
      <c r="AG38" s="35"/>
      <c r="AH38" s="35"/>
      <c r="AI38" s="35"/>
      <c r="AJ38" s="35"/>
      <c r="AK38" s="42"/>
      <c r="AL38" s="35"/>
      <c r="AM38" s="35"/>
      <c r="AN38" s="35"/>
      <c r="AO38" s="35"/>
      <c r="AP38" s="35"/>
      <c r="AQ38" s="35"/>
      <c r="AR38" s="35"/>
      <c r="AS38" s="35"/>
      <c r="AT38" s="35"/>
      <c r="AU38" s="35"/>
      <c r="AV38" s="35"/>
      <c r="AW38" s="35"/>
      <c r="AX38" s="35"/>
      <c r="AY38" s="35"/>
      <c r="AZ38" s="35"/>
      <c r="BA38" s="33">
        <f t="shared" si="0"/>
        <v>1.3642420526593924E-12</v>
      </c>
      <c r="BB38" s="43"/>
    </row>
    <row r="39" spans="1:54" s="23" customFormat="1" ht="60.75" customHeight="1" x14ac:dyDescent="0.3">
      <c r="A39" s="26">
        <v>22</v>
      </c>
      <c r="B39" s="43" t="s">
        <v>1446</v>
      </c>
      <c r="C39" s="53"/>
      <c r="D39" s="298" t="s">
        <v>2123</v>
      </c>
      <c r="E39" s="94">
        <v>2</v>
      </c>
      <c r="F39" s="44" t="s">
        <v>30</v>
      </c>
      <c r="G39" s="112">
        <f>[1]DICIEMBRE!$BA$41</f>
        <v>0</v>
      </c>
      <c r="H39" s="31">
        <f>ENERO!BA39</f>
        <v>0</v>
      </c>
      <c r="I39" s="31">
        <f>FEBRERO!AX40</f>
        <v>0</v>
      </c>
      <c r="J39" s="32"/>
      <c r="K39" s="32"/>
      <c r="L39" s="32"/>
      <c r="M39" s="336"/>
      <c r="N39" s="32"/>
      <c r="O39" s="33"/>
      <c r="P39" s="31"/>
      <c r="Q39" s="31"/>
      <c r="R39" s="31"/>
      <c r="S39" s="47">
        <f>(300*0.16+300)*2</f>
        <v>696</v>
      </c>
      <c r="T39" s="34"/>
      <c r="U39" s="34"/>
      <c r="V39" s="34"/>
      <c r="W39" s="34"/>
      <c r="X39" s="34"/>
      <c r="Y39" s="34"/>
      <c r="Z39" s="52"/>
      <c r="AA39" s="34"/>
      <c r="AB39" s="34">
        <v>696</v>
      </c>
      <c r="AC39" s="34"/>
      <c r="AD39" s="34"/>
      <c r="AE39" s="34"/>
      <c r="AF39" s="34"/>
      <c r="AG39" s="34"/>
      <c r="AH39" s="34"/>
      <c r="AI39" s="34"/>
      <c r="AJ39" s="34"/>
      <c r="AK39" s="38"/>
      <c r="AL39" s="34"/>
      <c r="AM39" s="34"/>
      <c r="AN39" s="34"/>
      <c r="AO39" s="34"/>
      <c r="AP39" s="34"/>
      <c r="AQ39" s="34"/>
      <c r="AR39" s="34"/>
      <c r="AS39" s="34"/>
      <c r="AT39" s="34"/>
      <c r="AU39" s="34"/>
      <c r="AV39" s="34"/>
      <c r="AW39" s="34"/>
      <c r="AX39" s="34"/>
      <c r="AY39" s="34"/>
      <c r="AZ39" s="34"/>
      <c r="BA39" s="33">
        <f t="shared" si="0"/>
        <v>0</v>
      </c>
      <c r="BB39" s="43" t="s">
        <v>1588</v>
      </c>
    </row>
    <row r="40" spans="1:54" s="23" customFormat="1" ht="72" customHeight="1" x14ac:dyDescent="0.3">
      <c r="A40" s="26">
        <v>23</v>
      </c>
      <c r="B40" s="43" t="s">
        <v>960</v>
      </c>
      <c r="C40" s="43" t="s">
        <v>252</v>
      </c>
      <c r="D40" s="300" t="s">
        <v>1207</v>
      </c>
      <c r="E40" s="92">
        <v>674</v>
      </c>
      <c r="F40" s="30" t="s">
        <v>30</v>
      </c>
      <c r="G40" s="234">
        <f>[1]DICIEMBRE!$BA$42</f>
        <v>3220.0259999999871</v>
      </c>
      <c r="H40" s="45">
        <f>ENERO!BA40</f>
        <v>3220.0259999999835</v>
      </c>
      <c r="I40" s="31">
        <f>FEBRERO!AX41</f>
        <v>3220.0279999999766</v>
      </c>
      <c r="J40" s="32"/>
      <c r="K40" s="32"/>
      <c r="L40" s="32"/>
      <c r="M40" s="32"/>
      <c r="N40" s="32"/>
      <c r="O40" s="33"/>
      <c r="P40" s="33"/>
      <c r="Q40" s="31"/>
      <c r="R40" s="31"/>
      <c r="S40" s="34">
        <f>(38.8*0.16+38.8)*E40</f>
        <v>30335.391999999996</v>
      </c>
      <c r="T40" s="34"/>
      <c r="U40" s="34"/>
      <c r="V40" s="34"/>
      <c r="W40" s="34"/>
      <c r="X40" s="34"/>
      <c r="Y40" s="34"/>
      <c r="Z40" s="52"/>
      <c r="AA40" s="34"/>
      <c r="AB40" s="34"/>
      <c r="AC40" s="34"/>
      <c r="AD40" s="34"/>
      <c r="AE40" s="34"/>
      <c r="AF40" s="34"/>
      <c r="AG40" s="34"/>
      <c r="AH40" s="34"/>
      <c r="AI40" s="34"/>
      <c r="AJ40" s="34"/>
      <c r="AK40" s="38"/>
      <c r="AL40" s="34"/>
      <c r="AM40" s="34"/>
      <c r="AN40" s="34"/>
      <c r="AO40" s="34"/>
      <c r="AP40" s="34"/>
      <c r="AQ40" s="34"/>
      <c r="AR40" s="34"/>
      <c r="AS40" s="34"/>
      <c r="AT40" s="34">
        <v>30335.39</v>
      </c>
      <c r="AU40" s="34"/>
      <c r="AV40" s="34"/>
      <c r="AW40" s="34"/>
      <c r="AX40" s="34"/>
      <c r="AY40" s="34"/>
      <c r="AZ40" s="34"/>
      <c r="BA40" s="33">
        <f t="shared" si="0"/>
        <v>3220.0299999999697</v>
      </c>
      <c r="BB40" s="43"/>
    </row>
    <row r="41" spans="1:54" s="23" customFormat="1" ht="72" customHeight="1" x14ac:dyDescent="0.3">
      <c r="A41" s="26">
        <v>24</v>
      </c>
      <c r="B41" s="43" t="s">
        <v>1453</v>
      </c>
      <c r="C41" s="43"/>
      <c r="D41" s="300" t="s">
        <v>1503</v>
      </c>
      <c r="E41" s="92">
        <v>1</v>
      </c>
      <c r="F41" s="30" t="s">
        <v>30</v>
      </c>
      <c r="G41" s="112">
        <f>[1]DICIEMBRE!$BA$43</f>
        <v>348</v>
      </c>
      <c r="H41" s="31">
        <f>ENERO!BA41</f>
        <v>0</v>
      </c>
      <c r="I41" s="31">
        <f>FEBRERO!AX42</f>
        <v>0</v>
      </c>
      <c r="J41" s="32"/>
      <c r="K41" s="32"/>
      <c r="L41" s="32"/>
      <c r="M41" s="32"/>
      <c r="N41" s="32"/>
      <c r="O41" s="33"/>
      <c r="P41" s="33"/>
      <c r="Q41" s="31"/>
      <c r="R41" s="31"/>
      <c r="S41" s="34">
        <f>(300*0.16+300)*E41</f>
        <v>348</v>
      </c>
      <c r="T41" s="34"/>
      <c r="U41" s="34"/>
      <c r="V41" s="34"/>
      <c r="W41" s="34"/>
      <c r="X41" s="34"/>
      <c r="Y41" s="34"/>
      <c r="Z41" s="52"/>
      <c r="AA41" s="34"/>
      <c r="AB41" s="34"/>
      <c r="AC41" s="34"/>
      <c r="AD41" s="34"/>
      <c r="AE41" s="34"/>
      <c r="AF41" s="34"/>
      <c r="AG41" s="34"/>
      <c r="AH41" s="34"/>
      <c r="AI41" s="34"/>
      <c r="AJ41" s="34"/>
      <c r="AK41" s="38"/>
      <c r="AL41" s="34"/>
      <c r="AM41" s="34"/>
      <c r="AN41" s="34">
        <v>348</v>
      </c>
      <c r="AO41" s="34"/>
      <c r="AP41" s="34"/>
      <c r="AQ41" s="34"/>
      <c r="AR41" s="34"/>
      <c r="AS41" s="34"/>
      <c r="AT41" s="34"/>
      <c r="AU41" s="34"/>
      <c r="AV41" s="34"/>
      <c r="AW41" s="34"/>
      <c r="AX41" s="34"/>
      <c r="AY41" s="34"/>
      <c r="AZ41" s="34"/>
      <c r="BA41" s="33">
        <f t="shared" si="0"/>
        <v>0</v>
      </c>
      <c r="BB41" s="43"/>
    </row>
    <row r="42" spans="1:54" s="23" customFormat="1" ht="57.75" customHeight="1" x14ac:dyDescent="0.3">
      <c r="A42" s="26">
        <v>25</v>
      </c>
      <c r="B42" s="43" t="s">
        <v>428</v>
      </c>
      <c r="C42" s="28" t="s">
        <v>429</v>
      </c>
      <c r="D42" s="298" t="s">
        <v>1208</v>
      </c>
      <c r="E42" s="92">
        <v>7</v>
      </c>
      <c r="F42" s="30" t="s">
        <v>30</v>
      </c>
      <c r="G42" s="234">
        <f>[1]DICIEMBRE!$BA$44</f>
        <v>2598.3956000000003</v>
      </c>
      <c r="H42" s="31">
        <f>ENERO!BA42</f>
        <v>5486.7956000000004</v>
      </c>
      <c r="I42" s="45">
        <f>FEBRERO!AX43</f>
        <v>8085.1956000000009</v>
      </c>
      <c r="J42" s="32"/>
      <c r="K42" s="32"/>
      <c r="L42" s="32"/>
      <c r="M42" s="32"/>
      <c r="N42" s="336"/>
      <c r="O42" s="32"/>
      <c r="P42" s="31"/>
      <c r="Q42" s="31"/>
      <c r="R42" s="31"/>
      <c r="S42" s="34">
        <f>(320*0.16+320)*E42</f>
        <v>2598.4</v>
      </c>
      <c r="T42" s="34"/>
      <c r="U42" s="34"/>
      <c r="V42" s="34"/>
      <c r="W42" s="34"/>
      <c r="X42" s="34"/>
      <c r="Y42" s="34"/>
      <c r="Z42" s="52"/>
      <c r="AA42" s="34"/>
      <c r="AB42" s="34"/>
      <c r="AC42" s="34"/>
      <c r="AD42" s="34"/>
      <c r="AE42" s="34"/>
      <c r="AF42" s="34"/>
      <c r="AG42" s="34"/>
      <c r="AH42" s="34"/>
      <c r="AI42" s="34"/>
      <c r="AJ42" s="34"/>
      <c r="AK42" s="38"/>
      <c r="AL42" s="34"/>
      <c r="AM42" s="34"/>
      <c r="AN42" s="34"/>
      <c r="AO42" s="34"/>
      <c r="AP42" s="34"/>
      <c r="AQ42" s="34"/>
      <c r="AR42" s="34"/>
      <c r="AS42" s="34"/>
      <c r="AT42" s="34"/>
      <c r="AU42" s="34"/>
      <c r="AV42" s="34"/>
      <c r="AW42" s="34"/>
      <c r="AX42" s="34"/>
      <c r="AY42" s="34"/>
      <c r="AZ42" s="34"/>
      <c r="BA42" s="33">
        <f t="shared" si="0"/>
        <v>10683.595600000001</v>
      </c>
      <c r="BB42" s="43"/>
    </row>
    <row r="43" spans="1:54" s="23" customFormat="1" ht="49.5" customHeight="1" x14ac:dyDescent="0.3">
      <c r="A43" s="26">
        <v>26</v>
      </c>
      <c r="B43" s="43" t="s">
        <v>1685</v>
      </c>
      <c r="C43" s="28"/>
      <c r="D43" s="300" t="s">
        <v>1686</v>
      </c>
      <c r="E43" s="92">
        <v>4</v>
      </c>
      <c r="F43" s="30"/>
      <c r="G43" s="112">
        <f>[1]DICIEMBRE!$BA$45</f>
        <v>0</v>
      </c>
      <c r="H43" s="45">
        <f>ENERO!BA43</f>
        <v>1.2000000001535227E-3</v>
      </c>
      <c r="I43" s="31">
        <f>FEBRERO!AX44</f>
        <v>-3.9999999989959178E-4</v>
      </c>
      <c r="J43" s="32"/>
      <c r="K43" s="32"/>
      <c r="L43" s="32"/>
      <c r="M43" s="32"/>
      <c r="N43" s="336"/>
      <c r="O43" s="32"/>
      <c r="P43" s="31"/>
      <c r="Q43" s="31"/>
      <c r="R43" s="31"/>
      <c r="S43" s="34">
        <f>(290*0.16+290)*E43</f>
        <v>1345.6</v>
      </c>
      <c r="T43" s="34"/>
      <c r="U43" s="34"/>
      <c r="V43" s="34"/>
      <c r="W43" s="34"/>
      <c r="X43" s="34"/>
      <c r="Y43" s="34"/>
      <c r="Z43" s="52"/>
      <c r="AA43" s="34"/>
      <c r="AB43" s="34"/>
      <c r="AC43" s="34"/>
      <c r="AD43" s="34"/>
      <c r="AE43" s="34"/>
      <c r="AF43" s="34"/>
      <c r="AG43" s="34"/>
      <c r="AH43" s="34">
        <v>1345.6</v>
      </c>
      <c r="AI43" s="34"/>
      <c r="AJ43" s="34"/>
      <c r="AK43" s="38"/>
      <c r="AL43" s="34"/>
      <c r="AM43" s="34"/>
      <c r="AN43" s="34"/>
      <c r="AO43" s="34"/>
      <c r="AP43" s="34"/>
      <c r="AQ43" s="34"/>
      <c r="AR43" s="34"/>
      <c r="AS43" s="34"/>
      <c r="AT43" s="34"/>
      <c r="AU43" s="34"/>
      <c r="AV43" s="34"/>
      <c r="AW43" s="34"/>
      <c r="AX43" s="34"/>
      <c r="AY43" s="34"/>
      <c r="AZ43" s="34"/>
      <c r="BA43" s="33">
        <f t="shared" si="0"/>
        <v>-3.9999999989959178E-4</v>
      </c>
      <c r="BB43" s="43" t="s">
        <v>2452</v>
      </c>
    </row>
    <row r="44" spans="1:54" s="23" customFormat="1" ht="54.75" customHeight="1" x14ac:dyDescent="0.3">
      <c r="A44" s="26">
        <v>27</v>
      </c>
      <c r="B44" s="43" t="s">
        <v>1493</v>
      </c>
      <c r="C44" s="28"/>
      <c r="D44" s="298" t="s">
        <v>1504</v>
      </c>
      <c r="E44" s="92">
        <v>18</v>
      </c>
      <c r="F44" s="30" t="s">
        <v>30</v>
      </c>
      <c r="G44" s="234">
        <f>[1]DICIEMBRE!$BA$46</f>
        <v>9.0949470177292824E-13</v>
      </c>
      <c r="H44" s="31">
        <f>ENERO!BA44</f>
        <v>9.0949470177292824E-13</v>
      </c>
      <c r="I44" s="31">
        <f>FEBRERO!AX45</f>
        <v>2.0000000004074536E-3</v>
      </c>
      <c r="J44" s="32"/>
      <c r="K44" s="32"/>
      <c r="L44" s="32"/>
      <c r="M44" s="32"/>
      <c r="N44" s="336"/>
      <c r="O44" s="32"/>
      <c r="P44" s="31"/>
      <c r="Q44" s="31"/>
      <c r="R44" s="31"/>
      <c r="S44" s="34">
        <f>(300*0.16+300)*E44</f>
        <v>6264</v>
      </c>
      <c r="T44" s="34"/>
      <c r="U44" s="34"/>
      <c r="V44" s="34"/>
      <c r="W44" s="34"/>
      <c r="X44" s="34"/>
      <c r="Y44" s="34"/>
      <c r="Z44" s="52"/>
      <c r="AA44" s="34"/>
      <c r="AB44" s="34"/>
      <c r="AC44" s="34"/>
      <c r="AD44" s="34"/>
      <c r="AE44" s="34">
        <v>6264</v>
      </c>
      <c r="AF44" s="34"/>
      <c r="AG44" s="34"/>
      <c r="AH44" s="34"/>
      <c r="AI44" s="34"/>
      <c r="AJ44" s="34"/>
      <c r="AK44" s="38"/>
      <c r="AL44" s="34"/>
      <c r="AM44" s="34"/>
      <c r="AN44" s="34"/>
      <c r="AO44" s="34"/>
      <c r="AP44" s="34"/>
      <c r="AQ44" s="34"/>
      <c r="AR44" s="34"/>
      <c r="AS44" s="34"/>
      <c r="AT44" s="34"/>
      <c r="AU44" s="34"/>
      <c r="AV44" s="34"/>
      <c r="AW44" s="34"/>
      <c r="AX44" s="34"/>
      <c r="AY44" s="34"/>
      <c r="AZ44" s="34"/>
      <c r="BA44" s="33">
        <f t="shared" si="0"/>
        <v>2.0000000004074536E-3</v>
      </c>
      <c r="BB44" s="43"/>
    </row>
    <row r="45" spans="1:54" s="23" customFormat="1" ht="69.75" customHeight="1" x14ac:dyDescent="0.3">
      <c r="A45" s="26">
        <v>28</v>
      </c>
      <c r="B45" s="43" t="s">
        <v>1936</v>
      </c>
      <c r="C45" s="28"/>
      <c r="D45" s="300" t="s">
        <v>1960</v>
      </c>
      <c r="E45" s="92">
        <v>22</v>
      </c>
      <c r="F45" s="30" t="s">
        <v>30</v>
      </c>
      <c r="G45" s="234"/>
      <c r="H45" s="31">
        <f>ENERO!BA45</f>
        <v>9604.7999999999993</v>
      </c>
      <c r="I45" s="31">
        <f>FEBRERO!AX46</f>
        <v>1380.8639999999996</v>
      </c>
      <c r="J45" s="32"/>
      <c r="K45" s="32"/>
      <c r="L45" s="32"/>
      <c r="M45" s="32"/>
      <c r="N45" s="336"/>
      <c r="O45" s="32"/>
      <c r="P45" s="31"/>
      <c r="Q45" s="31"/>
      <c r="R45" s="31"/>
      <c r="S45" s="34">
        <f>(279*0.16+279)*E45</f>
        <v>7120.08</v>
      </c>
      <c r="T45" s="34">
        <f>(549*0.16+549)*2</f>
        <v>1273.68</v>
      </c>
      <c r="U45" s="34"/>
      <c r="V45" s="34">
        <v>1380.86</v>
      </c>
      <c r="W45" s="34"/>
      <c r="X45" s="34"/>
      <c r="Y45" s="34"/>
      <c r="Z45" s="52"/>
      <c r="AA45" s="34"/>
      <c r="AB45" s="34"/>
      <c r="AC45" s="34"/>
      <c r="AD45" s="34"/>
      <c r="AE45" s="34"/>
      <c r="AF45" s="34"/>
      <c r="AG45" s="34"/>
      <c r="AH45" s="34"/>
      <c r="AI45" s="34"/>
      <c r="AJ45" s="34"/>
      <c r="AK45" s="38">
        <v>8393.76</v>
      </c>
      <c r="AL45" s="34"/>
      <c r="AM45" s="34"/>
      <c r="AN45" s="34"/>
      <c r="AO45" s="34"/>
      <c r="AP45" s="34"/>
      <c r="AQ45" s="34"/>
      <c r="AR45" s="34"/>
      <c r="AS45" s="34"/>
      <c r="AT45" s="34"/>
      <c r="AU45" s="34"/>
      <c r="AV45" s="34"/>
      <c r="AW45" s="34"/>
      <c r="AX45" s="34"/>
      <c r="AY45" s="34"/>
      <c r="AZ45" s="34"/>
      <c r="BA45" s="33">
        <f t="shared" si="0"/>
        <v>3.9999999989959178E-3</v>
      </c>
      <c r="BB45" s="43" t="s">
        <v>2441</v>
      </c>
    </row>
    <row r="46" spans="1:54" s="23" customFormat="1" ht="61.5" customHeight="1" x14ac:dyDescent="0.3">
      <c r="A46" s="26">
        <v>29</v>
      </c>
      <c r="B46" s="27" t="s">
        <v>42</v>
      </c>
      <c r="C46" s="28" t="s">
        <v>253</v>
      </c>
      <c r="D46" s="298" t="s">
        <v>1313</v>
      </c>
      <c r="E46" s="92">
        <v>14</v>
      </c>
      <c r="F46" s="40" t="s">
        <v>30</v>
      </c>
      <c r="G46" s="234">
        <f>[1]DICIEMBRE!$BA$50</f>
        <v>-3.9999999899009708E-4</v>
      </c>
      <c r="H46" s="45">
        <f>ENERO!BA46</f>
        <v>-3.9999999899009708E-4</v>
      </c>
      <c r="I46" s="45">
        <f>FEBRERO!AX47</f>
        <v>-3.9999999899009708E-4</v>
      </c>
      <c r="J46" s="32"/>
      <c r="K46" s="33"/>
      <c r="L46" s="336"/>
      <c r="M46" s="336"/>
      <c r="N46" s="32"/>
      <c r="O46" s="32"/>
      <c r="P46" s="31"/>
      <c r="Q46" s="31"/>
      <c r="R46" s="31"/>
      <c r="S46" s="34">
        <f>(250*0.16+250)*E46</f>
        <v>4060</v>
      </c>
      <c r="T46" s="34"/>
      <c r="U46" s="34"/>
      <c r="V46" s="35"/>
      <c r="W46" s="54"/>
      <c r="X46" s="35"/>
      <c r="Y46" s="35">
        <v>4060</v>
      </c>
      <c r="Z46" s="35"/>
      <c r="AA46" s="35"/>
      <c r="AB46" s="35"/>
      <c r="AC46" s="35"/>
      <c r="AD46" s="35"/>
      <c r="AE46" s="35"/>
      <c r="AF46" s="35"/>
      <c r="AG46" s="35"/>
      <c r="AH46" s="35"/>
      <c r="AI46" s="36"/>
      <c r="AJ46" s="35"/>
      <c r="AK46" s="35"/>
      <c r="AL46" s="35"/>
      <c r="AM46" s="35"/>
      <c r="AN46" s="35"/>
      <c r="AO46" s="35"/>
      <c r="AP46" s="35"/>
      <c r="AQ46" s="35"/>
      <c r="AR46" s="35"/>
      <c r="AS46" s="35"/>
      <c r="AT46" s="35"/>
      <c r="AU46" s="35"/>
      <c r="AV46" s="35"/>
      <c r="AW46" s="35"/>
      <c r="AX46" s="35"/>
      <c r="AY46" s="35"/>
      <c r="AZ46" s="35"/>
      <c r="BA46" s="33">
        <f t="shared" si="0"/>
        <v>-3.9999999899009708E-4</v>
      </c>
      <c r="BB46" s="267"/>
    </row>
    <row r="47" spans="1:54" s="23" customFormat="1" ht="66" customHeight="1" x14ac:dyDescent="0.3">
      <c r="A47" s="26">
        <v>30</v>
      </c>
      <c r="B47" s="27" t="s">
        <v>2322</v>
      </c>
      <c r="C47" s="28" t="s">
        <v>44</v>
      </c>
      <c r="D47" s="298" t="s">
        <v>1211</v>
      </c>
      <c r="E47" s="92">
        <v>1</v>
      </c>
      <c r="F47" s="30" t="s">
        <v>30</v>
      </c>
      <c r="G47" s="234">
        <f>[1]DICIEMBRE!$BA$52</f>
        <v>0</v>
      </c>
      <c r="H47" s="31">
        <f>ENERO!BA47</f>
        <v>0</v>
      </c>
      <c r="I47" s="31">
        <f>FEBRERO!AX48</f>
        <v>0</v>
      </c>
      <c r="J47" s="32"/>
      <c r="K47" s="32"/>
      <c r="L47" s="32"/>
      <c r="M47" s="32"/>
      <c r="N47" s="336"/>
      <c r="O47" s="32"/>
      <c r="P47" s="31"/>
      <c r="Q47" s="31"/>
      <c r="R47" s="31"/>
      <c r="S47" s="34">
        <v>348</v>
      </c>
      <c r="T47" s="35"/>
      <c r="U47" s="35"/>
      <c r="V47" s="35"/>
      <c r="W47" s="35"/>
      <c r="X47" s="35"/>
      <c r="Y47" s="35"/>
      <c r="Z47" s="35"/>
      <c r="AA47" s="35"/>
      <c r="AB47" s="35"/>
      <c r="AC47" s="35"/>
      <c r="AD47" s="35"/>
      <c r="AE47" s="35"/>
      <c r="AF47" s="35"/>
      <c r="AG47" s="35"/>
      <c r="AH47" s="35"/>
      <c r="AI47" s="35"/>
      <c r="AJ47" s="35"/>
      <c r="AK47" s="42"/>
      <c r="AL47" s="35"/>
      <c r="AM47" s="35"/>
      <c r="AN47" s="35"/>
      <c r="AO47" s="35"/>
      <c r="AP47" s="35">
        <v>348</v>
      </c>
      <c r="AQ47" s="35"/>
      <c r="AR47" s="35"/>
      <c r="AS47" s="35"/>
      <c r="AT47" s="35"/>
      <c r="AU47" s="35"/>
      <c r="AV47" s="35"/>
      <c r="AW47" s="35"/>
      <c r="AX47" s="35"/>
      <c r="AY47" s="35"/>
      <c r="AZ47" s="35"/>
      <c r="BA47" s="33">
        <f t="shared" si="0"/>
        <v>0</v>
      </c>
      <c r="BB47" s="43"/>
    </row>
    <row r="48" spans="1:54" s="23" customFormat="1" ht="57" customHeight="1" x14ac:dyDescent="0.3">
      <c r="A48" s="26">
        <v>31</v>
      </c>
      <c r="B48" s="27" t="s">
        <v>45</v>
      </c>
      <c r="C48" s="27" t="s">
        <v>46</v>
      </c>
      <c r="D48" s="298" t="s">
        <v>1211</v>
      </c>
      <c r="E48" s="92">
        <v>2</v>
      </c>
      <c r="F48" s="30" t="s">
        <v>30</v>
      </c>
      <c r="G48" s="112">
        <f>[1]DICIEMBRE!$BA$53</f>
        <v>0</v>
      </c>
      <c r="H48" s="31">
        <f>ENERO!BA48</f>
        <v>0</v>
      </c>
      <c r="I48" s="31">
        <f>FEBRERO!AX49</f>
        <v>0</v>
      </c>
      <c r="J48" s="32"/>
      <c r="K48" s="33"/>
      <c r="L48" s="336"/>
      <c r="M48" s="336"/>
      <c r="N48" s="32"/>
      <c r="O48" s="32"/>
      <c r="P48" s="33"/>
      <c r="Q48" s="31"/>
      <c r="R48" s="31"/>
      <c r="S48" s="34">
        <v>696</v>
      </c>
      <c r="T48" s="35"/>
      <c r="U48" s="35"/>
      <c r="V48" s="35"/>
      <c r="W48" s="35"/>
      <c r="X48" s="35"/>
      <c r="Y48" s="35"/>
      <c r="Z48" s="35"/>
      <c r="AA48" s="35"/>
      <c r="AB48" s="35">
        <v>696</v>
      </c>
      <c r="AC48" s="35"/>
      <c r="AD48" s="35"/>
      <c r="AE48" s="35"/>
      <c r="AF48" s="35"/>
      <c r="AG48" s="35"/>
      <c r="AH48" s="35"/>
      <c r="AI48" s="35"/>
      <c r="AJ48" s="35"/>
      <c r="AK48" s="42"/>
      <c r="AL48" s="35"/>
      <c r="AM48" s="35"/>
      <c r="AN48" s="35"/>
      <c r="AO48" s="35"/>
      <c r="AP48" s="35"/>
      <c r="AQ48" s="35"/>
      <c r="AR48" s="35"/>
      <c r="AS48" s="35"/>
      <c r="AT48" s="35"/>
      <c r="AU48" s="35"/>
      <c r="AV48" s="35"/>
      <c r="AW48" s="35"/>
      <c r="AX48" s="35"/>
      <c r="AY48" s="35"/>
      <c r="AZ48" s="35"/>
      <c r="BA48" s="33">
        <f t="shared" si="0"/>
        <v>0</v>
      </c>
      <c r="BB48" s="43"/>
    </row>
    <row r="49" spans="1:54" s="23" customFormat="1" ht="65.25" customHeight="1" x14ac:dyDescent="0.3">
      <c r="A49" s="26">
        <v>32</v>
      </c>
      <c r="B49" s="43" t="s">
        <v>1458</v>
      </c>
      <c r="C49" s="27"/>
      <c r="D49" s="298" t="s">
        <v>1507</v>
      </c>
      <c r="E49" s="92">
        <v>3</v>
      </c>
      <c r="F49" s="30" t="s">
        <v>30</v>
      </c>
      <c r="G49" s="234">
        <f>[1]DICIEMBRE!$BA$54</f>
        <v>0</v>
      </c>
      <c r="H49" s="45">
        <f>ENERO!BA49</f>
        <v>0</v>
      </c>
      <c r="I49" s="31">
        <f>FEBRERO!AX50</f>
        <v>0</v>
      </c>
      <c r="J49" s="32"/>
      <c r="K49" s="33"/>
      <c r="L49" s="336"/>
      <c r="M49" s="336"/>
      <c r="N49" s="32"/>
      <c r="O49" s="32"/>
      <c r="P49" s="33"/>
      <c r="Q49" s="31"/>
      <c r="R49" s="31"/>
      <c r="S49" s="34">
        <f>(300*0.16+300)*E49</f>
        <v>1044</v>
      </c>
      <c r="T49" s="35"/>
      <c r="U49" s="35"/>
      <c r="V49" s="35"/>
      <c r="W49" s="35"/>
      <c r="X49" s="35"/>
      <c r="Y49" s="35"/>
      <c r="Z49" s="35"/>
      <c r="AA49" s="35"/>
      <c r="AB49" s="35"/>
      <c r="AC49" s="35"/>
      <c r="AD49" s="35"/>
      <c r="AE49" s="35"/>
      <c r="AF49" s="35"/>
      <c r="AG49" s="35">
        <v>1044</v>
      </c>
      <c r="AH49" s="35"/>
      <c r="AI49" s="35"/>
      <c r="AJ49" s="35"/>
      <c r="AK49" s="42"/>
      <c r="AL49" s="35"/>
      <c r="AM49" s="35"/>
      <c r="AN49" s="35"/>
      <c r="AO49" s="35"/>
      <c r="AP49" s="35"/>
      <c r="AQ49" s="35"/>
      <c r="AR49" s="35"/>
      <c r="AS49" s="35"/>
      <c r="AT49" s="35"/>
      <c r="AU49" s="35"/>
      <c r="AV49" s="35"/>
      <c r="AW49" s="35"/>
      <c r="AX49" s="35"/>
      <c r="AY49" s="35"/>
      <c r="AZ49" s="35"/>
      <c r="BA49" s="33">
        <f t="shared" si="0"/>
        <v>0</v>
      </c>
      <c r="BB49" s="43"/>
    </row>
    <row r="50" spans="1:54" s="23" customFormat="1" ht="71.25" customHeight="1" x14ac:dyDescent="0.3">
      <c r="A50" s="26">
        <v>33</v>
      </c>
      <c r="B50" s="27" t="s">
        <v>40</v>
      </c>
      <c r="C50" s="28" t="s">
        <v>41</v>
      </c>
      <c r="D50" s="298" t="s">
        <v>1210</v>
      </c>
      <c r="E50" s="92">
        <v>3</v>
      </c>
      <c r="F50" s="30" t="s">
        <v>30</v>
      </c>
      <c r="G50" s="112">
        <f>[1]DICIEMBRE!$BA$49</f>
        <v>0</v>
      </c>
      <c r="H50" s="31">
        <f>ENERO!BA50</f>
        <v>0</v>
      </c>
      <c r="I50" s="45">
        <f>FEBRERO!AX51</f>
        <v>0</v>
      </c>
      <c r="J50" s="46"/>
      <c r="K50" s="32"/>
      <c r="L50" s="32"/>
      <c r="M50" s="32"/>
      <c r="N50" s="336"/>
      <c r="O50" s="32"/>
      <c r="P50" s="33"/>
      <c r="Q50" s="31"/>
      <c r="R50" s="31"/>
      <c r="S50" s="34">
        <f>(300*0.16+300)*E50</f>
        <v>1044</v>
      </c>
      <c r="T50" s="34"/>
      <c r="U50" s="34"/>
      <c r="V50" s="34"/>
      <c r="W50" s="34"/>
      <c r="X50" s="34"/>
      <c r="Y50" s="34"/>
      <c r="Z50" s="52"/>
      <c r="AA50" s="34"/>
      <c r="AB50" s="34"/>
      <c r="AC50" s="34"/>
      <c r="AD50" s="34"/>
      <c r="AE50" s="34"/>
      <c r="AF50" s="34"/>
      <c r="AG50" s="34"/>
      <c r="AH50" s="34"/>
      <c r="AI50" s="34">
        <v>1044</v>
      </c>
      <c r="AJ50" s="34"/>
      <c r="AK50" s="38"/>
      <c r="AL50" s="34"/>
      <c r="AM50" s="34"/>
      <c r="AN50" s="34"/>
      <c r="AO50" s="34"/>
      <c r="AP50" s="34"/>
      <c r="AQ50" s="34"/>
      <c r="AR50" s="34"/>
      <c r="AS50" s="34"/>
      <c r="AT50" s="34"/>
      <c r="AU50" s="34"/>
      <c r="AV50" s="34"/>
      <c r="AW50" s="34"/>
      <c r="AX50" s="34"/>
      <c r="AY50" s="34"/>
      <c r="AZ50" s="34"/>
      <c r="BA50" s="33">
        <f t="shared" si="0"/>
        <v>0</v>
      </c>
      <c r="BB50" s="43"/>
    </row>
    <row r="51" spans="1:54" s="23" customFormat="1" ht="71.25" customHeight="1" x14ac:dyDescent="0.3">
      <c r="A51" s="26">
        <v>34</v>
      </c>
      <c r="B51" s="43" t="s">
        <v>2458</v>
      </c>
      <c r="C51" s="28"/>
      <c r="D51" s="300" t="s">
        <v>2457</v>
      </c>
      <c r="E51" s="93">
        <v>1</v>
      </c>
      <c r="F51" s="40" t="s">
        <v>30</v>
      </c>
      <c r="G51" s="112"/>
      <c r="H51" s="31"/>
      <c r="I51" s="45"/>
      <c r="J51" s="46"/>
      <c r="K51" s="32"/>
      <c r="L51" s="32"/>
      <c r="M51" s="32"/>
      <c r="N51" s="336"/>
      <c r="O51" s="32"/>
      <c r="P51" s="33"/>
      <c r="Q51" s="31"/>
      <c r="R51" s="31"/>
      <c r="S51" s="34">
        <f>(250*0.16+250)*E51</f>
        <v>290</v>
      </c>
      <c r="T51" s="34">
        <f>2200*0.16+2200</f>
        <v>2552</v>
      </c>
      <c r="U51" s="34"/>
      <c r="V51" s="34"/>
      <c r="W51" s="34"/>
      <c r="X51" s="34"/>
      <c r="Y51" s="34"/>
      <c r="Z51" s="52"/>
      <c r="AA51" s="34"/>
      <c r="AB51" s="34"/>
      <c r="AC51" s="34"/>
      <c r="AD51" s="34"/>
      <c r="AE51" s="34"/>
      <c r="AF51" s="34"/>
      <c r="AG51" s="34"/>
      <c r="AH51" s="34"/>
      <c r="AI51" s="34"/>
      <c r="AJ51" s="34"/>
      <c r="AK51" s="38"/>
      <c r="AL51" s="34"/>
      <c r="AM51" s="34"/>
      <c r="AN51" s="34"/>
      <c r="AO51" s="34">
        <v>2842</v>
      </c>
      <c r="AP51" s="34"/>
      <c r="AQ51" s="34"/>
      <c r="AR51" s="34"/>
      <c r="AS51" s="34"/>
      <c r="AT51" s="34"/>
      <c r="AU51" s="34"/>
      <c r="AV51" s="34"/>
      <c r="AW51" s="34"/>
      <c r="AX51" s="34"/>
      <c r="AY51" s="34"/>
      <c r="AZ51" s="34"/>
      <c r="BA51" s="33">
        <f t="shared" si="0"/>
        <v>0</v>
      </c>
      <c r="BB51" s="43" t="s">
        <v>2459</v>
      </c>
    </row>
    <row r="52" spans="1:54" s="23" customFormat="1" ht="78" customHeight="1" x14ac:dyDescent="0.3">
      <c r="A52" s="26">
        <v>35</v>
      </c>
      <c r="B52" s="43" t="s">
        <v>780</v>
      </c>
      <c r="C52" s="27"/>
      <c r="D52" s="298" t="s">
        <v>1248</v>
      </c>
      <c r="E52" s="92">
        <v>4</v>
      </c>
      <c r="F52" s="30" t="s">
        <v>30</v>
      </c>
      <c r="G52" s="234">
        <f>[1]DICIEMBRE!$BA$56</f>
        <v>0</v>
      </c>
      <c r="H52" s="31">
        <f>ENERO!BA51</f>
        <v>0</v>
      </c>
      <c r="I52" s="31">
        <f>FEBRERO!AX52</f>
        <v>0</v>
      </c>
      <c r="J52" s="32"/>
      <c r="K52" s="32"/>
      <c r="L52" s="32"/>
      <c r="M52" s="32"/>
      <c r="N52" s="336"/>
      <c r="O52" s="32"/>
      <c r="P52" s="33"/>
      <c r="Q52" s="31"/>
      <c r="R52" s="31"/>
      <c r="S52" s="34">
        <f>(300*0.16+300)*E52</f>
        <v>1392</v>
      </c>
      <c r="T52" s="35"/>
      <c r="U52" s="35"/>
      <c r="V52" s="35"/>
      <c r="W52" s="35"/>
      <c r="X52" s="35"/>
      <c r="Y52" s="35">
        <v>1392</v>
      </c>
      <c r="Z52" s="35"/>
      <c r="AA52" s="35"/>
      <c r="AB52" s="35"/>
      <c r="AC52" s="35"/>
      <c r="AD52" s="35"/>
      <c r="AE52" s="35"/>
      <c r="AF52" s="35"/>
      <c r="AG52" s="35"/>
      <c r="AH52" s="35"/>
      <c r="AI52" s="35"/>
      <c r="AJ52" s="35"/>
      <c r="AK52" s="42"/>
      <c r="AL52" s="35"/>
      <c r="AM52" s="35"/>
      <c r="AN52" s="35"/>
      <c r="AO52" s="35"/>
      <c r="AP52" s="35"/>
      <c r="AQ52" s="35"/>
      <c r="AR52" s="35"/>
      <c r="AS52" s="35"/>
      <c r="AT52" s="35"/>
      <c r="AU52" s="35"/>
      <c r="AV52" s="35"/>
      <c r="AW52" s="35"/>
      <c r="AX52" s="35"/>
      <c r="AY52" s="35"/>
      <c r="AZ52" s="35"/>
      <c r="BA52" s="33">
        <f t="shared" si="0"/>
        <v>0</v>
      </c>
      <c r="BB52" s="43"/>
    </row>
    <row r="53" spans="1:54" s="23" customFormat="1" ht="54.75" customHeight="1" x14ac:dyDescent="0.3">
      <c r="A53" s="26">
        <v>36</v>
      </c>
      <c r="B53" s="43" t="s">
        <v>1731</v>
      </c>
      <c r="C53" s="28" t="s">
        <v>558</v>
      </c>
      <c r="D53" s="298" t="s">
        <v>2358</v>
      </c>
      <c r="E53" s="92">
        <v>3</v>
      </c>
      <c r="F53" s="30" t="s">
        <v>30</v>
      </c>
      <c r="G53" s="112">
        <f>[1]DICIEMBRE!$BA$39</f>
        <v>9.0949470177292824E-13</v>
      </c>
      <c r="H53" s="45">
        <f>ENERO!BA52</f>
        <v>9.0949470177292824E-13</v>
      </c>
      <c r="I53" s="31">
        <f>FEBRERO!AX53</f>
        <v>9.0949470177292824E-13</v>
      </c>
      <c r="J53" s="32"/>
      <c r="K53" s="32"/>
      <c r="L53" s="32"/>
      <c r="M53" s="32"/>
      <c r="N53" s="336"/>
      <c r="O53" s="32"/>
      <c r="P53" s="33"/>
      <c r="Q53" s="31"/>
      <c r="R53" s="31"/>
      <c r="S53" s="34">
        <f>(250*0.16+250)*E53</f>
        <v>870</v>
      </c>
      <c r="T53" s="34"/>
      <c r="U53" s="34"/>
      <c r="V53" s="34"/>
      <c r="W53" s="34"/>
      <c r="X53" s="34"/>
      <c r="Y53" s="34">
        <v>870</v>
      </c>
      <c r="Z53" s="52"/>
      <c r="AA53" s="34"/>
      <c r="AB53" s="34"/>
      <c r="AC53" s="34"/>
      <c r="AD53" s="34"/>
      <c r="AE53" s="34"/>
      <c r="AF53" s="34"/>
      <c r="AG53" s="34"/>
      <c r="AH53" s="34"/>
      <c r="AI53" s="34"/>
      <c r="AJ53" s="34"/>
      <c r="AK53" s="38"/>
      <c r="AL53" s="34"/>
      <c r="AM53" s="34"/>
      <c r="AN53" s="34"/>
      <c r="AO53" s="34"/>
      <c r="AP53" s="34"/>
      <c r="AQ53" s="34"/>
      <c r="AR53" s="34"/>
      <c r="AS53" s="34"/>
      <c r="AT53" s="34"/>
      <c r="AU53" s="34"/>
      <c r="AV53" s="34"/>
      <c r="AW53" s="34"/>
      <c r="AX53" s="34"/>
      <c r="AY53" s="34"/>
      <c r="AZ53" s="34"/>
      <c r="BA53" s="33">
        <f t="shared" si="0"/>
        <v>9.0949470177292824E-13</v>
      </c>
      <c r="BB53" s="43"/>
    </row>
    <row r="54" spans="1:54" s="23" customFormat="1" ht="42.75" customHeight="1" x14ac:dyDescent="0.3">
      <c r="A54" s="26">
        <v>37</v>
      </c>
      <c r="B54" s="43" t="s">
        <v>1733</v>
      </c>
      <c r="C54" s="28" t="s">
        <v>559</v>
      </c>
      <c r="D54" s="298" t="s">
        <v>1219</v>
      </c>
      <c r="E54" s="92">
        <v>1</v>
      </c>
      <c r="F54" s="30" t="s">
        <v>30</v>
      </c>
      <c r="G54" s="112">
        <f>[1]DICIEMBRE!$BA$67</f>
        <v>0</v>
      </c>
      <c r="H54" s="31">
        <f>ENERO!BA53</f>
        <v>0</v>
      </c>
      <c r="I54" s="31">
        <f>FEBRERO!AX54</f>
        <v>0</v>
      </c>
      <c r="J54" s="32"/>
      <c r="K54" s="32"/>
      <c r="L54" s="32"/>
      <c r="M54" s="336"/>
      <c r="N54" s="32"/>
      <c r="O54" s="32"/>
      <c r="P54" s="31"/>
      <c r="Q54" s="31"/>
      <c r="R54" s="31"/>
      <c r="S54" s="34">
        <f>(300*0.16+300)*E54</f>
        <v>348</v>
      </c>
      <c r="T54" s="34"/>
      <c r="U54" s="34"/>
      <c r="V54" s="35"/>
      <c r="W54" s="35"/>
      <c r="X54" s="35"/>
      <c r="Y54" s="35"/>
      <c r="Z54" s="35"/>
      <c r="AA54" s="35"/>
      <c r="AB54" s="35"/>
      <c r="AC54" s="35"/>
      <c r="AD54" s="35"/>
      <c r="AE54" s="35"/>
      <c r="AF54" s="35"/>
      <c r="AG54" s="35"/>
      <c r="AH54" s="35"/>
      <c r="AI54" s="35">
        <v>348</v>
      </c>
      <c r="AJ54" s="35"/>
      <c r="AK54" s="35"/>
      <c r="AL54" s="35"/>
      <c r="AM54" s="35"/>
      <c r="AN54" s="35"/>
      <c r="AO54" s="35"/>
      <c r="AP54" s="35"/>
      <c r="AQ54" s="35"/>
      <c r="AR54" s="35"/>
      <c r="AS54" s="35"/>
      <c r="AT54" s="35"/>
      <c r="AU54" s="35"/>
      <c r="AV54" s="35"/>
      <c r="AW54" s="35"/>
      <c r="AX54" s="35"/>
      <c r="AY54" s="35"/>
      <c r="AZ54" s="35"/>
      <c r="BA54" s="33">
        <f t="shared" si="0"/>
        <v>0</v>
      </c>
      <c r="BB54" s="43"/>
    </row>
    <row r="55" spans="1:54" s="23" customFormat="1" ht="67.5" customHeight="1" x14ac:dyDescent="0.3">
      <c r="A55" s="26">
        <v>38</v>
      </c>
      <c r="B55" s="43" t="s">
        <v>1734</v>
      </c>
      <c r="C55" s="28" t="s">
        <v>246</v>
      </c>
      <c r="D55" s="298" t="s">
        <v>1653</v>
      </c>
      <c r="E55" s="92">
        <v>4</v>
      </c>
      <c r="F55" s="30" t="s">
        <v>30</v>
      </c>
      <c r="G55" s="234">
        <f>[1]DICIEMBRE!$BA$26</f>
        <v>3.2000000055631972E-3</v>
      </c>
      <c r="H55" s="31">
        <f>ENERO!BA54</f>
        <v>3.2000000057905709E-3</v>
      </c>
      <c r="I55" s="45">
        <f>FEBRERO!AX55</f>
        <v>3.2000000060179445E-3</v>
      </c>
      <c r="J55" s="32"/>
      <c r="K55" s="32"/>
      <c r="L55" s="32"/>
      <c r="M55" s="32"/>
      <c r="N55" s="32"/>
      <c r="O55" s="32"/>
      <c r="P55" s="33"/>
      <c r="Q55" s="31"/>
      <c r="R55" s="31"/>
      <c r="S55" s="38">
        <f>(349*0.16+349)*E55</f>
        <v>1619.3600000000001</v>
      </c>
      <c r="T55" s="39"/>
      <c r="U55" s="39"/>
      <c r="V55" s="37"/>
      <c r="W55" s="37"/>
      <c r="X55" s="37"/>
      <c r="Y55" s="37"/>
      <c r="Z55" s="37"/>
      <c r="AA55" s="37"/>
      <c r="AB55" s="37"/>
      <c r="AC55" s="37"/>
      <c r="AD55" s="37"/>
      <c r="AE55" s="37"/>
      <c r="AF55" s="37"/>
      <c r="AG55" s="37"/>
      <c r="AH55" s="37">
        <v>1619.36</v>
      </c>
      <c r="AI55" s="37"/>
      <c r="AJ55" s="37"/>
      <c r="AK55" s="35"/>
      <c r="AL55" s="37"/>
      <c r="AM55" s="37"/>
      <c r="AN55" s="37"/>
      <c r="AO55" s="37"/>
      <c r="AP55" s="37"/>
      <c r="AQ55" s="37"/>
      <c r="AR55" s="37"/>
      <c r="AS55" s="37"/>
      <c r="AT55" s="37"/>
      <c r="AU55" s="37"/>
      <c r="AV55" s="37"/>
      <c r="AW55" s="37"/>
      <c r="AX55" s="37"/>
      <c r="AY55" s="37"/>
      <c r="AZ55" s="37"/>
      <c r="BA55" s="33">
        <f t="shared" si="0"/>
        <v>3.2000000062453182E-3</v>
      </c>
      <c r="BB55" s="43"/>
    </row>
    <row r="56" spans="1:54" s="23" customFormat="1" ht="59.25" customHeight="1" x14ac:dyDescent="0.3">
      <c r="A56" s="26">
        <v>39</v>
      </c>
      <c r="B56" s="43" t="s">
        <v>1415</v>
      </c>
      <c r="C56" s="27"/>
      <c r="D56" s="249" t="s">
        <v>1508</v>
      </c>
      <c r="E56" s="92">
        <v>14</v>
      </c>
      <c r="F56" s="30" t="s">
        <v>30</v>
      </c>
      <c r="G56" s="234">
        <f>[1]DICIEMBRE!$BA$58</f>
        <v>1525.006400000002</v>
      </c>
      <c r="H56" s="45">
        <f>ENERO!BA55</f>
        <v>-3.5999999979594577E-3</v>
      </c>
      <c r="I56" s="31">
        <f>FEBRERO!AX56</f>
        <v>-3.5999999981868314E-3</v>
      </c>
      <c r="J56" s="32"/>
      <c r="K56" s="32"/>
      <c r="L56" s="32"/>
      <c r="M56" s="32"/>
      <c r="N56" s="336"/>
      <c r="O56" s="32"/>
      <c r="P56" s="33"/>
      <c r="Q56" s="31"/>
      <c r="R56" s="31"/>
      <c r="S56" s="34">
        <f>(250*0.16+250)*E56</f>
        <v>4060</v>
      </c>
      <c r="T56" s="35">
        <f>549*0.16+549</f>
        <v>636.84</v>
      </c>
      <c r="U56" s="35"/>
      <c r="V56" s="35"/>
      <c r="W56" s="35"/>
      <c r="X56" s="35"/>
      <c r="Y56" s="35">
        <v>4696.84</v>
      </c>
      <c r="Z56" s="35"/>
      <c r="AA56" s="35"/>
      <c r="AB56" s="35"/>
      <c r="AC56" s="35"/>
      <c r="AD56" s="35"/>
      <c r="AE56" s="35"/>
      <c r="AF56" s="35"/>
      <c r="AG56" s="35"/>
      <c r="AH56" s="35"/>
      <c r="AI56" s="35"/>
      <c r="AJ56" s="35"/>
      <c r="AK56" s="42"/>
      <c r="AL56" s="35"/>
      <c r="AM56" s="35"/>
      <c r="AN56" s="35"/>
      <c r="AO56" s="35"/>
      <c r="AP56" s="35"/>
      <c r="AQ56" s="35"/>
      <c r="AR56" s="35"/>
      <c r="AS56" s="35"/>
      <c r="AT56" s="35"/>
      <c r="AU56" s="35"/>
      <c r="AV56" s="35"/>
      <c r="AW56" s="35"/>
      <c r="AX56" s="35"/>
      <c r="AY56" s="35"/>
      <c r="AZ56" s="35"/>
      <c r="BA56" s="33">
        <f t="shared" si="0"/>
        <v>-3.5999999981868314E-3</v>
      </c>
      <c r="BB56" s="43" t="s">
        <v>2317</v>
      </c>
    </row>
    <row r="57" spans="1:54" s="23" customFormat="1" ht="68.25" customHeight="1" x14ac:dyDescent="0.3">
      <c r="A57" s="26">
        <v>40</v>
      </c>
      <c r="B57" s="27" t="s">
        <v>1735</v>
      </c>
      <c r="C57" s="28" t="s">
        <v>123</v>
      </c>
      <c r="D57" s="298" t="s">
        <v>1229</v>
      </c>
      <c r="E57" s="94">
        <v>8</v>
      </c>
      <c r="F57" s="44" t="s">
        <v>30</v>
      </c>
      <c r="G57" s="112">
        <f>[1]DICIEMBRE!$BA$85</f>
        <v>4.7999999987951014E-3</v>
      </c>
      <c r="H57" s="31">
        <f>ENERO!BA56</f>
        <v>4.7999999987951014E-3</v>
      </c>
      <c r="I57" s="31">
        <f>FEBRERO!AX57</f>
        <v>4.7999999983403541E-3</v>
      </c>
      <c r="J57" s="32"/>
      <c r="K57" s="32"/>
      <c r="L57" s="32"/>
      <c r="M57" s="32"/>
      <c r="N57" s="336"/>
      <c r="O57" s="32"/>
      <c r="P57" s="33"/>
      <c r="Q57" s="31"/>
      <c r="R57" s="31"/>
      <c r="S57" s="47">
        <f>(220*0.16+220)*E57</f>
        <v>2041.6</v>
      </c>
      <c r="T57" s="75">
        <f>6100*0.16+6100</f>
        <v>7076</v>
      </c>
      <c r="U57" s="78"/>
      <c r="V57" s="35"/>
      <c r="W57" s="35"/>
      <c r="X57" s="35"/>
      <c r="Y57" s="35"/>
      <c r="Z57" s="36"/>
      <c r="AA57" s="35"/>
      <c r="AB57" s="35">
        <v>9117.6</v>
      </c>
      <c r="AC57" s="54"/>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3">
        <f t="shared" si="0"/>
        <v>4.799999996976112E-3</v>
      </c>
      <c r="BB57" s="43" t="s">
        <v>2316</v>
      </c>
    </row>
    <row r="58" spans="1:54" s="23" customFormat="1" ht="54.75" customHeight="1" x14ac:dyDescent="0.3">
      <c r="A58" s="26">
        <v>41</v>
      </c>
      <c r="B58" s="27" t="s">
        <v>48</v>
      </c>
      <c r="C58" s="28" t="s">
        <v>49</v>
      </c>
      <c r="D58" s="298" t="s">
        <v>1214</v>
      </c>
      <c r="E58" s="92">
        <v>4</v>
      </c>
      <c r="F58" s="30" t="s">
        <v>30</v>
      </c>
      <c r="G58" s="234">
        <f>[1]DICIEMBRE!$BA$60</f>
        <v>-4.7999999997045961E-3</v>
      </c>
      <c r="H58" s="31">
        <f>ENERO!BA57</f>
        <v>-4.7999999997045961E-3</v>
      </c>
      <c r="I58" s="31">
        <f>FEBRERO!AX58</f>
        <v>-4.7999999997045961E-3</v>
      </c>
      <c r="J58" s="32"/>
      <c r="K58" s="32"/>
      <c r="L58" s="32"/>
      <c r="M58" s="32"/>
      <c r="N58" s="32"/>
      <c r="O58" s="33"/>
      <c r="P58" s="33"/>
      <c r="Q58" s="31"/>
      <c r="R58" s="31"/>
      <c r="S58" s="34">
        <f>(330*0.16+330)*E58</f>
        <v>1531.2</v>
      </c>
      <c r="T58" s="34"/>
      <c r="U58" s="34"/>
      <c r="V58" s="35"/>
      <c r="W58" s="35"/>
      <c r="X58" s="35"/>
      <c r="Y58" s="35"/>
      <c r="Z58" s="35"/>
      <c r="AA58" s="35"/>
      <c r="AB58" s="35">
        <v>1531.2</v>
      </c>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3">
        <f t="shared" si="0"/>
        <v>-4.7999999997045961E-3</v>
      </c>
      <c r="BB58" s="43"/>
    </row>
    <row r="59" spans="1:54" s="23" customFormat="1" ht="54.75" customHeight="1" x14ac:dyDescent="0.3">
      <c r="A59" s="26">
        <v>42</v>
      </c>
      <c r="B59" s="43" t="s">
        <v>2443</v>
      </c>
      <c r="C59" s="28"/>
      <c r="D59" s="300" t="s">
        <v>2445</v>
      </c>
      <c r="E59" s="92">
        <v>1</v>
      </c>
      <c r="F59" s="30" t="s">
        <v>30</v>
      </c>
      <c r="G59" s="234"/>
      <c r="H59" s="31"/>
      <c r="I59" s="31"/>
      <c r="J59" s="32"/>
      <c r="K59" s="32"/>
      <c r="L59" s="32"/>
      <c r="M59" s="32"/>
      <c r="N59" s="32"/>
      <c r="O59" s="33"/>
      <c r="P59" s="33"/>
      <c r="Q59" s="31"/>
      <c r="R59" s="31"/>
      <c r="S59" s="34">
        <f>(799*0.16+799)*E59</f>
        <v>926.84</v>
      </c>
      <c r="T59" s="34">
        <f>2500*0.16+2500</f>
        <v>2900</v>
      </c>
      <c r="U59" s="34"/>
      <c r="V59" s="35"/>
      <c r="W59" s="35"/>
      <c r="X59" s="35"/>
      <c r="Y59" s="35"/>
      <c r="Z59" s="35"/>
      <c r="AA59" s="35"/>
      <c r="AB59" s="35">
        <v>3826.84</v>
      </c>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3">
        <f t="shared" si="0"/>
        <v>0</v>
      </c>
      <c r="BB59" s="43" t="s">
        <v>2446</v>
      </c>
    </row>
    <row r="60" spans="1:54" s="23" customFormat="1" ht="66.75" customHeight="1" x14ac:dyDescent="0.3">
      <c r="A60" s="26">
        <v>43</v>
      </c>
      <c r="B60" s="43" t="s">
        <v>1736</v>
      </c>
      <c r="C60" s="28"/>
      <c r="D60" s="303" t="s">
        <v>1031</v>
      </c>
      <c r="E60" s="92">
        <v>1</v>
      </c>
      <c r="F60" s="40" t="s">
        <v>30</v>
      </c>
      <c r="G60" s="234">
        <f>[1]DICIEMBRE!$BA$100</f>
        <v>0</v>
      </c>
      <c r="H60" s="45">
        <f>ENERO!BA58</f>
        <v>0</v>
      </c>
      <c r="I60" s="45">
        <f>FEBRERO!AX59</f>
        <v>0</v>
      </c>
      <c r="J60" s="32"/>
      <c r="K60" s="33"/>
      <c r="L60" s="32"/>
      <c r="M60" s="32"/>
      <c r="N60" s="32"/>
      <c r="O60" s="32"/>
      <c r="P60" s="31"/>
      <c r="Q60" s="31"/>
      <c r="R60" s="31"/>
      <c r="S60" s="34">
        <f>300*0.16+300</f>
        <v>348</v>
      </c>
      <c r="T60" s="34"/>
      <c r="U60" s="34"/>
      <c r="V60" s="35"/>
      <c r="W60" s="54"/>
      <c r="X60" s="35"/>
      <c r="Y60" s="35"/>
      <c r="Z60" s="35"/>
      <c r="AA60" s="35"/>
      <c r="AB60" s="35"/>
      <c r="AC60" s="35"/>
      <c r="AD60" s="35"/>
      <c r="AE60" s="35"/>
      <c r="AF60" s="35"/>
      <c r="AG60" s="35"/>
      <c r="AH60" s="35">
        <v>348</v>
      </c>
      <c r="AI60" s="35"/>
      <c r="AJ60" s="35"/>
      <c r="AK60" s="35"/>
      <c r="AL60" s="35"/>
      <c r="AM60" s="35"/>
      <c r="AN60" s="35"/>
      <c r="AO60" s="35"/>
      <c r="AP60" s="35"/>
      <c r="AQ60" s="35"/>
      <c r="AR60" s="35"/>
      <c r="AS60" s="35"/>
      <c r="AT60" s="35"/>
      <c r="AU60" s="35"/>
      <c r="AV60" s="35"/>
      <c r="AW60" s="35"/>
      <c r="AX60" s="35"/>
      <c r="AY60" s="35"/>
      <c r="AZ60" s="35"/>
      <c r="BA60" s="33">
        <f t="shared" si="0"/>
        <v>0</v>
      </c>
      <c r="BB60" s="267"/>
    </row>
    <row r="61" spans="1:54" ht="43.5" customHeight="1" x14ac:dyDescent="0.35">
      <c r="A61" s="26">
        <v>44</v>
      </c>
      <c r="B61" s="43" t="s">
        <v>1737</v>
      </c>
      <c r="C61" s="53" t="s">
        <v>128</v>
      </c>
      <c r="D61" s="298" t="s">
        <v>1234</v>
      </c>
      <c r="E61" s="94">
        <v>4</v>
      </c>
      <c r="F61" s="44" t="s">
        <v>30</v>
      </c>
      <c r="G61" s="234">
        <f>[1]DICIEMBRE!$BA$98</f>
        <v>-6</v>
      </c>
      <c r="H61" s="31">
        <f>ENERO!BA59</f>
        <v>-6</v>
      </c>
      <c r="I61" s="31">
        <f>FEBRERO!AX60</f>
        <v>0</v>
      </c>
      <c r="J61" s="32"/>
      <c r="K61" s="32"/>
      <c r="L61" s="336"/>
      <c r="M61" s="32"/>
      <c r="N61" s="336"/>
      <c r="O61" s="32"/>
      <c r="P61" s="31"/>
      <c r="Q61" s="31"/>
      <c r="R61" s="31"/>
      <c r="S61" s="47">
        <f>(300*0.16+300)*E61</f>
        <v>1392</v>
      </c>
      <c r="T61" s="47"/>
      <c r="U61" s="48"/>
      <c r="V61" s="49"/>
      <c r="W61" s="49"/>
      <c r="X61" s="49"/>
      <c r="Y61" s="49"/>
      <c r="Z61" s="49"/>
      <c r="AA61" s="49"/>
      <c r="AB61" s="49"/>
      <c r="AC61" s="69"/>
      <c r="AD61" s="49"/>
      <c r="AE61" s="50"/>
      <c r="AF61" s="49">
        <v>1392</v>
      </c>
      <c r="AG61" s="49"/>
      <c r="AH61" s="49"/>
      <c r="AI61" s="49"/>
      <c r="AJ61" s="49"/>
      <c r="AK61" s="49"/>
      <c r="AL61" s="49"/>
      <c r="AM61" s="49"/>
      <c r="AN61" s="49"/>
      <c r="AO61" s="49"/>
      <c r="AP61" s="49"/>
      <c r="AQ61" s="49"/>
      <c r="AR61" s="49"/>
      <c r="AS61" s="49"/>
      <c r="AT61" s="49"/>
      <c r="AU61" s="49"/>
      <c r="AV61" s="49"/>
      <c r="AW61" s="49"/>
      <c r="AX61" s="49"/>
      <c r="AY61" s="49"/>
      <c r="AZ61" s="49"/>
      <c r="BA61" s="33">
        <f t="shared" si="0"/>
        <v>0</v>
      </c>
      <c r="BB61" s="43"/>
    </row>
    <row r="62" spans="1:54" s="23" customFormat="1" ht="46.5" customHeight="1" x14ac:dyDescent="0.3">
      <c r="A62" s="26">
        <v>45</v>
      </c>
      <c r="B62" s="43" t="s">
        <v>1306</v>
      </c>
      <c r="C62" s="28"/>
      <c r="D62" s="298" t="s">
        <v>1216</v>
      </c>
      <c r="E62" s="92">
        <v>2</v>
      </c>
      <c r="F62" s="30" t="s">
        <v>30</v>
      </c>
      <c r="G62" s="112">
        <f>[1]DICIEMBRE!$BA$63</f>
        <v>2.2737367544323206E-13</v>
      </c>
      <c r="H62" s="31">
        <f>ENERO!BA60</f>
        <v>2.2737367544323206E-13</v>
      </c>
      <c r="I62" s="31">
        <f>FEBRERO!AX61</f>
        <v>2.2737367544323206E-13</v>
      </c>
      <c r="J62" s="32"/>
      <c r="K62" s="32"/>
      <c r="L62" s="32"/>
      <c r="M62" s="336"/>
      <c r="N62" s="32"/>
      <c r="O62" s="32"/>
      <c r="P62" s="33"/>
      <c r="Q62" s="31"/>
      <c r="R62" s="31"/>
      <c r="S62" s="34">
        <f>(330*0.16+330)*E62</f>
        <v>765.6</v>
      </c>
      <c r="T62" s="34"/>
      <c r="U62" s="34"/>
      <c r="V62" s="35"/>
      <c r="W62" s="35"/>
      <c r="X62" s="35"/>
      <c r="Y62" s="35">
        <v>765.6</v>
      </c>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3">
        <f t="shared" si="0"/>
        <v>2.2737367544323206E-13</v>
      </c>
      <c r="BB62" s="43"/>
    </row>
    <row r="63" spans="1:54" s="23" customFormat="1" ht="69" customHeight="1" x14ac:dyDescent="0.3">
      <c r="A63" s="26">
        <v>46</v>
      </c>
      <c r="B63" s="43" t="s">
        <v>1739</v>
      </c>
      <c r="C63" s="28" t="s">
        <v>61</v>
      </c>
      <c r="D63" s="302" t="s">
        <v>1235</v>
      </c>
      <c r="E63" s="92">
        <v>14</v>
      </c>
      <c r="F63" s="40" t="s">
        <v>30</v>
      </c>
      <c r="G63" s="112">
        <f>[1]DICIEMBRE!$BA$99</f>
        <v>4.0000000171858119E-3</v>
      </c>
      <c r="H63" s="45">
        <f>ENERO!BA61</f>
        <v>4693.3640000000178</v>
      </c>
      <c r="I63" s="31">
        <f>FEBRERO!AX62</f>
        <v>4.0000000190048013E-3</v>
      </c>
      <c r="J63" s="32"/>
      <c r="K63" s="32"/>
      <c r="L63" s="32"/>
      <c r="M63" s="336"/>
      <c r="N63" s="32"/>
      <c r="O63" s="33"/>
      <c r="P63" s="33"/>
      <c r="Q63" s="31"/>
      <c r="R63" s="31"/>
      <c r="S63" s="34">
        <f>(289*0.16+289)*E63</f>
        <v>4693.3600000000006</v>
      </c>
      <c r="T63" s="34"/>
      <c r="U63" s="34"/>
      <c r="V63" s="35"/>
      <c r="W63" s="54"/>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3">
        <f t="shared" si="0"/>
        <v>4693.3640000000196</v>
      </c>
      <c r="BB63" s="267"/>
    </row>
    <row r="64" spans="1:54" s="23" customFormat="1" ht="51" customHeight="1" x14ac:dyDescent="0.3">
      <c r="A64" s="26">
        <v>47</v>
      </c>
      <c r="B64" s="43" t="s">
        <v>713</v>
      </c>
      <c r="C64" s="28"/>
      <c r="D64" s="298" t="s">
        <v>1218</v>
      </c>
      <c r="E64" s="92">
        <v>4</v>
      </c>
      <c r="F64" s="30" t="s">
        <v>30</v>
      </c>
      <c r="G64" s="112">
        <f>[1]DICIEMBRE!$BA$65</f>
        <v>-3.9999999989959178E-4</v>
      </c>
      <c r="H64" s="31">
        <f>ENERO!BA63</f>
        <v>-3.9999999989959178E-4</v>
      </c>
      <c r="I64" s="45">
        <f>FEBRERO!AX63</f>
        <v>-3.9999999989959178E-4</v>
      </c>
      <c r="J64" s="32"/>
      <c r="K64" s="32"/>
      <c r="L64" s="336"/>
      <c r="M64" s="32"/>
      <c r="N64" s="336"/>
      <c r="O64" s="32"/>
      <c r="P64" s="33"/>
      <c r="Q64" s="31"/>
      <c r="R64" s="31"/>
      <c r="S64" s="34">
        <f>(300*0.16+300)*E64</f>
        <v>1392</v>
      </c>
      <c r="T64" s="34"/>
      <c r="U64" s="34"/>
      <c r="V64" s="35"/>
      <c r="W64" s="35"/>
      <c r="X64" s="35"/>
      <c r="Y64" s="35"/>
      <c r="Z64" s="35">
        <v>1392</v>
      </c>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3">
        <f t="shared" si="0"/>
        <v>-3.9999999989959178E-4</v>
      </c>
      <c r="BB64" s="43"/>
    </row>
    <row r="65" spans="1:54" s="23" customFormat="1" ht="42" customHeight="1" x14ac:dyDescent="0.3">
      <c r="A65" s="26">
        <v>48</v>
      </c>
      <c r="B65" s="43" t="s">
        <v>1551</v>
      </c>
      <c r="C65" s="28"/>
      <c r="D65" s="300" t="s">
        <v>1552</v>
      </c>
      <c r="E65" s="92">
        <v>1</v>
      </c>
      <c r="F65" s="30" t="s">
        <v>30</v>
      </c>
      <c r="G65" s="234">
        <f>[1]DICIEMBRE!$BA$66</f>
        <v>0</v>
      </c>
      <c r="H65" s="45">
        <f>ENERO!BA64</f>
        <v>0</v>
      </c>
      <c r="I65" s="31">
        <f>FEBRERO!AX64</f>
        <v>0</v>
      </c>
      <c r="J65" s="32"/>
      <c r="K65" s="32"/>
      <c r="L65" s="336"/>
      <c r="M65" s="32"/>
      <c r="N65" s="336"/>
      <c r="O65" s="32"/>
      <c r="P65" s="33"/>
      <c r="Q65" s="31"/>
      <c r="R65" s="31"/>
      <c r="S65" s="34">
        <f>(200*0.16+200)*E65</f>
        <v>232</v>
      </c>
      <c r="T65" s="34"/>
      <c r="U65" s="34"/>
      <c r="V65" s="35"/>
      <c r="W65" s="35"/>
      <c r="X65" s="35"/>
      <c r="Y65" s="35">
        <v>232</v>
      </c>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3">
        <f t="shared" si="0"/>
        <v>0</v>
      </c>
      <c r="BB65" s="43"/>
    </row>
    <row r="66" spans="1:54" s="23" customFormat="1" ht="50.25" customHeight="1" x14ac:dyDescent="0.3">
      <c r="A66" s="26">
        <v>49</v>
      </c>
      <c r="B66" s="43" t="s">
        <v>693</v>
      </c>
      <c r="C66" s="28"/>
      <c r="D66" s="300" t="s">
        <v>1662</v>
      </c>
      <c r="E66" s="92">
        <v>1</v>
      </c>
      <c r="F66" s="30" t="s">
        <v>30</v>
      </c>
      <c r="G66" s="234">
        <f>[1]DICIEMBRE!$BA$68</f>
        <v>0</v>
      </c>
      <c r="H66" s="31">
        <f>ENERO!BA65</f>
        <v>0</v>
      </c>
      <c r="I66" s="31">
        <f>FEBRERO!AX65</f>
        <v>0</v>
      </c>
      <c r="J66" s="32"/>
      <c r="K66" s="32"/>
      <c r="L66" s="32"/>
      <c r="M66" s="336"/>
      <c r="N66" s="32"/>
      <c r="O66" s="32"/>
      <c r="P66" s="31"/>
      <c r="Q66" s="31"/>
      <c r="R66" s="31"/>
      <c r="S66" s="34">
        <f>(300*0.16+300)*E66</f>
        <v>348</v>
      </c>
      <c r="T66" s="34"/>
      <c r="U66" s="34"/>
      <c r="V66" s="35"/>
      <c r="W66" s="35"/>
      <c r="X66" s="35"/>
      <c r="Y66" s="35">
        <v>348</v>
      </c>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3">
        <f t="shared" si="0"/>
        <v>0</v>
      </c>
      <c r="BB66" s="43"/>
    </row>
    <row r="67" spans="1:54" s="23" customFormat="1" ht="65.25" customHeight="1" x14ac:dyDescent="0.3">
      <c r="A67" s="26">
        <v>50</v>
      </c>
      <c r="B67" s="43" t="s">
        <v>1621</v>
      </c>
      <c r="C67" s="28"/>
      <c r="D67" s="300" t="s">
        <v>1622</v>
      </c>
      <c r="E67" s="92">
        <v>1</v>
      </c>
      <c r="F67" s="30" t="s">
        <v>30</v>
      </c>
      <c r="G67" s="112">
        <f>[1]DICIEMBRE!$BA$69</f>
        <v>0</v>
      </c>
      <c r="H67" s="31">
        <f>ENERO!BA66</f>
        <v>0</v>
      </c>
      <c r="I67" s="31">
        <f>FEBRERO!AX66</f>
        <v>0</v>
      </c>
      <c r="J67" s="32"/>
      <c r="K67" s="32"/>
      <c r="L67" s="32"/>
      <c r="M67" s="336"/>
      <c r="N67" s="32"/>
      <c r="O67" s="32"/>
      <c r="P67" s="31"/>
      <c r="Q67" s="31"/>
      <c r="R67" s="31"/>
      <c r="S67" s="34">
        <f>(250*0.16+250)*E67</f>
        <v>290</v>
      </c>
      <c r="T67" s="34"/>
      <c r="U67" s="34"/>
      <c r="V67" s="35"/>
      <c r="W67" s="35"/>
      <c r="X67" s="35"/>
      <c r="Y67" s="35"/>
      <c r="Z67" s="35"/>
      <c r="AA67" s="35"/>
      <c r="AB67" s="35"/>
      <c r="AC67" s="35"/>
      <c r="AD67" s="35"/>
      <c r="AE67" s="35"/>
      <c r="AF67" s="35"/>
      <c r="AG67" s="35"/>
      <c r="AH67" s="35"/>
      <c r="AI67" s="35"/>
      <c r="AJ67" s="35"/>
      <c r="AK67" s="35"/>
      <c r="AL67" s="35"/>
      <c r="AM67" s="35"/>
      <c r="AN67" s="35"/>
      <c r="AO67" s="35">
        <v>290</v>
      </c>
      <c r="AP67" s="35"/>
      <c r="AQ67" s="35"/>
      <c r="AR67" s="35"/>
      <c r="AS67" s="35"/>
      <c r="AT67" s="35"/>
      <c r="AU67" s="35"/>
      <c r="AV67" s="35"/>
      <c r="AW67" s="35"/>
      <c r="AX67" s="35"/>
      <c r="AY67" s="35"/>
      <c r="AZ67" s="35"/>
      <c r="BA67" s="33">
        <f t="shared" si="0"/>
        <v>0</v>
      </c>
      <c r="BB67" s="43"/>
    </row>
    <row r="68" spans="1:54" s="23" customFormat="1" ht="87" customHeight="1" x14ac:dyDescent="0.3">
      <c r="A68" s="26">
        <v>51</v>
      </c>
      <c r="B68" s="43" t="s">
        <v>533</v>
      </c>
      <c r="C68" s="28" t="s">
        <v>560</v>
      </c>
      <c r="D68" s="301" t="s">
        <v>1220</v>
      </c>
      <c r="E68" s="92">
        <v>19</v>
      </c>
      <c r="F68" s="30" t="s">
        <v>30</v>
      </c>
      <c r="G68" s="234">
        <f>[1]DICIEMBRE!$BA$70</f>
        <v>2.0000000140498742E-3</v>
      </c>
      <c r="H68" s="45">
        <f>ENERO!BA67</f>
        <v>2.0000000149593689E-3</v>
      </c>
      <c r="I68" s="45">
        <f>FEBRERO!AX67</f>
        <v>2.0000000158688636E-3</v>
      </c>
      <c r="J68" s="32"/>
      <c r="K68" s="32"/>
      <c r="L68" s="32"/>
      <c r="M68" s="32"/>
      <c r="N68" s="32"/>
      <c r="O68" s="33"/>
      <c r="P68" s="33"/>
      <c r="Q68" s="31"/>
      <c r="R68" s="31"/>
      <c r="S68" s="34">
        <f>(249*0.16+249)*E68</f>
        <v>5487.9600000000009</v>
      </c>
      <c r="T68" s="34"/>
      <c r="U68" s="34"/>
      <c r="V68" s="35"/>
      <c r="W68" s="35"/>
      <c r="X68" s="35"/>
      <c r="Y68" s="35"/>
      <c r="Z68" s="35"/>
      <c r="AA68" s="35">
        <v>5487.96</v>
      </c>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3">
        <f t="shared" si="0"/>
        <v>2.0000000167783583E-3</v>
      </c>
      <c r="BB68" s="43"/>
    </row>
    <row r="69" spans="1:54" s="23" customFormat="1" ht="52.5" customHeight="1" x14ac:dyDescent="0.3">
      <c r="A69" s="26">
        <v>52</v>
      </c>
      <c r="B69" s="43" t="s">
        <v>1676</v>
      </c>
      <c r="C69" s="28"/>
      <c r="D69" s="341" t="s">
        <v>1677</v>
      </c>
      <c r="E69" s="92">
        <v>4</v>
      </c>
      <c r="F69" s="30" t="s">
        <v>30</v>
      </c>
      <c r="G69" s="112">
        <f>[1]DICIEMBRE!$BA$71</f>
        <v>0</v>
      </c>
      <c r="H69" s="31">
        <f>ENERO!BA68</f>
        <v>0</v>
      </c>
      <c r="I69" s="31">
        <f>FEBRERO!AX68</f>
        <v>0</v>
      </c>
      <c r="J69" s="32"/>
      <c r="K69" s="32"/>
      <c r="L69" s="32"/>
      <c r="M69" s="32"/>
      <c r="N69" s="32"/>
      <c r="O69" s="33"/>
      <c r="P69" s="33"/>
      <c r="Q69" s="31"/>
      <c r="R69" s="31"/>
      <c r="S69" s="34">
        <f>(300*0.16+300)*E69</f>
        <v>1392</v>
      </c>
      <c r="T69" s="34"/>
      <c r="U69" s="34"/>
      <c r="V69" s="35"/>
      <c r="W69" s="35"/>
      <c r="X69" s="35"/>
      <c r="Y69" s="35"/>
      <c r="Z69" s="35">
        <v>1392</v>
      </c>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3">
        <f t="shared" si="0"/>
        <v>0</v>
      </c>
      <c r="BB69" s="43"/>
    </row>
    <row r="70" spans="1:54" s="23" customFormat="1" ht="71.25" customHeight="1" x14ac:dyDescent="0.3">
      <c r="A70" s="26">
        <v>53</v>
      </c>
      <c r="B70" s="43" t="s">
        <v>496</v>
      </c>
      <c r="C70" s="28" t="s">
        <v>561</v>
      </c>
      <c r="D70" s="298" t="s">
        <v>1276</v>
      </c>
      <c r="E70" s="92">
        <v>2</v>
      </c>
      <c r="F70" s="30" t="s">
        <v>30</v>
      </c>
      <c r="G70" s="234">
        <f>[1]DICIEMBRE!$BA$72</f>
        <v>-7.9999999981055225E-3</v>
      </c>
      <c r="H70" s="31">
        <f>ENERO!BA69</f>
        <v>-7.9999999979918357E-3</v>
      </c>
      <c r="I70" s="31">
        <f>FEBRERO!AX69</f>
        <v>2.0000000021127562E-3</v>
      </c>
      <c r="J70" s="32"/>
      <c r="K70" s="33"/>
      <c r="L70" s="336"/>
      <c r="M70" s="32"/>
      <c r="N70" s="336"/>
      <c r="O70" s="32"/>
      <c r="P70" s="31"/>
      <c r="Q70" s="31"/>
      <c r="R70" s="31"/>
      <c r="S70" s="34">
        <f>(249*0.16+249)*E70</f>
        <v>577.68000000000006</v>
      </c>
      <c r="T70" s="34"/>
      <c r="U70" s="34"/>
      <c r="V70" s="35"/>
      <c r="W70" s="35"/>
      <c r="X70" s="35"/>
      <c r="Y70" s="35"/>
      <c r="Z70" s="35"/>
      <c r="AA70" s="35"/>
      <c r="AB70" s="35"/>
      <c r="AC70" s="35"/>
      <c r="AD70" s="35"/>
      <c r="AE70" s="35"/>
      <c r="AF70" s="35"/>
      <c r="AG70" s="35"/>
      <c r="AH70" s="35">
        <v>577.67999999999995</v>
      </c>
      <c r="AI70" s="35"/>
      <c r="AJ70" s="35"/>
      <c r="AK70" s="35"/>
      <c r="AL70" s="35"/>
      <c r="AM70" s="35"/>
      <c r="AN70" s="35"/>
      <c r="AO70" s="35"/>
      <c r="AP70" s="35"/>
      <c r="AQ70" s="35"/>
      <c r="AR70" s="35"/>
      <c r="AS70" s="35"/>
      <c r="AT70" s="35"/>
      <c r="AU70" s="35"/>
      <c r="AV70" s="35"/>
      <c r="AW70" s="35"/>
      <c r="AX70" s="35"/>
      <c r="AY70" s="35"/>
      <c r="AZ70" s="35"/>
      <c r="BA70" s="33">
        <f t="shared" si="0"/>
        <v>2.000000002226443E-3</v>
      </c>
      <c r="BB70" s="43"/>
    </row>
    <row r="71" spans="1:54" s="23" customFormat="1" ht="48" customHeight="1" x14ac:dyDescent="0.3">
      <c r="A71" s="26">
        <v>54</v>
      </c>
      <c r="B71" s="43" t="s">
        <v>323</v>
      </c>
      <c r="C71" s="28" t="s">
        <v>324</v>
      </c>
      <c r="D71" s="298" t="s">
        <v>1221</v>
      </c>
      <c r="E71" s="92">
        <v>1</v>
      </c>
      <c r="F71" s="30" t="s">
        <v>30</v>
      </c>
      <c r="G71" s="112">
        <f>[1]DICIEMBRE!$BA$73</f>
        <v>-866.51999999999782</v>
      </c>
      <c r="H71" s="45">
        <f>ENERO!BA70</f>
        <v>-577.67999999999779</v>
      </c>
      <c r="I71" s="31">
        <f>FEBRERO!AX70</f>
        <v>-288.83999999999776</v>
      </c>
      <c r="J71" s="32"/>
      <c r="K71" s="32"/>
      <c r="L71" s="32"/>
      <c r="M71" s="336"/>
      <c r="N71" s="32"/>
      <c r="O71" s="32"/>
      <c r="P71" s="33"/>
      <c r="Q71" s="31"/>
      <c r="R71" s="31"/>
      <c r="S71" s="34">
        <f>(249*0.16+249)*E71</f>
        <v>288.84000000000003</v>
      </c>
      <c r="T71" s="34"/>
      <c r="U71" s="34"/>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3">
        <f t="shared" si="0"/>
        <v>2.2737367544323206E-12</v>
      </c>
      <c r="BB71" s="43" t="s">
        <v>1449</v>
      </c>
    </row>
    <row r="72" spans="1:54" s="23" customFormat="1" ht="51.75" customHeight="1" x14ac:dyDescent="0.3">
      <c r="A72" s="26">
        <v>55</v>
      </c>
      <c r="B72" s="27" t="s">
        <v>50</v>
      </c>
      <c r="C72" s="28" t="s">
        <v>51</v>
      </c>
      <c r="D72" s="298" t="s">
        <v>1222</v>
      </c>
      <c r="E72" s="92">
        <v>1</v>
      </c>
      <c r="F72" s="56" t="s">
        <v>30</v>
      </c>
      <c r="G72" s="234">
        <f>[1]DICIEMBRE!$BA$74</f>
        <v>0</v>
      </c>
      <c r="H72" s="31">
        <f>ENERO!BA71</f>
        <v>0</v>
      </c>
      <c r="I72" s="45">
        <f>FEBRERO!AX71</f>
        <v>0</v>
      </c>
      <c r="J72" s="32"/>
      <c r="K72" s="32"/>
      <c r="L72" s="32"/>
      <c r="M72" s="32"/>
      <c r="N72" s="32"/>
      <c r="O72" s="33"/>
      <c r="P72" s="31"/>
      <c r="Q72" s="31"/>
      <c r="R72" s="31"/>
      <c r="S72" s="34">
        <v>348</v>
      </c>
      <c r="T72" s="34"/>
      <c r="U72" s="34"/>
      <c r="V72" s="35"/>
      <c r="W72" s="35"/>
      <c r="X72" s="35"/>
      <c r="Y72" s="35"/>
      <c r="Z72" s="35"/>
      <c r="AA72" s="35"/>
      <c r="AB72" s="35"/>
      <c r="AC72" s="35"/>
      <c r="AD72" s="35"/>
      <c r="AE72" s="35"/>
      <c r="AF72" s="35">
        <v>348</v>
      </c>
      <c r="AG72" s="35"/>
      <c r="AH72" s="35"/>
      <c r="AI72" s="35"/>
      <c r="AJ72" s="35"/>
      <c r="AK72" s="35"/>
      <c r="AL72" s="35"/>
      <c r="AM72" s="35"/>
      <c r="AN72" s="35"/>
      <c r="AO72" s="35"/>
      <c r="AP72" s="35"/>
      <c r="AQ72" s="54"/>
      <c r="AR72" s="35"/>
      <c r="AS72" s="35"/>
      <c r="AT72" s="35"/>
      <c r="AU72" s="35"/>
      <c r="AV72" s="35"/>
      <c r="AW72" s="35"/>
      <c r="AX72" s="35"/>
      <c r="AY72" s="35"/>
      <c r="AZ72" s="35"/>
      <c r="BA72" s="33">
        <f t="shared" si="0"/>
        <v>0</v>
      </c>
      <c r="BB72" s="269"/>
    </row>
    <row r="73" spans="1:54" s="23" customFormat="1" ht="54.75" customHeight="1" x14ac:dyDescent="0.3">
      <c r="A73" s="26">
        <v>56</v>
      </c>
      <c r="B73" s="43" t="s">
        <v>53</v>
      </c>
      <c r="C73" s="53" t="s">
        <v>54</v>
      </c>
      <c r="D73" s="298" t="s">
        <v>1224</v>
      </c>
      <c r="E73" s="92">
        <v>1</v>
      </c>
      <c r="F73" s="56" t="s">
        <v>30</v>
      </c>
      <c r="G73" s="234">
        <f>[1]DICIEMBRE!$BA$76</f>
        <v>0</v>
      </c>
      <c r="H73" s="31">
        <f>ENERO!BA72</f>
        <v>0</v>
      </c>
      <c r="I73" s="31">
        <f>FEBRERO!AX72</f>
        <v>0</v>
      </c>
      <c r="J73" s="32"/>
      <c r="K73" s="32"/>
      <c r="L73" s="32"/>
      <c r="M73" s="336"/>
      <c r="N73" s="32"/>
      <c r="O73" s="32"/>
      <c r="P73" s="31"/>
      <c r="Q73" s="31"/>
      <c r="R73" s="31"/>
      <c r="S73" s="34">
        <f>(300*0.16+300)*E73</f>
        <v>348</v>
      </c>
      <c r="T73" s="34"/>
      <c r="U73" s="34"/>
      <c r="V73" s="35"/>
      <c r="W73" s="35"/>
      <c r="X73" s="35"/>
      <c r="Y73" s="54"/>
      <c r="Z73" s="35"/>
      <c r="AA73" s="35"/>
      <c r="AB73" s="35"/>
      <c r="AC73" s="35"/>
      <c r="AD73" s="35"/>
      <c r="AE73" s="35"/>
      <c r="AF73" s="35"/>
      <c r="AG73" s="35">
        <v>348</v>
      </c>
      <c r="AH73" s="35"/>
      <c r="AI73" s="35"/>
      <c r="AJ73" s="35"/>
      <c r="AK73" s="35"/>
      <c r="AL73" s="35"/>
      <c r="AM73" s="35"/>
      <c r="AN73" s="35"/>
      <c r="AO73" s="35"/>
      <c r="AP73" s="35"/>
      <c r="AQ73" s="35"/>
      <c r="AR73" s="35"/>
      <c r="AS73" s="35"/>
      <c r="AT73" s="35"/>
      <c r="AU73" s="35"/>
      <c r="AV73" s="35"/>
      <c r="AW73" s="35"/>
      <c r="AX73" s="35"/>
      <c r="AY73" s="35"/>
      <c r="AZ73" s="35"/>
      <c r="BA73" s="33">
        <f t="shared" si="0"/>
        <v>0</v>
      </c>
      <c r="BB73" s="269"/>
    </row>
    <row r="74" spans="1:54" s="23" customFormat="1" ht="71.25" customHeight="1" x14ac:dyDescent="0.3">
      <c r="A74" s="26">
        <v>57</v>
      </c>
      <c r="B74" s="43" t="s">
        <v>1741</v>
      </c>
      <c r="C74" s="28"/>
      <c r="D74" s="298" t="s">
        <v>1203</v>
      </c>
      <c r="E74" s="92">
        <v>11</v>
      </c>
      <c r="F74" s="41" t="s">
        <v>30</v>
      </c>
      <c r="G74" s="234">
        <f>[1]DICIEMBRE!$BA$36</f>
        <v>1.2000000006082701E-3</v>
      </c>
      <c r="H74" s="45">
        <f>ENERO!BA73</f>
        <v>-7.5999999990017386E-3</v>
      </c>
      <c r="I74" s="31">
        <f>FEBRERO!AX73</f>
        <v>2.4000000012165401E-3</v>
      </c>
      <c r="J74" s="32"/>
      <c r="K74" s="32"/>
      <c r="L74" s="32"/>
      <c r="M74" s="32"/>
      <c r="N74" s="336"/>
      <c r="O74" s="32"/>
      <c r="P74" s="31"/>
      <c r="Q74" s="31"/>
      <c r="R74" s="31"/>
      <c r="S74" s="38">
        <f>(250*0.16+250)*E74</f>
        <v>3190</v>
      </c>
      <c r="T74" s="38"/>
      <c r="U74" s="35"/>
      <c r="V74" s="35"/>
      <c r="W74" s="35"/>
      <c r="X74" s="35"/>
      <c r="Y74" s="35"/>
      <c r="Z74" s="35">
        <v>3190</v>
      </c>
      <c r="AA74" s="35"/>
      <c r="AB74" s="35"/>
      <c r="AC74" s="35"/>
      <c r="AD74" s="35"/>
      <c r="AE74" s="35"/>
      <c r="AF74" s="35"/>
      <c r="AG74" s="35"/>
      <c r="AH74" s="35"/>
      <c r="AI74" s="35"/>
      <c r="AJ74" s="35"/>
      <c r="AK74" s="42"/>
      <c r="AL74" s="35"/>
      <c r="AM74" s="35"/>
      <c r="AN74" s="35"/>
      <c r="AO74" s="35"/>
      <c r="AP74" s="35"/>
      <c r="AQ74" s="35"/>
      <c r="AR74" s="35"/>
      <c r="AS74" s="35"/>
      <c r="AT74" s="35"/>
      <c r="AU74" s="35"/>
      <c r="AV74" s="35"/>
      <c r="AW74" s="35"/>
      <c r="AX74" s="35"/>
      <c r="AY74" s="35"/>
      <c r="AZ74" s="35"/>
      <c r="BA74" s="33">
        <f t="shared" si="0"/>
        <v>2.4000000012165401E-3</v>
      </c>
      <c r="BB74" s="268"/>
    </row>
    <row r="75" spans="1:54" s="23" customFormat="1" ht="40.5" customHeight="1" x14ac:dyDescent="0.3">
      <c r="A75" s="26">
        <v>58</v>
      </c>
      <c r="B75" s="43" t="s">
        <v>1450</v>
      </c>
      <c r="C75" s="53"/>
      <c r="D75" s="300" t="s">
        <v>595</v>
      </c>
      <c r="E75" s="94">
        <v>3</v>
      </c>
      <c r="F75" s="44" t="s">
        <v>30</v>
      </c>
      <c r="G75" s="234">
        <f>[1]DICIEMBRE!$BA$78</f>
        <v>1.1999999996987754E-3</v>
      </c>
      <c r="H75" s="31">
        <f>ENERO!BA74</f>
        <v>1.1999999996987754E-3</v>
      </c>
      <c r="I75" s="31">
        <f>FEBRERO!AX74</f>
        <v>1.1999999996987754E-3</v>
      </c>
      <c r="J75" s="32"/>
      <c r="K75" s="33"/>
      <c r="L75" s="336"/>
      <c r="M75" s="32"/>
      <c r="N75" s="336"/>
      <c r="O75" s="32"/>
      <c r="P75" s="31"/>
      <c r="Q75" s="31"/>
      <c r="R75" s="31"/>
      <c r="S75" s="47">
        <f>(250*0.16+250)*E75</f>
        <v>870</v>
      </c>
      <c r="T75" s="34"/>
      <c r="U75" s="34"/>
      <c r="V75" s="35"/>
      <c r="W75" s="35"/>
      <c r="X75" s="35"/>
      <c r="Y75" s="54"/>
      <c r="Z75" s="35"/>
      <c r="AA75" s="35"/>
      <c r="AB75" s="35">
        <v>870</v>
      </c>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3">
        <f>SUM(I75+S75+T75-U75-V75-W75-X75-Y75-Z75-AA75-AB75-AC75-AD75-AE75-AF75-AG75-AH75-AI75-AJ75-AK75-AL75-AM75-AN75-AO75-AP75-AQ75-AR75-AS75-AT75-AU75-AV75-AW75-AX75-AY75-AZ75)</f>
        <v>1.1999999996987754E-3</v>
      </c>
      <c r="BB75" s="269"/>
    </row>
    <row r="76" spans="1:54" s="23" customFormat="1" ht="68.25" customHeight="1" x14ac:dyDescent="0.3">
      <c r="A76" s="26">
        <v>59</v>
      </c>
      <c r="B76" s="43" t="s">
        <v>1742</v>
      </c>
      <c r="C76" s="28"/>
      <c r="D76" s="298" t="s">
        <v>1506</v>
      </c>
      <c r="E76" s="92">
        <v>5</v>
      </c>
      <c r="F76" s="40" t="s">
        <v>30</v>
      </c>
      <c r="G76" s="112">
        <f>[1]DICIEMBRE!$BA$51</f>
        <v>0</v>
      </c>
      <c r="H76" s="31">
        <f>ENERO!BA75</f>
        <v>0</v>
      </c>
      <c r="I76" s="45">
        <f>FEBRERO!AX75</f>
        <v>0</v>
      </c>
      <c r="J76" s="32"/>
      <c r="K76" s="32"/>
      <c r="L76" s="32"/>
      <c r="M76" s="32"/>
      <c r="N76" s="32"/>
      <c r="O76" s="33"/>
      <c r="P76" s="33"/>
      <c r="Q76" s="31"/>
      <c r="R76" s="31"/>
      <c r="S76" s="34">
        <f>(300*0.16+300)*E76</f>
        <v>1740</v>
      </c>
      <c r="T76" s="34"/>
      <c r="U76" s="34"/>
      <c r="V76" s="35"/>
      <c r="W76" s="54"/>
      <c r="X76" s="35"/>
      <c r="Y76" s="35"/>
      <c r="Z76" s="35">
        <v>1740</v>
      </c>
      <c r="AA76" s="35"/>
      <c r="AB76" s="35"/>
      <c r="AC76" s="35"/>
      <c r="AD76" s="35"/>
      <c r="AE76" s="35"/>
      <c r="AF76" s="35"/>
      <c r="AG76" s="35"/>
      <c r="AH76" s="35"/>
      <c r="AI76" s="36"/>
      <c r="AJ76" s="35"/>
      <c r="AK76" s="35"/>
      <c r="AL76" s="35"/>
      <c r="AM76" s="35"/>
      <c r="AN76" s="35"/>
      <c r="AO76" s="35"/>
      <c r="AP76" s="35"/>
      <c r="AQ76" s="35"/>
      <c r="AR76" s="35"/>
      <c r="AS76" s="35"/>
      <c r="AT76" s="35"/>
      <c r="AU76" s="35"/>
      <c r="AV76" s="35"/>
      <c r="AW76" s="35"/>
      <c r="AX76" s="35"/>
      <c r="AY76" s="35"/>
      <c r="AZ76" s="35"/>
      <c r="BA76" s="33">
        <f t="shared" si="0"/>
        <v>0</v>
      </c>
      <c r="BB76" s="267"/>
    </row>
    <row r="77" spans="1:54" s="23" customFormat="1" ht="90" customHeight="1" x14ac:dyDescent="0.3">
      <c r="A77" s="26">
        <v>60</v>
      </c>
      <c r="B77" s="43" t="s">
        <v>1743</v>
      </c>
      <c r="C77" s="28"/>
      <c r="D77" s="298" t="s">
        <v>1238</v>
      </c>
      <c r="E77" s="92">
        <v>15</v>
      </c>
      <c r="F77" s="30" t="s">
        <v>30</v>
      </c>
      <c r="G77" s="234">
        <f>[1]DICIEMBRE!$BA$22</f>
        <v>-1.8189894035458565E-12</v>
      </c>
      <c r="H77" s="45">
        <f>ENERO!BA76</f>
        <v>-2.000000002226443E-3</v>
      </c>
      <c r="I77" s="31">
        <f>FEBRERO!AX76</f>
        <v>-2.000000002226443E-3</v>
      </c>
      <c r="J77" s="32"/>
      <c r="K77" s="33"/>
      <c r="L77" s="336"/>
      <c r="M77" s="336"/>
      <c r="N77" s="336"/>
      <c r="O77" s="32"/>
      <c r="P77" s="33"/>
      <c r="Q77" s="31"/>
      <c r="R77" s="31"/>
      <c r="S77" s="34">
        <f>(279*0.16+279)*E77</f>
        <v>4854.5999999999995</v>
      </c>
      <c r="T77" s="34">
        <f>(1850*0.16+1850)+500*0.16+500</f>
        <v>2726</v>
      </c>
      <c r="U77" s="34"/>
      <c r="V77" s="35"/>
      <c r="W77" s="35"/>
      <c r="X77" s="35"/>
      <c r="Y77" s="35"/>
      <c r="Z77" s="36">
        <v>7580.6</v>
      </c>
      <c r="AA77" s="35"/>
      <c r="AB77" s="35"/>
      <c r="AC77" s="35"/>
      <c r="AD77" s="35"/>
      <c r="AE77" s="35"/>
      <c r="AF77" s="35"/>
      <c r="AG77" s="35"/>
      <c r="AH77" s="35"/>
      <c r="AI77" s="35"/>
      <c r="AJ77" s="35"/>
      <c r="AK77" s="37"/>
      <c r="AL77" s="35"/>
      <c r="AM77" s="35"/>
      <c r="AN77" s="35"/>
      <c r="AO77" s="35"/>
      <c r="AP77" s="35"/>
      <c r="AQ77" s="35"/>
      <c r="AR77" s="35"/>
      <c r="AS77" s="35"/>
      <c r="AT77" s="35"/>
      <c r="AU77" s="35"/>
      <c r="AV77" s="35"/>
      <c r="AW77" s="35"/>
      <c r="AX77" s="35"/>
      <c r="AY77" s="35"/>
      <c r="AZ77" s="35"/>
      <c r="BA77" s="33">
        <f t="shared" si="0"/>
        <v>-2.0000000031359377E-3</v>
      </c>
      <c r="BB77" s="43" t="s">
        <v>2321</v>
      </c>
    </row>
    <row r="78" spans="1:54" s="23" customFormat="1" ht="86.25" customHeight="1" x14ac:dyDescent="0.3">
      <c r="A78" s="26">
        <v>61</v>
      </c>
      <c r="B78" s="43" t="s">
        <v>1744</v>
      </c>
      <c r="C78" s="28"/>
      <c r="D78" s="298" t="s">
        <v>1206</v>
      </c>
      <c r="E78" s="92">
        <v>8</v>
      </c>
      <c r="F78" s="30" t="s">
        <v>30</v>
      </c>
      <c r="G78" s="234">
        <f>[1]DICIEMBRE!$BA$40</f>
        <v>4.0000000035433914E-4</v>
      </c>
      <c r="H78" s="31">
        <f>ENERO!BA77</f>
        <v>4.0000000035433914E-4</v>
      </c>
      <c r="I78" s="31">
        <f>FEBRERO!AX77</f>
        <v>4.0000000035433914E-4</v>
      </c>
      <c r="J78" s="32"/>
      <c r="K78" s="33"/>
      <c r="L78" s="336"/>
      <c r="M78" s="336"/>
      <c r="N78" s="32"/>
      <c r="O78" s="32"/>
      <c r="P78" s="31"/>
      <c r="Q78" s="31"/>
      <c r="R78" s="31"/>
      <c r="S78" s="34">
        <f>(269*0.16+269)*E78</f>
        <v>2496.3200000000002</v>
      </c>
      <c r="T78" s="34">
        <f>500*0.16+500</f>
        <v>580</v>
      </c>
      <c r="U78" s="34"/>
      <c r="V78" s="34"/>
      <c r="W78" s="34"/>
      <c r="X78" s="34"/>
      <c r="Y78" s="34"/>
      <c r="Z78" s="52"/>
      <c r="AA78" s="34"/>
      <c r="AB78" s="34"/>
      <c r="AC78" s="34"/>
      <c r="AD78" s="34"/>
      <c r="AE78" s="34">
        <v>3076.32</v>
      </c>
      <c r="AF78" s="34"/>
      <c r="AG78" s="34"/>
      <c r="AH78" s="34"/>
      <c r="AI78" s="34"/>
      <c r="AJ78" s="34"/>
      <c r="AK78" s="38"/>
      <c r="AL78" s="34"/>
      <c r="AM78" s="34"/>
      <c r="AN78" s="34"/>
      <c r="AO78" s="34"/>
      <c r="AP78" s="34"/>
      <c r="AQ78" s="34"/>
      <c r="AR78" s="34"/>
      <c r="AS78" s="34"/>
      <c r="AT78" s="34"/>
      <c r="AU78" s="34"/>
      <c r="AV78" s="34"/>
      <c r="AW78" s="34"/>
      <c r="AX78" s="34"/>
      <c r="AY78" s="34"/>
      <c r="AZ78" s="34"/>
      <c r="BA78" s="33">
        <f t="shared" si="0"/>
        <v>4.0000000035433914E-4</v>
      </c>
      <c r="BB78" s="43" t="s">
        <v>2319</v>
      </c>
    </row>
    <row r="79" spans="1:54" s="23" customFormat="1" ht="69.75" customHeight="1" x14ac:dyDescent="0.3">
      <c r="A79" s="26">
        <v>62</v>
      </c>
      <c r="B79" s="43" t="s">
        <v>1745</v>
      </c>
      <c r="C79" s="53" t="s">
        <v>55</v>
      </c>
      <c r="D79" s="298" t="s">
        <v>1226</v>
      </c>
      <c r="E79" s="92">
        <v>17</v>
      </c>
      <c r="F79" s="56" t="s">
        <v>30</v>
      </c>
      <c r="G79" s="234"/>
      <c r="H79" s="31">
        <f>ENERO!BA78</f>
        <v>0</v>
      </c>
      <c r="I79" s="31">
        <f>FEBRERO!AX78</f>
        <v>-2.4000000003070454E-3</v>
      </c>
      <c r="J79" s="32"/>
      <c r="K79" s="32"/>
      <c r="L79" s="32"/>
      <c r="M79" s="32"/>
      <c r="N79" s="32"/>
      <c r="O79" s="33"/>
      <c r="P79" s="31"/>
      <c r="Q79" s="31"/>
      <c r="R79" s="31"/>
      <c r="S79" s="34">
        <f>(289*0.16+289)*E79</f>
        <v>5699.08</v>
      </c>
      <c r="T79" s="34"/>
      <c r="U79" s="34"/>
      <c r="V79" s="35"/>
      <c r="W79" s="35"/>
      <c r="X79" s="35"/>
      <c r="Y79" s="35"/>
      <c r="Z79" s="36"/>
      <c r="AA79" s="54"/>
      <c r="AB79" s="35"/>
      <c r="AC79" s="35"/>
      <c r="AD79" s="35"/>
      <c r="AE79" s="35"/>
      <c r="AF79" s="35"/>
      <c r="AG79" s="35"/>
      <c r="AH79" s="35"/>
      <c r="AI79" s="35"/>
      <c r="AJ79" s="35"/>
      <c r="AK79" s="35"/>
      <c r="AL79" s="35"/>
      <c r="AM79" s="35"/>
      <c r="AN79" s="35"/>
      <c r="AO79" s="35"/>
      <c r="AP79" s="35"/>
      <c r="AQ79" s="35"/>
      <c r="AR79" s="35"/>
      <c r="AS79" s="35"/>
      <c r="AT79" s="35"/>
      <c r="AU79" s="35"/>
      <c r="AV79" s="35"/>
      <c r="AW79" s="35">
        <v>5699.08</v>
      </c>
      <c r="AX79" s="35"/>
      <c r="AY79" s="35"/>
      <c r="AZ79" s="35"/>
      <c r="BA79" s="33">
        <f t="shared" si="0"/>
        <v>-2.4000000003070454E-3</v>
      </c>
      <c r="BB79" s="269"/>
    </row>
    <row r="80" spans="1:54" s="23" customFormat="1" ht="112.5" customHeight="1" x14ac:dyDescent="0.3">
      <c r="A80" s="26">
        <v>63</v>
      </c>
      <c r="B80" s="55" t="s">
        <v>56</v>
      </c>
      <c r="C80" s="28" t="s">
        <v>57</v>
      </c>
      <c r="D80" s="298" t="s">
        <v>1227</v>
      </c>
      <c r="E80" s="92">
        <v>16</v>
      </c>
      <c r="F80" s="57" t="s">
        <v>33</v>
      </c>
      <c r="G80" s="112">
        <f>[1]DICIEMBRE!$BA$81</f>
        <v>-1.1999999987892807E-3</v>
      </c>
      <c r="H80" s="45">
        <f>ENERO!BA79</f>
        <v>-1.1999999987892807E-3</v>
      </c>
      <c r="I80" s="45">
        <f>FEBRERO!AX79</f>
        <v>-1.1999999987892807E-3</v>
      </c>
      <c r="J80" s="32"/>
      <c r="K80" s="32"/>
      <c r="L80" s="336"/>
      <c r="M80" s="32"/>
      <c r="N80" s="336"/>
      <c r="O80" s="32"/>
      <c r="P80" s="33"/>
      <c r="Q80" s="31"/>
      <c r="R80" s="31"/>
      <c r="S80" s="34">
        <f>(5250+300)*0.16+5250+300</f>
        <v>6438</v>
      </c>
      <c r="T80" s="34"/>
      <c r="U80" s="34"/>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v>6438</v>
      </c>
      <c r="AX80" s="35"/>
      <c r="AY80" s="35"/>
      <c r="AZ80" s="35"/>
      <c r="BA80" s="33">
        <f t="shared" si="0"/>
        <v>-1.1999999987892807E-3</v>
      </c>
      <c r="BB80" s="270"/>
    </row>
    <row r="81" spans="1:54" ht="77.25" customHeight="1" x14ac:dyDescent="0.35">
      <c r="A81" s="26">
        <v>64</v>
      </c>
      <c r="B81" s="43" t="s">
        <v>2187</v>
      </c>
      <c r="C81" s="28"/>
      <c r="D81" s="298" t="s">
        <v>1522</v>
      </c>
      <c r="E81" s="94">
        <v>5</v>
      </c>
      <c r="F81" s="62" t="s">
        <v>30</v>
      </c>
      <c r="G81" s="112">
        <f>[1]DICIEMBRE!$BA$119</f>
        <v>-1.999999999998181E-2</v>
      </c>
      <c r="H81" s="31">
        <f>ENERO!BA123</f>
        <v>-1.999999999998181E-2</v>
      </c>
      <c r="I81" s="31">
        <f>FEBRERO!AX80</f>
        <v>0</v>
      </c>
      <c r="J81" s="32"/>
      <c r="K81" s="32"/>
      <c r="L81" s="336"/>
      <c r="M81" s="336"/>
      <c r="N81" s="32"/>
      <c r="O81" s="32"/>
      <c r="P81" s="31"/>
      <c r="Q81" s="31"/>
      <c r="R81" s="31"/>
      <c r="S81" s="47">
        <f>(300*0.16+300)*E81</f>
        <v>1740</v>
      </c>
      <c r="T81" s="47"/>
      <c r="U81" s="48"/>
      <c r="V81" s="49"/>
      <c r="W81" s="50"/>
      <c r="X81" s="49"/>
      <c r="Y81" s="49"/>
      <c r="Z81" s="49"/>
      <c r="AA81" s="49"/>
      <c r="AB81" s="70"/>
      <c r="AC81" s="49"/>
      <c r="AD81" s="49"/>
      <c r="AE81" s="49">
        <v>1740</v>
      </c>
      <c r="AF81" s="49"/>
      <c r="AG81" s="49"/>
      <c r="AH81" s="49"/>
      <c r="AI81" s="49"/>
      <c r="AJ81" s="49"/>
      <c r="AK81" s="49"/>
      <c r="AL81" s="49"/>
      <c r="AM81" s="49"/>
      <c r="AN81" s="49"/>
      <c r="AO81" s="49"/>
      <c r="AP81" s="49"/>
      <c r="AQ81" s="49"/>
      <c r="AR81" s="49"/>
      <c r="AS81" s="49"/>
      <c r="AT81" s="49"/>
      <c r="AU81" s="49"/>
      <c r="AV81" s="49"/>
      <c r="AW81" s="49"/>
      <c r="AX81" s="49"/>
      <c r="AY81" s="49"/>
      <c r="AZ81" s="49"/>
      <c r="BA81" s="33">
        <f t="shared" si="0"/>
        <v>0</v>
      </c>
      <c r="BB81" s="267"/>
    </row>
    <row r="82" spans="1:54" s="23" customFormat="1" ht="54.75" customHeight="1" x14ac:dyDescent="0.3">
      <c r="A82" s="26">
        <v>65</v>
      </c>
      <c r="B82" s="43" t="s">
        <v>1437</v>
      </c>
      <c r="C82" s="28"/>
      <c r="D82" s="298" t="s">
        <v>1434</v>
      </c>
      <c r="E82" s="92">
        <v>2</v>
      </c>
      <c r="F82" s="30" t="s">
        <v>30</v>
      </c>
      <c r="G82" s="112">
        <f>[1]DICIEMBRE!$BA$83</f>
        <v>0</v>
      </c>
      <c r="H82" s="31">
        <f>ENERO!BA80</f>
        <v>0</v>
      </c>
      <c r="I82" s="31">
        <f>FEBRERO!AX81</f>
        <v>0</v>
      </c>
      <c r="J82" s="32"/>
      <c r="K82" s="33"/>
      <c r="L82" s="32"/>
      <c r="M82" s="336"/>
      <c r="N82" s="32"/>
      <c r="O82" s="32"/>
      <c r="P82" s="33"/>
      <c r="Q82" s="31"/>
      <c r="R82" s="31"/>
      <c r="S82" s="59">
        <f>(300*0.16+300)*E82</f>
        <v>696</v>
      </c>
      <c r="T82" s="34"/>
      <c r="U82" s="34"/>
      <c r="V82" s="35"/>
      <c r="W82" s="35"/>
      <c r="X82" s="35"/>
      <c r="Y82" s="35"/>
      <c r="Z82" s="36"/>
      <c r="AA82" s="35"/>
      <c r="AB82" s="35"/>
      <c r="AC82" s="54"/>
      <c r="AD82" s="35"/>
      <c r="AE82" s="35"/>
      <c r="AF82" s="35"/>
      <c r="AG82" s="35"/>
      <c r="AH82" s="35"/>
      <c r="AI82" s="35"/>
      <c r="AJ82" s="35">
        <v>696</v>
      </c>
      <c r="AK82" s="35"/>
      <c r="AL82" s="35"/>
      <c r="AM82" s="35"/>
      <c r="AN82" s="35"/>
      <c r="AO82" s="35"/>
      <c r="AP82" s="35"/>
      <c r="AQ82" s="35"/>
      <c r="AR82" s="35"/>
      <c r="AS82" s="35"/>
      <c r="AT82" s="35"/>
      <c r="AU82" s="35"/>
      <c r="AV82" s="35"/>
      <c r="AW82" s="35"/>
      <c r="AX82" s="35"/>
      <c r="AY82" s="35"/>
      <c r="AZ82" s="35"/>
      <c r="BA82" s="33">
        <f t="shared" si="0"/>
        <v>0</v>
      </c>
      <c r="BB82" s="43"/>
    </row>
    <row r="83" spans="1:54" s="23" customFormat="1" ht="66" customHeight="1" x14ac:dyDescent="0.3">
      <c r="A83" s="26">
        <v>66</v>
      </c>
      <c r="B83" s="27" t="s">
        <v>1746</v>
      </c>
      <c r="C83" s="28" t="s">
        <v>59</v>
      </c>
      <c r="D83" s="298" t="s">
        <v>1228</v>
      </c>
      <c r="E83" s="92">
        <v>8</v>
      </c>
      <c r="F83" s="30" t="s">
        <v>30</v>
      </c>
      <c r="G83" s="234">
        <f>[1]DICIEMBRE!$BA$82</f>
        <v>2784.0048000000006</v>
      </c>
      <c r="H83" s="31">
        <f>ENERO!BA81</f>
        <v>4.8000000006140908E-3</v>
      </c>
      <c r="I83" s="31">
        <f>FEBRERO!AX82</f>
        <v>4.8000000006140908E-3</v>
      </c>
      <c r="J83" s="32"/>
      <c r="K83" s="33"/>
      <c r="L83" s="32"/>
      <c r="M83" s="336"/>
      <c r="N83" s="32"/>
      <c r="O83" s="32"/>
      <c r="P83" s="31"/>
      <c r="Q83" s="31"/>
      <c r="R83" s="31"/>
      <c r="S83" s="59">
        <f>(300*0.16+300)*E83</f>
        <v>2784</v>
      </c>
      <c r="T83" s="34"/>
      <c r="U83" s="34"/>
      <c r="V83" s="35"/>
      <c r="W83" s="35"/>
      <c r="X83" s="35"/>
      <c r="Y83" s="35"/>
      <c r="Z83" s="36"/>
      <c r="AA83" s="35"/>
      <c r="AB83" s="35"/>
      <c r="AC83" s="54"/>
      <c r="AD83" s="35"/>
      <c r="AE83" s="35"/>
      <c r="AF83" s="35"/>
      <c r="AG83" s="35"/>
      <c r="AH83" s="35"/>
      <c r="AI83" s="35"/>
      <c r="AJ83" s="35"/>
      <c r="AK83" s="35"/>
      <c r="AL83" s="35"/>
      <c r="AM83" s="35"/>
      <c r="AN83" s="35"/>
      <c r="AO83" s="35"/>
      <c r="AP83" s="35"/>
      <c r="AQ83" s="35"/>
      <c r="AR83" s="35"/>
      <c r="AS83" s="35"/>
      <c r="AT83" s="35">
        <v>2784</v>
      </c>
      <c r="AU83" s="35"/>
      <c r="AV83" s="35"/>
      <c r="AW83" s="35"/>
      <c r="AX83" s="35"/>
      <c r="AY83" s="35"/>
      <c r="AZ83" s="35"/>
      <c r="BA83" s="33">
        <f t="shared" si="0"/>
        <v>4.8000000006140908E-3</v>
      </c>
      <c r="BB83" s="43"/>
    </row>
    <row r="84" spans="1:54" s="23" customFormat="1" ht="68.25" customHeight="1" x14ac:dyDescent="0.3">
      <c r="A84" s="26">
        <v>67</v>
      </c>
      <c r="B84" s="43" t="s">
        <v>1071</v>
      </c>
      <c r="C84" s="28"/>
      <c r="D84" s="298" t="s">
        <v>1312</v>
      </c>
      <c r="E84" s="92">
        <v>4</v>
      </c>
      <c r="F84" s="30" t="s">
        <v>30</v>
      </c>
      <c r="G84" s="234">
        <f>[1]DICIEMBRE!$BA$84</f>
        <v>0</v>
      </c>
      <c r="H84" s="45">
        <f>ENERO!BA82</f>
        <v>0</v>
      </c>
      <c r="I84" s="45">
        <f>FEBRERO!AX83</f>
        <v>0</v>
      </c>
      <c r="J84" s="32"/>
      <c r="K84" s="33"/>
      <c r="L84" s="32"/>
      <c r="M84" s="32"/>
      <c r="N84" s="32"/>
      <c r="O84" s="33"/>
      <c r="P84" s="31"/>
      <c r="Q84" s="31"/>
      <c r="R84" s="31"/>
      <c r="S84" s="59">
        <f>(220*0.16+220)*E84</f>
        <v>1020.8</v>
      </c>
      <c r="T84" s="34"/>
      <c r="U84" s="34"/>
      <c r="V84" s="35"/>
      <c r="W84" s="35"/>
      <c r="X84" s="35"/>
      <c r="Y84" s="35"/>
      <c r="Z84" s="36">
        <v>1020.8</v>
      </c>
      <c r="AA84" s="35"/>
      <c r="AB84" s="35"/>
      <c r="AC84" s="54"/>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3">
        <f t="shared" si="0"/>
        <v>0</v>
      </c>
      <c r="BB84" s="43"/>
    </row>
    <row r="85" spans="1:54" s="23" customFormat="1" ht="68.25" customHeight="1" x14ac:dyDescent="0.3">
      <c r="A85" s="26">
        <v>68</v>
      </c>
      <c r="B85" s="43" t="s">
        <v>688</v>
      </c>
      <c r="C85" s="28"/>
      <c r="D85" s="299" t="s">
        <v>1230</v>
      </c>
      <c r="E85" s="92">
        <v>3</v>
      </c>
      <c r="F85" s="30" t="s">
        <v>30</v>
      </c>
      <c r="G85" s="112">
        <f>[1]DICIEMBRE!$BA$87</f>
        <v>-4.400000000032378E-3</v>
      </c>
      <c r="H85" s="31">
        <f>ENERO!BA84</f>
        <v>-4.400000000032378E-3</v>
      </c>
      <c r="I85" s="31">
        <f>FEBRERO!AX84</f>
        <v>-4.400000000032378E-3</v>
      </c>
      <c r="J85" s="32"/>
      <c r="K85" s="32"/>
      <c r="L85" s="336"/>
      <c r="M85" s="336"/>
      <c r="N85" s="32"/>
      <c r="O85" s="33"/>
      <c r="P85" s="33"/>
      <c r="Q85" s="31"/>
      <c r="R85" s="31"/>
      <c r="S85" s="59">
        <f>(250*0.16+250)*E85</f>
        <v>870</v>
      </c>
      <c r="T85" s="34"/>
      <c r="U85" s="34"/>
      <c r="V85" s="35"/>
      <c r="W85" s="35"/>
      <c r="X85" s="35"/>
      <c r="Y85" s="35"/>
      <c r="Z85" s="36"/>
      <c r="AA85" s="35">
        <v>870</v>
      </c>
      <c r="AB85" s="35"/>
      <c r="AC85" s="54"/>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3">
        <f t="shared" si="0"/>
        <v>-4.400000000032378E-3</v>
      </c>
      <c r="BB85" s="43"/>
    </row>
    <row r="86" spans="1:54" s="23" customFormat="1" ht="68.25" customHeight="1" x14ac:dyDescent="0.3">
      <c r="A86" s="26">
        <v>69</v>
      </c>
      <c r="B86" s="43" t="s">
        <v>1543</v>
      </c>
      <c r="C86" s="28"/>
      <c r="D86" s="318" t="s">
        <v>1544</v>
      </c>
      <c r="E86" s="92">
        <v>5</v>
      </c>
      <c r="F86" s="30" t="s">
        <v>30</v>
      </c>
      <c r="G86" s="234">
        <f>[1]DICIEMBRE!$BA$88</f>
        <v>4.5474735088646412E-13</v>
      </c>
      <c r="H86" s="45">
        <f>ENERO!BA85</f>
        <v>4.5474735088646412E-13</v>
      </c>
      <c r="I86" s="31">
        <f>FEBRERO!AX85</f>
        <v>4.5474735088646412E-13</v>
      </c>
      <c r="J86" s="32"/>
      <c r="K86" s="32"/>
      <c r="L86" s="336"/>
      <c r="M86" s="336"/>
      <c r="N86" s="32"/>
      <c r="O86" s="33"/>
      <c r="P86" s="33"/>
      <c r="Q86" s="31"/>
      <c r="R86" s="31"/>
      <c r="S86" s="59">
        <f>(300*0.16+300)*E86</f>
        <v>1740</v>
      </c>
      <c r="T86" s="34">
        <f>(549*0.16+549)*2</f>
        <v>1273.68</v>
      </c>
      <c r="U86" s="34"/>
      <c r="V86" s="35"/>
      <c r="W86" s="35"/>
      <c r="X86" s="35"/>
      <c r="Y86" s="35"/>
      <c r="Z86" s="36"/>
      <c r="AA86" s="35">
        <v>3013.68</v>
      </c>
      <c r="AB86" s="35"/>
      <c r="AC86" s="54"/>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3">
        <f t="shared" ref="BA86:BA154" si="1">SUM(I86+S86+T86-U86-V86-W86-X86-Y86-Z86-AA86-AB86-AC86-AD86-AE86-AF86-AG86-AH86-AI86-AJ86-AK86-AL86-AM86-AN86-AO86-AP86-AQ86-AR86-AS86-AT86-AU86-AV86-AW86-AX86-AY86-AZ86)</f>
        <v>4.5474735088646412E-13</v>
      </c>
      <c r="BB86" s="43" t="s">
        <v>2320</v>
      </c>
    </row>
    <row r="87" spans="1:54" s="23" customFormat="1" ht="68.25" customHeight="1" x14ac:dyDescent="0.3">
      <c r="A87" s="26">
        <v>70</v>
      </c>
      <c r="B87" s="43" t="s">
        <v>869</v>
      </c>
      <c r="C87" s="28"/>
      <c r="D87" s="299" t="s">
        <v>1231</v>
      </c>
      <c r="E87" s="92">
        <v>5</v>
      </c>
      <c r="F87" s="30" t="s">
        <v>30</v>
      </c>
      <c r="G87" s="112">
        <f>[1]DICIEMBRE!$BA$89</f>
        <v>0</v>
      </c>
      <c r="H87" s="31">
        <f>ENERO!BA86</f>
        <v>0</v>
      </c>
      <c r="I87" s="31">
        <f>FEBRERO!AX86</f>
        <v>0</v>
      </c>
      <c r="J87" s="32"/>
      <c r="K87" s="32"/>
      <c r="L87" s="32"/>
      <c r="M87" s="32"/>
      <c r="N87" s="32"/>
      <c r="O87" s="32"/>
      <c r="P87" s="31"/>
      <c r="Q87" s="31"/>
      <c r="R87" s="31"/>
      <c r="S87" s="59">
        <f>(300*0.16+300)*E87</f>
        <v>1740</v>
      </c>
      <c r="T87" s="34"/>
      <c r="U87" s="34"/>
      <c r="V87" s="35"/>
      <c r="W87" s="35"/>
      <c r="X87" s="35"/>
      <c r="Y87" s="35"/>
      <c r="Z87" s="36"/>
      <c r="AA87" s="35">
        <v>1740</v>
      </c>
      <c r="AB87" s="35"/>
      <c r="AC87" s="54"/>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3">
        <f t="shared" si="1"/>
        <v>0</v>
      </c>
      <c r="BB87" s="43"/>
    </row>
    <row r="88" spans="1:54" s="23" customFormat="1" ht="75.75" customHeight="1" x14ac:dyDescent="0.3">
      <c r="A88" s="26">
        <v>71</v>
      </c>
      <c r="B88" s="43" t="s">
        <v>2377</v>
      </c>
      <c r="C88" s="28"/>
      <c r="D88" s="305" t="s">
        <v>2382</v>
      </c>
      <c r="E88" s="94">
        <v>1</v>
      </c>
      <c r="F88" s="44" t="s">
        <v>30</v>
      </c>
      <c r="G88" s="112"/>
      <c r="H88" s="31"/>
      <c r="I88" s="31"/>
      <c r="J88" s="32"/>
      <c r="K88" s="32"/>
      <c r="L88" s="32"/>
      <c r="M88" s="32"/>
      <c r="N88" s="32"/>
      <c r="O88" s="32"/>
      <c r="P88" s="31"/>
      <c r="Q88" s="31"/>
      <c r="R88" s="31"/>
      <c r="S88" s="59">
        <f>(300*0.16+300)*E88</f>
        <v>348</v>
      </c>
      <c r="T88" s="34"/>
      <c r="U88" s="34"/>
      <c r="V88" s="35">
        <v>300</v>
      </c>
      <c r="W88" s="35"/>
      <c r="X88" s="35">
        <v>48</v>
      </c>
      <c r="Y88" s="35"/>
      <c r="Z88" s="36"/>
      <c r="AA88" s="35"/>
      <c r="AB88" s="35"/>
      <c r="AC88" s="54"/>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3">
        <f t="shared" si="1"/>
        <v>0</v>
      </c>
      <c r="BB88" s="43" t="s">
        <v>2378</v>
      </c>
    </row>
    <row r="89" spans="1:54" s="23" customFormat="1" ht="68.25" customHeight="1" x14ac:dyDescent="0.3">
      <c r="A89" s="26">
        <v>72</v>
      </c>
      <c r="B89" s="43" t="s">
        <v>1471</v>
      </c>
      <c r="C89" s="28"/>
      <c r="D89" s="318" t="s">
        <v>1477</v>
      </c>
      <c r="E89" s="92">
        <v>8</v>
      </c>
      <c r="F89" s="30" t="s">
        <v>30</v>
      </c>
      <c r="G89" s="234">
        <f>[1]DICIEMBRE!$BA$90</f>
        <v>0</v>
      </c>
      <c r="H89" s="31">
        <f>ENERO!BA87</f>
        <v>0</v>
      </c>
      <c r="I89" s="45">
        <f>FEBRERO!AX87</f>
        <v>0</v>
      </c>
      <c r="J89" s="32"/>
      <c r="K89" s="32"/>
      <c r="L89" s="32"/>
      <c r="M89" s="32"/>
      <c r="N89" s="32"/>
      <c r="O89" s="32"/>
      <c r="P89" s="31"/>
      <c r="Q89" s="31"/>
      <c r="R89" s="31"/>
      <c r="S89" s="59">
        <f>(300*0.16+300)*E89</f>
        <v>2784</v>
      </c>
      <c r="T89" s="34"/>
      <c r="U89" s="34"/>
      <c r="V89" s="35"/>
      <c r="W89" s="35"/>
      <c r="X89" s="35"/>
      <c r="Y89" s="35"/>
      <c r="Z89" s="36"/>
      <c r="AA89" s="35"/>
      <c r="AB89" s="35">
        <v>2784</v>
      </c>
      <c r="AC89" s="54"/>
      <c r="AD89" s="35"/>
      <c r="AE89" s="35"/>
      <c r="AF89" s="35"/>
      <c r="AG89" s="35"/>
      <c r="AH89" s="35"/>
      <c r="AI89" s="35"/>
      <c r="AJ89" s="35"/>
      <c r="AK89" s="35"/>
      <c r="AL89" s="35"/>
      <c r="AM89" s="35"/>
      <c r="AN89" s="35"/>
      <c r="AO89" s="35"/>
      <c r="AP89" s="35"/>
      <c r="AQ89" s="35"/>
      <c r="AR89" s="35"/>
      <c r="AS89" s="35"/>
      <c r="AT89" s="35"/>
      <c r="AU89" s="35"/>
      <c r="AV89" s="35"/>
      <c r="AW89" s="35"/>
      <c r="AX89" s="35"/>
      <c r="AY89" s="35"/>
      <c r="AZ89" s="35"/>
      <c r="BA89" s="33">
        <f t="shared" si="1"/>
        <v>0</v>
      </c>
      <c r="BB89" s="43"/>
    </row>
    <row r="90" spans="1:54" s="23" customFormat="1" ht="68.25" customHeight="1" x14ac:dyDescent="0.3">
      <c r="A90" s="26">
        <v>73</v>
      </c>
      <c r="B90" s="43" t="s">
        <v>1467</v>
      </c>
      <c r="C90" s="28"/>
      <c r="D90" s="308" t="s">
        <v>1654</v>
      </c>
      <c r="E90" s="92">
        <v>3</v>
      </c>
      <c r="F90" s="30" t="s">
        <v>30</v>
      </c>
      <c r="G90" s="234">
        <f>[1]DICIEMBRE!$BA$92</f>
        <v>0</v>
      </c>
      <c r="H90" s="45">
        <f>ENERO!BA88</f>
        <v>0</v>
      </c>
      <c r="I90" s="31">
        <f>FEBRERO!AX88</f>
        <v>0</v>
      </c>
      <c r="J90" s="32"/>
      <c r="K90" s="33"/>
      <c r="L90" s="32"/>
      <c r="M90" s="32"/>
      <c r="N90" s="336"/>
      <c r="O90" s="32"/>
      <c r="P90" s="33"/>
      <c r="Q90" s="31"/>
      <c r="R90" s="31"/>
      <c r="S90" s="59">
        <f>(300*0.16+300)*E90</f>
        <v>1044</v>
      </c>
      <c r="T90" s="34"/>
      <c r="U90" s="34"/>
      <c r="V90" s="35"/>
      <c r="W90" s="35"/>
      <c r="X90" s="35"/>
      <c r="Y90" s="35"/>
      <c r="Z90" s="36"/>
      <c r="AA90" s="35"/>
      <c r="AB90" s="35"/>
      <c r="AC90" s="54"/>
      <c r="AD90" s="35"/>
      <c r="AE90" s="35"/>
      <c r="AF90" s="35"/>
      <c r="AG90" s="35"/>
      <c r="AH90" s="35"/>
      <c r="AI90" s="35"/>
      <c r="AJ90" s="35"/>
      <c r="AK90" s="35"/>
      <c r="AL90" s="35"/>
      <c r="AM90" s="35">
        <v>1044</v>
      </c>
      <c r="AN90" s="35"/>
      <c r="AO90" s="35"/>
      <c r="AP90" s="35"/>
      <c r="AQ90" s="35"/>
      <c r="AR90" s="35"/>
      <c r="AS90" s="35"/>
      <c r="AT90" s="35"/>
      <c r="AU90" s="35"/>
      <c r="AV90" s="35"/>
      <c r="AW90" s="35"/>
      <c r="AX90" s="35"/>
      <c r="AY90" s="35"/>
      <c r="AZ90" s="35"/>
      <c r="BA90" s="33">
        <f t="shared" si="1"/>
        <v>0</v>
      </c>
      <c r="BB90" s="43"/>
    </row>
    <row r="91" spans="1:54" s="23" customFormat="1" ht="92.25" customHeight="1" x14ac:dyDescent="0.3">
      <c r="A91" s="26">
        <v>74</v>
      </c>
      <c r="B91" s="43" t="s">
        <v>1747</v>
      </c>
      <c r="C91" s="28"/>
      <c r="D91" s="299" t="s">
        <v>1168</v>
      </c>
      <c r="E91" s="93">
        <v>2</v>
      </c>
      <c r="F91" s="30" t="s">
        <v>30</v>
      </c>
      <c r="G91" s="112">
        <f>[1]DICIEMBRE!$BA$33</f>
        <v>1.2000000001535227E-3</v>
      </c>
      <c r="H91" s="31">
        <f>ENERO!BA89</f>
        <v>1.2000000001535227E-3</v>
      </c>
      <c r="I91" s="31">
        <f>FEBRERO!AX89</f>
        <v>1.2000000001535227E-3</v>
      </c>
      <c r="J91" s="32"/>
      <c r="K91" s="32"/>
      <c r="L91" s="336"/>
      <c r="M91" s="336"/>
      <c r="N91" s="336"/>
      <c r="O91" s="32"/>
      <c r="P91" s="33"/>
      <c r="Q91" s="31"/>
      <c r="R91" s="31"/>
      <c r="S91" s="34">
        <f>(250*0.16+250)*E91</f>
        <v>580</v>
      </c>
      <c r="T91" s="34"/>
      <c r="U91" s="34"/>
      <c r="V91" s="34"/>
      <c r="W91" s="34"/>
      <c r="X91" s="34"/>
      <c r="Y91" s="34"/>
      <c r="Z91" s="34"/>
      <c r="AA91" s="34"/>
      <c r="AB91" s="34"/>
      <c r="AC91" s="34"/>
      <c r="AD91" s="34"/>
      <c r="AE91" s="34"/>
      <c r="AF91" s="34"/>
      <c r="AG91" s="34"/>
      <c r="AH91" s="34"/>
      <c r="AI91" s="34"/>
      <c r="AJ91" s="34"/>
      <c r="AK91" s="38"/>
      <c r="AL91" s="34"/>
      <c r="AM91" s="34"/>
      <c r="AN91" s="34"/>
      <c r="AO91" s="34"/>
      <c r="AP91" s="34"/>
      <c r="AQ91" s="34"/>
      <c r="AR91" s="34"/>
      <c r="AS91" s="34"/>
      <c r="AT91" s="34"/>
      <c r="AU91" s="34"/>
      <c r="AV91" s="34"/>
      <c r="AW91" s="34"/>
      <c r="AX91" s="34"/>
      <c r="AY91" s="34"/>
      <c r="AZ91" s="34"/>
      <c r="BA91" s="33">
        <f t="shared" si="1"/>
        <v>580.00120000000015</v>
      </c>
      <c r="BB91" s="43"/>
    </row>
    <row r="92" spans="1:54" s="23" customFormat="1" ht="92.25" customHeight="1" x14ac:dyDescent="0.3">
      <c r="A92" s="26">
        <v>75</v>
      </c>
      <c r="B92" s="43" t="s">
        <v>1102</v>
      </c>
      <c r="C92" s="28"/>
      <c r="D92" s="367" t="s">
        <v>2211</v>
      </c>
      <c r="E92" s="368">
        <v>1</v>
      </c>
      <c r="F92" s="30"/>
      <c r="G92" s="112"/>
      <c r="H92" s="31">
        <f>166.66*0.16+166.66</f>
        <v>193.32560000000001</v>
      </c>
      <c r="I92" s="31">
        <f>FEBRERO!AX90</f>
        <v>-4.400000000032378E-3</v>
      </c>
      <c r="J92" s="32"/>
      <c r="K92" s="32"/>
      <c r="L92" s="336"/>
      <c r="M92" s="336"/>
      <c r="N92" s="336"/>
      <c r="O92" s="32"/>
      <c r="P92" s="33"/>
      <c r="Q92" s="31"/>
      <c r="R92" s="31"/>
      <c r="S92" s="34">
        <f>(250*0.16+250)*E92</f>
        <v>290</v>
      </c>
      <c r="T92" s="34"/>
      <c r="U92" s="34"/>
      <c r="V92" s="34"/>
      <c r="W92" s="34"/>
      <c r="X92" s="34"/>
      <c r="Y92" s="34"/>
      <c r="Z92" s="34"/>
      <c r="AA92" s="34"/>
      <c r="AB92" s="34">
        <v>290</v>
      </c>
      <c r="AC92" s="34"/>
      <c r="AD92" s="34"/>
      <c r="AE92" s="34"/>
      <c r="AF92" s="34"/>
      <c r="AG92" s="34"/>
      <c r="AH92" s="34"/>
      <c r="AI92" s="34"/>
      <c r="AJ92" s="34"/>
      <c r="AK92" s="38"/>
      <c r="AL92" s="34"/>
      <c r="AM92" s="34"/>
      <c r="AN92" s="34"/>
      <c r="AO92" s="34"/>
      <c r="AP92" s="34"/>
      <c r="AQ92" s="34"/>
      <c r="AR92" s="34"/>
      <c r="AS92" s="34"/>
      <c r="AT92" s="34"/>
      <c r="AU92" s="34"/>
      <c r="AV92" s="34"/>
      <c r="AW92" s="34"/>
      <c r="AX92" s="34"/>
      <c r="AY92" s="34"/>
      <c r="AZ92" s="34"/>
      <c r="BA92" s="33">
        <f t="shared" si="1"/>
        <v>-4.400000000032378E-3</v>
      </c>
      <c r="BB92" s="43" t="s">
        <v>2617</v>
      </c>
    </row>
    <row r="93" spans="1:54" s="23" customFormat="1" ht="80.25" customHeight="1" x14ac:dyDescent="0.3">
      <c r="A93" s="26">
        <v>76</v>
      </c>
      <c r="B93" s="43" t="s">
        <v>1748</v>
      </c>
      <c r="C93" s="28"/>
      <c r="D93" s="298" t="s">
        <v>1616</v>
      </c>
      <c r="E93" s="92">
        <v>5</v>
      </c>
      <c r="F93" s="40" t="s">
        <v>30</v>
      </c>
      <c r="G93" s="112">
        <f>[1]DICIEMBRE!$BA$29</f>
        <v>2900</v>
      </c>
      <c r="H93" s="31">
        <f>ENERO!BA90</f>
        <v>4350</v>
      </c>
      <c r="I93" s="45">
        <f>FEBRERO!AX91</f>
        <v>0</v>
      </c>
      <c r="J93" s="32"/>
      <c r="K93" s="32"/>
      <c r="L93" s="32"/>
      <c r="M93" s="32"/>
      <c r="N93" s="32"/>
      <c r="O93" s="32"/>
      <c r="P93" s="31"/>
      <c r="Q93" s="31"/>
      <c r="R93" s="31"/>
      <c r="S93" s="34">
        <f>(250*0.16+250)*E93</f>
        <v>1450</v>
      </c>
      <c r="T93" s="34"/>
      <c r="U93" s="34"/>
      <c r="V93" s="35"/>
      <c r="W93" s="54"/>
      <c r="X93" s="35"/>
      <c r="Y93" s="35"/>
      <c r="Z93" s="35"/>
      <c r="AA93" s="35"/>
      <c r="AB93" s="35"/>
      <c r="AC93" s="35"/>
      <c r="AD93" s="35"/>
      <c r="AE93" s="35"/>
      <c r="AF93" s="35"/>
      <c r="AG93" s="35"/>
      <c r="AH93" s="35"/>
      <c r="AI93" s="36">
        <v>1450</v>
      </c>
      <c r="AJ93" s="35"/>
      <c r="AK93" s="35"/>
      <c r="AL93" s="35"/>
      <c r="AM93" s="35"/>
      <c r="AN93" s="35"/>
      <c r="AO93" s="35"/>
      <c r="AP93" s="35"/>
      <c r="AQ93" s="35"/>
      <c r="AR93" s="35"/>
      <c r="AS93" s="35"/>
      <c r="AT93" s="35"/>
      <c r="AU93" s="35"/>
      <c r="AV93" s="35"/>
      <c r="AW93" s="35"/>
      <c r="AX93" s="35"/>
      <c r="AY93" s="35"/>
      <c r="AZ93" s="35"/>
      <c r="BA93" s="33">
        <f t="shared" si="1"/>
        <v>0</v>
      </c>
      <c r="BB93" s="267" t="s">
        <v>796</v>
      </c>
    </row>
    <row r="94" spans="1:54" s="23" customFormat="1" ht="92.25" customHeight="1" x14ac:dyDescent="0.3">
      <c r="A94" s="26">
        <v>77</v>
      </c>
      <c r="B94" s="43" t="s">
        <v>1749</v>
      </c>
      <c r="C94" s="28" t="s">
        <v>32</v>
      </c>
      <c r="D94" s="298" t="s">
        <v>1202</v>
      </c>
      <c r="E94" s="93">
        <v>13</v>
      </c>
      <c r="F94" s="30" t="s">
        <v>30</v>
      </c>
      <c r="G94" s="234">
        <f>[1]DICIEMBRE!$BA$30</f>
        <v>0</v>
      </c>
      <c r="H94" s="45">
        <f>ENERO!BA91</f>
        <v>0</v>
      </c>
      <c r="I94" s="31">
        <f>FEBRERO!AX92</f>
        <v>0</v>
      </c>
      <c r="J94" s="32"/>
      <c r="K94" s="32"/>
      <c r="L94" s="32"/>
      <c r="M94" s="32"/>
      <c r="N94" s="32"/>
      <c r="O94" s="33"/>
      <c r="P94" s="33"/>
      <c r="Q94" s="31"/>
      <c r="R94" s="31"/>
      <c r="S94" s="34">
        <f>(250*0.16+250)*E94</f>
        <v>3770</v>
      </c>
      <c r="T94" s="34">
        <f>2254*0.16+2254</f>
        <v>2614.64</v>
      </c>
      <c r="U94" s="34"/>
      <c r="V94" s="34"/>
      <c r="W94" s="34"/>
      <c r="X94" s="34"/>
      <c r="Y94" s="34"/>
      <c r="Z94" s="34">
        <v>6384.64</v>
      </c>
      <c r="AA94" s="34"/>
      <c r="AB94" s="34"/>
      <c r="AC94" s="34"/>
      <c r="AD94" s="34"/>
      <c r="AE94" s="34"/>
      <c r="AF94" s="34"/>
      <c r="AG94" s="34"/>
      <c r="AH94" s="34"/>
      <c r="AI94" s="34"/>
      <c r="AJ94" s="34"/>
      <c r="AK94" s="38"/>
      <c r="AL94" s="34"/>
      <c r="AM94" s="34"/>
      <c r="AN94" s="34"/>
      <c r="AO94" s="34"/>
      <c r="AP94" s="34"/>
      <c r="AQ94" s="34"/>
      <c r="AR94" s="34"/>
      <c r="AS94" s="34"/>
      <c r="AT94" s="34"/>
      <c r="AU94" s="34"/>
      <c r="AV94" s="34"/>
      <c r="AW94" s="34"/>
      <c r="AX94" s="34"/>
      <c r="AY94" s="34"/>
      <c r="AZ94" s="34"/>
      <c r="BA94" s="33">
        <f t="shared" si="1"/>
        <v>-9.0949470177292824E-13</v>
      </c>
      <c r="BB94" s="43" t="s">
        <v>2280</v>
      </c>
    </row>
    <row r="95" spans="1:54" s="23" customFormat="1" ht="81" customHeight="1" x14ac:dyDescent="0.3">
      <c r="A95" s="26">
        <v>78</v>
      </c>
      <c r="B95" s="43" t="s">
        <v>409</v>
      </c>
      <c r="C95" s="28" t="s">
        <v>412</v>
      </c>
      <c r="D95" s="298" t="s">
        <v>1233</v>
      </c>
      <c r="E95" s="92">
        <v>4</v>
      </c>
      <c r="F95" s="40" t="s">
        <v>30</v>
      </c>
      <c r="G95" s="112">
        <f>[1]DICIEMBRE!$BA$93</f>
        <v>-8.4799999995084363E-2</v>
      </c>
      <c r="H95" s="31">
        <f>ENERO!BA92</f>
        <v>-8.4799999995084363E-2</v>
      </c>
      <c r="I95" s="31">
        <f>FEBRERO!AX93</f>
        <v>-4.7999999951571226E-3</v>
      </c>
      <c r="J95" s="32"/>
      <c r="K95" s="32"/>
      <c r="L95" s="32"/>
      <c r="M95" s="336"/>
      <c r="N95" s="32"/>
      <c r="O95" s="33"/>
      <c r="P95" s="33"/>
      <c r="Q95" s="31"/>
      <c r="R95" s="31"/>
      <c r="S95" s="34">
        <f>(350*0.16+350)*E95</f>
        <v>1624</v>
      </c>
      <c r="T95" s="34"/>
      <c r="U95" s="34"/>
      <c r="V95" s="35"/>
      <c r="W95" s="54"/>
      <c r="X95" s="35"/>
      <c r="Y95" s="35"/>
      <c r="Z95" s="35">
        <v>1624</v>
      </c>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5"/>
      <c r="AZ95" s="35"/>
      <c r="BA95" s="33">
        <f t="shared" si="1"/>
        <v>-4.7999999951571226E-3</v>
      </c>
      <c r="BB95" s="267"/>
    </row>
    <row r="96" spans="1:54" s="23" customFormat="1" ht="81" customHeight="1" x14ac:dyDescent="0.3">
      <c r="A96" s="26">
        <v>79</v>
      </c>
      <c r="B96" s="43" t="s">
        <v>410</v>
      </c>
      <c r="C96" s="28" t="s">
        <v>411</v>
      </c>
      <c r="D96" s="298" t="s">
        <v>1233</v>
      </c>
      <c r="E96" s="92">
        <v>8</v>
      </c>
      <c r="F96" s="40" t="s">
        <v>30</v>
      </c>
      <c r="G96" s="234">
        <f>[1]DICIEMBRE!$BA$94</f>
        <v>-8.7999999996100087E-3</v>
      </c>
      <c r="H96" s="31">
        <f>ENERO!BA93</f>
        <v>-8.7999999996100087E-3</v>
      </c>
      <c r="I96" s="31">
        <f>FEBRERO!AX94</f>
        <v>1.2000000006082701E-3</v>
      </c>
      <c r="J96" s="32"/>
      <c r="K96" s="33"/>
      <c r="L96" s="32"/>
      <c r="M96" s="32"/>
      <c r="N96" s="32"/>
      <c r="O96" s="32"/>
      <c r="P96" s="31"/>
      <c r="Q96" s="31"/>
      <c r="R96" s="31"/>
      <c r="S96" s="34">
        <f>(350*0.16+350)*E96</f>
        <v>3248</v>
      </c>
      <c r="T96" s="34"/>
      <c r="U96" s="34"/>
      <c r="V96" s="35"/>
      <c r="W96" s="54"/>
      <c r="X96" s="35"/>
      <c r="Y96" s="35"/>
      <c r="Z96" s="35">
        <v>3248</v>
      </c>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3">
        <f>SUM(I96+S96+T96-U96-V96-W96-X96-Y96-Z96-AA96-AB96-AC96-AD96-AE96-AF96-AG96-AH96-AI96-AJ96-AK96-AL96-AM96-AN96-AO96-AP96-AQ96-AR96-AS96-AT96-AU96-AV96-AW96-AX96-AY96-AZ96)</f>
        <v>1.2000000006082701E-3</v>
      </c>
      <c r="BB96" s="267"/>
    </row>
    <row r="97" spans="1:55" s="23" customFormat="1" ht="90" customHeight="1" x14ac:dyDescent="0.3">
      <c r="A97" s="26">
        <v>80</v>
      </c>
      <c r="B97" s="43" t="s">
        <v>1751</v>
      </c>
      <c r="C97" s="28" t="s">
        <v>29</v>
      </c>
      <c r="D97" s="298" t="s">
        <v>1197</v>
      </c>
      <c r="E97" s="92">
        <v>6</v>
      </c>
      <c r="F97" s="30" t="s">
        <v>30</v>
      </c>
      <c r="G97" s="112">
        <f>[1]DICIEMBRE!$BA$19</f>
        <v>0</v>
      </c>
      <c r="H97" s="45">
        <f>ENERO!BA94</f>
        <v>0</v>
      </c>
      <c r="I97" s="45">
        <f>FEBRERO!AX95</f>
        <v>0</v>
      </c>
      <c r="J97" s="32"/>
      <c r="K97" s="32"/>
      <c r="L97" s="32"/>
      <c r="M97" s="32"/>
      <c r="N97" s="32"/>
      <c r="O97" s="32"/>
      <c r="P97" s="31"/>
      <c r="Q97" s="31"/>
      <c r="R97" s="31"/>
      <c r="S97" s="34">
        <f>350*E97*0.16+350*E97</f>
        <v>2436</v>
      </c>
      <c r="T97" s="34"/>
      <c r="U97" s="34"/>
      <c r="V97" s="35"/>
      <c r="W97" s="35"/>
      <c r="X97" s="35"/>
      <c r="Y97" s="35"/>
      <c r="Z97" s="36">
        <v>2436</v>
      </c>
      <c r="AA97" s="35"/>
      <c r="AB97" s="35"/>
      <c r="AC97" s="35"/>
      <c r="AD97" s="35"/>
      <c r="AE97" s="35"/>
      <c r="AF97" s="35"/>
      <c r="AG97" s="35"/>
      <c r="AH97" s="35"/>
      <c r="AI97" s="35"/>
      <c r="AJ97" s="35"/>
      <c r="AK97" s="37"/>
      <c r="AL97" s="35"/>
      <c r="AM97" s="35"/>
      <c r="AN97" s="35"/>
      <c r="AO97" s="35"/>
      <c r="AP97" s="35"/>
      <c r="AQ97" s="35"/>
      <c r="AR97" s="35"/>
      <c r="AS97" s="35"/>
      <c r="AT97" s="35"/>
      <c r="AU97" s="35"/>
      <c r="AV97" s="35"/>
      <c r="AW97" s="35"/>
      <c r="AX97" s="35"/>
      <c r="AY97" s="35"/>
      <c r="AZ97" s="35"/>
      <c r="BA97" s="33">
        <f t="shared" si="1"/>
        <v>0</v>
      </c>
      <c r="BB97" s="43"/>
    </row>
    <row r="98" spans="1:55" s="23" customFormat="1" ht="54.75" customHeight="1" x14ac:dyDescent="0.3">
      <c r="A98" s="26">
        <v>81</v>
      </c>
      <c r="B98" s="348" t="s">
        <v>1904</v>
      </c>
      <c r="C98" s="28"/>
      <c r="D98" s="300" t="s">
        <v>1905</v>
      </c>
      <c r="E98" s="92">
        <v>2</v>
      </c>
      <c r="F98" s="30"/>
      <c r="G98" s="112"/>
      <c r="H98" s="31">
        <f>ENERO!BA95</f>
        <v>0</v>
      </c>
      <c r="I98" s="31">
        <f>FEBRERO!AX96</f>
        <v>5.6843418860808015E-14</v>
      </c>
      <c r="J98" s="32"/>
      <c r="K98" s="32"/>
      <c r="L98" s="32"/>
      <c r="M98" s="32"/>
      <c r="N98" s="32"/>
      <c r="O98" s="32"/>
      <c r="P98" s="31"/>
      <c r="Q98" s="31"/>
      <c r="R98" s="31"/>
      <c r="S98" s="34">
        <f>(249*0.16+249)*E98</f>
        <v>577.68000000000006</v>
      </c>
      <c r="T98" s="34">
        <f>1850*0.16+1850</f>
        <v>2146</v>
      </c>
      <c r="U98" s="34"/>
      <c r="V98" s="35"/>
      <c r="W98" s="35"/>
      <c r="X98" s="35"/>
      <c r="Y98" s="35"/>
      <c r="Z98" s="36">
        <v>2723.68</v>
      </c>
      <c r="AA98" s="35"/>
      <c r="AB98" s="35"/>
      <c r="AC98" s="35"/>
      <c r="AD98" s="35"/>
      <c r="AE98" s="35"/>
      <c r="AF98" s="35"/>
      <c r="AG98" s="35"/>
      <c r="AH98" s="35"/>
      <c r="AI98" s="35"/>
      <c r="AJ98" s="35"/>
      <c r="AK98" s="37"/>
      <c r="AL98" s="35"/>
      <c r="AM98" s="35"/>
      <c r="AN98" s="35"/>
      <c r="AO98" s="35"/>
      <c r="AP98" s="35"/>
      <c r="AQ98" s="35"/>
      <c r="AR98" s="35"/>
      <c r="AS98" s="35"/>
      <c r="AT98" s="35"/>
      <c r="AU98" s="35"/>
      <c r="AV98" s="35"/>
      <c r="AW98" s="35"/>
      <c r="AX98" s="35"/>
      <c r="AY98" s="35"/>
      <c r="AZ98" s="35"/>
      <c r="BA98" s="33">
        <f t="shared" si="1"/>
        <v>4.5474735088646412E-13</v>
      </c>
      <c r="BB98" s="43" t="s">
        <v>2318</v>
      </c>
    </row>
    <row r="99" spans="1:55" s="23" customFormat="1" ht="81" customHeight="1" x14ac:dyDescent="0.3">
      <c r="A99" s="26">
        <v>82</v>
      </c>
      <c r="B99" s="43" t="s">
        <v>1548</v>
      </c>
      <c r="C99" s="28"/>
      <c r="D99" s="298" t="s">
        <v>2064</v>
      </c>
      <c r="E99" s="92">
        <v>9</v>
      </c>
      <c r="F99" s="40" t="s">
        <v>30</v>
      </c>
      <c r="G99" s="112">
        <f>[1]DICIEMBRE!$BA$95</f>
        <v>4.5474735088646412E-13</v>
      </c>
      <c r="H99" s="31">
        <f>ENERO!BA96</f>
        <v>4.5474735088646412E-13</v>
      </c>
      <c r="I99" s="31">
        <f>FEBRERO!AX97</f>
        <v>4.5474735088646412E-13</v>
      </c>
      <c r="J99" s="32"/>
      <c r="K99" s="33"/>
      <c r="L99" s="32"/>
      <c r="M99" s="32"/>
      <c r="N99" s="32"/>
      <c r="O99" s="32"/>
      <c r="P99" s="31"/>
      <c r="Q99" s="31"/>
      <c r="R99" s="31"/>
      <c r="S99" s="34">
        <f>(300*0.16+300)*E99</f>
        <v>3132</v>
      </c>
      <c r="T99" s="34"/>
      <c r="U99" s="34"/>
      <c r="V99" s="35"/>
      <c r="W99" s="54"/>
      <c r="X99" s="35"/>
      <c r="Y99" s="35"/>
      <c r="Z99" s="35"/>
      <c r="AA99" s="35"/>
      <c r="AB99" s="35">
        <v>3132</v>
      </c>
      <c r="AC99" s="35"/>
      <c r="AD99" s="35"/>
      <c r="AE99" s="35"/>
      <c r="AF99" s="35"/>
      <c r="AG99" s="35"/>
      <c r="AH99" s="35"/>
      <c r="AI99" s="35"/>
      <c r="AJ99" s="35"/>
      <c r="AK99" s="35"/>
      <c r="AL99" s="35"/>
      <c r="AM99" s="35"/>
      <c r="AN99" s="35"/>
      <c r="AO99" s="35"/>
      <c r="AP99" s="35"/>
      <c r="AQ99" s="35"/>
      <c r="AR99" s="35"/>
      <c r="AS99" s="35"/>
      <c r="AT99" s="35"/>
      <c r="AU99" s="35"/>
      <c r="AV99" s="35"/>
      <c r="AW99" s="35"/>
      <c r="AX99" s="35"/>
      <c r="AY99" s="35"/>
      <c r="AZ99" s="35"/>
      <c r="BA99" s="33">
        <f t="shared" si="1"/>
        <v>4.5474735088646412E-13</v>
      </c>
      <c r="BB99" s="267"/>
    </row>
    <row r="100" spans="1:55" s="23" customFormat="1" ht="78" customHeight="1" x14ac:dyDescent="0.3">
      <c r="A100" s="26">
        <v>83</v>
      </c>
      <c r="B100" s="43" t="s">
        <v>1752</v>
      </c>
      <c r="C100" s="27" t="s">
        <v>381</v>
      </c>
      <c r="D100" s="298" t="s">
        <v>1212</v>
      </c>
      <c r="E100" s="92">
        <v>13</v>
      </c>
      <c r="F100" s="30" t="s">
        <v>30</v>
      </c>
      <c r="G100" s="112">
        <f>[1]DICIEMBRE!$BA$55</f>
        <v>-3.9999999989959178E-4</v>
      </c>
      <c r="H100" s="45">
        <f>ENERO!BA97</f>
        <v>-3.9999999989959178E-4</v>
      </c>
      <c r="I100" s="31">
        <f>FEBRERO!AX98</f>
        <v>-3.9999999989959178E-4</v>
      </c>
      <c r="J100" s="32"/>
      <c r="K100" s="32"/>
      <c r="L100" s="32"/>
      <c r="M100" s="32"/>
      <c r="N100" s="32"/>
      <c r="O100" s="33"/>
      <c r="P100" s="31"/>
      <c r="Q100" s="31"/>
      <c r="R100" s="31"/>
      <c r="S100" s="34">
        <f>(300*0.16+300)*E100</f>
        <v>4524</v>
      </c>
      <c r="T100" s="35"/>
      <c r="U100" s="35"/>
      <c r="V100" s="35"/>
      <c r="W100" s="35"/>
      <c r="X100" s="35"/>
      <c r="Y100" s="35"/>
      <c r="Z100" s="35"/>
      <c r="AA100" s="35"/>
      <c r="AB100" s="35"/>
      <c r="AC100" s="35"/>
      <c r="AD100" s="35"/>
      <c r="AE100" s="35"/>
      <c r="AF100" s="35">
        <v>4524</v>
      </c>
      <c r="AG100" s="35"/>
      <c r="AH100" s="35"/>
      <c r="AI100" s="35"/>
      <c r="AJ100" s="35"/>
      <c r="AK100" s="42"/>
      <c r="AL100" s="35"/>
      <c r="AM100" s="35"/>
      <c r="AN100" s="35"/>
      <c r="AO100" s="35"/>
      <c r="AP100" s="35"/>
      <c r="AQ100" s="35"/>
      <c r="AR100" s="35"/>
      <c r="AS100" s="35"/>
      <c r="AT100" s="35"/>
      <c r="AU100" s="35"/>
      <c r="AV100" s="35"/>
      <c r="AW100" s="35"/>
      <c r="AX100" s="35"/>
      <c r="AY100" s="35"/>
      <c r="AZ100" s="35"/>
      <c r="BA100" s="33">
        <f t="shared" si="1"/>
        <v>-3.9999999989959178E-4</v>
      </c>
      <c r="BB100" s="43"/>
    </row>
    <row r="101" spans="1:55" ht="62.25" customHeight="1" x14ac:dyDescent="0.35">
      <c r="A101" s="26">
        <v>84</v>
      </c>
      <c r="B101" s="43" t="s">
        <v>1541</v>
      </c>
      <c r="C101" s="53"/>
      <c r="D101" s="300" t="s">
        <v>1495</v>
      </c>
      <c r="E101" s="94">
        <v>2</v>
      </c>
      <c r="F101" s="44" t="s">
        <v>30</v>
      </c>
      <c r="G101" s="112">
        <f>[1]DICIEMBRE!$BA$97</f>
        <v>2909.6628000000001</v>
      </c>
      <c r="H101" s="31">
        <f>ENERO!BA98</f>
        <v>3895.6628000000001</v>
      </c>
      <c r="I101" s="45">
        <f>FEBRERO!AX99</f>
        <v>3248.0028000000002</v>
      </c>
      <c r="J101" s="32"/>
      <c r="K101" s="32"/>
      <c r="L101" s="32"/>
      <c r="M101" s="336"/>
      <c r="N101" s="32"/>
      <c r="O101" s="32"/>
      <c r="P101" s="33"/>
      <c r="Q101" s="31"/>
      <c r="R101" s="31"/>
      <c r="S101" s="47">
        <f>(250*0.16+250)*E101</f>
        <v>580</v>
      </c>
      <c r="T101" s="47"/>
      <c r="U101" s="48"/>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33">
        <f t="shared" si="1"/>
        <v>3828.0028000000002</v>
      </c>
      <c r="BB101" s="43"/>
    </row>
    <row r="102" spans="1:55" ht="62.25" customHeight="1" x14ac:dyDescent="0.35">
      <c r="A102" s="26">
        <v>85</v>
      </c>
      <c r="B102" s="43" t="s">
        <v>1924</v>
      </c>
      <c r="C102" s="53"/>
      <c r="D102" s="249" t="s">
        <v>1508</v>
      </c>
      <c r="E102" s="94">
        <v>5</v>
      </c>
      <c r="F102" s="44" t="s">
        <v>30</v>
      </c>
      <c r="G102" s="112"/>
      <c r="H102" s="31">
        <f>ENERO!BA99</f>
        <v>9.0949470177292824E-13</v>
      </c>
      <c r="I102" s="31">
        <f>FEBRERO!AX100</f>
        <v>9.0949470177292824E-13</v>
      </c>
      <c r="J102" s="32"/>
      <c r="K102" s="32"/>
      <c r="L102" s="32"/>
      <c r="M102" s="336"/>
      <c r="N102" s="32"/>
      <c r="O102" s="32"/>
      <c r="P102" s="33"/>
      <c r="Q102" s="31"/>
      <c r="R102" s="31"/>
      <c r="S102" s="47">
        <f>(250*0.16+250)*E102</f>
        <v>1450</v>
      </c>
      <c r="T102" s="47"/>
      <c r="U102" s="48"/>
      <c r="V102" s="49"/>
      <c r="W102" s="49"/>
      <c r="X102" s="49"/>
      <c r="Y102" s="49"/>
      <c r="Z102" s="49"/>
      <c r="AA102" s="49">
        <v>1450</v>
      </c>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33">
        <f t="shared" si="1"/>
        <v>9.0949470177292824E-13</v>
      </c>
      <c r="BB102" s="43"/>
    </row>
    <row r="103" spans="1:55" s="23" customFormat="1" ht="82.5" customHeight="1" x14ac:dyDescent="0.3">
      <c r="A103" s="26">
        <v>86</v>
      </c>
      <c r="B103" s="43" t="s">
        <v>1753</v>
      </c>
      <c r="C103" s="28" t="s">
        <v>38</v>
      </c>
      <c r="D103" s="298" t="s">
        <v>1505</v>
      </c>
      <c r="E103" s="92">
        <v>9</v>
      </c>
      <c r="F103" s="30" t="s">
        <v>35</v>
      </c>
      <c r="G103" s="112">
        <f>[1]DICIEMBRE!$BA$47</f>
        <v>2.8000000056636054E-3</v>
      </c>
      <c r="H103" s="45">
        <f>ENERO!BA100</f>
        <v>2.8000000056636054E-3</v>
      </c>
      <c r="I103" s="31">
        <f>FEBRERO!AX101</f>
        <v>2.8000000056636054E-3</v>
      </c>
      <c r="J103" s="32"/>
      <c r="K103" s="33"/>
      <c r="L103" s="336"/>
      <c r="M103" s="336"/>
      <c r="N103" s="32"/>
      <c r="O103" s="32"/>
      <c r="P103" s="33"/>
      <c r="Q103" s="31"/>
      <c r="R103" s="31"/>
      <c r="S103" s="34">
        <f>(275*0.16+275)*E103</f>
        <v>2871</v>
      </c>
      <c r="T103" s="34">
        <f>1900*0.16+1900</f>
        <v>2204</v>
      </c>
      <c r="U103" s="34"/>
      <c r="V103" s="34"/>
      <c r="W103" s="34"/>
      <c r="X103" s="34"/>
      <c r="Y103" s="34"/>
      <c r="Z103" s="52"/>
      <c r="AA103" s="34"/>
      <c r="AB103" s="34"/>
      <c r="AC103" s="34"/>
      <c r="AD103" s="34"/>
      <c r="AE103" s="34"/>
      <c r="AF103" s="34"/>
      <c r="AG103" s="34"/>
      <c r="AH103" s="34">
        <v>5075</v>
      </c>
      <c r="AI103" s="34"/>
      <c r="AJ103" s="34"/>
      <c r="AK103" s="38"/>
      <c r="AL103" s="34"/>
      <c r="AM103" s="34"/>
      <c r="AN103" s="34"/>
      <c r="AO103" s="34"/>
      <c r="AP103" s="34"/>
      <c r="AQ103" s="34"/>
      <c r="AR103" s="34"/>
      <c r="AS103" s="34"/>
      <c r="AT103" s="34"/>
      <c r="AU103" s="34"/>
      <c r="AV103" s="34"/>
      <c r="AW103" s="34"/>
      <c r="AX103" s="34"/>
      <c r="AY103" s="34"/>
      <c r="AZ103" s="34"/>
      <c r="BA103" s="33">
        <f t="shared" si="1"/>
        <v>2.8000000056636054E-3</v>
      </c>
      <c r="BB103" s="43" t="s">
        <v>2318</v>
      </c>
    </row>
    <row r="104" spans="1:55" s="23" customFormat="1" ht="82.5" customHeight="1" x14ac:dyDescent="0.3">
      <c r="A104" s="26">
        <v>87</v>
      </c>
      <c r="B104" s="348" t="s">
        <v>1893</v>
      </c>
      <c r="C104" s="28"/>
      <c r="D104" s="300" t="s">
        <v>2018</v>
      </c>
      <c r="E104" s="92">
        <v>3</v>
      </c>
      <c r="F104" s="30"/>
      <c r="G104" s="112"/>
      <c r="H104" s="31">
        <f>ENERO!BA101</f>
        <v>9.0949470177292824E-13</v>
      </c>
      <c r="I104" s="31">
        <f>FEBRERO!AX102</f>
        <v>2.8000000008887582E-3</v>
      </c>
      <c r="J104" s="32"/>
      <c r="K104" s="33"/>
      <c r="L104" s="336"/>
      <c r="M104" s="336"/>
      <c r="N104" s="32"/>
      <c r="O104" s="32"/>
      <c r="P104" s="33"/>
      <c r="Q104" s="31"/>
      <c r="R104" s="31"/>
      <c r="S104" s="35">
        <f>(299*0.16+299)*E104</f>
        <v>1040.52</v>
      </c>
      <c r="T104" s="34"/>
      <c r="U104" s="34"/>
      <c r="V104" s="34"/>
      <c r="W104" s="34"/>
      <c r="X104" s="34"/>
      <c r="Y104" s="34"/>
      <c r="Z104" s="52"/>
      <c r="AA104" s="34">
        <v>1040.52</v>
      </c>
      <c r="AB104" s="34"/>
      <c r="AC104" s="34"/>
      <c r="AD104" s="34"/>
      <c r="AE104" s="34"/>
      <c r="AF104" s="34"/>
      <c r="AG104" s="34"/>
      <c r="AH104" s="34"/>
      <c r="AI104" s="34"/>
      <c r="AJ104" s="34"/>
      <c r="AK104" s="38"/>
      <c r="AL104" s="34"/>
      <c r="AM104" s="34"/>
      <c r="AN104" s="34"/>
      <c r="AO104" s="34"/>
      <c r="AP104" s="34"/>
      <c r="AQ104" s="34"/>
      <c r="AR104" s="34"/>
      <c r="AS104" s="34"/>
      <c r="AT104" s="34"/>
      <c r="AU104" s="34"/>
      <c r="AV104" s="34"/>
      <c r="AW104" s="34"/>
      <c r="AX104" s="34"/>
      <c r="AY104" s="34"/>
      <c r="AZ104" s="34"/>
      <c r="BA104" s="33">
        <f t="shared" si="1"/>
        <v>2.8000000008887582E-3</v>
      </c>
      <c r="BB104" s="43" t="s">
        <v>2450</v>
      </c>
    </row>
    <row r="105" spans="1:55" ht="67.5" customHeight="1" x14ac:dyDescent="0.35">
      <c r="A105" s="26">
        <v>88</v>
      </c>
      <c r="B105" s="43" t="s">
        <v>1755</v>
      </c>
      <c r="C105" s="53" t="s">
        <v>127</v>
      </c>
      <c r="D105" s="298" t="s">
        <v>1923</v>
      </c>
      <c r="E105" s="94">
        <v>13</v>
      </c>
      <c r="F105" s="44" t="s">
        <v>30</v>
      </c>
      <c r="G105" s="234">
        <f>[1]DICIEMBRE!$BA$96</f>
        <v>0</v>
      </c>
      <c r="H105" s="31">
        <f>ENERO!BA102</f>
        <v>0</v>
      </c>
      <c r="I105" s="45">
        <f>FEBRERO!AX103</f>
        <v>0</v>
      </c>
      <c r="J105" s="32"/>
      <c r="K105" s="33"/>
      <c r="L105" s="336"/>
      <c r="M105" s="32"/>
      <c r="N105" s="32"/>
      <c r="O105" s="32"/>
      <c r="P105" s="33"/>
      <c r="Q105" s="31"/>
      <c r="R105" s="31"/>
      <c r="S105" s="47">
        <f>(300*0.16+300)*E105</f>
        <v>4524</v>
      </c>
      <c r="U105" s="48"/>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v>4524</v>
      </c>
      <c r="AX105" s="49"/>
      <c r="AY105" s="49"/>
      <c r="AZ105" s="49"/>
      <c r="BA105" s="33">
        <f t="shared" si="1"/>
        <v>0</v>
      </c>
      <c r="BB105" s="43"/>
    </row>
    <row r="106" spans="1:55" ht="90" customHeight="1" x14ac:dyDescent="0.35">
      <c r="A106" s="26">
        <v>89</v>
      </c>
      <c r="B106" s="27" t="s">
        <v>62</v>
      </c>
      <c r="C106" s="28" t="s">
        <v>63</v>
      </c>
      <c r="D106" s="298" t="s">
        <v>1272</v>
      </c>
      <c r="E106" s="125">
        <v>5</v>
      </c>
      <c r="F106" s="60" t="s">
        <v>33</v>
      </c>
      <c r="G106" s="112">
        <f>[1]DICIEMBRE!$BA$101</f>
        <v>0</v>
      </c>
      <c r="H106" s="45">
        <f>ENERO!BA103</f>
        <v>0</v>
      </c>
      <c r="I106" s="31">
        <f>FEBRERO!AX104</f>
        <v>0</v>
      </c>
      <c r="J106" s="32"/>
      <c r="K106" s="32"/>
      <c r="L106" s="32"/>
      <c r="M106" s="336"/>
      <c r="N106" s="32"/>
      <c r="O106" s="33"/>
      <c r="P106" s="33"/>
      <c r="Q106" s="31"/>
      <c r="R106" s="31"/>
      <c r="S106" s="47">
        <f>(350*0.16+350)*E106</f>
        <v>2030</v>
      </c>
      <c r="T106" s="47"/>
      <c r="U106" s="48"/>
      <c r="V106" s="49"/>
      <c r="W106" s="49"/>
      <c r="X106" s="49"/>
      <c r="Y106" s="49"/>
      <c r="Z106" s="49"/>
      <c r="AA106" s="49"/>
      <c r="AB106" s="49"/>
      <c r="AC106" s="49"/>
      <c r="AD106" s="49"/>
      <c r="AE106" s="49"/>
      <c r="AF106" s="49"/>
      <c r="AG106" s="49"/>
      <c r="AH106" s="49"/>
      <c r="AI106" s="49"/>
      <c r="AJ106" s="49"/>
      <c r="AK106" s="49"/>
      <c r="AL106" s="49"/>
      <c r="AM106" s="49"/>
      <c r="AN106" s="49">
        <v>2030</v>
      </c>
      <c r="AO106" s="49"/>
      <c r="AP106" s="49"/>
      <c r="AQ106" s="49"/>
      <c r="AR106" s="49"/>
      <c r="AS106" s="49"/>
      <c r="AT106" s="49"/>
      <c r="AU106" s="49"/>
      <c r="AV106" s="49"/>
      <c r="AW106" s="49"/>
      <c r="AX106" s="49"/>
      <c r="AY106" s="49"/>
      <c r="AZ106" s="49"/>
      <c r="BA106" s="33">
        <f t="shared" si="1"/>
        <v>0</v>
      </c>
      <c r="BB106" s="268"/>
    </row>
    <row r="107" spans="1:55" ht="90" customHeight="1" x14ac:dyDescent="0.35">
      <c r="A107" s="26">
        <v>90</v>
      </c>
      <c r="B107" s="27" t="s">
        <v>2610</v>
      </c>
      <c r="C107" s="28"/>
      <c r="D107" s="300" t="s">
        <v>2611</v>
      </c>
      <c r="E107" s="125">
        <v>1</v>
      </c>
      <c r="F107" s="60" t="s">
        <v>30</v>
      </c>
      <c r="G107" s="112"/>
      <c r="H107" s="45"/>
      <c r="I107" s="31"/>
      <c r="J107" s="32"/>
      <c r="K107" s="32"/>
      <c r="L107" s="32"/>
      <c r="M107" s="336"/>
      <c r="N107" s="32"/>
      <c r="O107" s="33"/>
      <c r="P107" s="33"/>
      <c r="Q107" s="31"/>
      <c r="R107" s="31"/>
      <c r="S107" s="47">
        <f>(300*0.16+300)</f>
        <v>348</v>
      </c>
      <c r="T107" s="47">
        <f>549*0.16+549</f>
        <v>636.84</v>
      </c>
      <c r="U107" s="48"/>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v>984.84</v>
      </c>
      <c r="BA107" s="33">
        <f t="shared" si="1"/>
        <v>0</v>
      </c>
      <c r="BB107" s="268" t="s">
        <v>2793</v>
      </c>
    </row>
    <row r="108" spans="1:55" ht="81.75" customHeight="1" x14ac:dyDescent="0.35">
      <c r="A108" s="26">
        <v>91</v>
      </c>
      <c r="B108" s="55" t="s">
        <v>64</v>
      </c>
      <c r="C108" s="28" t="s">
        <v>65</v>
      </c>
      <c r="D108" s="298" t="s">
        <v>2525</v>
      </c>
      <c r="E108" s="125">
        <v>422</v>
      </c>
      <c r="F108" s="44" t="s">
        <v>30</v>
      </c>
      <c r="G108" s="234">
        <f>[1]DICIEMBRE!$BA$102</f>
        <v>1.0913936421275139E-11</v>
      </c>
      <c r="H108" s="31">
        <f>ENERO!BA104</f>
        <v>2.1827872842550278E-11</v>
      </c>
      <c r="I108" s="31">
        <f>FEBRERO!AX105</f>
        <v>14551.040000000037</v>
      </c>
      <c r="J108" s="32"/>
      <c r="K108" s="33"/>
      <c r="L108" s="32"/>
      <c r="M108" s="32"/>
      <c r="N108" s="32"/>
      <c r="O108" s="32"/>
      <c r="P108" s="31"/>
      <c r="Q108" s="31"/>
      <c r="R108" s="31"/>
      <c r="S108" s="61">
        <f>(150*0.16+150)*E108</f>
        <v>73428</v>
      </c>
      <c r="T108" s="47">
        <f>3748*0.16+3748</f>
        <v>4347.68</v>
      </c>
      <c r="U108" s="48"/>
      <c r="V108" s="49"/>
      <c r="W108" s="49"/>
      <c r="X108" s="49"/>
      <c r="Y108" s="49"/>
      <c r="Z108" s="49"/>
      <c r="AA108" s="49"/>
      <c r="AB108" s="49"/>
      <c r="AC108" s="49"/>
      <c r="AD108" s="49"/>
      <c r="AE108" s="49"/>
      <c r="AF108" s="49"/>
      <c r="AG108" s="49"/>
      <c r="AH108" s="49"/>
      <c r="AI108" s="49"/>
      <c r="AJ108" s="50"/>
      <c r="AK108" s="49"/>
      <c r="AL108" s="49"/>
      <c r="AM108" s="49"/>
      <c r="AN108" s="49"/>
      <c r="AO108" s="49">
        <v>14551.04</v>
      </c>
      <c r="AP108" s="49"/>
      <c r="AQ108" s="49"/>
      <c r="AR108" s="49"/>
      <c r="AS108" s="49"/>
      <c r="AT108" s="49"/>
      <c r="AU108" s="49"/>
      <c r="AV108" s="49">
        <v>73428</v>
      </c>
      <c r="AW108" s="49"/>
      <c r="AX108" s="49"/>
      <c r="AY108" s="49"/>
      <c r="AZ108" s="49"/>
      <c r="BA108" s="33">
        <f t="shared" si="1"/>
        <v>4347.6800000000221</v>
      </c>
      <c r="BB108" s="43" t="s">
        <v>2555</v>
      </c>
      <c r="BC108" s="150"/>
    </row>
    <row r="109" spans="1:55" ht="84" customHeight="1" x14ac:dyDescent="0.35">
      <c r="A109" s="26">
        <v>92</v>
      </c>
      <c r="B109" s="27" t="s">
        <v>66</v>
      </c>
      <c r="C109" s="28" t="s">
        <v>67</v>
      </c>
      <c r="D109" s="298" t="s">
        <v>1237</v>
      </c>
      <c r="E109" s="125">
        <v>2</v>
      </c>
      <c r="F109" s="60" t="s">
        <v>33</v>
      </c>
      <c r="G109" s="112">
        <f>[1]DICIEMBRE!$BA$103</f>
        <v>0</v>
      </c>
      <c r="H109" s="31">
        <f>ENERO!BA105</f>
        <v>0</v>
      </c>
      <c r="I109" s="31">
        <f>FEBRERO!AX106</f>
        <v>0</v>
      </c>
      <c r="J109" s="32"/>
      <c r="K109" s="32"/>
      <c r="L109" s="336"/>
      <c r="M109" s="32"/>
      <c r="N109" s="336"/>
      <c r="O109" s="32"/>
      <c r="P109" s="33"/>
      <c r="Q109" s="31"/>
      <c r="R109" s="31"/>
      <c r="S109" s="47">
        <f>(300*0.16+300)*E109</f>
        <v>696</v>
      </c>
      <c r="T109" s="47"/>
      <c r="U109" s="48"/>
      <c r="V109" s="49"/>
      <c r="W109" s="49"/>
      <c r="X109" s="49"/>
      <c r="Y109" s="49"/>
      <c r="Z109" s="49"/>
      <c r="AA109" s="50"/>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v>696</v>
      </c>
      <c r="BA109" s="33">
        <f>SUM(I109+S109+T109-U109-V109-W109-X109-Y109-Z109-AA109-AB109-AC109-AD109-AE109-AF109-AG109-AH109-AI109-AJ109-AK109-AL109-AM109-AN109-AO109-AP109-AQ109-AR109-AS109-AT109-AU109-AV109-AW109-AX109-AY109-AZ109)</f>
        <v>0</v>
      </c>
      <c r="BB109" s="268"/>
    </row>
    <row r="110" spans="1:55" ht="126.75" customHeight="1" x14ac:dyDescent="0.35">
      <c r="A110" s="26">
        <v>93</v>
      </c>
      <c r="B110" s="27" t="s">
        <v>68</v>
      </c>
      <c r="C110" s="28" t="s">
        <v>69</v>
      </c>
      <c r="D110" s="298" t="s">
        <v>1510</v>
      </c>
      <c r="E110" s="126">
        <v>48</v>
      </c>
      <c r="F110" s="62" t="s">
        <v>30</v>
      </c>
      <c r="G110" s="234">
        <f>[1]DICIEMBRE!$BA$104</f>
        <v>-4.3999999979860149E-3</v>
      </c>
      <c r="H110" s="45">
        <f>ENERO!BA106</f>
        <v>-4.3999999979860149E-3</v>
      </c>
      <c r="I110" s="45">
        <f>FEBRERO!AX107</f>
        <v>-4.3999999979860149E-3</v>
      </c>
      <c r="J110" s="32"/>
      <c r="K110" s="32"/>
      <c r="L110" s="32"/>
      <c r="M110" s="336"/>
      <c r="N110" s="32"/>
      <c r="O110" s="32"/>
      <c r="P110" s="31"/>
      <c r="Q110" s="31"/>
      <c r="R110" s="31"/>
      <c r="S110" s="47">
        <f>(200*0.16+200)*E110</f>
        <v>11136</v>
      </c>
      <c r="T110" s="47">
        <f>(650*0.16+650)*2</f>
        <v>1508</v>
      </c>
      <c r="U110" s="48"/>
      <c r="V110" s="49"/>
      <c r="W110" s="49"/>
      <c r="X110" s="49"/>
      <c r="Y110" s="49"/>
      <c r="Z110" s="49"/>
      <c r="AA110" s="49"/>
      <c r="AB110" s="49"/>
      <c r="AC110" s="49"/>
      <c r="AD110" s="49"/>
      <c r="AE110" s="49"/>
      <c r="AF110" s="49"/>
      <c r="AG110" s="49"/>
      <c r="AH110" s="49"/>
      <c r="AI110" s="49"/>
      <c r="AJ110" s="49"/>
      <c r="AK110" s="63"/>
      <c r="AL110" s="49"/>
      <c r="AM110" s="49"/>
      <c r="AN110" s="49"/>
      <c r="AO110" s="49"/>
      <c r="AP110" s="49"/>
      <c r="AQ110" s="49"/>
      <c r="AR110" s="49"/>
      <c r="AS110" s="49"/>
      <c r="AT110" s="49"/>
      <c r="AU110" s="49"/>
      <c r="AV110" s="49"/>
      <c r="AW110" s="49"/>
      <c r="AX110" s="49"/>
      <c r="AY110" s="49"/>
      <c r="AZ110" s="49"/>
      <c r="BA110" s="33">
        <f t="shared" si="1"/>
        <v>12643.995600000002</v>
      </c>
      <c r="BB110" s="267" t="s">
        <v>2286</v>
      </c>
    </row>
    <row r="111" spans="1:55" ht="55.5" customHeight="1" x14ac:dyDescent="0.35">
      <c r="A111" s="26">
        <v>94</v>
      </c>
      <c r="B111" s="43" t="s">
        <v>2468</v>
      </c>
      <c r="C111" s="28"/>
      <c r="D111" s="300" t="s">
        <v>2469</v>
      </c>
      <c r="E111" s="332">
        <v>1</v>
      </c>
      <c r="F111" s="30"/>
      <c r="G111" s="234"/>
      <c r="H111" s="45"/>
      <c r="I111" s="31"/>
      <c r="J111" s="32"/>
      <c r="K111" s="32"/>
      <c r="L111" s="32"/>
      <c r="M111" s="32"/>
      <c r="N111" s="32"/>
      <c r="O111" s="33"/>
      <c r="P111" s="31"/>
      <c r="Q111" s="31"/>
      <c r="R111" s="31"/>
      <c r="S111" s="34">
        <f>(300*0.16+300)*E111</f>
        <v>348</v>
      </c>
      <c r="T111" s="34">
        <f>1700*0.16+1700</f>
        <v>1972</v>
      </c>
      <c r="U111" s="48"/>
      <c r="V111" s="49"/>
      <c r="W111" s="49"/>
      <c r="X111" s="49"/>
      <c r="Y111" s="49"/>
      <c r="Z111" s="49"/>
      <c r="AA111" s="49"/>
      <c r="AB111" s="49"/>
      <c r="AC111" s="49"/>
      <c r="AD111" s="49"/>
      <c r="AE111" s="49"/>
      <c r="AF111" s="49"/>
      <c r="AG111" s="49"/>
      <c r="AH111" s="49">
        <v>2320</v>
      </c>
      <c r="AI111" s="49"/>
      <c r="AJ111" s="49"/>
      <c r="AK111" s="63"/>
      <c r="AL111" s="49"/>
      <c r="AM111" s="49"/>
      <c r="AN111" s="49"/>
      <c r="AO111" s="49"/>
      <c r="AP111" s="49"/>
      <c r="AQ111" s="49"/>
      <c r="AR111" s="49"/>
      <c r="AS111" s="49"/>
      <c r="AT111" s="49"/>
      <c r="AU111" s="49"/>
      <c r="AV111" s="49"/>
      <c r="AW111" s="49"/>
      <c r="AX111" s="49"/>
      <c r="AY111" s="49"/>
      <c r="AZ111" s="49"/>
      <c r="BA111" s="33">
        <f t="shared" si="1"/>
        <v>0</v>
      </c>
      <c r="BB111" s="267" t="s">
        <v>2465</v>
      </c>
    </row>
    <row r="112" spans="1:55" ht="69" customHeight="1" x14ac:dyDescent="0.35">
      <c r="A112" s="26">
        <v>95</v>
      </c>
      <c r="B112" s="43" t="s">
        <v>70</v>
      </c>
      <c r="C112" s="53" t="s">
        <v>71</v>
      </c>
      <c r="D112" s="298" t="s">
        <v>1511</v>
      </c>
      <c r="E112" s="125">
        <v>1</v>
      </c>
      <c r="F112" s="44" t="s">
        <v>30</v>
      </c>
      <c r="G112" s="112">
        <f>[1]DICIEMBRE!$BA$105</f>
        <v>0</v>
      </c>
      <c r="H112" s="31">
        <f>ENERO!BA107</f>
        <v>0</v>
      </c>
      <c r="I112" s="31">
        <f>FEBRERO!AX108</f>
        <v>0</v>
      </c>
      <c r="J112" s="32"/>
      <c r="K112" s="33"/>
      <c r="L112" s="32"/>
      <c r="M112" s="32"/>
      <c r="N112" s="32"/>
      <c r="O112" s="32"/>
      <c r="P112" s="33"/>
      <c r="Q112" s="31"/>
      <c r="R112" s="31"/>
      <c r="S112" s="47">
        <v>406</v>
      </c>
      <c r="T112" s="47"/>
      <c r="U112" s="48"/>
      <c r="V112" s="49"/>
      <c r="W112" s="49"/>
      <c r="X112" s="49"/>
      <c r="Y112" s="49"/>
      <c r="Z112" s="49"/>
      <c r="AA112" s="50"/>
      <c r="AB112" s="49"/>
      <c r="AC112" s="49"/>
      <c r="AD112" s="49"/>
      <c r="AE112" s="49"/>
      <c r="AF112" s="49"/>
      <c r="AG112" s="49"/>
      <c r="AH112" s="49"/>
      <c r="AI112" s="49">
        <v>406</v>
      </c>
      <c r="AJ112" s="49"/>
      <c r="AK112" s="49"/>
      <c r="AL112" s="49"/>
      <c r="AM112" s="49"/>
      <c r="AN112" s="49"/>
      <c r="AO112" s="49"/>
      <c r="AP112" s="49"/>
      <c r="AQ112" s="49"/>
      <c r="AR112" s="49"/>
      <c r="AS112" s="49"/>
      <c r="AT112" s="49"/>
      <c r="AU112" s="49"/>
      <c r="AV112" s="49"/>
      <c r="AW112" s="49"/>
      <c r="AX112" s="49"/>
      <c r="AY112" s="49"/>
      <c r="AZ112" s="49"/>
      <c r="BA112" s="33">
        <f t="shared" si="1"/>
        <v>0</v>
      </c>
      <c r="BB112" s="43"/>
    </row>
    <row r="113" spans="1:54" ht="95.25" customHeight="1" x14ac:dyDescent="0.35">
      <c r="A113" s="26">
        <v>96</v>
      </c>
      <c r="B113" s="27" t="s">
        <v>72</v>
      </c>
      <c r="C113" s="28" t="s">
        <v>73</v>
      </c>
      <c r="D113" s="298" t="s">
        <v>1512</v>
      </c>
      <c r="E113" s="126">
        <v>4</v>
      </c>
      <c r="F113" s="62" t="s">
        <v>35</v>
      </c>
      <c r="G113" s="234">
        <f>[1]DICIEMBRE!$BA$106</f>
        <v>0</v>
      </c>
      <c r="H113" s="31">
        <f>ENERO!BA108</f>
        <v>0</v>
      </c>
      <c r="I113" s="31">
        <f>FEBRERO!AX109</f>
        <v>0</v>
      </c>
      <c r="J113" s="32"/>
      <c r="K113" s="32"/>
      <c r="L113" s="336"/>
      <c r="M113" s="32"/>
      <c r="N113" s="336"/>
      <c r="O113" s="32"/>
      <c r="P113" s="31"/>
      <c r="Q113" s="31"/>
      <c r="R113" s="31"/>
      <c r="S113" s="47">
        <f>(250*0.16+250)*E113</f>
        <v>1160</v>
      </c>
      <c r="T113" s="47">
        <f>2541.66*0.16+2541.66</f>
        <v>2948.3255999999997</v>
      </c>
      <c r="U113" s="48"/>
      <c r="V113" s="49"/>
      <c r="W113" s="49"/>
      <c r="X113" s="49"/>
      <c r="Y113" s="49"/>
      <c r="Z113" s="49"/>
      <c r="AA113" s="49"/>
      <c r="AB113" s="49"/>
      <c r="AC113" s="50"/>
      <c r="AD113" s="49"/>
      <c r="AE113" s="49"/>
      <c r="AF113" s="49"/>
      <c r="AG113" s="49"/>
      <c r="AH113" s="49"/>
      <c r="AI113" s="49">
        <v>1160</v>
      </c>
      <c r="AJ113" s="49"/>
      <c r="AK113" s="49"/>
      <c r="AL113" s="49"/>
      <c r="AM113" s="49"/>
      <c r="AN113" s="49"/>
      <c r="AO113" s="49"/>
      <c r="AP113" s="49"/>
      <c r="AQ113" s="49"/>
      <c r="AR113" s="49"/>
      <c r="AS113" s="49"/>
      <c r="AT113" s="49"/>
      <c r="AU113" s="49"/>
      <c r="AV113" s="49"/>
      <c r="AW113" s="49"/>
      <c r="AX113" s="49"/>
      <c r="AY113" s="49"/>
      <c r="AZ113" s="49">
        <f>2541.66+406.67</f>
        <v>2948.33</v>
      </c>
      <c r="BA113" s="33">
        <f t="shared" si="1"/>
        <v>-4.3999999998050043E-3</v>
      </c>
      <c r="BB113" s="267" t="s">
        <v>2554</v>
      </c>
    </row>
    <row r="114" spans="1:54" ht="81" customHeight="1" x14ac:dyDescent="0.35">
      <c r="A114" s="26">
        <v>97</v>
      </c>
      <c r="B114" s="27" t="s">
        <v>74</v>
      </c>
      <c r="C114" s="28" t="s">
        <v>75</v>
      </c>
      <c r="D114" s="298" t="s">
        <v>1513</v>
      </c>
      <c r="E114" s="125">
        <v>21</v>
      </c>
      <c r="F114" s="60" t="s">
        <v>33</v>
      </c>
      <c r="G114" s="112">
        <f>[1]DICIEMBRE!$BA$107</f>
        <v>-2.2000000026309863E-2</v>
      </c>
      <c r="H114" s="45">
        <f>ENERO!BA109</f>
        <v>-2.600000002712477E-2</v>
      </c>
      <c r="I114" s="31">
        <f>FEBRERO!AX110</f>
        <v>3.9999999726205715E-3</v>
      </c>
      <c r="J114" s="32"/>
      <c r="K114" s="32"/>
      <c r="L114" s="32"/>
      <c r="M114" s="336"/>
      <c r="N114" s="32"/>
      <c r="O114" s="33"/>
      <c r="P114" s="33"/>
      <c r="Q114" s="31"/>
      <c r="R114" s="31"/>
      <c r="S114" s="66">
        <f>(315*0.16+315)*E114</f>
        <v>7673.4</v>
      </c>
      <c r="T114" s="66"/>
      <c r="U114" s="67"/>
      <c r="V114" s="68"/>
      <c r="W114" s="68"/>
      <c r="X114" s="68"/>
      <c r="Y114" s="68"/>
      <c r="Z114" s="68"/>
      <c r="AA114" s="68"/>
      <c r="AB114" s="68"/>
      <c r="AC114" s="68"/>
      <c r="AD114" s="68"/>
      <c r="AE114" s="68"/>
      <c r="AF114" s="68"/>
      <c r="AG114" s="68"/>
      <c r="AH114" s="68"/>
      <c r="AI114" s="68"/>
      <c r="AJ114" s="68"/>
      <c r="AK114" s="68"/>
      <c r="AL114" s="63"/>
      <c r="AM114" s="68">
        <v>7673.4</v>
      </c>
      <c r="AN114" s="68"/>
      <c r="AO114" s="68"/>
      <c r="AP114" s="68"/>
      <c r="AQ114" s="68"/>
      <c r="AR114" s="68"/>
      <c r="AS114" s="68"/>
      <c r="AT114" s="68"/>
      <c r="AU114" s="68"/>
      <c r="AV114" s="68"/>
      <c r="AW114" s="68"/>
      <c r="AX114" s="68"/>
      <c r="AY114" s="68"/>
      <c r="AZ114" s="68"/>
      <c r="BA114" s="33">
        <f t="shared" si="1"/>
        <v>3.9999999726205715E-3</v>
      </c>
      <c r="BB114" s="268"/>
    </row>
    <row r="115" spans="1:54" ht="81" customHeight="1" x14ac:dyDescent="0.35">
      <c r="A115" s="26">
        <v>98</v>
      </c>
      <c r="B115" s="43" t="s">
        <v>2542</v>
      </c>
      <c r="C115" s="28"/>
      <c r="D115" s="300" t="s">
        <v>2543</v>
      </c>
      <c r="E115" s="125">
        <v>1</v>
      </c>
      <c r="F115" s="60"/>
      <c r="G115" s="112"/>
      <c r="H115" s="45"/>
      <c r="I115" s="31"/>
      <c r="J115" s="32"/>
      <c r="K115" s="32"/>
      <c r="L115" s="32"/>
      <c r="M115" s="336"/>
      <c r="N115" s="32"/>
      <c r="O115" s="33"/>
      <c r="P115" s="33"/>
      <c r="Q115" s="31"/>
      <c r="R115" s="31"/>
      <c r="S115" s="66">
        <f>(300*0.16+300)</f>
        <v>348</v>
      </c>
      <c r="T115" s="66">
        <f>1700*0.16+1700</f>
        <v>1972</v>
      </c>
      <c r="U115" s="67"/>
      <c r="V115" s="68"/>
      <c r="W115" s="68"/>
      <c r="X115" s="68"/>
      <c r="Y115" s="68"/>
      <c r="Z115" s="68"/>
      <c r="AA115" s="68"/>
      <c r="AB115" s="68"/>
      <c r="AC115" s="68"/>
      <c r="AD115" s="68"/>
      <c r="AE115" s="68"/>
      <c r="AF115" s="68"/>
      <c r="AG115" s="68"/>
      <c r="AH115" s="68"/>
      <c r="AI115" s="68"/>
      <c r="AJ115" s="68"/>
      <c r="AK115" s="68"/>
      <c r="AL115" s="63"/>
      <c r="AM115" s="68"/>
      <c r="AN115" s="68"/>
      <c r="AO115" s="68"/>
      <c r="AP115" s="68"/>
      <c r="AQ115" s="68"/>
      <c r="AR115" s="68"/>
      <c r="AS115" s="68"/>
      <c r="AT115" s="68"/>
      <c r="AU115" s="68"/>
      <c r="AV115" s="68"/>
      <c r="AW115" s="68">
        <v>2320</v>
      </c>
      <c r="AX115" s="68"/>
      <c r="AY115" s="68"/>
      <c r="AZ115" s="68"/>
      <c r="BA115" s="33">
        <f t="shared" si="1"/>
        <v>0</v>
      </c>
      <c r="BB115" s="268" t="s">
        <v>2545</v>
      </c>
    </row>
    <row r="116" spans="1:54" ht="81" customHeight="1" x14ac:dyDescent="0.35">
      <c r="A116" s="26">
        <v>99</v>
      </c>
      <c r="B116" s="43" t="s">
        <v>2475</v>
      </c>
      <c r="C116" s="28"/>
      <c r="D116" s="300" t="s">
        <v>2476</v>
      </c>
      <c r="E116" s="125">
        <v>1</v>
      </c>
      <c r="F116" s="44"/>
      <c r="G116" s="112"/>
      <c r="H116" s="31"/>
      <c r="I116" s="31"/>
      <c r="J116" s="32"/>
      <c r="K116" s="32"/>
      <c r="L116" s="32"/>
      <c r="M116" s="32"/>
      <c r="N116" s="336"/>
      <c r="O116" s="32"/>
      <c r="P116" s="33"/>
      <c r="Q116" s="31"/>
      <c r="R116" s="31"/>
      <c r="S116" s="34">
        <f>(300*0.16+300)*E116</f>
        <v>348</v>
      </c>
      <c r="T116" s="34">
        <f>1700*0.16+1700</f>
        <v>1972</v>
      </c>
      <c r="U116" s="67"/>
      <c r="V116" s="68"/>
      <c r="W116" s="68"/>
      <c r="X116" s="68"/>
      <c r="Y116" s="68"/>
      <c r="Z116" s="68"/>
      <c r="AA116" s="68"/>
      <c r="AB116" s="68"/>
      <c r="AC116" s="68"/>
      <c r="AD116" s="68"/>
      <c r="AE116" s="68"/>
      <c r="AF116" s="68"/>
      <c r="AG116" s="68"/>
      <c r="AH116" s="68"/>
      <c r="AI116" s="68">
        <v>2320</v>
      </c>
      <c r="AJ116" s="68"/>
      <c r="AK116" s="68"/>
      <c r="AL116" s="63"/>
      <c r="AM116" s="68"/>
      <c r="AN116" s="68"/>
      <c r="AO116" s="68"/>
      <c r="AP116" s="68"/>
      <c r="AQ116" s="68"/>
      <c r="AR116" s="68"/>
      <c r="AS116" s="68"/>
      <c r="AT116" s="68"/>
      <c r="AU116" s="68"/>
      <c r="AV116" s="68"/>
      <c r="AW116" s="68"/>
      <c r="AX116" s="68"/>
      <c r="AY116" s="68"/>
      <c r="AZ116" s="68"/>
      <c r="BA116" s="33">
        <f t="shared" si="1"/>
        <v>0</v>
      </c>
      <c r="BB116" s="268" t="s">
        <v>2465</v>
      </c>
    </row>
    <row r="117" spans="1:54" ht="81" customHeight="1" x14ac:dyDescent="0.35">
      <c r="A117" s="26">
        <v>100</v>
      </c>
      <c r="B117" s="43" t="s">
        <v>2511</v>
      </c>
      <c r="C117" s="28"/>
      <c r="D117" s="300" t="s">
        <v>2510</v>
      </c>
      <c r="E117" s="125">
        <v>1</v>
      </c>
      <c r="F117" s="44"/>
      <c r="G117" s="112"/>
      <c r="H117" s="31"/>
      <c r="I117" s="31"/>
      <c r="J117" s="32"/>
      <c r="K117" s="32"/>
      <c r="L117" s="32"/>
      <c r="M117" s="32"/>
      <c r="N117" s="336"/>
      <c r="O117" s="32"/>
      <c r="P117" s="33"/>
      <c r="Q117" s="31"/>
      <c r="R117" s="31"/>
      <c r="S117" s="34">
        <f>(300*0.16+300)*E117</f>
        <v>348</v>
      </c>
      <c r="T117" s="34">
        <f>1700*0.16+1700</f>
        <v>1972</v>
      </c>
      <c r="U117" s="67"/>
      <c r="V117" s="68"/>
      <c r="W117" s="68"/>
      <c r="X117" s="68"/>
      <c r="Y117" s="68"/>
      <c r="Z117" s="68"/>
      <c r="AA117" s="68"/>
      <c r="AB117" s="68"/>
      <c r="AC117" s="68"/>
      <c r="AD117" s="68"/>
      <c r="AE117" s="68"/>
      <c r="AF117" s="68"/>
      <c r="AG117" s="68"/>
      <c r="AH117" s="68"/>
      <c r="AI117" s="68"/>
      <c r="AJ117" s="68"/>
      <c r="AK117" s="68"/>
      <c r="AL117" s="63"/>
      <c r="AM117" s="68"/>
      <c r="AN117" s="68">
        <v>2320</v>
      </c>
      <c r="AO117" s="68"/>
      <c r="AP117" s="68"/>
      <c r="AQ117" s="68"/>
      <c r="AR117" s="68"/>
      <c r="AS117" s="68"/>
      <c r="AT117" s="68"/>
      <c r="AU117" s="68"/>
      <c r="AV117" s="68"/>
      <c r="AW117" s="68"/>
      <c r="AX117" s="68"/>
      <c r="AY117" s="68"/>
      <c r="AZ117" s="68"/>
      <c r="BA117" s="33">
        <f t="shared" si="1"/>
        <v>0</v>
      </c>
      <c r="BB117" s="268" t="s">
        <v>2499</v>
      </c>
    </row>
    <row r="118" spans="1:54" ht="58.5" customHeight="1" x14ac:dyDescent="0.35">
      <c r="A118" s="26">
        <v>101</v>
      </c>
      <c r="B118" s="27" t="s">
        <v>80</v>
      </c>
      <c r="C118" s="28" t="s">
        <v>81</v>
      </c>
      <c r="D118" s="298" t="s">
        <v>1515</v>
      </c>
      <c r="E118" s="125">
        <v>2</v>
      </c>
      <c r="F118" s="71" t="s">
        <v>30</v>
      </c>
      <c r="G118" s="112">
        <f>[1]DICIEMBRE!$BA$109</f>
        <v>9.0949470177292824E-13</v>
      </c>
      <c r="H118" s="31">
        <f>ENERO!BA111</f>
        <v>9.0949470177292824E-13</v>
      </c>
      <c r="I118" s="45">
        <f>FEBRERO!AX111</f>
        <v>9.0949470177292824E-13</v>
      </c>
      <c r="J118" s="32"/>
      <c r="K118" s="32"/>
      <c r="L118" s="336"/>
      <c r="M118" s="32"/>
      <c r="N118" s="336"/>
      <c r="O118" s="32"/>
      <c r="P118" s="33"/>
      <c r="Q118" s="31"/>
      <c r="R118" s="31"/>
      <c r="S118" s="47">
        <f>(330*0.16+330)*E118</f>
        <v>765.6</v>
      </c>
      <c r="T118" s="47"/>
      <c r="U118" s="48"/>
      <c r="V118" s="47"/>
      <c r="W118" s="47"/>
      <c r="X118" s="47"/>
      <c r="Y118" s="47"/>
      <c r="Z118" s="47"/>
      <c r="AA118" s="47"/>
      <c r="AB118" s="47"/>
      <c r="AC118" s="47"/>
      <c r="AD118" s="47"/>
      <c r="AE118" s="47"/>
      <c r="AF118" s="47"/>
      <c r="AG118" s="47"/>
      <c r="AH118" s="47"/>
      <c r="AI118" s="47"/>
      <c r="AJ118" s="47"/>
      <c r="AK118" s="66"/>
      <c r="AL118" s="47"/>
      <c r="AM118" s="47"/>
      <c r="AN118" s="47">
        <v>765.6</v>
      </c>
      <c r="AO118" s="47"/>
      <c r="AP118" s="47"/>
      <c r="AQ118" s="47"/>
      <c r="AR118" s="47"/>
      <c r="AS118" s="47"/>
      <c r="AT118" s="47"/>
      <c r="AU118" s="47"/>
      <c r="AV118" s="47"/>
      <c r="AW118" s="47"/>
      <c r="AX118" s="47"/>
      <c r="AY118" s="47"/>
      <c r="AZ118" s="47"/>
      <c r="BA118" s="33">
        <f t="shared" si="1"/>
        <v>9.0949470177292824E-13</v>
      </c>
      <c r="BB118" s="271"/>
    </row>
    <row r="119" spans="1:54" ht="58.5" customHeight="1" x14ac:dyDescent="0.35">
      <c r="A119" s="26">
        <v>102</v>
      </c>
      <c r="B119" s="43" t="s">
        <v>2578</v>
      </c>
      <c r="C119" s="53"/>
      <c r="D119" s="300" t="s">
        <v>2579</v>
      </c>
      <c r="E119" s="125">
        <v>1</v>
      </c>
      <c r="F119" s="71"/>
      <c r="G119" s="112"/>
      <c r="H119" s="31"/>
      <c r="I119" s="45"/>
      <c r="J119" s="32"/>
      <c r="K119" s="32"/>
      <c r="L119" s="336"/>
      <c r="M119" s="32"/>
      <c r="N119" s="336"/>
      <c r="O119" s="32"/>
      <c r="P119" s="33"/>
      <c r="Q119" s="31"/>
      <c r="R119" s="31"/>
      <c r="S119" s="47">
        <f>(300*0.16+300)*E119</f>
        <v>348</v>
      </c>
      <c r="T119" s="47">
        <f>1950*0.16+1950</f>
        <v>2262</v>
      </c>
      <c r="U119" s="48"/>
      <c r="V119" s="47"/>
      <c r="W119" s="47"/>
      <c r="X119" s="47"/>
      <c r="Y119" s="47"/>
      <c r="Z119" s="47"/>
      <c r="AA119" s="47"/>
      <c r="AB119" s="47"/>
      <c r="AC119" s="47"/>
      <c r="AD119" s="47"/>
      <c r="AE119" s="47"/>
      <c r="AF119" s="47"/>
      <c r="AG119" s="47"/>
      <c r="AH119" s="47"/>
      <c r="AI119" s="47"/>
      <c r="AJ119" s="47"/>
      <c r="AK119" s="66"/>
      <c r="AL119" s="47"/>
      <c r="AM119" s="47"/>
      <c r="AN119" s="47"/>
      <c r="AO119" s="47"/>
      <c r="AP119" s="47"/>
      <c r="AQ119" s="47"/>
      <c r="AR119" s="47"/>
      <c r="AS119" s="47"/>
      <c r="AT119" s="47"/>
      <c r="AU119" s="47"/>
      <c r="AV119" s="47"/>
      <c r="AW119" s="47"/>
      <c r="AX119" s="47">
        <v>2610</v>
      </c>
      <c r="AY119" s="47"/>
      <c r="AZ119" s="47"/>
      <c r="BA119" s="33">
        <f t="shared" si="1"/>
        <v>0</v>
      </c>
      <c r="BB119" s="271" t="s">
        <v>2577</v>
      </c>
    </row>
    <row r="120" spans="1:54" ht="68.25" customHeight="1" x14ac:dyDescent="0.35">
      <c r="A120" s="26">
        <v>103</v>
      </c>
      <c r="B120" s="43" t="s">
        <v>1781</v>
      </c>
      <c r="C120" s="53" t="s">
        <v>84</v>
      </c>
      <c r="D120" s="298" t="s">
        <v>1517</v>
      </c>
      <c r="E120" s="128">
        <v>5</v>
      </c>
      <c r="F120" s="62" t="s">
        <v>30</v>
      </c>
      <c r="G120" s="112">
        <f>[1]DICIEMBRE!$BA$111</f>
        <v>216.52679999999509</v>
      </c>
      <c r="H120" s="31">
        <f>ENERO!BA113</f>
        <v>-2146.0032000000047</v>
      </c>
      <c r="I120" s="31">
        <f>FEBRERO!AX113</f>
        <v>-2146.0032000000047</v>
      </c>
      <c r="J120" s="32"/>
      <c r="K120" s="33"/>
      <c r="L120" s="32"/>
      <c r="M120" s="32"/>
      <c r="N120" s="32"/>
      <c r="O120" s="32"/>
      <c r="P120" s="33"/>
      <c r="Q120" s="31"/>
      <c r="R120" s="31"/>
      <c r="S120" s="73">
        <f>(350*0.16+350)*2+(400*0.16+400)*3</f>
        <v>2204</v>
      </c>
      <c r="T120" s="47">
        <f>15286.94*0.16+15286.94</f>
        <v>17732.850399999999</v>
      </c>
      <c r="U120" s="48"/>
      <c r="V120" s="49"/>
      <c r="W120" s="50"/>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v>19936.849999999999</v>
      </c>
      <c r="AU120" s="49"/>
      <c r="AV120" s="49"/>
      <c r="AW120" s="49"/>
      <c r="AX120" s="49"/>
      <c r="AY120" s="49"/>
      <c r="AZ120" s="49"/>
      <c r="BA120" s="33">
        <f>SUM(I120+S120+T120-U120-V120-W120-X120-Y120-Z120-AA120-AB120-AC120-AD120-AE120-AF120-AG120-AH120-AI120-AJ120-AK120-AL120-AM120-AN120-AO120-AP120-AQ120-AR120-AS120-AT120-AU120-AV120-AW120-AX120-AY120-AZ120)</f>
        <v>-2146.002800000002</v>
      </c>
      <c r="BB120" s="267" t="s">
        <v>2279</v>
      </c>
    </row>
    <row r="121" spans="1:54" ht="68.25" customHeight="1" x14ac:dyDescent="0.35">
      <c r="A121" s="26">
        <v>104</v>
      </c>
      <c r="B121" s="348" t="s">
        <v>2003</v>
      </c>
      <c r="C121" s="53"/>
      <c r="D121" s="300" t="s">
        <v>2004</v>
      </c>
      <c r="E121" s="128">
        <v>2</v>
      </c>
      <c r="F121" s="62" t="s">
        <v>30</v>
      </c>
      <c r="G121" s="112"/>
      <c r="H121" s="31"/>
      <c r="I121" s="31">
        <f>FEBRERO!AX114</f>
        <v>0</v>
      </c>
      <c r="J121" s="32"/>
      <c r="K121" s="33"/>
      <c r="L121" s="32"/>
      <c r="M121" s="32"/>
      <c r="N121" s="32"/>
      <c r="O121" s="32"/>
      <c r="P121" s="33"/>
      <c r="Q121" s="31"/>
      <c r="R121" s="31"/>
      <c r="S121" s="73">
        <f>(350*0.16+350)*1+(400*0.16+400)*1</f>
        <v>870</v>
      </c>
      <c r="T121" s="47"/>
      <c r="U121" s="48"/>
      <c r="V121" s="49"/>
      <c r="W121" s="50"/>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v>870</v>
      </c>
      <c r="AW121" s="49"/>
      <c r="AX121" s="49"/>
      <c r="AY121" s="49"/>
      <c r="AZ121" s="49"/>
      <c r="BA121" s="33">
        <f t="shared" si="1"/>
        <v>0</v>
      </c>
      <c r="BB121" s="267"/>
    </row>
    <row r="122" spans="1:54" ht="81" customHeight="1" x14ac:dyDescent="0.35">
      <c r="A122" s="26">
        <v>105</v>
      </c>
      <c r="B122" s="43" t="s">
        <v>2515</v>
      </c>
      <c r="C122" s="28"/>
      <c r="D122" s="300" t="s">
        <v>2464</v>
      </c>
      <c r="E122" s="125">
        <v>2</v>
      </c>
      <c r="F122" s="44"/>
      <c r="G122" s="112"/>
      <c r="H122" s="31"/>
      <c r="I122" s="31"/>
      <c r="J122" s="32"/>
      <c r="K122" s="32"/>
      <c r="L122" s="32"/>
      <c r="M122" s="32"/>
      <c r="N122" s="336"/>
      <c r="O122" s="32"/>
      <c r="P122" s="33"/>
      <c r="Q122" s="31"/>
      <c r="R122" s="31"/>
      <c r="S122" s="47">
        <f>(300*0.16+300)*E122</f>
        <v>696</v>
      </c>
      <c r="T122" s="75">
        <f>(2089*0.16+2089)*2</f>
        <v>4846.4799999999996</v>
      </c>
      <c r="U122" s="67"/>
      <c r="V122" s="68"/>
      <c r="W122" s="68"/>
      <c r="X122" s="68"/>
      <c r="Y122" s="68"/>
      <c r="Z122" s="68"/>
      <c r="AA122" s="68"/>
      <c r="AB122" s="68"/>
      <c r="AC122" s="68"/>
      <c r="AD122" s="68"/>
      <c r="AE122" s="68"/>
      <c r="AF122" s="68"/>
      <c r="AG122" s="68"/>
      <c r="AH122" s="68"/>
      <c r="AI122" s="68">
        <v>5542.48</v>
      </c>
      <c r="AJ122" s="68"/>
      <c r="AK122" s="68"/>
      <c r="AL122" s="63"/>
      <c r="AM122" s="68"/>
      <c r="AN122" s="68"/>
      <c r="AO122" s="68"/>
      <c r="AP122" s="68"/>
      <c r="AQ122" s="68"/>
      <c r="AR122" s="68"/>
      <c r="AS122" s="68"/>
      <c r="AT122" s="68"/>
      <c r="AU122" s="68"/>
      <c r="AV122" s="68"/>
      <c r="AW122" s="68"/>
      <c r="AX122" s="68"/>
      <c r="AY122" s="68"/>
      <c r="AZ122" s="68"/>
      <c r="BA122" s="33">
        <f>SUM(I122+S122+T122-U122-V122-W122-X122-Y122-Z122-AA122-AB122-AC122-AD122-AE122-AF122-AG122-AH122-AI122-AJ122-AK122-AL122-AM122-AN122-AO122-AP122-AQ122-AR122-AS122-AT122-AU122-AV122-AW122-AX122-AY122-AZ122)</f>
        <v>0</v>
      </c>
      <c r="BB122" s="268" t="s">
        <v>2499</v>
      </c>
    </row>
    <row r="123" spans="1:54" ht="68.25" customHeight="1" x14ac:dyDescent="0.35">
      <c r="A123" s="26">
        <v>106</v>
      </c>
      <c r="B123" s="27" t="s">
        <v>85</v>
      </c>
      <c r="C123" s="28" t="s">
        <v>86</v>
      </c>
      <c r="D123" s="298" t="s">
        <v>1518</v>
      </c>
      <c r="E123" s="125">
        <v>5</v>
      </c>
      <c r="F123" s="71" t="s">
        <v>35</v>
      </c>
      <c r="G123" s="234">
        <f>[1]DICIEMBRE!$BA$112</f>
        <v>0</v>
      </c>
      <c r="H123" s="31">
        <f>ENERO!BA114</f>
        <v>0</v>
      </c>
      <c r="I123" s="45">
        <f>FEBRERO!AX115</f>
        <v>0</v>
      </c>
      <c r="J123" s="32"/>
      <c r="K123" s="32"/>
      <c r="L123" s="336"/>
      <c r="M123" s="32"/>
      <c r="N123" s="336"/>
      <c r="O123" s="32"/>
      <c r="P123" s="31"/>
      <c r="Q123" s="31"/>
      <c r="R123" s="31"/>
      <c r="S123" s="47">
        <f>(250*0.16+250)*E123</f>
        <v>1450</v>
      </c>
      <c r="T123" s="47"/>
      <c r="U123" s="48"/>
      <c r="V123" s="47"/>
      <c r="W123" s="47"/>
      <c r="X123" s="47"/>
      <c r="Y123" s="47"/>
      <c r="Z123" s="47"/>
      <c r="AA123" s="47"/>
      <c r="AB123" s="47"/>
      <c r="AC123" s="47"/>
      <c r="AD123" s="47"/>
      <c r="AE123" s="47"/>
      <c r="AF123" s="47">
        <v>1450</v>
      </c>
      <c r="AG123" s="47"/>
      <c r="AH123" s="74"/>
      <c r="AI123" s="47"/>
      <c r="AJ123" s="47"/>
      <c r="AK123" s="66"/>
      <c r="AL123" s="47"/>
      <c r="AM123" s="47"/>
      <c r="AN123" s="47"/>
      <c r="AO123" s="47"/>
      <c r="AP123" s="47"/>
      <c r="AQ123" s="47"/>
      <c r="AR123" s="47"/>
      <c r="AS123" s="47"/>
      <c r="AT123" s="47"/>
      <c r="AU123" s="47"/>
      <c r="AV123" s="47"/>
      <c r="AW123" s="47"/>
      <c r="AX123" s="47"/>
      <c r="AY123" s="47"/>
      <c r="AZ123" s="47"/>
      <c r="BA123" s="33">
        <f t="shared" si="1"/>
        <v>0</v>
      </c>
      <c r="BB123" s="271"/>
    </row>
    <row r="124" spans="1:54" ht="57" customHeight="1" x14ac:dyDescent="0.35">
      <c r="A124" s="26">
        <v>107</v>
      </c>
      <c r="B124" s="27" t="s">
        <v>1297</v>
      </c>
      <c r="C124" s="28" t="s">
        <v>87</v>
      </c>
      <c r="D124" s="298" t="s">
        <v>1519</v>
      </c>
      <c r="E124" s="125">
        <v>6</v>
      </c>
      <c r="F124" s="60" t="s">
        <v>33</v>
      </c>
      <c r="G124" s="112">
        <f>[1]DICIEMBRE!$BA$113</f>
        <v>-1.8189894035458565E-12</v>
      </c>
      <c r="H124" s="45">
        <f>ENERO!BA115</f>
        <v>-1.8189894035458565E-12</v>
      </c>
      <c r="I124" s="31">
        <f>FEBRERO!AX116</f>
        <v>-2.7284841053187847E-12</v>
      </c>
      <c r="J124" s="32"/>
      <c r="K124" s="32"/>
      <c r="L124" s="32"/>
      <c r="M124" s="336"/>
      <c r="N124" s="32"/>
      <c r="O124" s="33"/>
      <c r="P124" s="33"/>
      <c r="Q124" s="31"/>
      <c r="R124" s="31"/>
      <c r="S124" s="47">
        <f>(300*0.16+300)*5+(900*0.16+900)*1</f>
        <v>2784</v>
      </c>
      <c r="T124" s="47"/>
      <c r="U124" s="48"/>
      <c r="V124" s="49"/>
      <c r="W124" s="50"/>
      <c r="X124" s="49"/>
      <c r="Y124" s="51"/>
      <c r="Z124" s="49"/>
      <c r="AA124" s="49"/>
      <c r="AB124" s="49"/>
      <c r="AC124" s="49">
        <v>2784</v>
      </c>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33">
        <f t="shared" si="1"/>
        <v>-2.7284841053187847E-12</v>
      </c>
      <c r="BB124" s="268" t="s">
        <v>2272</v>
      </c>
    </row>
    <row r="125" spans="1:54" ht="57" customHeight="1" x14ac:dyDescent="0.35">
      <c r="A125" s="26">
        <v>108</v>
      </c>
      <c r="B125" s="43" t="s">
        <v>2520</v>
      </c>
      <c r="C125" s="43"/>
      <c r="D125" s="300" t="s">
        <v>2505</v>
      </c>
      <c r="E125" s="128">
        <v>4</v>
      </c>
      <c r="F125" s="44"/>
      <c r="G125" s="234"/>
      <c r="H125" s="31"/>
      <c r="I125" s="31"/>
      <c r="J125" s="32"/>
      <c r="K125" s="33"/>
      <c r="L125" s="336"/>
      <c r="M125" s="32"/>
      <c r="N125" s="336"/>
      <c r="O125" s="33"/>
      <c r="P125" s="33"/>
      <c r="Q125" s="31"/>
      <c r="R125" s="31"/>
      <c r="S125" s="47">
        <f>(250*0.16+250)*E125</f>
        <v>1160</v>
      </c>
      <c r="T125" s="47">
        <f>(650*0.16+650)*3+1700*0.16+1700</f>
        <v>4234</v>
      </c>
      <c r="U125" s="48"/>
      <c r="V125" s="49"/>
      <c r="W125" s="50"/>
      <c r="X125" s="49"/>
      <c r="Y125" s="51"/>
      <c r="Z125" s="49"/>
      <c r="AA125" s="49"/>
      <c r="AB125" s="49"/>
      <c r="AC125" s="49"/>
      <c r="AD125" s="49"/>
      <c r="AE125" s="49"/>
      <c r="AF125" s="49"/>
      <c r="AG125" s="49"/>
      <c r="AH125" s="49"/>
      <c r="AI125" s="49"/>
      <c r="AJ125" s="49"/>
      <c r="AK125" s="49"/>
      <c r="AL125" s="49"/>
      <c r="AM125" s="49"/>
      <c r="AN125" s="49">
        <v>5394</v>
      </c>
      <c r="AO125" s="49"/>
      <c r="AP125" s="49"/>
      <c r="AQ125" s="49"/>
      <c r="AR125" s="49"/>
      <c r="AS125" s="49"/>
      <c r="AT125" s="49"/>
      <c r="AU125" s="49"/>
      <c r="AV125" s="49"/>
      <c r="AW125" s="49"/>
      <c r="AX125" s="49"/>
      <c r="AY125" s="49"/>
      <c r="AZ125" s="49"/>
      <c r="BA125" s="33">
        <f t="shared" si="1"/>
        <v>0</v>
      </c>
      <c r="BB125" s="43" t="s">
        <v>2506</v>
      </c>
    </row>
    <row r="126" spans="1:54" ht="98.25" customHeight="1" x14ac:dyDescent="0.35">
      <c r="A126" s="26">
        <v>109</v>
      </c>
      <c r="B126" s="43" t="s">
        <v>2185</v>
      </c>
      <c r="C126" s="53"/>
      <c r="D126" s="300" t="s">
        <v>2216</v>
      </c>
      <c r="E126" s="125">
        <v>9</v>
      </c>
      <c r="F126" s="44" t="s">
        <v>30</v>
      </c>
      <c r="G126" s="112"/>
      <c r="H126" s="45"/>
      <c r="I126" s="31">
        <f>FEBRERO!AX117</f>
        <v>0</v>
      </c>
      <c r="J126" s="32"/>
      <c r="K126" s="32"/>
      <c r="L126" s="32"/>
      <c r="M126" s="336"/>
      <c r="N126" s="32"/>
      <c r="O126" s="33"/>
      <c r="P126" s="33"/>
      <c r="Q126" s="31"/>
      <c r="R126" s="31"/>
      <c r="S126" s="47">
        <f>(1800*0.16+1800)*E126</f>
        <v>18792</v>
      </c>
      <c r="T126" s="47">
        <f>19749*0.16+19749</f>
        <v>22908.84</v>
      </c>
      <c r="U126" s="48">
        <f>2700*0.16+2700</f>
        <v>3132</v>
      </c>
      <c r="V126" s="49"/>
      <c r="W126" s="50"/>
      <c r="X126" s="49"/>
      <c r="Y126" s="51"/>
      <c r="Z126" s="49"/>
      <c r="AA126" s="49"/>
      <c r="AB126" s="49"/>
      <c r="AC126" s="49"/>
      <c r="AD126" s="49"/>
      <c r="AE126" s="49"/>
      <c r="AF126" s="49"/>
      <c r="AG126" s="49"/>
      <c r="AH126" s="49"/>
      <c r="AI126" s="49"/>
      <c r="AJ126" s="49"/>
      <c r="AK126" s="49"/>
      <c r="AL126" s="49"/>
      <c r="AM126" s="49">
        <v>38568.839999999997</v>
      </c>
      <c r="AN126" s="49"/>
      <c r="AO126" s="49"/>
      <c r="AP126" s="49"/>
      <c r="AQ126" s="49"/>
      <c r="AR126" s="49"/>
      <c r="AS126" s="49"/>
      <c r="AT126" s="49"/>
      <c r="AU126" s="49"/>
      <c r="AV126" s="49"/>
      <c r="AW126" s="49"/>
      <c r="AX126" s="49"/>
      <c r="AY126" s="49"/>
      <c r="AZ126" s="49"/>
      <c r="BA126" s="33">
        <f t="shared" si="1"/>
        <v>0</v>
      </c>
      <c r="BB126" s="268" t="s">
        <v>2376</v>
      </c>
    </row>
    <row r="127" spans="1:54" s="23" customFormat="1" ht="81" customHeight="1" x14ac:dyDescent="0.3">
      <c r="A127" s="26">
        <v>110</v>
      </c>
      <c r="B127" s="43" t="s">
        <v>1478</v>
      </c>
      <c r="C127" s="28"/>
      <c r="D127" s="329" t="s">
        <v>1479</v>
      </c>
      <c r="E127" s="332"/>
      <c r="F127" s="40" t="s">
        <v>30</v>
      </c>
      <c r="G127" s="234">
        <f>[1]DICIEMBRE!$BA$114</f>
        <v>0</v>
      </c>
      <c r="H127" s="31">
        <f>ENERO!BA116</f>
        <v>0</v>
      </c>
      <c r="I127" s="31">
        <f>FEBRERO!AX118</f>
        <v>0</v>
      </c>
      <c r="J127" s="32"/>
      <c r="K127" s="33"/>
      <c r="L127" s="32"/>
      <c r="M127" s="32"/>
      <c r="N127" s="32"/>
      <c r="O127" s="32"/>
      <c r="P127" s="31"/>
      <c r="Q127" s="31"/>
      <c r="R127" s="31"/>
      <c r="S127" s="34"/>
      <c r="T127" s="34">
        <f>(8600*0.16+8600)+4800*0.16+4800</f>
        <v>15544</v>
      </c>
      <c r="U127" s="34"/>
      <c r="V127" s="35"/>
      <c r="W127" s="54"/>
      <c r="X127" s="35"/>
      <c r="Y127" s="35"/>
      <c r="Z127" s="35"/>
      <c r="AA127" s="35"/>
      <c r="AB127" s="35"/>
      <c r="AC127" s="35"/>
      <c r="AD127" s="35"/>
      <c r="AE127" s="35"/>
      <c r="AF127" s="35"/>
      <c r="AG127" s="35"/>
      <c r="AH127" s="35"/>
      <c r="AI127" s="35"/>
      <c r="AJ127" s="35"/>
      <c r="AK127" s="35"/>
      <c r="AL127" s="35"/>
      <c r="AM127" s="35"/>
      <c r="AN127" s="35"/>
      <c r="AO127" s="35">
        <f>9976+5568</f>
        <v>15544</v>
      </c>
      <c r="AP127" s="35"/>
      <c r="AQ127" s="35"/>
      <c r="AR127" s="35"/>
      <c r="AS127" s="35"/>
      <c r="AT127" s="35"/>
      <c r="AU127" s="35"/>
      <c r="AV127" s="35"/>
      <c r="AW127" s="35"/>
      <c r="AX127" s="35"/>
      <c r="AY127" s="35"/>
      <c r="AZ127" s="35"/>
      <c r="BA127" s="33">
        <f t="shared" si="1"/>
        <v>0</v>
      </c>
      <c r="BB127" s="267" t="s">
        <v>2491</v>
      </c>
    </row>
    <row r="128" spans="1:54" s="23" customFormat="1" ht="81" customHeight="1" x14ac:dyDescent="0.3">
      <c r="A128" s="26">
        <v>111</v>
      </c>
      <c r="B128" s="43" t="s">
        <v>1680</v>
      </c>
      <c r="C128" s="28"/>
      <c r="D128" s="26" t="s">
        <v>1681</v>
      </c>
      <c r="E128" s="128">
        <v>3</v>
      </c>
      <c r="F128" s="40"/>
      <c r="G128" s="112">
        <f>[1]DICIEMBRE!$BA$115</f>
        <v>5146.92</v>
      </c>
      <c r="H128" s="45">
        <f>ENERO!BA118</f>
        <v>0</v>
      </c>
      <c r="I128" s="31">
        <f>FEBRERO!AX120</f>
        <v>9709.2000000000007</v>
      </c>
      <c r="J128" s="32"/>
      <c r="K128" s="33"/>
      <c r="L128" s="32"/>
      <c r="M128" s="32"/>
      <c r="N128" s="32"/>
      <c r="O128" s="32"/>
      <c r="P128" s="31"/>
      <c r="Q128" s="31"/>
      <c r="R128" s="31"/>
      <c r="S128" s="34"/>
      <c r="T128" s="34"/>
      <c r="U128" s="34"/>
      <c r="V128" s="35"/>
      <c r="W128" s="54"/>
      <c r="X128" s="35"/>
      <c r="Y128" s="35"/>
      <c r="Z128" s="35">
        <v>9709.2000000000007</v>
      </c>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3">
        <f>SUM(I128+S128+T128-U128-V128-W128-X128-Y128-Z128-AA128-AB128-AC128-AD128-AE128-AF128-AG128-AH128-AI128-AJ128-AK128-AL128-AM128-AN128-AO128-AP128-AQ128-AR128-AS128-AT128-AU128-AV128-AW128-AX128-AY128-AZ128)</f>
        <v>0</v>
      </c>
      <c r="BB128" s="267"/>
    </row>
    <row r="129" spans="1:54" s="23" customFormat="1" ht="81" customHeight="1" x14ac:dyDescent="0.3">
      <c r="A129" s="26">
        <v>112</v>
      </c>
      <c r="B129" s="43" t="s">
        <v>2591</v>
      </c>
      <c r="C129" s="28"/>
      <c r="D129" s="397" t="s">
        <v>2590</v>
      </c>
      <c r="E129" s="128"/>
      <c r="F129" s="40"/>
      <c r="G129" s="112"/>
      <c r="H129" s="45"/>
      <c r="I129" s="31"/>
      <c r="J129" s="32"/>
      <c r="K129" s="33"/>
      <c r="L129" s="32"/>
      <c r="M129" s="32"/>
      <c r="N129" s="32"/>
      <c r="O129" s="32"/>
      <c r="P129" s="31"/>
      <c r="Q129" s="31"/>
      <c r="R129" s="31"/>
      <c r="S129" s="34"/>
      <c r="T129" s="34">
        <f>850*0.16+850</f>
        <v>986</v>
      </c>
      <c r="U129" s="34"/>
      <c r="V129" s="35"/>
      <c r="W129" s="54"/>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v>986</v>
      </c>
      <c r="BA129" s="33">
        <f>SUM(I129+S129+T129-U129-V129-W129-X129-Y129-Z129-AA129-AB129-AC129-AD129-AE129-AF129-AG129-AH129-AI129-AJ129-AK129-AL129-AM129-AN129-AO129-AP129-AQ129-AR129-AS129-AT129-AU129-AV129-AW129-AX129-AY129-AZ129)</f>
        <v>0</v>
      </c>
      <c r="BB129" s="267" t="s">
        <v>2589</v>
      </c>
    </row>
    <row r="130" spans="1:54" s="23" customFormat="1" ht="81" customHeight="1" x14ac:dyDescent="0.3">
      <c r="A130" s="26">
        <v>113</v>
      </c>
      <c r="B130" s="43" t="s">
        <v>764</v>
      </c>
      <c r="C130" s="53"/>
      <c r="D130" s="30" t="s">
        <v>762</v>
      </c>
      <c r="E130" s="392">
        <v>1</v>
      </c>
      <c r="F130" s="40"/>
      <c r="G130" s="112"/>
      <c r="H130" s="45"/>
      <c r="I130" s="31"/>
      <c r="J130" s="32"/>
      <c r="K130" s="33"/>
      <c r="L130" s="32"/>
      <c r="M130" s="32"/>
      <c r="N130" s="32"/>
      <c r="O130" s="32"/>
      <c r="P130" s="31"/>
      <c r="Q130" s="31"/>
      <c r="R130" s="31"/>
      <c r="S130" s="34"/>
      <c r="T130" s="34">
        <f>3687.27*0.16+3687.27</f>
        <v>4277.2331999999997</v>
      </c>
      <c r="U130" s="34"/>
      <c r="V130" s="35"/>
      <c r="W130" s="54"/>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c r="AV130" s="35"/>
      <c r="AW130" s="35"/>
      <c r="AX130" s="35"/>
      <c r="AY130" s="35"/>
      <c r="AZ130" s="35"/>
      <c r="BA130" s="33">
        <f t="shared" si="1"/>
        <v>4277.2331999999997</v>
      </c>
      <c r="BB130" s="267" t="s">
        <v>2488</v>
      </c>
    </row>
    <row r="131" spans="1:54" ht="81.75" customHeight="1" x14ac:dyDescent="0.35">
      <c r="A131" s="26">
        <v>114</v>
      </c>
      <c r="B131" s="27" t="s">
        <v>88</v>
      </c>
      <c r="C131" s="28" t="s">
        <v>89</v>
      </c>
      <c r="D131" s="300" t="s">
        <v>1520</v>
      </c>
      <c r="E131" s="125">
        <v>5</v>
      </c>
      <c r="F131" s="62" t="s">
        <v>30</v>
      </c>
      <c r="G131" s="112">
        <f>[1]DICIEMBRE!$BA$117</f>
        <v>0</v>
      </c>
      <c r="H131" s="45">
        <f>ENERO!BA121</f>
        <v>0</v>
      </c>
      <c r="I131" s="31">
        <f>FEBRERO!AX123</f>
        <v>0</v>
      </c>
      <c r="J131" s="32"/>
      <c r="K131" s="32"/>
      <c r="L131" s="32"/>
      <c r="M131" s="32"/>
      <c r="N131" s="336"/>
      <c r="O131" s="32"/>
      <c r="P131" s="31"/>
      <c r="Q131" s="31"/>
      <c r="R131" s="31"/>
      <c r="S131" s="47">
        <f>(300*0.16+300)*E131</f>
        <v>1740</v>
      </c>
      <c r="T131" s="47"/>
      <c r="U131" s="48"/>
      <c r="V131" s="49"/>
      <c r="W131" s="50"/>
      <c r="X131" s="49"/>
      <c r="Y131" s="49"/>
      <c r="Z131" s="49"/>
      <c r="AA131" s="49"/>
      <c r="AB131" s="70"/>
      <c r="AC131" s="49">
        <v>1740</v>
      </c>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33">
        <f t="shared" si="1"/>
        <v>0</v>
      </c>
      <c r="BB131" s="267"/>
    </row>
    <row r="132" spans="1:54" ht="78.75" customHeight="1" x14ac:dyDescent="0.35">
      <c r="A132" s="26">
        <v>115</v>
      </c>
      <c r="B132" s="43" t="s">
        <v>1080</v>
      </c>
      <c r="C132" s="28"/>
      <c r="D132" s="300" t="s">
        <v>1521</v>
      </c>
      <c r="E132" s="95">
        <v>1</v>
      </c>
      <c r="F132" s="62" t="s">
        <v>30</v>
      </c>
      <c r="G132" s="234">
        <f>[1]DICIEMBRE!$BA$118</f>
        <v>-250</v>
      </c>
      <c r="H132" s="31">
        <f>ENERO!BA122</f>
        <v>0</v>
      </c>
      <c r="I132" s="45">
        <f>FEBRERO!AX124</f>
        <v>-750</v>
      </c>
      <c r="J132" s="32"/>
      <c r="K132" s="32"/>
      <c r="L132" s="336"/>
      <c r="M132" s="336"/>
      <c r="N132" s="32"/>
      <c r="O132" s="32"/>
      <c r="P132" s="33"/>
      <c r="Q132" s="31"/>
      <c r="R132" s="31"/>
      <c r="S132" s="47">
        <f>250*E132</f>
        <v>250</v>
      </c>
      <c r="T132" s="47"/>
      <c r="U132" s="48"/>
      <c r="V132" s="49"/>
      <c r="W132" s="50"/>
      <c r="X132" s="49"/>
      <c r="Y132" s="49"/>
      <c r="Z132" s="49"/>
      <c r="AA132" s="49"/>
      <c r="AB132" s="70"/>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33">
        <f t="shared" si="1"/>
        <v>-500</v>
      </c>
      <c r="BB132" s="267" t="s">
        <v>2194</v>
      </c>
    </row>
    <row r="133" spans="1:54" ht="78.75" customHeight="1" x14ac:dyDescent="0.35">
      <c r="A133" s="26">
        <v>116</v>
      </c>
      <c r="B133" s="43" t="s">
        <v>569</v>
      </c>
      <c r="C133" s="28"/>
      <c r="D133" s="300" t="s">
        <v>1169</v>
      </c>
      <c r="E133" s="95">
        <v>2</v>
      </c>
      <c r="F133" s="62" t="s">
        <v>30</v>
      </c>
      <c r="G133" s="234">
        <f>[1]DICIEMBRE!$BA$120</f>
        <v>1262</v>
      </c>
      <c r="H133" s="45">
        <f>ENERO!BA124</f>
        <v>0</v>
      </c>
      <c r="I133" s="31">
        <f>FEBRERO!AX125</f>
        <v>0</v>
      </c>
      <c r="J133" s="32"/>
      <c r="K133" s="33"/>
      <c r="L133" s="32"/>
      <c r="M133" s="32"/>
      <c r="N133" s="32"/>
      <c r="O133" s="33"/>
      <c r="P133" s="33"/>
      <c r="Q133" s="31"/>
      <c r="R133" s="31"/>
      <c r="S133" s="47">
        <f>(300*0.16+300)*E133</f>
        <v>696</v>
      </c>
      <c r="T133" s="47"/>
      <c r="U133" s="48"/>
      <c r="V133" s="49"/>
      <c r="W133" s="50"/>
      <c r="X133" s="49"/>
      <c r="Y133" s="49"/>
      <c r="Z133" s="49"/>
      <c r="AA133" s="49"/>
      <c r="AB133" s="70">
        <v>696</v>
      </c>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33">
        <f t="shared" si="1"/>
        <v>0</v>
      </c>
      <c r="BB133" s="267"/>
    </row>
    <row r="134" spans="1:54" ht="69.75" customHeight="1" x14ac:dyDescent="0.35">
      <c r="A134" s="26">
        <v>117</v>
      </c>
      <c r="B134" s="27" t="s">
        <v>91</v>
      </c>
      <c r="C134" s="28" t="s">
        <v>92</v>
      </c>
      <c r="D134" s="304" t="s">
        <v>1170</v>
      </c>
      <c r="E134" s="95">
        <v>8</v>
      </c>
      <c r="F134" s="44" t="s">
        <v>30</v>
      </c>
      <c r="G134" s="112">
        <f>[1]DICIEMBRE!$BA$121</f>
        <v>0</v>
      </c>
      <c r="H134" s="31">
        <f>ENERO!BA125</f>
        <v>0</v>
      </c>
      <c r="I134" s="31">
        <f>FEBRERO!AX126</f>
        <v>0</v>
      </c>
      <c r="J134" s="32"/>
      <c r="K134" s="32"/>
      <c r="L134" s="32"/>
      <c r="M134" s="32"/>
      <c r="N134" s="336"/>
      <c r="O134" s="32"/>
      <c r="P134" s="31"/>
      <c r="Q134" s="31"/>
      <c r="R134" s="31"/>
      <c r="S134" s="47">
        <f>E134*300</f>
        <v>2400</v>
      </c>
      <c r="T134" s="47">
        <v>350</v>
      </c>
      <c r="U134" s="48"/>
      <c r="V134" s="49"/>
      <c r="W134" s="49"/>
      <c r="X134" s="49"/>
      <c r="Y134" s="49"/>
      <c r="Z134" s="49"/>
      <c r="AA134" s="49"/>
      <c r="AB134" s="49"/>
      <c r="AC134" s="69"/>
      <c r="AD134" s="49"/>
      <c r="AE134" s="49"/>
      <c r="AF134" s="49"/>
      <c r="AG134" s="49"/>
      <c r="AH134" s="49"/>
      <c r="AI134" s="49"/>
      <c r="AJ134" s="49"/>
      <c r="AK134" s="49"/>
      <c r="AL134" s="49"/>
      <c r="AM134" s="49"/>
      <c r="AN134" s="49"/>
      <c r="AO134" s="49">
        <v>2750</v>
      </c>
      <c r="AP134" s="49"/>
      <c r="AQ134" s="49"/>
      <c r="AR134" s="49"/>
      <c r="AS134" s="49"/>
      <c r="AT134" s="49"/>
      <c r="AU134" s="49"/>
      <c r="AV134" s="49"/>
      <c r="AW134" s="49"/>
      <c r="AX134" s="49"/>
      <c r="AY134" s="49"/>
      <c r="AZ134" s="49"/>
      <c r="BA134" s="33">
        <f t="shared" si="1"/>
        <v>0</v>
      </c>
      <c r="BB134" s="43" t="s">
        <v>2287</v>
      </c>
    </row>
    <row r="135" spans="1:54" ht="28.5" customHeight="1" x14ac:dyDescent="0.35">
      <c r="A135" s="26">
        <v>118</v>
      </c>
      <c r="B135" s="43" t="s">
        <v>93</v>
      </c>
      <c r="C135" s="53" t="s">
        <v>94</v>
      </c>
      <c r="D135" s="298" t="s">
        <v>1523</v>
      </c>
      <c r="E135" s="95">
        <v>3</v>
      </c>
      <c r="F135" s="44" t="s">
        <v>30</v>
      </c>
      <c r="G135" s="234">
        <f>[1]DICIEMBRE!$BA$122</f>
        <v>-450</v>
      </c>
      <c r="H135" s="31">
        <f>ENERO!BA126</f>
        <v>-450</v>
      </c>
      <c r="I135" s="31">
        <f>FEBRERO!AX127</f>
        <v>-450</v>
      </c>
      <c r="J135" s="32"/>
      <c r="K135" s="32"/>
      <c r="L135" s="336"/>
      <c r="M135" s="336"/>
      <c r="N135" s="32"/>
      <c r="O135" s="32"/>
      <c r="P135" s="33"/>
      <c r="Q135" s="31"/>
      <c r="R135" s="31"/>
      <c r="S135" s="47">
        <f>250*E135</f>
        <v>750</v>
      </c>
      <c r="T135" s="47"/>
      <c r="U135" s="48"/>
      <c r="V135" s="50"/>
      <c r="W135" s="50"/>
      <c r="X135" s="49"/>
      <c r="Y135" s="49"/>
      <c r="Z135" s="49"/>
      <c r="AA135" s="49"/>
      <c r="AB135" s="49"/>
      <c r="AC135" s="49"/>
      <c r="AD135" s="49"/>
      <c r="AE135" s="49"/>
      <c r="AF135" s="49"/>
      <c r="AG135" s="49"/>
      <c r="AH135" s="49"/>
      <c r="AI135" s="49"/>
      <c r="AJ135" s="49">
        <v>750</v>
      </c>
      <c r="AK135" s="49"/>
      <c r="AL135" s="49"/>
      <c r="AM135" s="49"/>
      <c r="AN135" s="49"/>
      <c r="AO135" s="49"/>
      <c r="AP135" s="49"/>
      <c r="AQ135" s="49"/>
      <c r="AR135" s="49"/>
      <c r="AS135" s="49"/>
      <c r="AT135" s="49"/>
      <c r="AU135" s="49"/>
      <c r="AV135" s="49"/>
      <c r="AW135" s="49"/>
      <c r="AX135" s="49"/>
      <c r="AY135" s="49"/>
      <c r="AZ135" s="49"/>
      <c r="BA135" s="33">
        <f t="shared" si="1"/>
        <v>-450</v>
      </c>
      <c r="BB135" s="43"/>
    </row>
    <row r="136" spans="1:54" ht="45" customHeight="1" x14ac:dyDescent="0.35">
      <c r="A136" s="26">
        <v>119</v>
      </c>
      <c r="B136" s="43" t="s">
        <v>95</v>
      </c>
      <c r="C136" s="27" t="s">
        <v>96</v>
      </c>
      <c r="D136" s="298" t="s">
        <v>1647</v>
      </c>
      <c r="E136" s="95">
        <v>15</v>
      </c>
      <c r="F136" s="44" t="s">
        <v>30</v>
      </c>
      <c r="G136" s="112">
        <f>[1]DICIEMBRE!$BA$123</f>
        <v>-0.2000000000007276</v>
      </c>
      <c r="H136" s="45">
        <f>ENERO!BA127</f>
        <v>-0.2000000000007276</v>
      </c>
      <c r="I136" s="45">
        <f>FEBRERO!AX128</f>
        <v>0</v>
      </c>
      <c r="J136" s="32"/>
      <c r="K136" s="33"/>
      <c r="L136" s="32"/>
      <c r="M136" s="32"/>
      <c r="N136" s="32"/>
      <c r="O136" s="33"/>
      <c r="P136" s="31"/>
      <c r="Q136" s="31"/>
      <c r="R136" s="31"/>
      <c r="S136" s="47">
        <f>(300*0.16+300)*E136</f>
        <v>5220</v>
      </c>
      <c r="T136" s="47"/>
      <c r="U136" s="48"/>
      <c r="V136" s="50"/>
      <c r="W136" s="50"/>
      <c r="X136" s="49"/>
      <c r="Y136" s="49"/>
      <c r="Z136" s="49"/>
      <c r="AA136" s="49">
        <v>5220</v>
      </c>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33">
        <f t="shared" si="1"/>
        <v>0</v>
      </c>
      <c r="BB136" s="43"/>
    </row>
    <row r="137" spans="1:54" ht="45" customHeight="1" x14ac:dyDescent="0.35">
      <c r="A137" s="26">
        <v>120</v>
      </c>
      <c r="B137" s="43" t="s">
        <v>1299</v>
      </c>
      <c r="C137" s="27"/>
      <c r="D137" s="300" t="s">
        <v>1524</v>
      </c>
      <c r="E137" s="95">
        <v>1</v>
      </c>
      <c r="F137" s="44" t="s">
        <v>30</v>
      </c>
      <c r="G137" s="234">
        <f>[1]DICIEMBRE!$BA$124</f>
        <v>0</v>
      </c>
      <c r="H137" s="31">
        <f>ENERO!BA128</f>
        <v>0</v>
      </c>
      <c r="I137" s="31">
        <f>FEBRERO!AX129</f>
        <v>0</v>
      </c>
      <c r="J137" s="32"/>
      <c r="K137" s="33"/>
      <c r="L137" s="32"/>
      <c r="M137" s="32"/>
      <c r="N137" s="32"/>
      <c r="O137" s="32"/>
      <c r="P137" s="33"/>
      <c r="Q137" s="31"/>
      <c r="R137" s="31"/>
      <c r="S137" s="47">
        <f>300*E137</f>
        <v>300</v>
      </c>
      <c r="T137" s="47"/>
      <c r="U137" s="48"/>
      <c r="V137" s="50"/>
      <c r="W137" s="50"/>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v>300</v>
      </c>
      <c r="AT137" s="49"/>
      <c r="AU137" s="49"/>
      <c r="AV137" s="49"/>
      <c r="AW137" s="49"/>
      <c r="AX137" s="49"/>
      <c r="AY137" s="49"/>
      <c r="AZ137" s="49"/>
      <c r="BA137" s="33">
        <f t="shared" si="1"/>
        <v>0</v>
      </c>
      <c r="BB137" s="43"/>
    </row>
    <row r="138" spans="1:54" ht="45" customHeight="1" x14ac:dyDescent="0.35">
      <c r="A138" s="26">
        <v>121</v>
      </c>
      <c r="B138" s="43" t="s">
        <v>1963</v>
      </c>
      <c r="C138" s="27"/>
      <c r="D138" s="300" t="s">
        <v>1964</v>
      </c>
      <c r="E138" s="95">
        <v>1</v>
      </c>
      <c r="F138" s="44"/>
      <c r="G138" s="112"/>
      <c r="H138" s="45">
        <f>ENERO!BA130</f>
        <v>0</v>
      </c>
      <c r="I138" s="31">
        <f>FEBRERO!AX131</f>
        <v>0</v>
      </c>
      <c r="J138" s="32"/>
      <c r="K138" s="33"/>
      <c r="L138" s="32"/>
      <c r="M138" s="32"/>
      <c r="N138" s="336"/>
      <c r="O138" s="33"/>
      <c r="P138" s="31"/>
      <c r="Q138" s="31"/>
      <c r="R138" s="31"/>
      <c r="S138" s="47">
        <f>350*E138</f>
        <v>350</v>
      </c>
      <c r="T138" s="47"/>
      <c r="U138" s="48"/>
      <c r="V138" s="50"/>
      <c r="W138" s="50"/>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v>350</v>
      </c>
      <c r="AT138" s="49"/>
      <c r="AU138" s="49"/>
      <c r="AV138" s="49"/>
      <c r="AW138" s="49"/>
      <c r="AX138" s="49"/>
      <c r="AY138" s="49"/>
      <c r="AZ138" s="49"/>
      <c r="BA138" s="33">
        <f t="shared" si="1"/>
        <v>0</v>
      </c>
      <c r="BB138" s="43"/>
    </row>
    <row r="139" spans="1:54" ht="45" customHeight="1" x14ac:dyDescent="0.35">
      <c r="A139" s="26">
        <v>122</v>
      </c>
      <c r="B139" s="43" t="s">
        <v>1663</v>
      </c>
      <c r="C139" s="27"/>
      <c r="D139" s="300" t="s">
        <v>1664</v>
      </c>
      <c r="E139" s="95">
        <v>3</v>
      </c>
      <c r="F139" s="44"/>
      <c r="G139" s="112">
        <f>[1]DICIEMBRE!$BA$127</f>
        <v>0</v>
      </c>
      <c r="H139" s="31">
        <f>ENERO!BA131</f>
        <v>-250</v>
      </c>
      <c r="I139" s="45">
        <f>FEBRERO!AX132</f>
        <v>-750</v>
      </c>
      <c r="J139" s="32"/>
      <c r="K139" s="33"/>
      <c r="L139" s="32"/>
      <c r="M139" s="32"/>
      <c r="N139" s="32"/>
      <c r="O139" s="32"/>
      <c r="P139" s="33"/>
      <c r="Q139" s="31"/>
      <c r="R139" s="31"/>
      <c r="S139" s="47">
        <f>250*E139</f>
        <v>750</v>
      </c>
      <c r="T139" s="47"/>
      <c r="U139" s="48"/>
      <c r="V139" s="50"/>
      <c r="W139" s="50"/>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33">
        <f t="shared" si="1"/>
        <v>0</v>
      </c>
      <c r="BB139" s="43" t="s">
        <v>2227</v>
      </c>
    </row>
    <row r="140" spans="1:54" ht="45" customHeight="1" x14ac:dyDescent="0.35">
      <c r="A140" s="26">
        <v>123</v>
      </c>
      <c r="B140" s="43" t="s">
        <v>1571</v>
      </c>
      <c r="C140" s="27"/>
      <c r="D140" s="300" t="s">
        <v>1596</v>
      </c>
      <c r="E140" s="95"/>
      <c r="F140" s="44" t="s">
        <v>100</v>
      </c>
      <c r="G140" s="112">
        <f>[1]DICIEMBRE!$BA$129</f>
        <v>0</v>
      </c>
      <c r="H140" s="45">
        <f>ENERO!BA133</f>
        <v>0</v>
      </c>
      <c r="I140" s="31">
        <f>FEBRERO!AX134</f>
        <v>0</v>
      </c>
      <c r="J140" s="32"/>
      <c r="K140" s="33"/>
      <c r="L140" s="32"/>
      <c r="M140" s="32"/>
      <c r="N140" s="32"/>
      <c r="O140" s="32"/>
      <c r="P140" s="33"/>
      <c r="Q140" s="31"/>
      <c r="R140" s="31"/>
      <c r="S140" s="47">
        <f>150*E140</f>
        <v>0</v>
      </c>
      <c r="T140" s="47"/>
      <c r="U140" s="48"/>
      <c r="V140" s="50"/>
      <c r="W140" s="50"/>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33">
        <f t="shared" si="1"/>
        <v>0</v>
      </c>
      <c r="BB140" s="43" t="s">
        <v>1776</v>
      </c>
    </row>
    <row r="141" spans="1:54" ht="45" customHeight="1" x14ac:dyDescent="0.35">
      <c r="A141" s="26">
        <v>124</v>
      </c>
      <c r="B141" s="43" t="s">
        <v>1280</v>
      </c>
      <c r="C141" s="27"/>
      <c r="D141" s="298" t="s">
        <v>1525</v>
      </c>
      <c r="E141" s="95">
        <v>1</v>
      </c>
      <c r="F141" s="44" t="s">
        <v>30</v>
      </c>
      <c r="G141" s="234">
        <f>[1]DICIEMBRE!$BA$130</f>
        <v>0</v>
      </c>
      <c r="H141" s="31">
        <f>ENERO!BA134</f>
        <v>0</v>
      </c>
      <c r="I141" s="31">
        <f>FEBRERO!AX135</f>
        <v>0</v>
      </c>
      <c r="J141" s="32"/>
      <c r="K141" s="33"/>
      <c r="L141" s="32"/>
      <c r="M141" s="32"/>
      <c r="N141" s="32"/>
      <c r="O141" s="32"/>
      <c r="P141" s="31"/>
      <c r="Q141" s="31"/>
      <c r="R141" s="31"/>
      <c r="S141" s="47">
        <f>250*E141</f>
        <v>250</v>
      </c>
      <c r="T141" s="47"/>
      <c r="U141" s="48"/>
      <c r="V141" s="50"/>
      <c r="W141" s="50"/>
      <c r="X141" s="49"/>
      <c r="Y141" s="49"/>
      <c r="Z141" s="49"/>
      <c r="AA141" s="49"/>
      <c r="AB141" s="49"/>
      <c r="AC141" s="49"/>
      <c r="AD141" s="49"/>
      <c r="AE141" s="49"/>
      <c r="AF141" s="49"/>
      <c r="AG141" s="49">
        <v>250</v>
      </c>
      <c r="AH141" s="49"/>
      <c r="AI141" s="49"/>
      <c r="AJ141" s="49"/>
      <c r="AK141" s="49"/>
      <c r="AL141" s="49"/>
      <c r="AM141" s="49"/>
      <c r="AN141" s="49"/>
      <c r="AO141" s="49"/>
      <c r="AP141" s="49"/>
      <c r="AQ141" s="49"/>
      <c r="AR141" s="49"/>
      <c r="AS141" s="49"/>
      <c r="AT141" s="49"/>
      <c r="AU141" s="49"/>
      <c r="AV141" s="49"/>
      <c r="AW141" s="49"/>
      <c r="AX141" s="49"/>
      <c r="AY141" s="49"/>
      <c r="AZ141" s="49"/>
      <c r="BA141" s="33">
        <f t="shared" si="1"/>
        <v>0</v>
      </c>
      <c r="BB141" s="43"/>
    </row>
    <row r="142" spans="1:54" ht="45" customHeight="1" x14ac:dyDescent="0.35">
      <c r="A142" s="26">
        <v>125</v>
      </c>
      <c r="B142" s="43" t="s">
        <v>1240</v>
      </c>
      <c r="C142" s="27"/>
      <c r="D142" s="300" t="s">
        <v>1526</v>
      </c>
      <c r="E142" s="95">
        <v>2</v>
      </c>
      <c r="F142" s="44" t="s">
        <v>30</v>
      </c>
      <c r="G142" s="112">
        <f>[1]DICIEMBRE!$BA$131</f>
        <v>0</v>
      </c>
      <c r="H142" s="31">
        <f>ENERO!BA135</f>
        <v>0</v>
      </c>
      <c r="I142" s="45">
        <f>FEBRERO!AX136</f>
        <v>0</v>
      </c>
      <c r="J142" s="32"/>
      <c r="K142" s="33"/>
      <c r="L142" s="32"/>
      <c r="M142" s="336"/>
      <c r="N142" s="336"/>
      <c r="O142" s="33"/>
      <c r="P142" s="33"/>
      <c r="Q142" s="31"/>
      <c r="R142" s="31"/>
      <c r="S142" s="47">
        <f>250+900+900</f>
        <v>2050</v>
      </c>
      <c r="T142" s="47">
        <v>8790</v>
      </c>
      <c r="U142" s="48"/>
      <c r="V142" s="50"/>
      <c r="W142" s="50"/>
      <c r="X142" s="49">
        <v>8790</v>
      </c>
      <c r="Y142" s="49"/>
      <c r="Z142" s="49"/>
      <c r="AA142" s="49"/>
      <c r="AB142" s="49"/>
      <c r="AC142" s="49"/>
      <c r="AD142" s="49"/>
      <c r="AE142" s="49"/>
      <c r="AF142" s="49">
        <v>2050</v>
      </c>
      <c r="AG142" s="49"/>
      <c r="AH142" s="49"/>
      <c r="AI142" s="49"/>
      <c r="AJ142" s="49"/>
      <c r="AK142" s="49"/>
      <c r="AL142" s="49"/>
      <c r="AM142" s="49"/>
      <c r="AN142" s="49"/>
      <c r="AO142" s="49"/>
      <c r="AP142" s="49"/>
      <c r="AQ142" s="49"/>
      <c r="AR142" s="49"/>
      <c r="AS142" s="49"/>
      <c r="AT142" s="49"/>
      <c r="AU142" s="49"/>
      <c r="AV142" s="49"/>
      <c r="AW142" s="49"/>
      <c r="AX142" s="49"/>
      <c r="AY142" s="49"/>
      <c r="AZ142" s="49"/>
      <c r="BA142" s="33">
        <f>SUM(I142+S142+T142-U142-V142-W142-X142-Y142-Z142-AA142-AB142-AC142-AD142-AE142-AF142-AG142-AH142-AI142-AJ142-AK142-AL142-AM142-AN142-AO142-AP142-AQ142-AR142-AS142-AT142-AU142-AV142-AW142-AX142-AY142-AZ142)</f>
        <v>0</v>
      </c>
      <c r="BB142" s="43" t="s">
        <v>2311</v>
      </c>
    </row>
    <row r="143" spans="1:54" ht="45.75" customHeight="1" x14ac:dyDescent="0.35">
      <c r="A143" s="26">
        <v>126</v>
      </c>
      <c r="B143" s="43" t="s">
        <v>2069</v>
      </c>
      <c r="C143" s="27"/>
      <c r="D143" s="300" t="s">
        <v>2070</v>
      </c>
      <c r="E143" s="95">
        <v>1</v>
      </c>
      <c r="F143" s="44" t="s">
        <v>100</v>
      </c>
      <c r="G143" s="112"/>
      <c r="H143" s="31">
        <f>ENERO!BA136</f>
        <v>0</v>
      </c>
      <c r="I143" s="31">
        <f>FEBRERO!AX137</f>
        <v>0</v>
      </c>
      <c r="J143" s="32"/>
      <c r="K143" s="33"/>
      <c r="L143" s="32"/>
      <c r="M143" s="336"/>
      <c r="N143" s="336"/>
      <c r="O143" s="33"/>
      <c r="P143" s="33"/>
      <c r="Q143" s="31"/>
      <c r="R143" s="31"/>
      <c r="S143" s="47">
        <f>350*E143</f>
        <v>350</v>
      </c>
      <c r="T143" s="47"/>
      <c r="U143" s="48"/>
      <c r="V143" s="50"/>
      <c r="W143" s="50"/>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33">
        <f t="shared" si="1"/>
        <v>350</v>
      </c>
      <c r="BB143" s="43" t="s">
        <v>2073</v>
      </c>
    </row>
    <row r="144" spans="1:54" ht="38.25" customHeight="1" x14ac:dyDescent="0.35">
      <c r="A144" s="26">
        <v>127</v>
      </c>
      <c r="B144" s="27" t="s">
        <v>98</v>
      </c>
      <c r="C144" s="28" t="s">
        <v>99</v>
      </c>
      <c r="D144" s="300" t="s">
        <v>1528</v>
      </c>
      <c r="E144" s="95">
        <v>2</v>
      </c>
      <c r="F144" s="44" t="s">
        <v>100</v>
      </c>
      <c r="G144" s="112">
        <f>[1]DICIEMBRE!$BA$135</f>
        <v>0</v>
      </c>
      <c r="H144" s="45">
        <f>ENERO!BA140</f>
        <v>600</v>
      </c>
      <c r="I144" s="31">
        <f>FEBRERO!AX139</f>
        <v>0</v>
      </c>
      <c r="J144" s="32"/>
      <c r="K144" s="32"/>
      <c r="L144" s="32"/>
      <c r="M144" s="32"/>
      <c r="N144" s="32"/>
      <c r="O144" s="32"/>
      <c r="P144" s="33"/>
      <c r="Q144" s="31"/>
      <c r="R144" s="31"/>
      <c r="S144" s="47">
        <f>300*E144</f>
        <v>600</v>
      </c>
      <c r="T144" s="47"/>
      <c r="U144" s="48"/>
      <c r="V144" s="49"/>
      <c r="W144" s="49"/>
      <c r="X144" s="49"/>
      <c r="Y144" s="49"/>
      <c r="Z144" s="49"/>
      <c r="AA144" s="49"/>
      <c r="AB144" s="49"/>
      <c r="AC144" s="50"/>
      <c r="AD144" s="49"/>
      <c r="AE144" s="49"/>
      <c r="AF144" s="49"/>
      <c r="AG144" s="49"/>
      <c r="AH144" s="51"/>
      <c r="AI144" s="49"/>
      <c r="AJ144" s="49"/>
      <c r="AK144" s="49"/>
      <c r="AL144" s="49"/>
      <c r="AM144" s="49"/>
      <c r="AN144" s="49"/>
      <c r="AO144" s="49"/>
      <c r="AP144" s="49"/>
      <c r="AQ144" s="49"/>
      <c r="AR144" s="49"/>
      <c r="AS144" s="49"/>
      <c r="AT144" s="49"/>
      <c r="AU144" s="49"/>
      <c r="AV144" s="49"/>
      <c r="AW144" s="49"/>
      <c r="AX144" s="49"/>
      <c r="AY144" s="49"/>
      <c r="AZ144" s="49"/>
      <c r="BA144" s="33">
        <f t="shared" si="1"/>
        <v>600</v>
      </c>
      <c r="BB144" s="43"/>
    </row>
    <row r="145" spans="1:54" ht="38.25" customHeight="1" x14ac:dyDescent="0.35">
      <c r="A145" s="26">
        <v>128</v>
      </c>
      <c r="B145" s="43" t="s">
        <v>1561</v>
      </c>
      <c r="C145" s="28"/>
      <c r="D145" s="300" t="s">
        <v>1562</v>
      </c>
      <c r="E145" s="95">
        <v>1</v>
      </c>
      <c r="F145" s="44" t="s">
        <v>30</v>
      </c>
      <c r="G145" s="234">
        <f>[1]DICIEMBRE!$BA$136</f>
        <v>-52</v>
      </c>
      <c r="H145" s="31">
        <f>ENERO!BA141</f>
        <v>-353</v>
      </c>
      <c r="I145" s="45">
        <f>FEBRERO!AX140</f>
        <v>-54</v>
      </c>
      <c r="J145" s="32"/>
      <c r="K145" s="32"/>
      <c r="L145" s="32"/>
      <c r="M145" s="32"/>
      <c r="N145" s="32"/>
      <c r="O145" s="32"/>
      <c r="P145" s="33"/>
      <c r="Q145" s="31"/>
      <c r="R145" s="31"/>
      <c r="S145" s="47">
        <f>299*E145</f>
        <v>299</v>
      </c>
      <c r="T145" s="47"/>
      <c r="U145" s="48"/>
      <c r="V145" s="49"/>
      <c r="W145" s="49"/>
      <c r="X145" s="49"/>
      <c r="Y145" s="49"/>
      <c r="Z145" s="49"/>
      <c r="AA145" s="49"/>
      <c r="AB145" s="49"/>
      <c r="AC145" s="50"/>
      <c r="AD145" s="49"/>
      <c r="AE145" s="49"/>
      <c r="AF145" s="49"/>
      <c r="AG145" s="49"/>
      <c r="AH145" s="51"/>
      <c r="AI145" s="49"/>
      <c r="AJ145" s="49"/>
      <c r="AK145" s="49"/>
      <c r="AL145" s="49"/>
      <c r="AM145" s="49"/>
      <c r="AN145" s="49"/>
      <c r="AO145" s="49"/>
      <c r="AP145" s="49"/>
      <c r="AQ145" s="49"/>
      <c r="AR145" s="49"/>
      <c r="AS145" s="49"/>
      <c r="AT145" s="49"/>
      <c r="AU145" s="49"/>
      <c r="AV145" s="49"/>
      <c r="AW145" s="49"/>
      <c r="AX145" s="49"/>
      <c r="AY145" s="49"/>
      <c r="AZ145" s="49"/>
      <c r="BA145" s="33">
        <f t="shared" si="1"/>
        <v>245</v>
      </c>
      <c r="BB145" s="43"/>
    </row>
    <row r="146" spans="1:54" ht="37.5" customHeight="1" x14ac:dyDescent="0.35">
      <c r="A146" s="26">
        <v>129</v>
      </c>
      <c r="B146" s="27" t="s">
        <v>101</v>
      </c>
      <c r="C146" s="28" t="s">
        <v>102</v>
      </c>
      <c r="D146" s="300" t="s">
        <v>1171</v>
      </c>
      <c r="E146" s="95">
        <v>1</v>
      </c>
      <c r="F146" s="44" t="s">
        <v>30</v>
      </c>
      <c r="G146" s="112">
        <f>[1]DICIEMBRE!$BA$137</f>
        <v>300</v>
      </c>
      <c r="H146" s="31">
        <f>ENERO!BA142</f>
        <v>0</v>
      </c>
      <c r="I146" s="31">
        <f>FEBRERO!AX141</f>
        <v>-300</v>
      </c>
      <c r="J146" s="32"/>
      <c r="K146" s="32"/>
      <c r="L146" s="32"/>
      <c r="M146" s="336"/>
      <c r="N146" s="336"/>
      <c r="O146" s="33"/>
      <c r="P146" s="33"/>
      <c r="Q146" s="31"/>
      <c r="R146" s="31"/>
      <c r="S146" s="47">
        <f>300*E146</f>
        <v>300</v>
      </c>
      <c r="T146" s="47"/>
      <c r="U146" s="48"/>
      <c r="V146" s="49"/>
      <c r="W146" s="49"/>
      <c r="X146" s="49"/>
      <c r="Y146" s="49"/>
      <c r="Z146" s="49"/>
      <c r="AA146" s="49"/>
      <c r="AB146" s="49"/>
      <c r="AC146" s="49"/>
      <c r="AD146" s="49"/>
      <c r="AE146" s="50"/>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33">
        <f t="shared" si="1"/>
        <v>0</v>
      </c>
      <c r="BB146" s="43" t="s">
        <v>2227</v>
      </c>
    </row>
    <row r="147" spans="1:54" ht="46.5" customHeight="1" x14ac:dyDescent="0.35">
      <c r="A147" s="26">
        <v>130</v>
      </c>
      <c r="B147" s="43" t="s">
        <v>1389</v>
      </c>
      <c r="C147" s="28"/>
      <c r="D147" s="298" t="s">
        <v>1529</v>
      </c>
      <c r="E147" s="95">
        <v>2</v>
      </c>
      <c r="F147" s="44" t="s">
        <v>30</v>
      </c>
      <c r="G147" s="234">
        <f>[1]DICIEMBRE!$BA$138</f>
        <v>0</v>
      </c>
      <c r="H147" s="45">
        <f>ENERO!BA143</f>
        <v>0</v>
      </c>
      <c r="I147" s="31">
        <f>FEBRERO!AX142</f>
        <v>0</v>
      </c>
      <c r="J147" s="32"/>
      <c r="K147" s="32"/>
      <c r="L147" s="32"/>
      <c r="M147" s="336"/>
      <c r="N147" s="336"/>
      <c r="O147" s="33"/>
      <c r="P147" s="31"/>
      <c r="Q147" s="31"/>
      <c r="R147" s="31"/>
      <c r="S147" s="47">
        <v>440</v>
      </c>
      <c r="T147" s="47"/>
      <c r="U147" s="48"/>
      <c r="V147" s="49"/>
      <c r="W147" s="49"/>
      <c r="X147" s="49"/>
      <c r="Y147" s="49"/>
      <c r="Z147" s="49"/>
      <c r="AA147" s="49"/>
      <c r="AB147" s="49">
        <v>600</v>
      </c>
      <c r="AC147" s="49"/>
      <c r="AD147" s="49"/>
      <c r="AE147" s="50"/>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33">
        <f t="shared" si="1"/>
        <v>-160</v>
      </c>
      <c r="BB147" s="43" t="s">
        <v>2501</v>
      </c>
    </row>
    <row r="148" spans="1:54" ht="38.25" customHeight="1" x14ac:dyDescent="0.35">
      <c r="A148" s="26">
        <v>131</v>
      </c>
      <c r="B148" s="27" t="s">
        <v>103</v>
      </c>
      <c r="C148" s="28" t="s">
        <v>104</v>
      </c>
      <c r="D148" s="298" t="s">
        <v>1530</v>
      </c>
      <c r="E148" s="95">
        <v>1</v>
      </c>
      <c r="F148" s="44" t="s">
        <v>30</v>
      </c>
      <c r="G148" s="112">
        <f>[1]DICIEMBRE!$BA$139</f>
        <v>0</v>
      </c>
      <c r="H148" s="31">
        <f>ENERO!BA144</f>
        <v>-300</v>
      </c>
      <c r="I148" s="31">
        <f>FEBRERO!AX143</f>
        <v>-300</v>
      </c>
      <c r="J148" s="32"/>
      <c r="K148" s="33"/>
      <c r="L148" s="336"/>
      <c r="M148" s="32"/>
      <c r="N148" s="32"/>
      <c r="O148" s="32"/>
      <c r="P148" s="33"/>
      <c r="Q148" s="31"/>
      <c r="R148" s="31"/>
      <c r="S148" s="47">
        <f>300*E148</f>
        <v>300</v>
      </c>
      <c r="T148" s="47"/>
      <c r="U148" s="48"/>
      <c r="V148" s="49"/>
      <c r="W148" s="49"/>
      <c r="X148" s="49"/>
      <c r="Y148" s="49"/>
      <c r="Z148" s="49"/>
      <c r="AA148" s="49"/>
      <c r="AB148" s="50"/>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33">
        <f t="shared" si="1"/>
        <v>0</v>
      </c>
      <c r="BB148" s="43" t="s">
        <v>2227</v>
      </c>
    </row>
    <row r="149" spans="1:54" ht="52.5" customHeight="1" x14ac:dyDescent="0.35">
      <c r="A149" s="26">
        <v>132</v>
      </c>
      <c r="B149" s="43" t="s">
        <v>1461</v>
      </c>
      <c r="C149" s="28"/>
      <c r="D149" s="300" t="s">
        <v>1462</v>
      </c>
      <c r="E149" s="95">
        <v>2</v>
      </c>
      <c r="F149" s="44" t="s">
        <v>30</v>
      </c>
      <c r="G149" s="234">
        <f>[1]DICIEMBRE!$BA$140</f>
        <v>0</v>
      </c>
      <c r="H149" s="31">
        <f>ENERO!BA145</f>
        <v>0</v>
      </c>
      <c r="I149" s="45">
        <f>FEBRERO!AX144</f>
        <v>0</v>
      </c>
      <c r="J149" s="32"/>
      <c r="K149" s="33"/>
      <c r="L149" s="336"/>
      <c r="M149" s="32"/>
      <c r="N149" s="32"/>
      <c r="O149" s="32"/>
      <c r="P149" s="33"/>
      <c r="Q149" s="31"/>
      <c r="R149" s="31"/>
      <c r="S149" s="47">
        <f>900*E149</f>
        <v>1800</v>
      </c>
      <c r="T149" s="47"/>
      <c r="U149" s="48"/>
      <c r="V149" s="49">
        <v>1800</v>
      </c>
      <c r="W149" s="49"/>
      <c r="X149" s="49"/>
      <c r="Y149" s="49"/>
      <c r="Z149" s="49"/>
      <c r="AA149" s="49"/>
      <c r="AB149" s="50"/>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33">
        <f t="shared" si="1"/>
        <v>0</v>
      </c>
      <c r="BB149" s="43"/>
    </row>
    <row r="150" spans="1:54" ht="45" customHeight="1" x14ac:dyDescent="0.35">
      <c r="A150" s="26">
        <v>133</v>
      </c>
      <c r="B150" s="43" t="s">
        <v>2063</v>
      </c>
      <c r="C150" s="28"/>
      <c r="D150" s="300" t="s">
        <v>1172</v>
      </c>
      <c r="E150" s="95">
        <v>6</v>
      </c>
      <c r="F150" s="44" t="s">
        <v>30</v>
      </c>
      <c r="G150" s="112">
        <f>[1]DICIEMBRE!$BA$141</f>
        <v>0</v>
      </c>
      <c r="H150" s="45">
        <f>ENERO!BA146</f>
        <v>0</v>
      </c>
      <c r="I150" s="31">
        <f>FEBRERO!AX145</f>
        <v>0</v>
      </c>
      <c r="J150" s="32"/>
      <c r="K150" s="32"/>
      <c r="L150" s="32"/>
      <c r="M150" s="336"/>
      <c r="N150" s="32"/>
      <c r="O150" s="32"/>
      <c r="P150" s="31"/>
      <c r="Q150" s="31"/>
      <c r="R150" s="31"/>
      <c r="S150" s="47">
        <f>250*E150</f>
        <v>1500</v>
      </c>
      <c r="T150" s="47"/>
      <c r="U150" s="48"/>
      <c r="V150" s="49"/>
      <c r="W150" s="49"/>
      <c r="X150" s="49"/>
      <c r="Y150" s="49"/>
      <c r="Z150" s="49"/>
      <c r="AA150" s="49"/>
      <c r="AB150" s="50"/>
      <c r="AC150" s="49"/>
      <c r="AD150" s="49"/>
      <c r="AE150" s="49">
        <v>1500</v>
      </c>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33">
        <f t="shared" si="1"/>
        <v>0</v>
      </c>
      <c r="BB150" s="43"/>
    </row>
    <row r="151" spans="1:54" ht="38.25" customHeight="1" x14ac:dyDescent="0.35">
      <c r="A151" s="26">
        <v>134</v>
      </c>
      <c r="B151" s="43" t="s">
        <v>1440</v>
      </c>
      <c r="C151" s="28"/>
      <c r="D151" s="298" t="s">
        <v>1531</v>
      </c>
      <c r="E151" s="95">
        <v>1</v>
      </c>
      <c r="F151" s="44" t="s">
        <v>30</v>
      </c>
      <c r="G151" s="234">
        <f>[1]DICIEMBRE!$BA$142</f>
        <v>0</v>
      </c>
      <c r="H151" s="31">
        <f>ENERO!BA147</f>
        <v>0</v>
      </c>
      <c r="I151" s="31">
        <f>FEBRERO!AX146</f>
        <v>0</v>
      </c>
      <c r="J151" s="32"/>
      <c r="K151" s="32"/>
      <c r="L151" s="32"/>
      <c r="M151" s="336"/>
      <c r="N151" s="32"/>
      <c r="O151" s="32"/>
      <c r="P151" s="31"/>
      <c r="Q151" s="31"/>
      <c r="R151" s="31"/>
      <c r="S151" s="47">
        <f>300*E151</f>
        <v>300</v>
      </c>
      <c r="T151" s="47"/>
      <c r="U151" s="48"/>
      <c r="V151" s="49"/>
      <c r="W151" s="49"/>
      <c r="X151" s="49"/>
      <c r="Y151" s="49"/>
      <c r="Z151" s="49"/>
      <c r="AA151" s="49"/>
      <c r="AB151" s="50"/>
      <c r="AC151" s="49">
        <v>300</v>
      </c>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33">
        <f t="shared" si="1"/>
        <v>0</v>
      </c>
      <c r="BB151" s="43"/>
    </row>
    <row r="152" spans="1:54" ht="38.25" customHeight="1" x14ac:dyDescent="0.35">
      <c r="A152" s="26">
        <v>135</v>
      </c>
      <c r="B152" s="43" t="s">
        <v>105</v>
      </c>
      <c r="C152" s="53" t="s">
        <v>106</v>
      </c>
      <c r="D152" s="298" t="s">
        <v>1533</v>
      </c>
      <c r="E152" s="96">
        <v>3</v>
      </c>
      <c r="F152" s="44" t="s">
        <v>30</v>
      </c>
      <c r="G152" s="112">
        <f>[1]DICIEMBRE!$BA$143</f>
        <v>0</v>
      </c>
      <c r="H152" s="31">
        <f>ENERO!BA148</f>
        <v>0</v>
      </c>
      <c r="I152" s="31">
        <f>FEBRERO!AX147</f>
        <v>0</v>
      </c>
      <c r="J152" s="32"/>
      <c r="K152" s="32"/>
      <c r="L152" s="32"/>
      <c r="M152" s="32"/>
      <c r="N152" s="336"/>
      <c r="O152" s="33"/>
      <c r="P152" s="33"/>
      <c r="Q152" s="31"/>
      <c r="R152" s="31"/>
      <c r="S152" s="47">
        <f>297*E152</f>
        <v>891</v>
      </c>
      <c r="T152" s="47"/>
      <c r="U152" s="48"/>
      <c r="V152" s="47"/>
      <c r="W152" s="75"/>
      <c r="X152" s="47">
        <v>891</v>
      </c>
      <c r="Y152" s="47"/>
      <c r="Z152" s="47"/>
      <c r="AA152" s="47"/>
      <c r="AB152" s="47"/>
      <c r="AC152" s="47"/>
      <c r="AD152" s="47"/>
      <c r="AE152" s="47"/>
      <c r="AF152" s="47"/>
      <c r="AG152" s="47"/>
      <c r="AH152" s="47"/>
      <c r="AI152" s="47"/>
      <c r="AJ152" s="47"/>
      <c r="AK152" s="66"/>
      <c r="AL152" s="47"/>
      <c r="AM152" s="47"/>
      <c r="AN152" s="47"/>
      <c r="AO152" s="47"/>
      <c r="AP152" s="47"/>
      <c r="AQ152" s="47"/>
      <c r="AR152" s="47"/>
      <c r="AS152" s="47"/>
      <c r="AT152" s="47"/>
      <c r="AU152" s="47"/>
      <c r="AV152" s="47"/>
      <c r="AW152" s="47"/>
      <c r="AX152" s="47"/>
      <c r="AY152" s="47"/>
      <c r="AZ152" s="47"/>
      <c r="BA152" s="33">
        <f t="shared" si="1"/>
        <v>0</v>
      </c>
      <c r="BB152" s="43"/>
    </row>
    <row r="153" spans="1:54" ht="60" customHeight="1" x14ac:dyDescent="0.35">
      <c r="A153" s="26">
        <v>136</v>
      </c>
      <c r="B153" s="27" t="s">
        <v>107</v>
      </c>
      <c r="C153" s="28" t="s">
        <v>108</v>
      </c>
      <c r="D153" s="298" t="s">
        <v>2026</v>
      </c>
      <c r="E153" s="96">
        <v>1</v>
      </c>
      <c r="F153" s="44" t="s">
        <v>30</v>
      </c>
      <c r="G153" s="234">
        <f>[1]DICIEMBRE!$BA$144</f>
        <v>0</v>
      </c>
      <c r="H153" s="45">
        <f>ENERO!BA149</f>
        <v>0</v>
      </c>
      <c r="I153" s="45">
        <f>FEBRERO!AX148</f>
        <v>0</v>
      </c>
      <c r="J153" s="32"/>
      <c r="K153" s="33"/>
      <c r="L153" s="336"/>
      <c r="M153" s="32"/>
      <c r="N153" s="32"/>
      <c r="O153" s="32"/>
      <c r="P153" s="31"/>
      <c r="Q153" s="31"/>
      <c r="R153" s="31"/>
      <c r="S153" s="47">
        <f>300*E153</f>
        <v>300</v>
      </c>
      <c r="T153" s="47"/>
      <c r="U153" s="48"/>
      <c r="V153" s="47"/>
      <c r="W153" s="47"/>
      <c r="X153" s="47"/>
      <c r="Y153" s="47"/>
      <c r="Z153" s="47"/>
      <c r="AA153" s="47"/>
      <c r="AB153" s="47"/>
      <c r="AC153" s="47"/>
      <c r="AD153" s="47"/>
      <c r="AE153" s="47"/>
      <c r="AF153" s="47"/>
      <c r="AG153" s="47">
        <v>300</v>
      </c>
      <c r="AH153" s="47"/>
      <c r="AI153" s="47"/>
      <c r="AJ153" s="47"/>
      <c r="AK153" s="66"/>
      <c r="AL153" s="47"/>
      <c r="AM153" s="47"/>
      <c r="AN153" s="47"/>
      <c r="AO153" s="47"/>
      <c r="AP153" s="47"/>
      <c r="AQ153" s="47"/>
      <c r="AR153" s="47"/>
      <c r="AS153" s="47"/>
      <c r="AT153" s="47"/>
      <c r="AU153" s="47"/>
      <c r="AV153" s="47"/>
      <c r="AW153" s="47"/>
      <c r="AX153" s="47"/>
      <c r="AY153" s="47"/>
      <c r="AZ153" s="47"/>
      <c r="BA153" s="33">
        <f t="shared" si="1"/>
        <v>0</v>
      </c>
      <c r="BB153" s="43"/>
    </row>
    <row r="154" spans="1:54" ht="39.75" customHeight="1" x14ac:dyDescent="0.35">
      <c r="A154" s="26">
        <v>137</v>
      </c>
      <c r="B154" s="43" t="s">
        <v>359</v>
      </c>
      <c r="C154" s="28" t="s">
        <v>383</v>
      </c>
      <c r="D154" s="300" t="s">
        <v>1534</v>
      </c>
      <c r="E154" s="96">
        <v>4</v>
      </c>
      <c r="F154" s="44" t="s">
        <v>30</v>
      </c>
      <c r="G154" s="112">
        <f>[1]DICIEMBRE!$BA$145</f>
        <v>0</v>
      </c>
      <c r="H154" s="31">
        <f>ENERO!BA150</f>
        <v>0</v>
      </c>
      <c r="I154" s="31">
        <f>FEBRERO!AX149</f>
        <v>0</v>
      </c>
      <c r="J154" s="32"/>
      <c r="K154" s="32"/>
      <c r="L154" s="32"/>
      <c r="M154" s="336"/>
      <c r="N154" s="32"/>
      <c r="O154" s="32"/>
      <c r="P154" s="33"/>
      <c r="Q154" s="31"/>
      <c r="R154" s="31"/>
      <c r="S154" s="47">
        <f>249*E154</f>
        <v>996</v>
      </c>
      <c r="T154" s="47"/>
      <c r="U154" s="48"/>
      <c r="V154" s="47"/>
      <c r="W154" s="47"/>
      <c r="X154" s="47"/>
      <c r="Y154" s="47"/>
      <c r="Z154" s="47"/>
      <c r="AA154" s="47"/>
      <c r="AB154" s="47"/>
      <c r="AC154" s="47"/>
      <c r="AD154" s="47"/>
      <c r="AE154" s="47"/>
      <c r="AF154" s="47"/>
      <c r="AG154" s="47"/>
      <c r="AH154" s="47"/>
      <c r="AI154" s="47"/>
      <c r="AJ154" s="47"/>
      <c r="AK154" s="66"/>
      <c r="AL154" s="47"/>
      <c r="AM154" s="47"/>
      <c r="AN154" s="47"/>
      <c r="AO154" s="47"/>
      <c r="AP154" s="47">
        <v>996</v>
      </c>
      <c r="AQ154" s="47"/>
      <c r="AR154" s="47"/>
      <c r="AS154" s="47"/>
      <c r="AT154" s="47"/>
      <c r="AU154" s="47"/>
      <c r="AV154" s="47"/>
      <c r="AW154" s="47"/>
      <c r="AX154" s="47"/>
      <c r="AY154" s="47"/>
      <c r="AZ154" s="47"/>
      <c r="BA154" s="33">
        <f t="shared" si="1"/>
        <v>0</v>
      </c>
      <c r="BB154" s="43" t="s">
        <v>2308</v>
      </c>
    </row>
    <row r="155" spans="1:54" ht="60" customHeight="1" x14ac:dyDescent="0.35">
      <c r="A155" s="26">
        <v>138</v>
      </c>
      <c r="B155" s="43" t="s">
        <v>34</v>
      </c>
      <c r="C155" s="28" t="s">
        <v>382</v>
      </c>
      <c r="D155" s="330" t="s">
        <v>2196</v>
      </c>
      <c r="E155" s="95">
        <v>3</v>
      </c>
      <c r="F155" s="44" t="s">
        <v>30</v>
      </c>
      <c r="G155" s="234">
        <f>[1]DICIEMBRE!$BA$146</f>
        <v>-4.3999999998050043E-3</v>
      </c>
      <c r="H155" s="31">
        <f>ENERO!BA151</f>
        <v>269.99560000000019</v>
      </c>
      <c r="I155" s="31">
        <f>FEBRERO!AX150</f>
        <v>-4.3999999998050043E-3</v>
      </c>
      <c r="J155" s="32"/>
      <c r="K155" s="32"/>
      <c r="L155" s="32"/>
      <c r="M155" s="32"/>
      <c r="N155" s="336"/>
      <c r="O155" s="33"/>
      <c r="P155" s="31"/>
      <c r="Q155" s="31"/>
      <c r="R155" s="31"/>
      <c r="S155" s="47">
        <f>(250*0.16+250)*E155</f>
        <v>870</v>
      </c>
      <c r="T155" s="47"/>
      <c r="U155" s="48"/>
      <c r="V155" s="49"/>
      <c r="W155" s="49"/>
      <c r="X155" s="49"/>
      <c r="Y155" s="49"/>
      <c r="Z155" s="49"/>
      <c r="AA155" s="49">
        <v>870</v>
      </c>
      <c r="AB155" s="50"/>
      <c r="AC155" s="51"/>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33">
        <f t="shared" ref="BA155:BA215" si="2">SUM(I155+S155+T155-U155-V155-W155-X155-Y155-Z155-AA155-AB155-AC155-AD155-AE155-AF155-AG155-AH155-AI155-AJ155-AK155-AL155-AM155-AN155-AO155-AP155-AQ155-AR155-AS155-AT155-AU155-AV155-AW155-AX155-AY155-AZ155)</f>
        <v>-4.3999999998050043E-3</v>
      </c>
      <c r="BB155" s="43"/>
    </row>
    <row r="156" spans="1:54" ht="60" customHeight="1" x14ac:dyDescent="0.35">
      <c r="A156" s="26">
        <v>139</v>
      </c>
      <c r="B156" s="43" t="s">
        <v>1625</v>
      </c>
      <c r="C156" s="28"/>
      <c r="D156" s="329" t="s">
        <v>1626</v>
      </c>
      <c r="E156" s="95">
        <v>1</v>
      </c>
      <c r="F156" s="44" t="s">
        <v>30</v>
      </c>
      <c r="G156" s="234">
        <f>[1]DICIEMBRE!$BA$148</f>
        <v>0</v>
      </c>
      <c r="H156" s="31">
        <f>ENERO!BA153</f>
        <v>-300</v>
      </c>
      <c r="I156" s="45">
        <f>FEBRERO!AX152</f>
        <v>-300</v>
      </c>
      <c r="J156" s="32"/>
      <c r="K156" s="32"/>
      <c r="L156" s="32"/>
      <c r="M156" s="32"/>
      <c r="N156" s="336"/>
      <c r="O156" s="33"/>
      <c r="P156" s="33"/>
      <c r="Q156" s="31"/>
      <c r="R156" s="31"/>
      <c r="S156" s="47">
        <f>300*E156</f>
        <v>300</v>
      </c>
      <c r="T156" s="47"/>
      <c r="U156" s="48"/>
      <c r="V156" s="49"/>
      <c r="W156" s="49"/>
      <c r="X156" s="49"/>
      <c r="Y156" s="49"/>
      <c r="Z156" s="49"/>
      <c r="AA156" s="49"/>
      <c r="AB156" s="50"/>
      <c r="AC156" s="51"/>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33">
        <f t="shared" si="2"/>
        <v>0</v>
      </c>
      <c r="BB156" s="43" t="s">
        <v>2227</v>
      </c>
    </row>
    <row r="157" spans="1:54" ht="31.5" customHeight="1" x14ac:dyDescent="0.35">
      <c r="A157" s="26">
        <v>140</v>
      </c>
      <c r="B157" s="43" t="s">
        <v>2604</v>
      </c>
      <c r="C157" s="28" t="s">
        <v>111</v>
      </c>
      <c r="D157" s="300" t="s">
        <v>1173</v>
      </c>
      <c r="E157" s="96">
        <v>1</v>
      </c>
      <c r="F157" s="44" t="s">
        <v>35</v>
      </c>
      <c r="G157" s="234">
        <f>[1]DICIEMBRE!$BA$150</f>
        <v>0</v>
      </c>
      <c r="H157" s="45">
        <f>ENERO!BA155</f>
        <v>0</v>
      </c>
      <c r="I157" s="31">
        <f>FEBRERO!AX154</f>
        <v>0</v>
      </c>
      <c r="J157" s="32"/>
      <c r="K157" s="32"/>
      <c r="L157" s="32"/>
      <c r="M157" s="32"/>
      <c r="N157" s="32"/>
      <c r="O157" s="32"/>
      <c r="P157" s="33"/>
      <c r="Q157" s="31"/>
      <c r="R157" s="31"/>
      <c r="S157" s="47">
        <f>280*E157</f>
        <v>280</v>
      </c>
      <c r="T157" s="47"/>
      <c r="U157" s="48"/>
      <c r="V157" s="47"/>
      <c r="W157" s="47"/>
      <c r="X157" s="47"/>
      <c r="Y157" s="47"/>
      <c r="Z157" s="47"/>
      <c r="AA157" s="47"/>
      <c r="AB157" s="47"/>
      <c r="AC157" s="47"/>
      <c r="AD157" s="47"/>
      <c r="AE157" s="47"/>
      <c r="AF157" s="47"/>
      <c r="AG157" s="47"/>
      <c r="AH157" s="47">
        <v>280</v>
      </c>
      <c r="AI157" s="47"/>
      <c r="AJ157" s="47"/>
      <c r="AK157" s="66"/>
      <c r="AL157" s="47"/>
      <c r="AM157" s="47"/>
      <c r="AN157" s="47"/>
      <c r="AO157" s="47"/>
      <c r="AP157" s="47"/>
      <c r="AQ157" s="47"/>
      <c r="AR157" s="47"/>
      <c r="AS157" s="47"/>
      <c r="AT157" s="47"/>
      <c r="AU157" s="47"/>
      <c r="AV157" s="47"/>
      <c r="AW157" s="47"/>
      <c r="AX157" s="47"/>
      <c r="AY157" s="47"/>
      <c r="AZ157" s="47"/>
      <c r="BA157" s="33">
        <f t="shared" si="2"/>
        <v>0</v>
      </c>
      <c r="BB157" s="43"/>
    </row>
    <row r="158" spans="1:54" ht="57" customHeight="1" x14ac:dyDescent="0.35">
      <c r="A158" s="26">
        <v>141</v>
      </c>
      <c r="B158" s="43" t="s">
        <v>1777</v>
      </c>
      <c r="C158" s="28"/>
      <c r="D158" s="300" t="s">
        <v>1699</v>
      </c>
      <c r="E158" s="96">
        <v>1</v>
      </c>
      <c r="F158" s="44" t="s">
        <v>30</v>
      </c>
      <c r="G158" s="112">
        <f>[1]DICIEMBRE!$BA$151</f>
        <v>0</v>
      </c>
      <c r="H158" s="31">
        <f>ENERO!BA156</f>
        <v>0</v>
      </c>
      <c r="I158" s="31">
        <f>FEBRERO!AX155</f>
        <v>0</v>
      </c>
      <c r="J158" s="32"/>
      <c r="K158" s="32"/>
      <c r="L158" s="32"/>
      <c r="M158" s="32"/>
      <c r="N158" s="32"/>
      <c r="O158" s="32"/>
      <c r="P158" s="33"/>
      <c r="Q158" s="31"/>
      <c r="R158" s="31"/>
      <c r="S158" s="47">
        <f>300*E158</f>
        <v>300</v>
      </c>
      <c r="T158" s="47"/>
      <c r="U158" s="48"/>
      <c r="V158" s="47"/>
      <c r="W158" s="47"/>
      <c r="X158" s="47"/>
      <c r="Y158" s="47">
        <v>300</v>
      </c>
      <c r="Z158" s="47"/>
      <c r="AA158" s="47"/>
      <c r="AB158" s="47"/>
      <c r="AC158" s="47"/>
      <c r="AD158" s="47"/>
      <c r="AE158" s="47"/>
      <c r="AF158" s="47"/>
      <c r="AG158" s="47"/>
      <c r="AH158" s="47"/>
      <c r="AI158" s="47"/>
      <c r="AJ158" s="47"/>
      <c r="AK158" s="66"/>
      <c r="AL158" s="47"/>
      <c r="AM158" s="47"/>
      <c r="AN158" s="47"/>
      <c r="AO158" s="47"/>
      <c r="AP158" s="47"/>
      <c r="AQ158" s="47"/>
      <c r="AR158" s="47"/>
      <c r="AS158" s="47"/>
      <c r="AT158" s="47"/>
      <c r="AU158" s="47"/>
      <c r="AV158" s="47"/>
      <c r="AW158" s="47"/>
      <c r="AX158" s="47"/>
      <c r="AY158" s="47"/>
      <c r="AZ158" s="47"/>
      <c r="BA158" s="33">
        <f t="shared" si="2"/>
        <v>0</v>
      </c>
      <c r="BB158" s="43"/>
    </row>
    <row r="159" spans="1:54" ht="40.5" customHeight="1" x14ac:dyDescent="0.35">
      <c r="A159" s="26">
        <v>142</v>
      </c>
      <c r="B159" s="53" t="s">
        <v>2203</v>
      </c>
      <c r="C159" s="43"/>
      <c r="D159" s="308" t="s">
        <v>2204</v>
      </c>
      <c r="E159" s="95">
        <v>1</v>
      </c>
      <c r="F159" s="44" t="s">
        <v>30</v>
      </c>
      <c r="G159" s="112"/>
      <c r="H159" s="45"/>
      <c r="I159" s="31">
        <f>FEBRERO!AX157</f>
        <v>-348</v>
      </c>
      <c r="J159" s="32"/>
      <c r="K159" s="32"/>
      <c r="L159" s="32"/>
      <c r="M159" s="336"/>
      <c r="N159" s="32"/>
      <c r="O159" s="32"/>
      <c r="P159" s="33"/>
      <c r="Q159" s="31"/>
      <c r="R159" s="31"/>
      <c r="S159" s="47">
        <f>300*0.16+300</f>
        <v>348</v>
      </c>
      <c r="T159" s="47"/>
      <c r="U159" s="48"/>
      <c r="V159" s="47"/>
      <c r="W159" s="47"/>
      <c r="X159" s="47"/>
      <c r="Y159" s="47"/>
      <c r="Z159" s="47"/>
      <c r="AA159" s="47"/>
      <c r="AB159" s="47"/>
      <c r="AC159" s="47"/>
      <c r="AD159" s="47"/>
      <c r="AE159" s="47"/>
      <c r="AF159" s="47"/>
      <c r="AG159" s="47"/>
      <c r="AH159" s="47"/>
      <c r="AI159" s="47"/>
      <c r="AJ159" s="47"/>
      <c r="AK159" s="66"/>
      <c r="AL159" s="47"/>
      <c r="AM159" s="47"/>
      <c r="AN159" s="47"/>
      <c r="AO159" s="47"/>
      <c r="AP159" s="47"/>
      <c r="AQ159" s="47"/>
      <c r="AR159" s="47"/>
      <c r="AS159" s="47"/>
      <c r="AT159" s="47"/>
      <c r="AU159" s="47"/>
      <c r="AV159" s="47"/>
      <c r="AW159" s="47"/>
      <c r="AX159" s="47"/>
      <c r="AY159" s="47"/>
      <c r="AZ159" s="47"/>
      <c r="BA159" s="33">
        <f t="shared" si="2"/>
        <v>0</v>
      </c>
      <c r="BB159" s="43" t="s">
        <v>2227</v>
      </c>
    </row>
    <row r="160" spans="1:54" ht="40.5" customHeight="1" x14ac:dyDescent="0.35">
      <c r="A160" s="26">
        <v>143</v>
      </c>
      <c r="B160" s="43" t="s">
        <v>1397</v>
      </c>
      <c r="C160" s="43"/>
      <c r="D160" s="306" t="s">
        <v>1538</v>
      </c>
      <c r="E160" s="95">
        <v>1</v>
      </c>
      <c r="F160" s="44" t="s">
        <v>30</v>
      </c>
      <c r="G160" s="234">
        <f>[1]DICIEMBRE!$BA$154</f>
        <v>0</v>
      </c>
      <c r="H160" s="31">
        <f>ENERO!BA159</f>
        <v>0</v>
      </c>
      <c r="I160" s="31">
        <f>FEBRERO!AX158</f>
        <v>0</v>
      </c>
      <c r="J160" s="32"/>
      <c r="K160" s="32"/>
      <c r="L160" s="32"/>
      <c r="M160" s="336"/>
      <c r="N160" s="32"/>
      <c r="O160" s="32"/>
      <c r="P160" s="31"/>
      <c r="Q160" s="31"/>
      <c r="R160" s="31"/>
      <c r="S160" s="47">
        <f>300*E160</f>
        <v>300</v>
      </c>
      <c r="T160" s="47"/>
      <c r="U160" s="48"/>
      <c r="V160" s="47"/>
      <c r="W160" s="47"/>
      <c r="X160" s="47"/>
      <c r="Y160" s="47"/>
      <c r="Z160" s="47"/>
      <c r="AA160" s="47"/>
      <c r="AB160" s="47"/>
      <c r="AC160" s="47"/>
      <c r="AD160" s="47"/>
      <c r="AE160" s="47"/>
      <c r="AF160" s="47"/>
      <c r="AG160" s="47"/>
      <c r="AH160" s="47"/>
      <c r="AI160" s="47"/>
      <c r="AJ160" s="47"/>
      <c r="AK160" s="66"/>
      <c r="AL160" s="47"/>
      <c r="AM160" s="47"/>
      <c r="AN160" s="47"/>
      <c r="AO160" s="47"/>
      <c r="AP160" s="47">
        <v>300</v>
      </c>
      <c r="AQ160" s="47"/>
      <c r="AR160" s="47"/>
      <c r="AS160" s="47"/>
      <c r="AT160" s="47"/>
      <c r="AU160" s="47"/>
      <c r="AV160" s="47"/>
      <c r="AW160" s="47"/>
      <c r="AX160" s="47"/>
      <c r="AY160" s="47"/>
      <c r="AZ160" s="47"/>
      <c r="BA160" s="33">
        <f t="shared" si="2"/>
        <v>0</v>
      </c>
      <c r="BB160" s="43"/>
    </row>
    <row r="161" spans="1:55" ht="39" customHeight="1" x14ac:dyDescent="0.35">
      <c r="A161" s="26">
        <v>144</v>
      </c>
      <c r="B161" s="43" t="s">
        <v>951</v>
      </c>
      <c r="C161" s="28"/>
      <c r="D161" s="298"/>
      <c r="E161" s="95">
        <v>1</v>
      </c>
      <c r="F161" s="44" t="s">
        <v>30</v>
      </c>
      <c r="G161" s="112"/>
      <c r="H161" s="31">
        <f>ENERO!BA160</f>
        <v>0</v>
      </c>
      <c r="I161" s="31">
        <f>FEBRERO!AX159</f>
        <v>0</v>
      </c>
      <c r="J161" s="32"/>
      <c r="K161" s="32"/>
      <c r="L161" s="32"/>
      <c r="M161" s="32"/>
      <c r="N161" s="336"/>
      <c r="O161" s="33"/>
      <c r="P161" s="33"/>
      <c r="Q161" s="31"/>
      <c r="R161" s="31"/>
      <c r="S161" s="47">
        <v>200</v>
      </c>
      <c r="T161" s="47"/>
      <c r="U161" s="48"/>
      <c r="V161" s="49"/>
      <c r="W161" s="49"/>
      <c r="X161" s="49"/>
      <c r="Y161" s="49"/>
      <c r="Z161" s="49"/>
      <c r="AA161" s="49"/>
      <c r="AB161" s="50"/>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33">
        <f t="shared" si="2"/>
        <v>200</v>
      </c>
      <c r="BB161" s="43" t="s">
        <v>1348</v>
      </c>
      <c r="BC161" s="76"/>
    </row>
    <row r="162" spans="1:55" ht="60.75" customHeight="1" x14ac:dyDescent="0.35">
      <c r="A162" s="26">
        <v>145</v>
      </c>
      <c r="B162" s="27" t="s">
        <v>112</v>
      </c>
      <c r="C162" s="28" t="s">
        <v>113</v>
      </c>
      <c r="D162" s="298" t="s">
        <v>1174</v>
      </c>
      <c r="E162" s="95">
        <v>3</v>
      </c>
      <c r="F162" s="44" t="s">
        <v>30</v>
      </c>
      <c r="G162" s="112">
        <f>[1]DICIEMBRE!$BA$157</f>
        <v>13200</v>
      </c>
      <c r="H162" s="31">
        <f>ENERO!BA162</f>
        <v>13200</v>
      </c>
      <c r="I162" s="45">
        <f>FEBRERO!AX160</f>
        <v>12200</v>
      </c>
      <c r="J162" s="32"/>
      <c r="K162" s="32"/>
      <c r="L162" s="32"/>
      <c r="M162" s="32"/>
      <c r="N162" s="32"/>
      <c r="O162" s="32"/>
      <c r="P162" s="33"/>
      <c r="Q162" s="31"/>
      <c r="R162" s="31"/>
      <c r="S162" s="47">
        <f>350*E162</f>
        <v>1050</v>
      </c>
      <c r="T162" s="47">
        <v>450</v>
      </c>
      <c r="U162" s="48"/>
      <c r="V162" s="49"/>
      <c r="W162" s="49"/>
      <c r="X162" s="49"/>
      <c r="Y162" s="49"/>
      <c r="Z162" s="49"/>
      <c r="AA162" s="49"/>
      <c r="AB162" s="49"/>
      <c r="AC162" s="49"/>
      <c r="AD162" s="49"/>
      <c r="AE162" s="49"/>
      <c r="AF162" s="49"/>
      <c r="AG162" s="49"/>
      <c r="AH162" s="49"/>
      <c r="AI162" s="49"/>
      <c r="AJ162" s="49"/>
      <c r="AK162" s="49"/>
      <c r="AL162" s="49"/>
      <c r="AM162" s="49"/>
      <c r="AN162" s="49"/>
      <c r="AO162" s="49"/>
      <c r="AP162" s="49">
        <v>1500</v>
      </c>
      <c r="AQ162" s="49"/>
      <c r="AR162" s="49"/>
      <c r="AS162" s="49"/>
      <c r="AT162" s="49"/>
      <c r="AU162" s="49"/>
      <c r="AV162" s="49"/>
      <c r="AW162" s="49"/>
      <c r="AX162" s="49"/>
      <c r="AY162" s="49"/>
      <c r="AZ162" s="49"/>
      <c r="BA162" s="33">
        <f t="shared" si="2"/>
        <v>12200</v>
      </c>
      <c r="BB162" s="43" t="s">
        <v>2276</v>
      </c>
    </row>
    <row r="163" spans="1:55" ht="60.75" customHeight="1" x14ac:dyDescent="0.35">
      <c r="A163" s="26">
        <v>146</v>
      </c>
      <c r="B163" s="43" t="s">
        <v>679</v>
      </c>
      <c r="C163" s="28"/>
      <c r="D163" s="298" t="s">
        <v>683</v>
      </c>
      <c r="E163" s="95">
        <v>5</v>
      </c>
      <c r="F163" s="44" t="s">
        <v>30</v>
      </c>
      <c r="G163" s="234">
        <f>[1]DICIEMBRE!$BA$158</f>
        <v>-1</v>
      </c>
      <c r="H163" s="31">
        <f>ENERO!BA163</f>
        <v>-1</v>
      </c>
      <c r="I163" s="31">
        <f>FEBRERO!AX161</f>
        <v>0</v>
      </c>
      <c r="J163" s="32"/>
      <c r="K163" s="32"/>
      <c r="L163" s="32"/>
      <c r="M163" s="336"/>
      <c r="N163" s="32"/>
      <c r="O163" s="32"/>
      <c r="P163" s="33"/>
      <c r="Q163" s="31"/>
      <c r="R163" s="31"/>
      <c r="S163" s="47">
        <f>250*E163</f>
        <v>1250</v>
      </c>
      <c r="T163" s="47">
        <f>2199*2+191.66</f>
        <v>4589.66</v>
      </c>
      <c r="U163" s="48"/>
      <c r="V163" s="49"/>
      <c r="W163" s="49"/>
      <c r="X163" s="49"/>
      <c r="Y163" s="49"/>
      <c r="Z163" s="49"/>
      <c r="AA163" s="49"/>
      <c r="AB163" s="49">
        <v>1000</v>
      </c>
      <c r="AC163" s="49"/>
      <c r="AD163" s="49"/>
      <c r="AE163" s="49"/>
      <c r="AF163" s="49"/>
      <c r="AG163" s="49"/>
      <c r="AH163" s="49"/>
      <c r="AI163" s="49"/>
      <c r="AJ163" s="49"/>
      <c r="AK163" s="49"/>
      <c r="AL163" s="49"/>
      <c r="AM163" s="49"/>
      <c r="AN163" s="49"/>
      <c r="AO163" s="49">
        <v>4839.66</v>
      </c>
      <c r="AP163" s="49"/>
      <c r="AQ163" s="49"/>
      <c r="AR163" s="49"/>
      <c r="AS163" s="49"/>
      <c r="AT163" s="49"/>
      <c r="AU163" s="49"/>
      <c r="AV163" s="49"/>
      <c r="AW163" s="49"/>
      <c r="AX163" s="49"/>
      <c r="AY163" s="49"/>
      <c r="AZ163" s="49"/>
      <c r="BA163" s="33">
        <f t="shared" si="2"/>
        <v>0</v>
      </c>
      <c r="BB163" s="43" t="s">
        <v>2449</v>
      </c>
    </row>
    <row r="164" spans="1:55" ht="60.75" customHeight="1" x14ac:dyDescent="0.35">
      <c r="A164" s="26">
        <v>147</v>
      </c>
      <c r="B164" s="43" t="s">
        <v>1367</v>
      </c>
      <c r="C164" s="28"/>
      <c r="D164" s="298" t="s">
        <v>1371</v>
      </c>
      <c r="E164" s="95">
        <v>1</v>
      </c>
      <c r="F164" s="44" t="s">
        <v>30</v>
      </c>
      <c r="G164" s="112">
        <f>[1]DICIEMBRE!$BA$159</f>
        <v>-111</v>
      </c>
      <c r="H164" s="45">
        <f>ENERO!BA164</f>
        <v>-111</v>
      </c>
      <c r="I164" s="31">
        <f>FEBRERO!AX162</f>
        <v>-111</v>
      </c>
      <c r="J164" s="32"/>
      <c r="K164" s="32"/>
      <c r="L164" s="32"/>
      <c r="M164" s="336"/>
      <c r="N164" s="32"/>
      <c r="O164" s="32"/>
      <c r="P164" s="31"/>
      <c r="Q164" s="31"/>
      <c r="R164" s="31"/>
      <c r="S164" s="47">
        <f>300*E164</f>
        <v>300</v>
      </c>
      <c r="T164" s="47"/>
      <c r="U164" s="48"/>
      <c r="V164" s="49"/>
      <c r="W164" s="49"/>
      <c r="X164" s="49"/>
      <c r="Y164" s="49"/>
      <c r="Z164" s="49"/>
      <c r="AA164" s="49"/>
      <c r="AB164" s="49"/>
      <c r="AC164" s="49">
        <v>300</v>
      </c>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33">
        <f t="shared" si="2"/>
        <v>-111</v>
      </c>
      <c r="BB164" s="43"/>
    </row>
    <row r="165" spans="1:55" ht="38.25" customHeight="1" x14ac:dyDescent="0.35">
      <c r="A165" s="26">
        <v>148</v>
      </c>
      <c r="B165" s="43" t="s">
        <v>908</v>
      </c>
      <c r="C165" s="53"/>
      <c r="D165" s="298" t="s">
        <v>1175</v>
      </c>
      <c r="E165" s="95">
        <v>2</v>
      </c>
      <c r="F165" s="44" t="s">
        <v>30</v>
      </c>
      <c r="G165" s="112">
        <f>[1]DICIEMBRE!$BA$161</f>
        <v>0</v>
      </c>
      <c r="H165" s="31">
        <f>ENERO!BA165</f>
        <v>0</v>
      </c>
      <c r="I165" s="31">
        <f>FEBRERO!AX163</f>
        <v>0</v>
      </c>
      <c r="J165" s="32"/>
      <c r="K165" s="32"/>
      <c r="L165" s="32"/>
      <c r="M165" s="32"/>
      <c r="N165" s="32"/>
      <c r="O165" s="33"/>
      <c r="P165" s="31"/>
      <c r="Q165" s="31"/>
      <c r="R165" s="31"/>
      <c r="S165" s="47">
        <f>250*E165</f>
        <v>500</v>
      </c>
      <c r="T165" s="47"/>
      <c r="U165" s="48"/>
      <c r="V165" s="49"/>
      <c r="W165" s="49"/>
      <c r="X165" s="49"/>
      <c r="Y165" s="49"/>
      <c r="Z165" s="49"/>
      <c r="AA165" s="49"/>
      <c r="AB165" s="49">
        <v>500</v>
      </c>
      <c r="AC165" s="49"/>
      <c r="AD165" s="49"/>
      <c r="AE165" s="49"/>
      <c r="AF165" s="49"/>
      <c r="AG165" s="49"/>
      <c r="AH165" s="49"/>
      <c r="AI165" s="49"/>
      <c r="AJ165" s="49"/>
      <c r="AK165" s="63"/>
      <c r="AL165" s="49"/>
      <c r="AM165" s="49"/>
      <c r="AN165" s="49"/>
      <c r="AO165" s="49"/>
      <c r="AP165" s="49"/>
      <c r="AQ165" s="49"/>
      <c r="AR165" s="49"/>
      <c r="AS165" s="49"/>
      <c r="AT165" s="49"/>
      <c r="AU165" s="49"/>
      <c r="AV165" s="49"/>
      <c r="AW165" s="49"/>
      <c r="AX165" s="49"/>
      <c r="AY165" s="49"/>
      <c r="AZ165" s="49"/>
      <c r="BA165" s="33">
        <f t="shared" si="2"/>
        <v>0</v>
      </c>
      <c r="BB165" s="43"/>
    </row>
    <row r="166" spans="1:55" ht="38.25" customHeight="1" x14ac:dyDescent="0.35">
      <c r="A166" s="26">
        <v>149</v>
      </c>
      <c r="B166" s="43" t="s">
        <v>1642</v>
      </c>
      <c r="C166" s="53"/>
      <c r="D166" s="298" t="s">
        <v>1643</v>
      </c>
      <c r="E166" s="95">
        <v>1</v>
      </c>
      <c r="F166" s="44"/>
      <c r="G166" s="234">
        <f>[1]DICIEMBRE!$BA$162</f>
        <v>0</v>
      </c>
      <c r="H166" s="31">
        <f>ENERO!BA166</f>
        <v>0</v>
      </c>
      <c r="I166" s="45">
        <f>FEBRERO!AX164</f>
        <v>0</v>
      </c>
      <c r="J166" s="32"/>
      <c r="K166" s="32"/>
      <c r="L166" s="32"/>
      <c r="M166" s="32"/>
      <c r="N166" s="32"/>
      <c r="O166" s="33"/>
      <c r="P166" s="31"/>
      <c r="Q166" s="31"/>
      <c r="R166" s="31"/>
      <c r="S166" s="47">
        <f>300*E166</f>
        <v>300</v>
      </c>
      <c r="T166" s="47"/>
      <c r="U166" s="48"/>
      <c r="V166" s="49"/>
      <c r="W166" s="49"/>
      <c r="X166" s="49"/>
      <c r="Y166" s="49">
        <v>300</v>
      </c>
      <c r="Z166" s="49"/>
      <c r="AA166" s="49"/>
      <c r="AB166" s="49"/>
      <c r="AC166" s="49"/>
      <c r="AD166" s="49"/>
      <c r="AE166" s="49"/>
      <c r="AF166" s="49"/>
      <c r="AG166" s="49"/>
      <c r="AH166" s="49"/>
      <c r="AI166" s="49"/>
      <c r="AJ166" s="49"/>
      <c r="AK166" s="63"/>
      <c r="AL166" s="49"/>
      <c r="AM166" s="49"/>
      <c r="AN166" s="49"/>
      <c r="AO166" s="49"/>
      <c r="AP166" s="49"/>
      <c r="AQ166" s="49"/>
      <c r="AR166" s="49"/>
      <c r="AS166" s="49"/>
      <c r="AT166" s="49"/>
      <c r="AU166" s="49"/>
      <c r="AV166" s="49"/>
      <c r="AW166" s="49"/>
      <c r="AX166" s="49"/>
      <c r="AY166" s="49"/>
      <c r="AZ166" s="49"/>
      <c r="BA166" s="33">
        <f t="shared" si="2"/>
        <v>0</v>
      </c>
      <c r="BB166" s="43"/>
    </row>
    <row r="167" spans="1:55" ht="38.25" customHeight="1" x14ac:dyDescent="0.35">
      <c r="A167" s="26">
        <v>150</v>
      </c>
      <c r="B167" s="43" t="s">
        <v>1485</v>
      </c>
      <c r="C167" s="53"/>
      <c r="D167" s="298" t="s">
        <v>1488</v>
      </c>
      <c r="E167" s="95">
        <v>1</v>
      </c>
      <c r="F167" s="44" t="s">
        <v>30</v>
      </c>
      <c r="G167" s="112">
        <f>[1]DICIEMBRE!$BA$163</f>
        <v>-1</v>
      </c>
      <c r="H167" s="45">
        <f>ENERO!BA167</f>
        <v>-250</v>
      </c>
      <c r="I167" s="31">
        <f>FEBRERO!AX165</f>
        <v>-1</v>
      </c>
      <c r="J167" s="32"/>
      <c r="K167" s="32"/>
      <c r="L167" s="32"/>
      <c r="M167" s="32"/>
      <c r="N167" s="32"/>
      <c r="O167" s="33"/>
      <c r="P167" s="31"/>
      <c r="Q167" s="31"/>
      <c r="R167" s="31"/>
      <c r="S167" s="47">
        <f>249*E167</f>
        <v>249</v>
      </c>
      <c r="T167" s="47"/>
      <c r="U167" s="48"/>
      <c r="V167" s="49"/>
      <c r="W167" s="49"/>
      <c r="X167" s="49">
        <v>248</v>
      </c>
      <c r="Y167" s="49"/>
      <c r="Z167" s="49"/>
      <c r="AA167" s="49"/>
      <c r="AB167" s="49"/>
      <c r="AC167" s="49"/>
      <c r="AD167" s="49"/>
      <c r="AE167" s="49"/>
      <c r="AF167" s="49"/>
      <c r="AG167" s="49"/>
      <c r="AH167" s="49"/>
      <c r="AI167" s="49"/>
      <c r="AJ167" s="49"/>
      <c r="AK167" s="63"/>
      <c r="AL167" s="49"/>
      <c r="AM167" s="49"/>
      <c r="AN167" s="49"/>
      <c r="AO167" s="49"/>
      <c r="AP167" s="49"/>
      <c r="AQ167" s="49"/>
      <c r="AR167" s="49"/>
      <c r="AS167" s="49"/>
      <c r="AT167" s="49"/>
      <c r="AU167" s="49"/>
      <c r="AV167" s="49"/>
      <c r="AW167" s="49"/>
      <c r="AX167" s="49"/>
      <c r="AY167" s="49"/>
      <c r="AZ167" s="49"/>
      <c r="BA167" s="33">
        <f t="shared" si="2"/>
        <v>0</v>
      </c>
      <c r="BB167" s="43"/>
    </row>
    <row r="168" spans="1:55" ht="54.75" customHeight="1" x14ac:dyDescent="0.35">
      <c r="A168" s="26">
        <v>151</v>
      </c>
      <c r="B168" s="43" t="s">
        <v>1906</v>
      </c>
      <c r="C168" s="53"/>
      <c r="D168" s="300" t="s">
        <v>1907</v>
      </c>
      <c r="E168" s="95">
        <v>1</v>
      </c>
      <c r="F168" s="44"/>
      <c r="G168" s="234"/>
      <c r="H168" s="31">
        <f>ENERO!BA169</f>
        <v>0</v>
      </c>
      <c r="I168" s="31">
        <f>FEBRERO!AX167</f>
        <v>0</v>
      </c>
      <c r="J168" s="32"/>
      <c r="K168" s="32"/>
      <c r="L168" s="32"/>
      <c r="M168" s="32"/>
      <c r="N168" s="32"/>
      <c r="O168" s="33"/>
      <c r="P168" s="31"/>
      <c r="Q168" s="31"/>
      <c r="R168" s="31"/>
      <c r="S168" s="47">
        <f>250*E168</f>
        <v>250</v>
      </c>
      <c r="T168" s="47"/>
      <c r="U168" s="48"/>
      <c r="V168" s="49"/>
      <c r="W168" s="49"/>
      <c r="X168" s="49"/>
      <c r="Y168" s="49"/>
      <c r="Z168" s="49"/>
      <c r="AA168" s="49"/>
      <c r="AB168" s="49"/>
      <c r="AC168" s="49"/>
      <c r="AD168" s="49"/>
      <c r="AE168" s="49"/>
      <c r="AF168" s="49"/>
      <c r="AG168" s="49"/>
      <c r="AH168" s="49"/>
      <c r="AI168" s="49"/>
      <c r="AJ168" s="49"/>
      <c r="AK168" s="63"/>
      <c r="AL168" s="49"/>
      <c r="AM168" s="49"/>
      <c r="AN168" s="49"/>
      <c r="AO168" s="49"/>
      <c r="AP168" s="49"/>
      <c r="AQ168" s="49"/>
      <c r="AR168" s="49"/>
      <c r="AS168" s="49"/>
      <c r="AT168" s="49"/>
      <c r="AU168" s="49"/>
      <c r="AV168" s="49"/>
      <c r="AW168" s="49"/>
      <c r="AX168" s="49">
        <v>250</v>
      </c>
      <c r="AY168" s="49"/>
      <c r="AZ168" s="49"/>
      <c r="BA168" s="33">
        <f t="shared" si="2"/>
        <v>0</v>
      </c>
      <c r="BB168" s="43"/>
    </row>
    <row r="169" spans="1:55" ht="53.25" customHeight="1" x14ac:dyDescent="0.35">
      <c r="A169" s="26">
        <v>152</v>
      </c>
      <c r="B169" s="27" t="s">
        <v>116</v>
      </c>
      <c r="C169" s="28" t="s">
        <v>117</v>
      </c>
      <c r="D169" s="298" t="s">
        <v>1176</v>
      </c>
      <c r="E169" s="95">
        <v>1</v>
      </c>
      <c r="F169" s="44" t="s">
        <v>30</v>
      </c>
      <c r="G169" s="112">
        <f>[1]DICIEMBRE!$BA$165</f>
        <v>0</v>
      </c>
      <c r="H169" s="45">
        <f>ENERO!BA170</f>
        <v>0</v>
      </c>
      <c r="I169" s="45">
        <f>FEBRERO!AX168</f>
        <v>0</v>
      </c>
      <c r="J169" s="32"/>
      <c r="K169" s="32"/>
      <c r="L169" s="336"/>
      <c r="M169" s="32"/>
      <c r="N169" s="32"/>
      <c r="O169" s="32"/>
      <c r="P169" s="31"/>
      <c r="Q169" s="31"/>
      <c r="R169" s="31"/>
      <c r="S169" s="47">
        <v>250</v>
      </c>
      <c r="T169" s="47"/>
      <c r="U169" s="48"/>
      <c r="V169" s="49"/>
      <c r="W169" s="49"/>
      <c r="X169" s="49"/>
      <c r="Y169" s="49"/>
      <c r="Z169" s="49"/>
      <c r="AA169" s="49"/>
      <c r="AB169" s="49"/>
      <c r="AC169" s="49"/>
      <c r="AD169" s="50"/>
      <c r="AE169" s="49"/>
      <c r="AF169" s="49"/>
      <c r="AG169" s="49"/>
      <c r="AH169" s="49"/>
      <c r="AI169" s="49"/>
      <c r="AJ169" s="49"/>
      <c r="AK169" s="49"/>
      <c r="AL169" s="49"/>
      <c r="AM169" s="49"/>
      <c r="AN169" s="49"/>
      <c r="AO169" s="49"/>
      <c r="AP169" s="49"/>
      <c r="AQ169" s="49"/>
      <c r="AR169" s="49"/>
      <c r="AS169" s="49"/>
      <c r="AT169" s="49"/>
      <c r="AU169" s="49"/>
      <c r="AV169" s="49">
        <v>250</v>
      </c>
      <c r="AW169" s="49"/>
      <c r="AX169" s="49"/>
      <c r="AY169" s="49"/>
      <c r="AZ169" s="49"/>
      <c r="BA169" s="33">
        <f t="shared" si="2"/>
        <v>0</v>
      </c>
      <c r="BB169" s="43"/>
    </row>
    <row r="170" spans="1:55" ht="53.25" customHeight="1" x14ac:dyDescent="0.35">
      <c r="A170" s="26">
        <v>153</v>
      </c>
      <c r="B170" s="43" t="s">
        <v>1584</v>
      </c>
      <c r="C170" s="28"/>
      <c r="D170" s="298" t="s">
        <v>1585</v>
      </c>
      <c r="E170" s="95">
        <v>1</v>
      </c>
      <c r="F170" s="44" t="s">
        <v>30</v>
      </c>
      <c r="G170" s="234">
        <f>[1]DICIEMBRE!$BA$166</f>
        <v>0</v>
      </c>
      <c r="H170" s="31">
        <f>ENERO!BA171</f>
        <v>0</v>
      </c>
      <c r="I170" s="31">
        <f>FEBRERO!AX169</f>
        <v>0</v>
      </c>
      <c r="J170" s="32"/>
      <c r="K170" s="32"/>
      <c r="L170" s="336"/>
      <c r="M170" s="32"/>
      <c r="N170" s="32"/>
      <c r="O170" s="32"/>
      <c r="P170" s="31"/>
      <c r="Q170" s="31"/>
      <c r="R170" s="31"/>
      <c r="S170" s="47">
        <f>300*E170</f>
        <v>300</v>
      </c>
      <c r="T170" s="47"/>
      <c r="U170" s="48"/>
      <c r="V170" s="49"/>
      <c r="W170" s="49"/>
      <c r="X170" s="49"/>
      <c r="Y170" s="49"/>
      <c r="Z170" s="49"/>
      <c r="AA170" s="49"/>
      <c r="AB170" s="49"/>
      <c r="AC170" s="49"/>
      <c r="AD170" s="50"/>
      <c r="AE170" s="49"/>
      <c r="AF170" s="49"/>
      <c r="AG170" s="49">
        <v>300</v>
      </c>
      <c r="AH170" s="49"/>
      <c r="AI170" s="49"/>
      <c r="AJ170" s="49"/>
      <c r="AK170" s="49"/>
      <c r="AL170" s="49"/>
      <c r="AM170" s="49"/>
      <c r="AN170" s="49"/>
      <c r="AO170" s="49"/>
      <c r="AP170" s="49"/>
      <c r="AQ170" s="49"/>
      <c r="AR170" s="49"/>
      <c r="AS170" s="49"/>
      <c r="AT170" s="49"/>
      <c r="AU170" s="49"/>
      <c r="AV170" s="49"/>
      <c r="AW170" s="49"/>
      <c r="AX170" s="49"/>
      <c r="AY170" s="49"/>
      <c r="AZ170" s="49"/>
      <c r="BA170" s="33">
        <f t="shared" si="2"/>
        <v>0</v>
      </c>
      <c r="BB170" s="43"/>
    </row>
    <row r="171" spans="1:55" ht="53.25" customHeight="1" x14ac:dyDescent="0.35">
      <c r="A171" s="26">
        <v>154</v>
      </c>
      <c r="B171" s="43" t="s">
        <v>457</v>
      </c>
      <c r="C171" s="28"/>
      <c r="D171" s="298" t="s">
        <v>1177</v>
      </c>
      <c r="E171" s="95">
        <v>2</v>
      </c>
      <c r="F171" s="44" t="s">
        <v>100</v>
      </c>
      <c r="G171" s="112">
        <f>[1]DICIEMBRE!$BA$167</f>
        <v>-250.25439999999981</v>
      </c>
      <c r="H171" s="31">
        <f>ENERO!BA172</f>
        <v>561.74560000000019</v>
      </c>
      <c r="I171" s="31">
        <f>FEBRERO!AX170</f>
        <v>-1894.2543999999998</v>
      </c>
      <c r="J171" s="32"/>
      <c r="K171" s="32"/>
      <c r="L171" s="32"/>
      <c r="M171" s="336"/>
      <c r="N171" s="32"/>
      <c r="O171" s="33"/>
      <c r="P171" s="33"/>
      <c r="Q171" s="31"/>
      <c r="R171" s="31"/>
      <c r="S171" s="47">
        <f>(350*0.16+350)*E171</f>
        <v>812</v>
      </c>
      <c r="T171" s="47"/>
      <c r="U171" s="48"/>
      <c r="V171" s="49"/>
      <c r="W171" s="49"/>
      <c r="X171" s="49"/>
      <c r="Y171" s="49"/>
      <c r="Z171" s="49"/>
      <c r="AA171" s="49"/>
      <c r="AB171" s="49"/>
      <c r="AC171" s="49"/>
      <c r="AD171" s="50"/>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33">
        <f t="shared" si="2"/>
        <v>-1082.2543999999998</v>
      </c>
      <c r="BB171" s="43"/>
    </row>
    <row r="172" spans="1:55" ht="53.25" customHeight="1" x14ac:dyDescent="0.35">
      <c r="A172" s="26">
        <v>155</v>
      </c>
      <c r="B172" s="43" t="s">
        <v>288</v>
      </c>
      <c r="C172" s="28"/>
      <c r="D172" s="298" t="s">
        <v>188</v>
      </c>
      <c r="E172" s="95">
        <v>5</v>
      </c>
      <c r="F172" s="44" t="s">
        <v>30</v>
      </c>
      <c r="G172" s="112">
        <f>[1]DICIEMBRE!$BA$169</f>
        <v>-50</v>
      </c>
      <c r="H172" s="31">
        <f>ENERO!BA174</f>
        <v>-50</v>
      </c>
      <c r="I172" s="45">
        <f>FEBRERO!AX172</f>
        <v>-50</v>
      </c>
      <c r="J172" s="32"/>
      <c r="K172" s="33"/>
      <c r="L172" s="32"/>
      <c r="M172" s="32"/>
      <c r="N172" s="336"/>
      <c r="O172" s="32"/>
      <c r="P172" s="31"/>
      <c r="Q172" s="31"/>
      <c r="R172" s="31"/>
      <c r="S172" s="47">
        <f>300*E172</f>
        <v>1500</v>
      </c>
      <c r="T172" s="47"/>
      <c r="U172" s="48"/>
      <c r="V172" s="49"/>
      <c r="W172" s="49"/>
      <c r="X172" s="49"/>
      <c r="Y172" s="49"/>
      <c r="Z172" s="49"/>
      <c r="AA172" s="49"/>
      <c r="AB172" s="49"/>
      <c r="AC172" s="49"/>
      <c r="AD172" s="50"/>
      <c r="AE172" s="49">
        <v>1500</v>
      </c>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33">
        <f t="shared" si="2"/>
        <v>-50</v>
      </c>
      <c r="BB172" s="43" t="s">
        <v>2454</v>
      </c>
    </row>
    <row r="173" spans="1:55" ht="53.25" customHeight="1" x14ac:dyDescent="0.35">
      <c r="A173" s="26">
        <v>156</v>
      </c>
      <c r="B173" s="43" t="s">
        <v>1356</v>
      </c>
      <c r="C173" s="28"/>
      <c r="D173" s="298" t="s">
        <v>1366</v>
      </c>
      <c r="E173" s="95">
        <v>1</v>
      </c>
      <c r="F173" s="44" t="s">
        <v>30</v>
      </c>
      <c r="G173" s="234">
        <f>[1]DICIEMBRE!$BA$170</f>
        <v>0</v>
      </c>
      <c r="H173" s="31">
        <f>ENERO!BA175</f>
        <v>0</v>
      </c>
      <c r="I173" s="31">
        <f>FEBRERO!AX173</f>
        <v>0</v>
      </c>
      <c r="J173" s="32"/>
      <c r="K173" s="33"/>
      <c r="L173" s="32"/>
      <c r="M173" s="32"/>
      <c r="N173" s="336"/>
      <c r="O173" s="32"/>
      <c r="P173" s="33"/>
      <c r="Q173" s="31"/>
      <c r="R173" s="31"/>
      <c r="S173" s="47">
        <f>250*E173</f>
        <v>250</v>
      </c>
      <c r="T173" s="47"/>
      <c r="U173" s="48"/>
      <c r="V173" s="49"/>
      <c r="W173" s="49"/>
      <c r="X173" s="49"/>
      <c r="Y173" s="49"/>
      <c r="Z173" s="49"/>
      <c r="AA173" s="49"/>
      <c r="AB173" s="49"/>
      <c r="AC173" s="49"/>
      <c r="AD173" s="50"/>
      <c r="AE173" s="49">
        <v>250</v>
      </c>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33">
        <f t="shared" si="2"/>
        <v>0</v>
      </c>
      <c r="BB173" s="43"/>
    </row>
    <row r="174" spans="1:55" ht="53.25" customHeight="1" x14ac:dyDescent="0.35">
      <c r="A174" s="26">
        <v>157</v>
      </c>
      <c r="B174" s="43" t="s">
        <v>1420</v>
      </c>
      <c r="C174" s="28"/>
      <c r="D174" s="298" t="s">
        <v>1421</v>
      </c>
      <c r="E174" s="95">
        <v>1</v>
      </c>
      <c r="F174" s="44" t="s">
        <v>30</v>
      </c>
      <c r="G174" s="234">
        <f>[1]DICIEMBRE!$BA$172</f>
        <v>0</v>
      </c>
      <c r="H174" s="31">
        <f>ENERO!BA177</f>
        <v>0</v>
      </c>
      <c r="I174" s="31">
        <f>FEBRERO!AX175</f>
        <v>0</v>
      </c>
      <c r="J174" s="32"/>
      <c r="K174" s="32"/>
      <c r="L174" s="336"/>
      <c r="M174" s="32"/>
      <c r="N174" s="32"/>
      <c r="O174" s="32"/>
      <c r="P174" s="33"/>
      <c r="Q174" s="31"/>
      <c r="R174" s="31"/>
      <c r="S174" s="47">
        <f>300*E174</f>
        <v>300</v>
      </c>
      <c r="T174" s="47"/>
      <c r="U174" s="48"/>
      <c r="V174" s="49"/>
      <c r="W174" s="49"/>
      <c r="X174" s="49"/>
      <c r="Y174" s="49"/>
      <c r="Z174" s="49"/>
      <c r="AA174" s="49"/>
      <c r="AB174" s="49">
        <v>300</v>
      </c>
      <c r="AC174" s="49"/>
      <c r="AD174" s="50"/>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33">
        <f t="shared" si="2"/>
        <v>0</v>
      </c>
      <c r="BB174" s="43"/>
    </row>
    <row r="175" spans="1:55" ht="64.5" customHeight="1" x14ac:dyDescent="0.35">
      <c r="A175" s="26">
        <v>158</v>
      </c>
      <c r="B175" s="43" t="s">
        <v>1658</v>
      </c>
      <c r="C175" s="53" t="s">
        <v>119</v>
      </c>
      <c r="D175" s="298" t="s">
        <v>1179</v>
      </c>
      <c r="E175" s="95">
        <v>2</v>
      </c>
      <c r="F175" s="44" t="s">
        <v>30</v>
      </c>
      <c r="G175" s="112">
        <f>[1]DICIEMBRE!$BA$173</f>
        <v>-3.3400000000001455</v>
      </c>
      <c r="H175" s="31">
        <f>ENERO!BA178</f>
        <v>-3.3400000000001455</v>
      </c>
      <c r="I175" s="45">
        <f>FEBRERO!AX176</f>
        <v>-1.7053025658242404E-13</v>
      </c>
      <c r="J175" s="32"/>
      <c r="K175" s="32"/>
      <c r="L175" s="32"/>
      <c r="M175" s="336"/>
      <c r="N175" s="32"/>
      <c r="O175" s="33"/>
      <c r="P175" s="31"/>
      <c r="Q175" s="31"/>
      <c r="R175" s="31"/>
      <c r="S175" s="47">
        <f>250*E175</f>
        <v>500</v>
      </c>
      <c r="T175" s="47"/>
      <c r="U175" s="48"/>
      <c r="V175" s="49"/>
      <c r="W175" s="49"/>
      <c r="X175" s="49"/>
      <c r="Y175" s="49"/>
      <c r="Z175" s="49"/>
      <c r="AA175" s="49"/>
      <c r="AB175" s="49"/>
      <c r="AC175" s="49"/>
      <c r="AD175" s="49"/>
      <c r="AE175" s="49"/>
      <c r="AF175" s="50"/>
      <c r="AG175" s="49"/>
      <c r="AH175" s="49"/>
      <c r="AI175" s="49"/>
      <c r="AJ175" s="49">
        <v>500</v>
      </c>
      <c r="AK175" s="49"/>
      <c r="AL175" s="49"/>
      <c r="AM175" s="49"/>
      <c r="AN175" s="49"/>
      <c r="AO175" s="49"/>
      <c r="AP175" s="49"/>
      <c r="AQ175" s="49"/>
      <c r="AR175" s="49"/>
      <c r="AS175" s="49"/>
      <c r="AT175" s="49"/>
      <c r="AU175" s="49"/>
      <c r="AV175" s="49"/>
      <c r="AW175" s="49"/>
      <c r="AX175" s="49"/>
      <c r="AY175" s="49"/>
      <c r="AZ175" s="49"/>
      <c r="BA175" s="33">
        <f t="shared" si="2"/>
        <v>-1.7053025658242404E-13</v>
      </c>
      <c r="BB175" s="43"/>
    </row>
    <row r="176" spans="1:55" ht="45.75" customHeight="1" x14ac:dyDescent="0.35">
      <c r="A176" s="26">
        <v>159</v>
      </c>
      <c r="B176" s="43" t="s">
        <v>1242</v>
      </c>
      <c r="C176" s="53"/>
      <c r="D176" s="298" t="s">
        <v>1243</v>
      </c>
      <c r="E176" s="95">
        <v>1</v>
      </c>
      <c r="F176" s="44" t="s">
        <v>30</v>
      </c>
      <c r="G176" s="234">
        <f>[1]DICIEMBRE!$BA$174</f>
        <v>0</v>
      </c>
      <c r="H176" s="45">
        <f>ENERO!BA179</f>
        <v>0</v>
      </c>
      <c r="I176" s="31">
        <f>FEBRERO!AX177</f>
        <v>0</v>
      </c>
      <c r="J176" s="32"/>
      <c r="K176" s="33"/>
      <c r="L176" s="32"/>
      <c r="M176" s="32"/>
      <c r="N176" s="336"/>
      <c r="O176" s="32"/>
      <c r="P176" s="33"/>
      <c r="Q176" s="31"/>
      <c r="R176" s="31"/>
      <c r="S176" s="47">
        <f>250*E176</f>
        <v>250</v>
      </c>
      <c r="T176" s="47"/>
      <c r="U176" s="48"/>
      <c r="V176" s="49"/>
      <c r="W176" s="49"/>
      <c r="X176" s="49"/>
      <c r="Y176" s="49"/>
      <c r="Z176" s="49"/>
      <c r="AA176" s="49"/>
      <c r="AB176" s="49"/>
      <c r="AC176" s="49"/>
      <c r="AD176" s="49"/>
      <c r="AE176" s="49"/>
      <c r="AF176" s="50"/>
      <c r="AG176" s="49"/>
      <c r="AH176" s="49"/>
      <c r="AI176" s="49"/>
      <c r="AJ176" s="49"/>
      <c r="AK176" s="49"/>
      <c r="AL176" s="49"/>
      <c r="AM176" s="49"/>
      <c r="AN176" s="49"/>
      <c r="AO176" s="49"/>
      <c r="AP176" s="49"/>
      <c r="AQ176" s="49"/>
      <c r="AR176" s="49"/>
      <c r="AS176" s="49"/>
      <c r="AT176" s="49"/>
      <c r="AU176" s="49"/>
      <c r="AV176" s="49"/>
      <c r="AW176" s="49"/>
      <c r="AX176" s="49"/>
      <c r="AY176" s="49"/>
      <c r="AZ176" s="49"/>
      <c r="BA176" s="33">
        <f t="shared" si="2"/>
        <v>250</v>
      </c>
      <c r="BB176" s="43"/>
    </row>
    <row r="177" spans="1:54" ht="45.75" customHeight="1" x14ac:dyDescent="0.35">
      <c r="A177" s="26">
        <v>160</v>
      </c>
      <c r="B177" s="43" t="s">
        <v>1289</v>
      </c>
      <c r="C177" s="53"/>
      <c r="D177" s="298" t="s">
        <v>1290</v>
      </c>
      <c r="E177" s="95">
        <v>1</v>
      </c>
      <c r="F177" s="44" t="s">
        <v>30</v>
      </c>
      <c r="G177" s="112">
        <f>[1]DICIEMBRE!$BA$175</f>
        <v>0</v>
      </c>
      <c r="H177" s="31">
        <f>ENERO!BA180</f>
        <v>0</v>
      </c>
      <c r="I177" s="31">
        <f>FEBRERO!AX178</f>
        <v>0</v>
      </c>
      <c r="J177" s="32"/>
      <c r="K177" s="33"/>
      <c r="L177" s="32"/>
      <c r="M177" s="32"/>
      <c r="N177" s="32"/>
      <c r="O177" s="32"/>
      <c r="P177" s="31"/>
      <c r="Q177" s="31"/>
      <c r="R177" s="31"/>
      <c r="S177" s="47">
        <f>250*E177</f>
        <v>250</v>
      </c>
      <c r="T177" s="47"/>
      <c r="U177" s="48"/>
      <c r="V177" s="49"/>
      <c r="W177" s="49"/>
      <c r="X177" s="49"/>
      <c r="Y177" s="49"/>
      <c r="Z177" s="49"/>
      <c r="AA177" s="49"/>
      <c r="AB177" s="49"/>
      <c r="AC177" s="49"/>
      <c r="AD177" s="49"/>
      <c r="AE177" s="49"/>
      <c r="AF177" s="50"/>
      <c r="AG177" s="49"/>
      <c r="AH177" s="49"/>
      <c r="AI177" s="49"/>
      <c r="AJ177" s="49"/>
      <c r="AK177" s="49"/>
      <c r="AL177" s="49"/>
      <c r="AM177" s="49"/>
      <c r="AN177" s="49"/>
      <c r="AO177" s="49"/>
      <c r="AP177" s="49">
        <v>250</v>
      </c>
      <c r="AQ177" s="49"/>
      <c r="AR177" s="49"/>
      <c r="AS177" s="49"/>
      <c r="AT177" s="49"/>
      <c r="AU177" s="49"/>
      <c r="AV177" s="49"/>
      <c r="AW177" s="49"/>
      <c r="AX177" s="49"/>
      <c r="AY177" s="49"/>
      <c r="AZ177" s="49"/>
      <c r="BA177" s="33">
        <f t="shared" si="2"/>
        <v>0</v>
      </c>
      <c r="BB177" s="43"/>
    </row>
    <row r="178" spans="1:54" ht="45.75" customHeight="1" x14ac:dyDescent="0.35">
      <c r="A178" s="26">
        <v>161</v>
      </c>
      <c r="B178" s="43" t="s">
        <v>953</v>
      </c>
      <c r="C178" s="43"/>
      <c r="D178" s="306" t="s">
        <v>959</v>
      </c>
      <c r="E178" s="95">
        <v>5</v>
      </c>
      <c r="F178" s="44" t="s">
        <v>30</v>
      </c>
      <c r="G178" s="234">
        <f>[1]DICIEMBRE!$BA$176</f>
        <v>0</v>
      </c>
      <c r="H178" s="31">
        <f>ENERO!BA181</f>
        <v>0</v>
      </c>
      <c r="I178" s="31">
        <f>FEBRERO!AX179</f>
        <v>0</v>
      </c>
      <c r="J178" s="32"/>
      <c r="K178" s="32"/>
      <c r="L178" s="336"/>
      <c r="M178" s="336"/>
      <c r="N178" s="32"/>
      <c r="O178" s="33"/>
      <c r="P178" s="33"/>
      <c r="Q178" s="31"/>
      <c r="R178" s="31"/>
      <c r="S178" s="47">
        <f>150*E178</f>
        <v>750</v>
      </c>
      <c r="T178" s="47">
        <f>1724+75</f>
        <v>1799</v>
      </c>
      <c r="U178" s="48"/>
      <c r="V178" s="49"/>
      <c r="W178" s="49"/>
      <c r="X178" s="49"/>
      <c r="Y178" s="49"/>
      <c r="Z178" s="49"/>
      <c r="AA178" s="49"/>
      <c r="AB178" s="49"/>
      <c r="AC178" s="49">
        <v>2549</v>
      </c>
      <c r="AD178" s="49"/>
      <c r="AE178" s="49"/>
      <c r="AF178" s="50"/>
      <c r="AG178" s="49"/>
      <c r="AH178" s="49"/>
      <c r="AI178" s="49"/>
      <c r="AJ178" s="49"/>
      <c r="AK178" s="49"/>
      <c r="AL178" s="49"/>
      <c r="AM178" s="49"/>
      <c r="AN178" s="49"/>
      <c r="AO178" s="49"/>
      <c r="AP178" s="49"/>
      <c r="AQ178" s="49"/>
      <c r="AR178" s="49"/>
      <c r="AS178" s="49"/>
      <c r="AT178" s="49"/>
      <c r="AU178" s="49"/>
      <c r="AV178" s="49"/>
      <c r="AW178" s="49"/>
      <c r="AX178" s="49"/>
      <c r="AY178" s="49"/>
      <c r="AZ178" s="49"/>
      <c r="BA178" s="33">
        <f t="shared" si="2"/>
        <v>0</v>
      </c>
      <c r="BB178" s="43" t="s">
        <v>2277</v>
      </c>
    </row>
    <row r="179" spans="1:54" ht="45.75" customHeight="1" x14ac:dyDescent="0.35">
      <c r="A179" s="26">
        <v>162</v>
      </c>
      <c r="B179" s="43" t="s">
        <v>1294</v>
      </c>
      <c r="C179" s="53"/>
      <c r="D179" s="298" t="s">
        <v>1295</v>
      </c>
      <c r="E179" s="95">
        <v>4</v>
      </c>
      <c r="F179" s="44" t="s">
        <v>30</v>
      </c>
      <c r="G179" s="112">
        <f>[1]DICIEMBRE!$BA$177</f>
        <v>250</v>
      </c>
      <c r="H179" s="45">
        <f>ENERO!BA182</f>
        <v>0</v>
      </c>
      <c r="I179" s="45">
        <f>FEBRERO!AX180</f>
        <v>0</v>
      </c>
      <c r="J179" s="32"/>
      <c r="K179" s="32"/>
      <c r="L179" s="32"/>
      <c r="M179" s="32"/>
      <c r="N179" s="336"/>
      <c r="O179" s="32"/>
      <c r="P179" s="31"/>
      <c r="Q179" s="31"/>
      <c r="R179" s="31"/>
      <c r="S179" s="47">
        <f>250*E179</f>
        <v>1000</v>
      </c>
      <c r="T179" s="47">
        <f>1900+161</f>
        <v>2061</v>
      </c>
      <c r="U179" s="48"/>
      <c r="V179" s="49"/>
      <c r="W179" s="49"/>
      <c r="X179" s="49"/>
      <c r="Y179" s="49"/>
      <c r="Z179" s="49"/>
      <c r="AA179" s="49"/>
      <c r="AB179" s="49"/>
      <c r="AC179" s="49"/>
      <c r="AD179" s="49"/>
      <c r="AE179" s="49"/>
      <c r="AF179" s="50"/>
      <c r="AG179" s="49"/>
      <c r="AH179" s="49"/>
      <c r="AI179" s="49"/>
      <c r="AJ179" s="49"/>
      <c r="AK179" s="49"/>
      <c r="AL179" s="49"/>
      <c r="AM179" s="49"/>
      <c r="AN179" s="49"/>
      <c r="AO179" s="49"/>
      <c r="AP179" s="49"/>
      <c r="AQ179" s="49">
        <v>3061</v>
      </c>
      <c r="AR179" s="49"/>
      <c r="AS179" s="49"/>
      <c r="AT179" s="49"/>
      <c r="AU179" s="49"/>
      <c r="AV179" s="49"/>
      <c r="AW179" s="49"/>
      <c r="AX179" s="49"/>
      <c r="AY179" s="49"/>
      <c r="AZ179" s="49"/>
      <c r="BA179" s="33">
        <f t="shared" si="2"/>
        <v>0</v>
      </c>
      <c r="BB179" s="43" t="s">
        <v>2278</v>
      </c>
    </row>
    <row r="180" spans="1:54" ht="59.25" customHeight="1" x14ac:dyDescent="0.35">
      <c r="A180" s="26">
        <v>163</v>
      </c>
      <c r="B180" s="43" t="s">
        <v>1377</v>
      </c>
      <c r="C180" s="53"/>
      <c r="D180" s="298" t="s">
        <v>1379</v>
      </c>
      <c r="E180" s="95">
        <v>1</v>
      </c>
      <c r="F180" s="44" t="s">
        <v>30</v>
      </c>
      <c r="G180" s="234">
        <f>[1]DICIEMBRE!$BA$178</f>
        <v>348</v>
      </c>
      <c r="H180" s="31">
        <f>ENERO!BA183</f>
        <v>0</v>
      </c>
      <c r="I180" s="31">
        <f>FEBRERO!AX181</f>
        <v>-348</v>
      </c>
      <c r="J180" s="32"/>
      <c r="K180" s="32"/>
      <c r="L180" s="336"/>
      <c r="M180" s="32"/>
      <c r="N180" s="32"/>
      <c r="O180" s="32"/>
      <c r="P180" s="31"/>
      <c r="Q180" s="31"/>
      <c r="R180" s="31"/>
      <c r="S180" s="47">
        <f>(300*0.16+300)*E180</f>
        <v>348</v>
      </c>
      <c r="T180" s="47"/>
      <c r="U180" s="48"/>
      <c r="V180" s="49"/>
      <c r="W180" s="49"/>
      <c r="X180" s="49"/>
      <c r="Y180" s="49"/>
      <c r="Z180" s="49"/>
      <c r="AA180" s="49"/>
      <c r="AB180" s="49"/>
      <c r="AC180" s="49"/>
      <c r="AD180" s="49"/>
      <c r="AE180" s="49"/>
      <c r="AF180" s="50"/>
      <c r="AG180" s="49"/>
      <c r="AH180" s="49"/>
      <c r="AI180" s="49"/>
      <c r="AJ180" s="49"/>
      <c r="AK180" s="49"/>
      <c r="AL180" s="49"/>
      <c r="AM180" s="49"/>
      <c r="AN180" s="49"/>
      <c r="AO180" s="49"/>
      <c r="AP180" s="49"/>
      <c r="AQ180" s="49"/>
      <c r="AR180" s="49"/>
      <c r="AS180" s="49"/>
      <c r="AT180" s="49"/>
      <c r="AU180" s="49"/>
      <c r="AV180" s="49"/>
      <c r="AW180" s="49"/>
      <c r="AX180" s="49"/>
      <c r="AY180" s="49"/>
      <c r="AZ180" s="49"/>
      <c r="BA180" s="33">
        <f t="shared" si="2"/>
        <v>0</v>
      </c>
      <c r="BB180" s="43" t="s">
        <v>2227</v>
      </c>
    </row>
    <row r="181" spans="1:54" ht="45.75" customHeight="1" x14ac:dyDescent="0.35">
      <c r="A181" s="26">
        <v>164</v>
      </c>
      <c r="B181" s="43" t="s">
        <v>1566</v>
      </c>
      <c r="C181" s="53"/>
      <c r="D181" s="298" t="s">
        <v>1567</v>
      </c>
      <c r="E181" s="95">
        <v>1</v>
      </c>
      <c r="F181" s="44" t="s">
        <v>30</v>
      </c>
      <c r="G181" s="234">
        <f>[1]DICIEMBRE!$BA$180</f>
        <v>0</v>
      </c>
      <c r="H181" s="45">
        <f>ENERO!BA185</f>
        <v>0</v>
      </c>
      <c r="I181" s="31">
        <f>FEBRERO!AX183</f>
        <v>300</v>
      </c>
      <c r="J181" s="32"/>
      <c r="K181" s="32"/>
      <c r="L181" s="336"/>
      <c r="M181" s="336"/>
      <c r="N181" s="32"/>
      <c r="O181" s="33"/>
      <c r="P181" s="33"/>
      <c r="Q181" s="31"/>
      <c r="R181" s="31"/>
      <c r="S181" s="47">
        <f>300*E181</f>
        <v>300</v>
      </c>
      <c r="T181" s="47"/>
      <c r="U181" s="48"/>
      <c r="V181" s="49">
        <v>600</v>
      </c>
      <c r="W181" s="49"/>
      <c r="X181" s="49"/>
      <c r="Y181" s="49"/>
      <c r="Z181" s="49"/>
      <c r="AA181" s="49"/>
      <c r="AB181" s="49"/>
      <c r="AC181" s="49"/>
      <c r="AD181" s="49"/>
      <c r="AE181" s="49"/>
      <c r="AF181" s="50"/>
      <c r="AG181" s="49"/>
      <c r="AH181" s="49"/>
      <c r="AI181" s="49"/>
      <c r="AJ181" s="49"/>
      <c r="AK181" s="49"/>
      <c r="AL181" s="49"/>
      <c r="AM181" s="49"/>
      <c r="AN181" s="49"/>
      <c r="AO181" s="49"/>
      <c r="AP181" s="49"/>
      <c r="AQ181" s="49"/>
      <c r="AR181" s="49"/>
      <c r="AS181" s="49"/>
      <c r="AT181" s="49"/>
      <c r="AU181" s="49"/>
      <c r="AV181" s="49"/>
      <c r="AW181" s="49"/>
      <c r="AX181" s="49"/>
      <c r="AY181" s="49"/>
      <c r="AZ181" s="49"/>
      <c r="BA181" s="33">
        <f t="shared" si="2"/>
        <v>0</v>
      </c>
      <c r="BB181" s="43"/>
    </row>
    <row r="182" spans="1:54" ht="45.75" customHeight="1" x14ac:dyDescent="0.35">
      <c r="A182" s="26">
        <v>165</v>
      </c>
      <c r="B182" s="43" t="s">
        <v>2042</v>
      </c>
      <c r="C182" s="53"/>
      <c r="D182" s="298" t="s">
        <v>1770</v>
      </c>
      <c r="E182" s="95">
        <v>1</v>
      </c>
      <c r="F182" s="44" t="s">
        <v>30</v>
      </c>
      <c r="G182" s="234"/>
      <c r="H182" s="31">
        <f>ENERO!BA186</f>
        <v>0</v>
      </c>
      <c r="I182" s="45">
        <f>FEBRERO!AX184</f>
        <v>0</v>
      </c>
      <c r="J182" s="32"/>
      <c r="K182" s="32"/>
      <c r="L182" s="336"/>
      <c r="M182" s="336"/>
      <c r="N182" s="32"/>
      <c r="O182" s="33"/>
      <c r="P182" s="33"/>
      <c r="Q182" s="31"/>
      <c r="R182" s="31"/>
      <c r="S182" s="47">
        <f>250*E182</f>
        <v>250</v>
      </c>
      <c r="T182" s="47"/>
      <c r="U182" s="48"/>
      <c r="V182" s="49"/>
      <c r="W182" s="49"/>
      <c r="X182" s="49"/>
      <c r="Y182" s="49"/>
      <c r="Z182" s="49"/>
      <c r="AA182" s="49"/>
      <c r="AB182" s="49"/>
      <c r="AC182" s="49"/>
      <c r="AD182" s="49">
        <v>250</v>
      </c>
      <c r="AE182" s="49"/>
      <c r="AF182" s="50"/>
      <c r="AG182" s="49"/>
      <c r="AH182" s="49"/>
      <c r="AI182" s="49"/>
      <c r="AJ182" s="49"/>
      <c r="AK182" s="49"/>
      <c r="AL182" s="49"/>
      <c r="AM182" s="49"/>
      <c r="AN182" s="49"/>
      <c r="AO182" s="49"/>
      <c r="AP182" s="49"/>
      <c r="AQ182" s="49"/>
      <c r="AR182" s="49"/>
      <c r="AS182" s="49"/>
      <c r="AT182" s="49"/>
      <c r="AU182" s="49"/>
      <c r="AV182" s="49"/>
      <c r="AW182" s="49"/>
      <c r="AX182" s="49"/>
      <c r="AY182" s="49"/>
      <c r="AZ182" s="49"/>
      <c r="BA182" s="33">
        <f t="shared" si="2"/>
        <v>0</v>
      </c>
      <c r="BB182" s="43"/>
    </row>
    <row r="183" spans="1:54" ht="48" customHeight="1" x14ac:dyDescent="0.35">
      <c r="A183" s="26">
        <v>166</v>
      </c>
      <c r="B183" s="27" t="s">
        <v>120</v>
      </c>
      <c r="C183" s="28" t="s">
        <v>121</v>
      </c>
      <c r="D183" s="298" t="s">
        <v>1180</v>
      </c>
      <c r="E183" s="95">
        <v>1</v>
      </c>
      <c r="F183" s="64" t="s">
        <v>30</v>
      </c>
      <c r="G183" s="112">
        <f>[1]DICIEMBRE!$BA$181</f>
        <v>0</v>
      </c>
      <c r="H183" s="31">
        <f>ENERO!BA187</f>
        <v>0</v>
      </c>
      <c r="I183" s="31">
        <f>FEBRERO!AX185</f>
        <v>0</v>
      </c>
      <c r="J183" s="32"/>
      <c r="K183" s="32"/>
      <c r="L183" s="32"/>
      <c r="M183" s="32"/>
      <c r="N183" s="336"/>
      <c r="O183" s="32"/>
      <c r="P183" s="31"/>
      <c r="Q183" s="31"/>
      <c r="R183" s="31"/>
      <c r="S183" s="49">
        <f>250*E183</f>
        <v>250</v>
      </c>
      <c r="T183" s="47">
        <f>(350*0.16+350)*2</f>
        <v>812</v>
      </c>
      <c r="U183" s="77"/>
      <c r="V183" s="49"/>
      <c r="W183" s="49"/>
      <c r="X183" s="49"/>
      <c r="Y183" s="49"/>
      <c r="Z183" s="49"/>
      <c r="AA183" s="49"/>
      <c r="AB183" s="49"/>
      <c r="AC183" s="49">
        <v>250</v>
      </c>
      <c r="AD183" s="49"/>
      <c r="AE183" s="49"/>
      <c r="AF183" s="51"/>
      <c r="AG183" s="49"/>
      <c r="AH183" s="49"/>
      <c r="AI183" s="49"/>
      <c r="AJ183" s="49"/>
      <c r="AK183" s="68">
        <f>406+406</f>
        <v>812</v>
      </c>
      <c r="AL183" s="49"/>
      <c r="AM183" s="49"/>
      <c r="AN183" s="49"/>
      <c r="AO183" s="49"/>
      <c r="AP183" s="49"/>
      <c r="AQ183" s="49"/>
      <c r="AR183" s="49"/>
      <c r="AS183" s="49"/>
      <c r="AT183" s="49"/>
      <c r="AU183" s="49"/>
      <c r="AV183" s="49"/>
      <c r="AW183" s="49"/>
      <c r="AX183" s="49"/>
      <c r="AY183" s="49"/>
      <c r="AZ183" s="49"/>
      <c r="BA183" s="33">
        <f t="shared" si="2"/>
        <v>0</v>
      </c>
      <c r="BB183" s="269" t="s">
        <v>2519</v>
      </c>
    </row>
    <row r="184" spans="1:54" ht="48" customHeight="1" x14ac:dyDescent="0.35">
      <c r="A184" s="26">
        <v>167</v>
      </c>
      <c r="B184" s="43" t="s">
        <v>1056</v>
      </c>
      <c r="C184" s="28"/>
      <c r="D184" s="298" t="s">
        <v>1181</v>
      </c>
      <c r="E184" s="95">
        <v>1</v>
      </c>
      <c r="F184" s="64" t="s">
        <v>30</v>
      </c>
      <c r="G184" s="234">
        <f>[1]DICIEMBRE!$BA$182</f>
        <v>0</v>
      </c>
      <c r="H184" s="45">
        <f>ENERO!BA188</f>
        <v>0</v>
      </c>
      <c r="I184" s="31">
        <f>FEBRERO!AX186</f>
        <v>0</v>
      </c>
      <c r="J184" s="32"/>
      <c r="K184" s="32"/>
      <c r="L184" s="32"/>
      <c r="M184" s="32"/>
      <c r="N184" s="32"/>
      <c r="O184" s="32"/>
      <c r="P184" s="33"/>
      <c r="Q184" s="31"/>
      <c r="R184" s="31"/>
      <c r="S184" s="49">
        <f>300*E184</f>
        <v>300</v>
      </c>
      <c r="T184" s="47"/>
      <c r="U184" s="77"/>
      <c r="V184" s="49"/>
      <c r="W184" s="49"/>
      <c r="X184" s="49"/>
      <c r="Y184" s="49"/>
      <c r="Z184" s="49"/>
      <c r="AA184" s="49"/>
      <c r="AB184" s="49">
        <v>300</v>
      </c>
      <c r="AC184" s="49"/>
      <c r="AD184" s="49"/>
      <c r="AE184" s="49"/>
      <c r="AF184" s="51"/>
      <c r="AG184" s="49"/>
      <c r="AH184" s="49"/>
      <c r="AI184" s="49"/>
      <c r="AJ184" s="49"/>
      <c r="AK184" s="68"/>
      <c r="AL184" s="49"/>
      <c r="AM184" s="49"/>
      <c r="AN184" s="49"/>
      <c r="AO184" s="49"/>
      <c r="AP184" s="49"/>
      <c r="AQ184" s="49"/>
      <c r="AR184" s="49"/>
      <c r="AS184" s="49"/>
      <c r="AT184" s="49"/>
      <c r="AU184" s="49"/>
      <c r="AV184" s="49"/>
      <c r="AW184" s="49"/>
      <c r="AX184" s="49"/>
      <c r="AY184" s="49"/>
      <c r="AZ184" s="49"/>
      <c r="BA184" s="33">
        <f t="shared" si="2"/>
        <v>0</v>
      </c>
      <c r="BB184" s="269"/>
    </row>
    <row r="185" spans="1:54" ht="48" customHeight="1" x14ac:dyDescent="0.35">
      <c r="A185" s="26">
        <v>168</v>
      </c>
      <c r="B185" s="43" t="s">
        <v>1609</v>
      </c>
      <c r="C185" s="28"/>
      <c r="D185" s="298" t="s">
        <v>1610</v>
      </c>
      <c r="E185" s="95">
        <v>3</v>
      </c>
      <c r="F185" s="64" t="s">
        <v>30</v>
      </c>
      <c r="G185" s="112">
        <f>[1]DICIEMBRE!$BA$183</f>
        <v>1.1368683772161603E-13</v>
      </c>
      <c r="H185" s="31">
        <f>ENERO!BA189</f>
        <v>0</v>
      </c>
      <c r="I185" s="31">
        <f>FEBRERO!AX187</f>
        <v>0</v>
      </c>
      <c r="J185" s="32"/>
      <c r="K185" s="32"/>
      <c r="L185" s="32"/>
      <c r="M185" s="32"/>
      <c r="N185" s="32"/>
      <c r="O185" s="32"/>
      <c r="P185" s="33"/>
      <c r="Q185" s="31"/>
      <c r="R185" s="31"/>
      <c r="S185" s="49">
        <f>(300*0.16+300)*E185</f>
        <v>1044</v>
      </c>
      <c r="T185" s="47"/>
      <c r="U185" s="77"/>
      <c r="V185" s="49"/>
      <c r="W185" s="49"/>
      <c r="X185" s="49"/>
      <c r="Y185" s="49"/>
      <c r="Z185" s="49"/>
      <c r="AA185" s="49"/>
      <c r="AB185" s="49">
        <v>1044</v>
      </c>
      <c r="AC185" s="49"/>
      <c r="AD185" s="49"/>
      <c r="AE185" s="49"/>
      <c r="AF185" s="51"/>
      <c r="AG185" s="49"/>
      <c r="AH185" s="49"/>
      <c r="AI185" s="49"/>
      <c r="AJ185" s="49"/>
      <c r="AK185" s="68"/>
      <c r="AL185" s="49"/>
      <c r="AM185" s="49"/>
      <c r="AN185" s="49"/>
      <c r="AO185" s="49"/>
      <c r="AP185" s="49"/>
      <c r="AQ185" s="49"/>
      <c r="AR185" s="49"/>
      <c r="AS185" s="49"/>
      <c r="AT185" s="49"/>
      <c r="AU185" s="49"/>
      <c r="AV185" s="49"/>
      <c r="AW185" s="49"/>
      <c r="AX185" s="49"/>
      <c r="AY185" s="49"/>
      <c r="AZ185" s="49"/>
      <c r="BA185" s="33">
        <f t="shared" si="2"/>
        <v>0</v>
      </c>
      <c r="BB185" s="269"/>
    </row>
    <row r="186" spans="1:54" ht="48" customHeight="1" x14ac:dyDescent="0.35">
      <c r="A186" s="26">
        <v>169</v>
      </c>
      <c r="B186" s="43" t="s">
        <v>945</v>
      </c>
      <c r="C186" s="28"/>
      <c r="D186" s="298" t="s">
        <v>1182</v>
      </c>
      <c r="E186" s="95">
        <v>1</v>
      </c>
      <c r="F186" s="64" t="s">
        <v>30</v>
      </c>
      <c r="G186" s="234">
        <f>[1]DICIEMBRE!$BA$184</f>
        <v>0</v>
      </c>
      <c r="H186" s="31">
        <f>ENERO!BA190</f>
        <v>299</v>
      </c>
      <c r="I186" s="45">
        <f>FEBRERO!AX188</f>
        <v>0</v>
      </c>
      <c r="J186" s="32"/>
      <c r="K186" s="33"/>
      <c r="L186" s="336"/>
      <c r="M186" s="336"/>
      <c r="N186" s="32"/>
      <c r="O186" s="33"/>
      <c r="P186" s="31"/>
      <c r="Q186" s="31"/>
      <c r="R186" s="31"/>
      <c r="S186" s="49">
        <f>299*E186</f>
        <v>299</v>
      </c>
      <c r="T186" s="47"/>
      <c r="U186" s="77"/>
      <c r="V186" s="49"/>
      <c r="W186" s="49"/>
      <c r="X186" s="49"/>
      <c r="Y186" s="49"/>
      <c r="Z186" s="49"/>
      <c r="AA186" s="49"/>
      <c r="AB186" s="49"/>
      <c r="AC186" s="49"/>
      <c r="AD186" s="49"/>
      <c r="AE186" s="49"/>
      <c r="AF186" s="51"/>
      <c r="AG186" s="49"/>
      <c r="AH186" s="49"/>
      <c r="AI186" s="49"/>
      <c r="AJ186" s="49"/>
      <c r="AK186" s="68"/>
      <c r="AL186" s="49"/>
      <c r="AM186" s="49"/>
      <c r="AN186" s="49"/>
      <c r="AO186" s="49"/>
      <c r="AP186" s="49"/>
      <c r="AQ186" s="49"/>
      <c r="AR186" s="49"/>
      <c r="AS186" s="49"/>
      <c r="AT186" s="49"/>
      <c r="AU186" s="49"/>
      <c r="AV186" s="49"/>
      <c r="AW186" s="49">
        <v>299</v>
      </c>
      <c r="AX186" s="49"/>
      <c r="AY186" s="49"/>
      <c r="AZ186" s="49"/>
      <c r="BA186" s="33">
        <f t="shared" si="2"/>
        <v>0</v>
      </c>
      <c r="BB186" s="269"/>
    </row>
    <row r="187" spans="1:54" ht="48" customHeight="1" x14ac:dyDescent="0.35">
      <c r="A187" s="26">
        <v>170</v>
      </c>
      <c r="B187" s="43" t="s">
        <v>1659</v>
      </c>
      <c r="C187" s="28"/>
      <c r="D187" s="298" t="s">
        <v>1600</v>
      </c>
      <c r="E187" s="95">
        <v>1</v>
      </c>
      <c r="F187" s="64"/>
      <c r="G187" s="112">
        <f>[1]DICIEMBRE!$BA$185</f>
        <v>0</v>
      </c>
      <c r="H187" s="45">
        <f>ENERO!BA191</f>
        <v>0</v>
      </c>
      <c r="I187" s="31">
        <f>FEBRERO!AX189</f>
        <v>0</v>
      </c>
      <c r="J187" s="32"/>
      <c r="K187" s="33"/>
      <c r="L187" s="336"/>
      <c r="M187" s="336"/>
      <c r="N187" s="32"/>
      <c r="O187" s="33"/>
      <c r="P187" s="31"/>
      <c r="Q187" s="31"/>
      <c r="R187" s="31"/>
      <c r="S187" s="49">
        <v>300</v>
      </c>
      <c r="T187" s="47"/>
      <c r="U187" s="77"/>
      <c r="V187" s="49"/>
      <c r="W187" s="49"/>
      <c r="X187" s="49">
        <v>300</v>
      </c>
      <c r="Y187" s="49"/>
      <c r="Z187" s="49"/>
      <c r="AA187" s="49"/>
      <c r="AB187" s="49"/>
      <c r="AC187" s="49"/>
      <c r="AD187" s="49"/>
      <c r="AE187" s="49"/>
      <c r="AF187" s="51"/>
      <c r="AG187" s="49"/>
      <c r="AH187" s="49"/>
      <c r="AI187" s="49"/>
      <c r="AJ187" s="49"/>
      <c r="AK187" s="68"/>
      <c r="AL187" s="49"/>
      <c r="AM187" s="49"/>
      <c r="AN187" s="49"/>
      <c r="AO187" s="49"/>
      <c r="AP187" s="49"/>
      <c r="AQ187" s="49"/>
      <c r="AR187" s="49"/>
      <c r="AS187" s="49"/>
      <c r="AT187" s="49"/>
      <c r="AU187" s="49"/>
      <c r="AV187" s="49"/>
      <c r="AW187" s="49"/>
      <c r="AX187" s="49"/>
      <c r="AY187" s="49"/>
      <c r="AZ187" s="49"/>
      <c r="BA187" s="33">
        <f t="shared" si="2"/>
        <v>0</v>
      </c>
      <c r="BB187" s="269"/>
    </row>
    <row r="188" spans="1:54" ht="47.25" customHeight="1" x14ac:dyDescent="0.35">
      <c r="A188" s="26">
        <v>171</v>
      </c>
      <c r="B188" s="43" t="s">
        <v>124</v>
      </c>
      <c r="C188" s="53" t="s">
        <v>125</v>
      </c>
      <c r="D188" s="298" t="s">
        <v>1183</v>
      </c>
      <c r="E188" s="95">
        <v>1</v>
      </c>
      <c r="F188" s="44" t="s">
        <v>30</v>
      </c>
      <c r="G188" s="234">
        <f>[1]DICIEMBRE!$BA$186</f>
        <v>0</v>
      </c>
      <c r="H188" s="31">
        <f>ENERO!BA192</f>
        <v>-350</v>
      </c>
      <c r="I188" s="31">
        <f>FEBRERO!AX190</f>
        <v>0</v>
      </c>
      <c r="J188" s="32"/>
      <c r="K188" s="32"/>
      <c r="L188" s="32"/>
      <c r="M188" s="32"/>
      <c r="N188" s="336"/>
      <c r="O188" s="32"/>
      <c r="P188" s="33"/>
      <c r="Q188" s="31"/>
      <c r="R188" s="31"/>
      <c r="S188" s="47">
        <v>350</v>
      </c>
      <c r="T188" s="47"/>
      <c r="U188" s="48"/>
      <c r="V188" s="49"/>
      <c r="W188" s="49"/>
      <c r="X188" s="49"/>
      <c r="Y188" s="49"/>
      <c r="Z188" s="49"/>
      <c r="AA188" s="49"/>
      <c r="AB188" s="49"/>
      <c r="AC188" s="49"/>
      <c r="AD188" s="49"/>
      <c r="AE188" s="49"/>
      <c r="AF188" s="49"/>
      <c r="AG188" s="49"/>
      <c r="AH188" s="49"/>
      <c r="AI188" s="49">
        <v>350</v>
      </c>
      <c r="AJ188" s="49"/>
      <c r="AK188" s="63"/>
      <c r="AL188" s="49"/>
      <c r="AM188" s="49"/>
      <c r="AN188" s="49"/>
      <c r="AO188" s="49"/>
      <c r="AP188" s="49"/>
      <c r="AQ188" s="49"/>
      <c r="AR188" s="49"/>
      <c r="AS188" s="49"/>
      <c r="AT188" s="49"/>
      <c r="AU188" s="49"/>
      <c r="AV188" s="49"/>
      <c r="AW188" s="49"/>
      <c r="AX188" s="49"/>
      <c r="AY188" s="49"/>
      <c r="AZ188" s="49"/>
      <c r="BA188" s="33">
        <f t="shared" si="2"/>
        <v>0</v>
      </c>
      <c r="BB188" s="43"/>
    </row>
    <row r="189" spans="1:54" ht="45.75" customHeight="1" x14ac:dyDescent="0.35">
      <c r="A189" s="26">
        <v>172</v>
      </c>
      <c r="B189" s="43" t="s">
        <v>1304</v>
      </c>
      <c r="C189" s="53"/>
      <c r="D189" s="298" t="s">
        <v>621</v>
      </c>
      <c r="E189" s="95">
        <v>2</v>
      </c>
      <c r="F189" s="44" t="s">
        <v>30</v>
      </c>
      <c r="G189" s="112">
        <f>[1]DICIEMBRE!$BA$187</f>
        <v>0</v>
      </c>
      <c r="H189" s="31">
        <f>ENERO!BA193</f>
        <v>0</v>
      </c>
      <c r="I189" s="31">
        <f>FEBRERO!AX191</f>
        <v>0</v>
      </c>
      <c r="J189" s="32"/>
      <c r="K189" s="33"/>
      <c r="L189" s="336"/>
      <c r="M189" s="32"/>
      <c r="N189" s="32"/>
      <c r="O189" s="32"/>
      <c r="P189" s="31"/>
      <c r="Q189" s="31"/>
      <c r="R189" s="31"/>
      <c r="S189" s="47">
        <f>249*E189</f>
        <v>498</v>
      </c>
      <c r="T189" s="47"/>
      <c r="U189" s="48"/>
      <c r="V189" s="49"/>
      <c r="W189" s="49"/>
      <c r="X189" s="49"/>
      <c r="Y189" s="49"/>
      <c r="Z189" s="49">
        <v>498</v>
      </c>
      <c r="AA189" s="49"/>
      <c r="AB189" s="49"/>
      <c r="AC189" s="49"/>
      <c r="AD189" s="49"/>
      <c r="AE189" s="49"/>
      <c r="AF189" s="50"/>
      <c r="AG189" s="49"/>
      <c r="AH189" s="49"/>
      <c r="AI189" s="49"/>
      <c r="AJ189" s="49"/>
      <c r="AK189" s="49"/>
      <c r="AL189" s="49"/>
      <c r="AM189" s="49"/>
      <c r="AN189" s="49"/>
      <c r="AO189" s="49"/>
      <c r="AP189" s="49"/>
      <c r="AQ189" s="49"/>
      <c r="AR189" s="49"/>
      <c r="AS189" s="49"/>
      <c r="AT189" s="49"/>
      <c r="AU189" s="49"/>
      <c r="AV189" s="49"/>
      <c r="AW189" s="49"/>
      <c r="AX189" s="49"/>
      <c r="AY189" s="49"/>
      <c r="AZ189" s="49"/>
      <c r="BA189" s="33">
        <f t="shared" si="2"/>
        <v>0</v>
      </c>
      <c r="BB189" s="43"/>
    </row>
    <row r="190" spans="1:54" ht="63.75" customHeight="1" x14ac:dyDescent="0.35">
      <c r="A190" s="26">
        <v>173</v>
      </c>
      <c r="B190" s="43" t="s">
        <v>1557</v>
      </c>
      <c r="C190" s="53"/>
      <c r="D190" s="300" t="s">
        <v>1558</v>
      </c>
      <c r="E190" s="95">
        <v>1</v>
      </c>
      <c r="F190" s="44" t="s">
        <v>30</v>
      </c>
      <c r="G190" s="112">
        <f>[1]DICIEMBRE!$BA$189</f>
        <v>0</v>
      </c>
      <c r="H190" s="31">
        <f>ENERO!BA195</f>
        <v>300</v>
      </c>
      <c r="I190" s="45">
        <f>FEBRERO!AX192</f>
        <v>0</v>
      </c>
      <c r="J190" s="32"/>
      <c r="K190" s="32"/>
      <c r="L190" s="32"/>
      <c r="M190" s="336"/>
      <c r="N190" s="32"/>
      <c r="O190" s="33"/>
      <c r="P190" s="33"/>
      <c r="Q190" s="31"/>
      <c r="R190" s="31"/>
      <c r="S190" s="47">
        <f>300*E190</f>
        <v>300</v>
      </c>
      <c r="T190" s="47"/>
      <c r="U190" s="48"/>
      <c r="V190" s="49"/>
      <c r="W190" s="49"/>
      <c r="X190" s="49"/>
      <c r="Y190" s="49"/>
      <c r="Z190" s="49"/>
      <c r="AA190" s="49"/>
      <c r="AB190" s="49"/>
      <c r="AC190" s="49"/>
      <c r="AD190" s="49"/>
      <c r="AE190" s="49"/>
      <c r="AF190" s="49"/>
      <c r="AG190" s="49">
        <v>300</v>
      </c>
      <c r="AH190" s="49"/>
      <c r="AI190" s="49"/>
      <c r="AJ190" s="49"/>
      <c r="AK190" s="63"/>
      <c r="AL190" s="49"/>
      <c r="AM190" s="49"/>
      <c r="AN190" s="49"/>
      <c r="AO190" s="49"/>
      <c r="AP190" s="49"/>
      <c r="AQ190" s="49"/>
      <c r="AR190" s="49"/>
      <c r="AS190" s="49"/>
      <c r="AT190" s="49"/>
      <c r="AU190" s="49"/>
      <c r="AV190" s="49"/>
      <c r="AW190" s="49"/>
      <c r="AX190" s="49"/>
      <c r="AY190" s="49"/>
      <c r="AZ190" s="49"/>
      <c r="BA190" s="33">
        <f t="shared" si="2"/>
        <v>0</v>
      </c>
      <c r="BB190" s="43"/>
    </row>
    <row r="191" spans="1:54" ht="63.75" customHeight="1" x14ac:dyDescent="0.35">
      <c r="A191" s="26">
        <v>174</v>
      </c>
      <c r="B191" s="43" t="s">
        <v>2433</v>
      </c>
      <c r="C191" s="53"/>
      <c r="D191" s="300" t="s">
        <v>2434</v>
      </c>
      <c r="E191" s="95">
        <v>1</v>
      </c>
      <c r="F191" s="44" t="s">
        <v>100</v>
      </c>
      <c r="G191" s="112"/>
      <c r="H191" s="31"/>
      <c r="I191" s="45"/>
      <c r="J191" s="32"/>
      <c r="K191" s="32"/>
      <c r="L191" s="32"/>
      <c r="M191" s="336"/>
      <c r="N191" s="32"/>
      <c r="O191" s="33"/>
      <c r="P191" s="33"/>
      <c r="Q191" s="31"/>
      <c r="R191" s="31"/>
      <c r="S191" s="47">
        <f>300</f>
        <v>300</v>
      </c>
      <c r="T191" s="47">
        <v>2000</v>
      </c>
      <c r="U191" s="48"/>
      <c r="V191" s="49"/>
      <c r="W191" s="49"/>
      <c r="X191" s="49"/>
      <c r="Y191" s="49"/>
      <c r="Z191" s="49">
        <v>2300</v>
      </c>
      <c r="AA191" s="49"/>
      <c r="AB191" s="49"/>
      <c r="AC191" s="49"/>
      <c r="AD191" s="49"/>
      <c r="AE191" s="49"/>
      <c r="AF191" s="49"/>
      <c r="AG191" s="49"/>
      <c r="AH191" s="49"/>
      <c r="AI191" s="49"/>
      <c r="AJ191" s="49"/>
      <c r="AK191" s="63"/>
      <c r="AL191" s="49"/>
      <c r="AM191" s="49"/>
      <c r="AN191" s="49"/>
      <c r="AO191" s="49"/>
      <c r="AP191" s="49"/>
      <c r="AQ191" s="49"/>
      <c r="AR191" s="49"/>
      <c r="AS191" s="49"/>
      <c r="AT191" s="49"/>
      <c r="AU191" s="49"/>
      <c r="AV191" s="49"/>
      <c r="AW191" s="49"/>
      <c r="AX191" s="49"/>
      <c r="AY191" s="49"/>
      <c r="AZ191" s="49"/>
      <c r="BA191" s="33">
        <f t="shared" si="2"/>
        <v>0</v>
      </c>
      <c r="BB191" s="43" t="s">
        <v>2435</v>
      </c>
    </row>
    <row r="192" spans="1:54" s="23" customFormat="1" ht="48.75" customHeight="1" x14ac:dyDescent="0.3">
      <c r="A192" s="26">
        <v>175</v>
      </c>
      <c r="B192" s="58" t="s">
        <v>1265</v>
      </c>
      <c r="C192" s="53"/>
      <c r="D192" s="314" t="s">
        <v>1266</v>
      </c>
      <c r="E192" s="97">
        <v>3</v>
      </c>
      <c r="F192" s="30" t="s">
        <v>30</v>
      </c>
      <c r="G192" s="234">
        <f>[1]DICIEMBRE!$BA$190</f>
        <v>0</v>
      </c>
      <c r="H192" s="31">
        <f>ENERO!BA196</f>
        <v>0</v>
      </c>
      <c r="I192" s="31">
        <f>FEBRERO!AX193</f>
        <v>0</v>
      </c>
      <c r="J192" s="32"/>
      <c r="K192" s="32"/>
      <c r="L192" s="336"/>
      <c r="M192" s="32"/>
      <c r="N192" s="336"/>
      <c r="O192" s="32"/>
      <c r="P192" s="33"/>
      <c r="Q192" s="31"/>
      <c r="R192" s="31"/>
      <c r="S192" s="59">
        <f>300*E192</f>
        <v>900</v>
      </c>
      <c r="T192" s="34"/>
      <c r="U192" s="34"/>
      <c r="V192" s="35"/>
      <c r="W192" s="35"/>
      <c r="X192" s="35">
        <v>900</v>
      </c>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3">
        <f t="shared" si="2"/>
        <v>0</v>
      </c>
      <c r="BB192" s="43"/>
    </row>
    <row r="193" spans="1:55" ht="47.25" customHeight="1" x14ac:dyDescent="0.35">
      <c r="A193" s="26">
        <v>176</v>
      </c>
      <c r="B193" s="43" t="s">
        <v>971</v>
      </c>
      <c r="C193" s="53"/>
      <c r="D193" s="298" t="s">
        <v>972</v>
      </c>
      <c r="E193" s="95">
        <v>1</v>
      </c>
      <c r="F193" s="44" t="s">
        <v>30</v>
      </c>
      <c r="G193" s="112">
        <f>[1]DICIEMBRE!$BA$191</f>
        <v>0</v>
      </c>
      <c r="H193" s="45">
        <f>ENERO!BA197</f>
        <v>-250</v>
      </c>
      <c r="I193" s="31">
        <f>FEBRERO!AX194</f>
        <v>0</v>
      </c>
      <c r="J193" s="46"/>
      <c r="K193" s="32"/>
      <c r="L193" s="32"/>
      <c r="M193" s="32"/>
      <c r="N193" s="336"/>
      <c r="O193" s="32"/>
      <c r="P193" s="31"/>
      <c r="Q193" s="31"/>
      <c r="R193" s="31"/>
      <c r="S193" s="47">
        <f>250*E193</f>
        <v>250</v>
      </c>
      <c r="T193" s="47"/>
      <c r="U193" s="48"/>
      <c r="V193" s="49">
        <v>250</v>
      </c>
      <c r="W193" s="49"/>
      <c r="X193" s="49"/>
      <c r="Y193" s="49"/>
      <c r="Z193" s="49"/>
      <c r="AA193" s="49"/>
      <c r="AB193" s="49"/>
      <c r="AC193" s="49"/>
      <c r="AD193" s="49"/>
      <c r="AE193" s="49"/>
      <c r="AF193" s="49"/>
      <c r="AG193" s="49"/>
      <c r="AH193" s="49"/>
      <c r="AI193" s="49"/>
      <c r="AJ193" s="49"/>
      <c r="AK193" s="63"/>
      <c r="AL193" s="49"/>
      <c r="AM193" s="49"/>
      <c r="AN193" s="49"/>
      <c r="AO193" s="49"/>
      <c r="AP193" s="49"/>
      <c r="AQ193" s="49"/>
      <c r="AR193" s="49"/>
      <c r="AS193" s="49"/>
      <c r="AT193" s="49"/>
      <c r="AU193" s="49"/>
      <c r="AV193" s="49"/>
      <c r="AW193" s="49"/>
      <c r="AX193" s="49"/>
      <c r="AY193" s="49"/>
      <c r="AZ193" s="49"/>
      <c r="BA193" s="33">
        <f t="shared" si="2"/>
        <v>0</v>
      </c>
      <c r="BB193" s="43"/>
    </row>
    <row r="194" spans="1:55" ht="45.75" customHeight="1" x14ac:dyDescent="0.35">
      <c r="A194" s="26">
        <v>177</v>
      </c>
      <c r="B194" s="43" t="s">
        <v>1040</v>
      </c>
      <c r="C194" s="53"/>
      <c r="D194" s="298" t="s">
        <v>1184</v>
      </c>
      <c r="E194" s="95">
        <v>6</v>
      </c>
      <c r="F194" s="44" t="s">
        <v>35</v>
      </c>
      <c r="G194" s="234">
        <f>[1]DICIEMBRE!$BA$192</f>
        <v>-2.2737367544323206E-13</v>
      </c>
      <c r="H194" s="31">
        <f>ENERO!BA198</f>
        <v>1749.9999999999998</v>
      </c>
      <c r="I194" s="31">
        <f>FEBRERO!AX195</f>
        <v>3250</v>
      </c>
      <c r="J194" s="32"/>
      <c r="K194" s="32"/>
      <c r="L194" s="32"/>
      <c r="M194" s="336"/>
      <c r="N194" s="32"/>
      <c r="O194" s="33"/>
      <c r="P194" s="33"/>
      <c r="Q194" s="31"/>
      <c r="R194" s="31"/>
      <c r="S194" s="47">
        <f>250*E194</f>
        <v>1500</v>
      </c>
      <c r="T194" s="47"/>
      <c r="U194" s="48"/>
      <c r="V194" s="49"/>
      <c r="W194" s="49"/>
      <c r="X194" s="49"/>
      <c r="Y194" s="49"/>
      <c r="Z194" s="49"/>
      <c r="AA194" s="49">
        <v>2500</v>
      </c>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33">
        <f t="shared" si="2"/>
        <v>2250</v>
      </c>
      <c r="BB194" s="43"/>
    </row>
    <row r="195" spans="1:55" ht="66.75" customHeight="1" x14ac:dyDescent="0.35">
      <c r="A195" s="26">
        <v>178</v>
      </c>
      <c r="B195" s="43" t="s">
        <v>1357</v>
      </c>
      <c r="C195" s="53"/>
      <c r="D195" s="298" t="s">
        <v>1358</v>
      </c>
      <c r="E195" s="95">
        <v>1</v>
      </c>
      <c r="F195" s="44" t="s">
        <v>30</v>
      </c>
      <c r="G195" s="234">
        <f>[1]DICIEMBRE!$BA$194</f>
        <v>0</v>
      </c>
      <c r="H195" s="45">
        <f>ENERO!BA200</f>
        <v>0</v>
      </c>
      <c r="I195" s="45">
        <f>FEBRERO!AX196</f>
        <v>0</v>
      </c>
      <c r="J195" s="32"/>
      <c r="K195" s="32"/>
      <c r="L195" s="32"/>
      <c r="M195" s="32"/>
      <c r="N195" s="336"/>
      <c r="O195" s="32"/>
      <c r="P195" s="33"/>
      <c r="Q195" s="31"/>
      <c r="R195" s="31"/>
      <c r="S195" s="47">
        <f>280*E195</f>
        <v>280</v>
      </c>
      <c r="T195" s="47"/>
      <c r="U195" s="48"/>
      <c r="V195" s="50"/>
      <c r="W195" s="49"/>
      <c r="X195" s="49"/>
      <c r="Y195" s="49">
        <v>280</v>
      </c>
      <c r="Z195" s="49"/>
      <c r="AA195" s="49"/>
      <c r="AB195" s="49"/>
      <c r="AC195" s="49"/>
      <c r="AD195" s="49"/>
      <c r="AE195" s="49"/>
      <c r="AF195" s="49"/>
      <c r="AG195" s="49"/>
      <c r="AH195" s="50"/>
      <c r="AI195" s="49"/>
      <c r="AJ195" s="49"/>
      <c r="AK195" s="49"/>
      <c r="AL195" s="49"/>
      <c r="AM195" s="49"/>
      <c r="AN195" s="49"/>
      <c r="AO195" s="49"/>
      <c r="AP195" s="49"/>
      <c r="AQ195" s="49"/>
      <c r="AR195" s="49"/>
      <c r="AS195" s="49"/>
      <c r="AT195" s="49"/>
      <c r="AU195" s="49"/>
      <c r="AV195" s="49"/>
      <c r="AW195" s="49"/>
      <c r="AX195" s="49"/>
      <c r="AY195" s="49"/>
      <c r="AZ195" s="49"/>
      <c r="BA195" s="33">
        <f t="shared" si="2"/>
        <v>0</v>
      </c>
      <c r="BB195" s="43"/>
    </row>
    <row r="196" spans="1:55" ht="66.75" customHeight="1" x14ac:dyDescent="0.35">
      <c r="A196" s="26">
        <v>179</v>
      </c>
      <c r="B196" s="43" t="s">
        <v>618</v>
      </c>
      <c r="C196" s="53"/>
      <c r="D196" s="298" t="s">
        <v>1186</v>
      </c>
      <c r="E196" s="95">
        <v>3</v>
      </c>
      <c r="F196" s="44" t="s">
        <v>30</v>
      </c>
      <c r="G196" s="112">
        <f>[1]DICIEMBRE!$BA$195</f>
        <v>0</v>
      </c>
      <c r="H196" s="31">
        <f>ENERO!BA201</f>
        <v>0</v>
      </c>
      <c r="I196" s="31">
        <f>FEBRERO!AX197</f>
        <v>0</v>
      </c>
      <c r="J196" s="32"/>
      <c r="K196" s="32"/>
      <c r="L196" s="32"/>
      <c r="M196" s="336"/>
      <c r="N196" s="32"/>
      <c r="O196" s="33"/>
      <c r="P196" s="33"/>
      <c r="Q196" s="31"/>
      <c r="R196" s="31"/>
      <c r="S196" s="47">
        <f>300*E196</f>
        <v>900</v>
      </c>
      <c r="T196" s="47"/>
      <c r="U196" s="48"/>
      <c r="V196" s="50"/>
      <c r="W196" s="49"/>
      <c r="X196" s="49"/>
      <c r="Y196" s="49"/>
      <c r="Z196" s="49"/>
      <c r="AA196" s="49"/>
      <c r="AB196" s="49"/>
      <c r="AC196" s="49"/>
      <c r="AD196" s="49"/>
      <c r="AE196" s="49"/>
      <c r="AF196" s="49"/>
      <c r="AG196" s="49"/>
      <c r="AH196" s="50"/>
      <c r="AI196" s="49"/>
      <c r="AJ196" s="49"/>
      <c r="AK196" s="49"/>
      <c r="AL196" s="49"/>
      <c r="AM196" s="49"/>
      <c r="AN196" s="49">
        <v>900</v>
      </c>
      <c r="AO196" s="49"/>
      <c r="AP196" s="49"/>
      <c r="AQ196" s="49"/>
      <c r="AR196" s="49"/>
      <c r="AS196" s="49"/>
      <c r="AT196" s="49"/>
      <c r="AU196" s="49"/>
      <c r="AV196" s="49"/>
      <c r="AW196" s="49"/>
      <c r="AX196" s="49"/>
      <c r="AY196" s="49"/>
      <c r="AZ196" s="49"/>
      <c r="BA196" s="33">
        <f t="shared" si="2"/>
        <v>0</v>
      </c>
      <c r="BB196" s="43"/>
    </row>
    <row r="197" spans="1:55" ht="53.25" customHeight="1" x14ac:dyDescent="0.35">
      <c r="A197" s="26">
        <v>180</v>
      </c>
      <c r="B197" s="43" t="s">
        <v>131</v>
      </c>
      <c r="C197" s="28" t="s">
        <v>132</v>
      </c>
      <c r="D197" s="298" t="s">
        <v>1187</v>
      </c>
      <c r="E197" s="98">
        <v>164</v>
      </c>
      <c r="F197" s="44" t="s">
        <v>30</v>
      </c>
      <c r="G197" s="234">
        <f>[1]DICIEMBRE!$BA$196</f>
        <v>-900</v>
      </c>
      <c r="H197" s="31">
        <f>ENERO!BA202</f>
        <v>-30</v>
      </c>
      <c r="I197" s="31">
        <f>FEBRERO!AX198</f>
        <v>-960</v>
      </c>
      <c r="J197" s="32"/>
      <c r="K197" s="32"/>
      <c r="L197" s="32"/>
      <c r="M197" s="32"/>
      <c r="N197" s="336"/>
      <c r="O197" s="32"/>
      <c r="P197" s="31"/>
      <c r="Q197" s="31"/>
      <c r="R197" s="31"/>
      <c r="S197" s="49">
        <f>E197*120</f>
        <v>19680</v>
      </c>
      <c r="T197" s="47">
        <v>7050</v>
      </c>
      <c r="U197" s="77"/>
      <c r="V197" s="49"/>
      <c r="W197" s="49"/>
      <c r="X197" s="49"/>
      <c r="Y197" s="49"/>
      <c r="Z197" s="49"/>
      <c r="AA197" s="49"/>
      <c r="AB197" s="49"/>
      <c r="AC197" s="49"/>
      <c r="AD197" s="49"/>
      <c r="AE197" s="49"/>
      <c r="AF197" s="49"/>
      <c r="AG197" s="49"/>
      <c r="AH197" s="49"/>
      <c r="AI197" s="49"/>
      <c r="AJ197" s="49"/>
      <c r="AK197" s="63"/>
      <c r="AL197" s="49"/>
      <c r="AM197" s="49"/>
      <c r="AN197" s="49"/>
      <c r="AO197" s="49"/>
      <c r="AP197" s="49"/>
      <c r="AQ197" s="49">
        <v>13000</v>
      </c>
      <c r="AR197" s="49"/>
      <c r="AS197" s="49"/>
      <c r="AT197" s="49"/>
      <c r="AU197" s="49"/>
      <c r="AV197" s="49"/>
      <c r="AW197" s="49"/>
      <c r="AX197" s="49"/>
      <c r="AY197" s="49"/>
      <c r="AZ197" s="49">
        <v>12400</v>
      </c>
      <c r="BA197" s="33">
        <f t="shared" si="2"/>
        <v>370</v>
      </c>
      <c r="BB197" s="43" t="s">
        <v>2490</v>
      </c>
    </row>
    <row r="198" spans="1:55" ht="46.5" customHeight="1" x14ac:dyDescent="0.35">
      <c r="A198" s="26">
        <v>181</v>
      </c>
      <c r="B198" s="27" t="s">
        <v>802</v>
      </c>
      <c r="C198" s="79" t="s">
        <v>134</v>
      </c>
      <c r="D198" s="298" t="s">
        <v>1188</v>
      </c>
      <c r="E198" s="98">
        <v>84</v>
      </c>
      <c r="F198" s="64" t="s">
        <v>30</v>
      </c>
      <c r="G198" s="112">
        <f>[1]DICIEMBRE!$BA$197</f>
        <v>0</v>
      </c>
      <c r="H198" s="45">
        <f>ENERO!BA203</f>
        <v>0</v>
      </c>
      <c r="I198" s="31">
        <f>FEBRERO!AX199</f>
        <v>0</v>
      </c>
      <c r="J198" s="32"/>
      <c r="K198" s="32"/>
      <c r="L198" s="32"/>
      <c r="M198" s="336"/>
      <c r="N198" s="32"/>
      <c r="O198" s="32"/>
      <c r="P198" s="33"/>
      <c r="Q198" s="31"/>
      <c r="R198" s="31"/>
      <c r="S198" s="49">
        <f>120*E198</f>
        <v>10080</v>
      </c>
      <c r="T198" s="47">
        <v>7600</v>
      </c>
      <c r="U198" s="48"/>
      <c r="V198" s="49"/>
      <c r="W198" s="49"/>
      <c r="X198" s="49"/>
      <c r="Y198" s="49"/>
      <c r="Z198" s="49"/>
      <c r="AA198" s="49"/>
      <c r="AB198" s="49"/>
      <c r="AC198" s="49"/>
      <c r="AD198" s="49"/>
      <c r="AE198" s="49"/>
      <c r="AF198" s="49"/>
      <c r="AG198" s="49"/>
      <c r="AH198" s="49"/>
      <c r="AI198" s="49"/>
      <c r="AJ198" s="49"/>
      <c r="AK198" s="49"/>
      <c r="AL198" s="49"/>
      <c r="AM198" s="50">
        <v>13000</v>
      </c>
      <c r="AN198" s="49">
        <v>4680</v>
      </c>
      <c r="AO198" s="49"/>
      <c r="AP198" s="49"/>
      <c r="AQ198" s="49"/>
      <c r="AR198" s="49"/>
      <c r="AS198" s="49"/>
      <c r="AT198" s="49"/>
      <c r="AU198" s="49"/>
      <c r="AV198" s="49"/>
      <c r="AW198" s="49"/>
      <c r="AX198" s="49"/>
      <c r="AY198" s="49"/>
      <c r="AZ198" s="49"/>
      <c r="BA198" s="33">
        <f t="shared" si="2"/>
        <v>0</v>
      </c>
      <c r="BB198" s="269" t="s">
        <v>2489</v>
      </c>
    </row>
    <row r="199" spans="1:55" ht="51" customHeight="1" x14ac:dyDescent="0.35">
      <c r="A199" s="26">
        <v>182</v>
      </c>
      <c r="B199" s="43" t="s">
        <v>2252</v>
      </c>
      <c r="C199" s="28"/>
      <c r="D199" s="300" t="s">
        <v>2249</v>
      </c>
      <c r="E199" s="98">
        <v>1</v>
      </c>
      <c r="F199" s="44" t="s">
        <v>30</v>
      </c>
      <c r="G199" s="234"/>
      <c r="H199" s="31"/>
      <c r="I199" s="45">
        <f>FEBRERO!AX200</f>
        <v>0</v>
      </c>
      <c r="J199" s="32"/>
      <c r="K199" s="32"/>
      <c r="L199" s="32"/>
      <c r="M199" s="336"/>
      <c r="N199" s="32"/>
      <c r="O199" s="32"/>
      <c r="P199" s="31"/>
      <c r="Q199" s="31"/>
      <c r="R199" s="31"/>
      <c r="S199" s="47">
        <f>300*E199</f>
        <v>300</v>
      </c>
      <c r="T199" s="47"/>
      <c r="U199" s="48"/>
      <c r="V199" s="49"/>
      <c r="W199" s="51"/>
      <c r="X199" s="49"/>
      <c r="Y199" s="50"/>
      <c r="Z199" s="49"/>
      <c r="AA199" s="49"/>
      <c r="AB199" s="49"/>
      <c r="AC199" s="49"/>
      <c r="AD199" s="49"/>
      <c r="AE199" s="49"/>
      <c r="AF199" s="49"/>
      <c r="AG199" s="49"/>
      <c r="AH199" s="49"/>
      <c r="AI199" s="49"/>
      <c r="AJ199" s="49"/>
      <c r="AK199" s="49"/>
      <c r="AL199" s="49"/>
      <c r="AM199" s="49">
        <v>300</v>
      </c>
      <c r="AN199" s="49"/>
      <c r="AO199" s="49"/>
      <c r="AP199" s="49"/>
      <c r="AQ199" s="49"/>
      <c r="AR199" s="49"/>
      <c r="AS199" s="49"/>
      <c r="AT199" s="49"/>
      <c r="AU199" s="49"/>
      <c r="AV199" s="49"/>
      <c r="AW199" s="49"/>
      <c r="AX199" s="49"/>
      <c r="AY199" s="49"/>
      <c r="AZ199" s="49"/>
      <c r="BA199" s="33">
        <f t="shared" si="2"/>
        <v>0</v>
      </c>
      <c r="BB199" s="43"/>
      <c r="BC199" s="76"/>
    </row>
    <row r="200" spans="1:55" ht="30" customHeight="1" x14ac:dyDescent="0.35">
      <c r="A200" s="26">
        <v>183</v>
      </c>
      <c r="B200" s="27" t="s">
        <v>135</v>
      </c>
      <c r="C200" s="28" t="s">
        <v>136</v>
      </c>
      <c r="D200" s="298" t="s">
        <v>1189</v>
      </c>
      <c r="E200" s="98">
        <v>19</v>
      </c>
      <c r="F200" s="44" t="s">
        <v>30</v>
      </c>
      <c r="G200" s="234">
        <f>[1]DICIEMBRE!$BA$198</f>
        <v>600</v>
      </c>
      <c r="H200" s="31">
        <f>ENERO!BA204</f>
        <v>2000</v>
      </c>
      <c r="I200" s="31">
        <f>FEBRERO!AX201</f>
        <v>2800</v>
      </c>
      <c r="J200" s="32"/>
      <c r="K200" s="32"/>
      <c r="L200" s="32"/>
      <c r="M200" s="336"/>
      <c r="N200" s="32"/>
      <c r="O200" s="32"/>
      <c r="P200" s="31"/>
      <c r="Q200" s="31"/>
      <c r="R200" s="31"/>
      <c r="S200" s="47">
        <f>100*E200</f>
        <v>1900</v>
      </c>
      <c r="T200" s="47">
        <f>2000*2</f>
        <v>4000</v>
      </c>
      <c r="U200" s="48"/>
      <c r="V200" s="49"/>
      <c r="W200" s="51"/>
      <c r="X200" s="49"/>
      <c r="Y200" s="50"/>
      <c r="Z200" s="49"/>
      <c r="AA200" s="49"/>
      <c r="AB200" s="49"/>
      <c r="AC200" s="49"/>
      <c r="AD200" s="49"/>
      <c r="AE200" s="49"/>
      <c r="AF200" s="49"/>
      <c r="AG200" s="49"/>
      <c r="AH200" s="49"/>
      <c r="AI200" s="49"/>
      <c r="AJ200" s="49"/>
      <c r="AK200" s="49"/>
      <c r="AL200" s="49"/>
      <c r="AM200" s="49"/>
      <c r="AN200" s="49"/>
      <c r="AO200" s="49">
        <v>2000</v>
      </c>
      <c r="AP200" s="49"/>
      <c r="AQ200" s="49"/>
      <c r="AR200" s="49"/>
      <c r="AS200" s="49"/>
      <c r="AT200" s="49"/>
      <c r="AU200" s="49"/>
      <c r="AV200" s="49">
        <v>2000</v>
      </c>
      <c r="AW200" s="49"/>
      <c r="AX200" s="49"/>
      <c r="AY200" s="49"/>
      <c r="AZ200" s="49"/>
      <c r="BA200" s="33">
        <f t="shared" si="2"/>
        <v>4700</v>
      </c>
      <c r="BB200" s="43" t="s">
        <v>2546</v>
      </c>
      <c r="BC200" s="76"/>
    </row>
    <row r="201" spans="1:55" ht="37.5" customHeight="1" x14ac:dyDescent="0.35">
      <c r="A201" s="26">
        <v>184</v>
      </c>
      <c r="B201" s="27" t="s">
        <v>137</v>
      </c>
      <c r="C201" s="28" t="s">
        <v>138</v>
      </c>
      <c r="D201" s="298" t="s">
        <v>1190</v>
      </c>
      <c r="E201" s="98">
        <v>2</v>
      </c>
      <c r="F201" s="44" t="s">
        <v>30</v>
      </c>
      <c r="G201" s="112">
        <f>[1]DICIEMBRE!$BA$199</f>
        <v>0</v>
      </c>
      <c r="H201" s="31">
        <f>ENERO!BA205</f>
        <v>0</v>
      </c>
      <c r="I201" s="31">
        <f>FEBRERO!AX202</f>
        <v>0</v>
      </c>
      <c r="J201" s="32"/>
      <c r="K201" s="32"/>
      <c r="L201" s="32"/>
      <c r="M201" s="32"/>
      <c r="N201" s="336"/>
      <c r="O201" s="33"/>
      <c r="P201" s="33"/>
      <c r="Q201" s="31"/>
      <c r="R201" s="31"/>
      <c r="S201" s="47">
        <v>500</v>
      </c>
      <c r="T201" s="47"/>
      <c r="U201" s="48"/>
      <c r="V201" s="49"/>
      <c r="W201" s="49"/>
      <c r="X201" s="49"/>
      <c r="Y201" s="49"/>
      <c r="Z201" s="49"/>
      <c r="AA201" s="49"/>
      <c r="AB201" s="49"/>
      <c r="AC201" s="49"/>
      <c r="AD201" s="50"/>
      <c r="AE201" s="49"/>
      <c r="AF201" s="49"/>
      <c r="AG201" s="49"/>
      <c r="AH201" s="49"/>
      <c r="AI201" s="49"/>
      <c r="AJ201" s="49"/>
      <c r="AK201" s="49"/>
      <c r="AL201" s="49"/>
      <c r="AM201" s="49"/>
      <c r="AN201" s="49">
        <v>1000</v>
      </c>
      <c r="AO201" s="49"/>
      <c r="AP201" s="49"/>
      <c r="AQ201" s="49"/>
      <c r="AR201" s="49"/>
      <c r="AS201" s="49"/>
      <c r="AT201" s="49"/>
      <c r="AU201" s="49"/>
      <c r="AV201" s="49"/>
      <c r="AW201" s="49"/>
      <c r="AX201" s="49"/>
      <c r="AY201" s="49"/>
      <c r="AZ201" s="49"/>
      <c r="BA201" s="33">
        <f t="shared" si="2"/>
        <v>-500</v>
      </c>
      <c r="BB201" s="43" t="s">
        <v>2523</v>
      </c>
    </row>
    <row r="202" spans="1:55" ht="78.75" customHeight="1" x14ac:dyDescent="0.35">
      <c r="A202" s="26">
        <v>185</v>
      </c>
      <c r="B202" s="43" t="s">
        <v>76</v>
      </c>
      <c r="C202" s="53" t="s">
        <v>77</v>
      </c>
      <c r="D202" s="298" t="s">
        <v>1191</v>
      </c>
      <c r="E202" s="98">
        <v>8</v>
      </c>
      <c r="F202" s="60" t="s">
        <v>35</v>
      </c>
      <c r="G202" s="234">
        <f>[1]DICIEMBRE!$BA$200</f>
        <v>-0.1000000000003638</v>
      </c>
      <c r="H202" s="45">
        <f>ENERO!BA206</f>
        <v>-0.1000000000003638</v>
      </c>
      <c r="I202" s="31">
        <f>FEBRERO!AX203</f>
        <v>0</v>
      </c>
      <c r="J202" s="32"/>
      <c r="K202" s="32"/>
      <c r="L202" s="32"/>
      <c r="M202" s="32"/>
      <c r="N202" s="32"/>
      <c r="O202" s="32"/>
      <c r="P202" s="31"/>
      <c r="Q202" s="31"/>
      <c r="R202" s="31"/>
      <c r="S202" s="66">
        <f>250*E202</f>
        <v>2000</v>
      </c>
      <c r="T202" s="66"/>
      <c r="U202" s="67"/>
      <c r="V202" s="68"/>
      <c r="W202" s="68"/>
      <c r="X202" s="68"/>
      <c r="Y202" s="68"/>
      <c r="Z202" s="68"/>
      <c r="AA202" s="68"/>
      <c r="AB202" s="68"/>
      <c r="AC202" s="68"/>
      <c r="AD202" s="68"/>
      <c r="AE202" s="63"/>
      <c r="AF202" s="68"/>
      <c r="AG202" s="68"/>
      <c r="AH202" s="68"/>
      <c r="AI202" s="68"/>
      <c r="AJ202" s="68"/>
      <c r="AK202" s="68"/>
      <c r="AL202" s="68"/>
      <c r="AM202" s="68"/>
      <c r="AN202" s="68"/>
      <c r="AO202" s="68"/>
      <c r="AP202" s="68"/>
      <c r="AQ202" s="68"/>
      <c r="AR202" s="68"/>
      <c r="AS202" s="68">
        <v>2000</v>
      </c>
      <c r="AT202" s="68"/>
      <c r="AU202" s="68"/>
      <c r="AV202" s="68"/>
      <c r="AW202" s="68"/>
      <c r="AX202" s="68"/>
      <c r="AY202" s="68"/>
      <c r="AZ202" s="68"/>
      <c r="BA202" s="33">
        <f t="shared" si="2"/>
        <v>0</v>
      </c>
      <c r="BB202" s="268" t="s">
        <v>2480</v>
      </c>
    </row>
    <row r="203" spans="1:55" ht="39.75" customHeight="1" x14ac:dyDescent="0.35">
      <c r="A203" s="26">
        <v>186</v>
      </c>
      <c r="B203" s="43" t="s">
        <v>140</v>
      </c>
      <c r="C203" s="53" t="s">
        <v>141</v>
      </c>
      <c r="D203" s="298" t="s">
        <v>1192</v>
      </c>
      <c r="E203" s="98">
        <v>1</v>
      </c>
      <c r="F203" s="44" t="s">
        <v>35</v>
      </c>
      <c r="G203" s="112">
        <f>[1]DICIEMBRE!$BA$201</f>
        <v>0</v>
      </c>
      <c r="H203" s="31">
        <f>ENERO!BA207</f>
        <v>250</v>
      </c>
      <c r="I203" s="45">
        <f>FEBRERO!AX204</f>
        <v>500</v>
      </c>
      <c r="J203" s="32"/>
      <c r="K203" s="33"/>
      <c r="L203" s="336"/>
      <c r="M203" s="32"/>
      <c r="N203" s="336"/>
      <c r="O203" s="33"/>
      <c r="P203" s="31"/>
      <c r="Q203" s="31"/>
      <c r="R203" s="31"/>
      <c r="S203" s="66">
        <v>250</v>
      </c>
      <c r="T203" s="66"/>
      <c r="U203" s="67"/>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33">
        <f t="shared" si="2"/>
        <v>750</v>
      </c>
      <c r="BB203" s="43"/>
    </row>
    <row r="204" spans="1:55" ht="54.75" customHeight="1" x14ac:dyDescent="0.35">
      <c r="A204" s="26">
        <v>187</v>
      </c>
      <c r="B204" s="43" t="s">
        <v>2242</v>
      </c>
      <c r="C204" s="53"/>
      <c r="D204" s="300" t="s">
        <v>2243</v>
      </c>
      <c r="E204" s="98">
        <v>3</v>
      </c>
      <c r="F204" s="44" t="s">
        <v>35</v>
      </c>
      <c r="G204" s="112"/>
      <c r="H204" s="31"/>
      <c r="I204" s="31">
        <f>FEBRERO!AX205</f>
        <v>0</v>
      </c>
      <c r="J204" s="32"/>
      <c r="K204" s="33"/>
      <c r="L204" s="336"/>
      <c r="M204" s="32"/>
      <c r="N204" s="336"/>
      <c r="O204" s="33"/>
      <c r="P204" s="31"/>
      <c r="Q204" s="31"/>
      <c r="R204" s="31"/>
      <c r="S204" s="66">
        <f>350*E204+650</f>
        <v>1700</v>
      </c>
      <c r="T204" s="66"/>
      <c r="U204" s="67"/>
      <c r="V204" s="63"/>
      <c r="W204" s="63"/>
      <c r="X204" s="63"/>
      <c r="Y204" s="63"/>
      <c r="Z204" s="63"/>
      <c r="AA204" s="63"/>
      <c r="AB204" s="63"/>
      <c r="AC204" s="63"/>
      <c r="AD204" s="63"/>
      <c r="AE204" s="63"/>
      <c r="AF204" s="63"/>
      <c r="AG204" s="63"/>
      <c r="AH204" s="63">
        <v>1700</v>
      </c>
      <c r="AI204" s="63"/>
      <c r="AJ204" s="63"/>
      <c r="AK204" s="63"/>
      <c r="AL204" s="63"/>
      <c r="AM204" s="63"/>
      <c r="AN204" s="63"/>
      <c r="AO204" s="63"/>
      <c r="AP204" s="63"/>
      <c r="AQ204" s="63"/>
      <c r="AR204" s="63"/>
      <c r="AS204" s="63"/>
      <c r="AT204" s="63"/>
      <c r="AU204" s="63"/>
      <c r="AV204" s="63"/>
      <c r="AW204" s="63"/>
      <c r="AX204" s="63"/>
      <c r="AY204" s="63"/>
      <c r="AZ204" s="63"/>
      <c r="BA204" s="33">
        <f t="shared" si="2"/>
        <v>0</v>
      </c>
      <c r="BB204" s="43"/>
    </row>
    <row r="205" spans="1:55" ht="54.75" customHeight="1" x14ac:dyDescent="0.35">
      <c r="A205" s="26">
        <v>188</v>
      </c>
      <c r="B205" s="43" t="s">
        <v>2256</v>
      </c>
      <c r="C205" s="53"/>
      <c r="D205" s="300" t="s">
        <v>2260</v>
      </c>
      <c r="E205" s="98">
        <v>1</v>
      </c>
      <c r="F205" s="44" t="s">
        <v>30</v>
      </c>
      <c r="G205" s="112"/>
      <c r="H205" s="31"/>
      <c r="I205" s="31">
        <f>FEBRERO!AX206</f>
        <v>0</v>
      </c>
      <c r="J205" s="32"/>
      <c r="K205" s="33"/>
      <c r="L205" s="336"/>
      <c r="M205" s="32"/>
      <c r="N205" s="336"/>
      <c r="O205" s="33"/>
      <c r="P205" s="31"/>
      <c r="Q205" s="31"/>
      <c r="R205" s="31"/>
      <c r="S205" s="66">
        <f>299*E205</f>
        <v>299</v>
      </c>
      <c r="T205" s="66"/>
      <c r="U205" s="67"/>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v>299</v>
      </c>
      <c r="AW205" s="63"/>
      <c r="AX205" s="63"/>
      <c r="AY205" s="63"/>
      <c r="AZ205" s="63"/>
      <c r="BA205" s="33">
        <f t="shared" si="2"/>
        <v>0</v>
      </c>
      <c r="BB205" s="43"/>
    </row>
    <row r="206" spans="1:55" ht="54.75" customHeight="1" x14ac:dyDescent="0.35">
      <c r="A206" s="26">
        <v>189</v>
      </c>
      <c r="B206" s="43" t="s">
        <v>2298</v>
      </c>
      <c r="C206" s="53"/>
      <c r="D206" s="300" t="s">
        <v>2302</v>
      </c>
      <c r="E206" s="98">
        <v>1</v>
      </c>
      <c r="F206" s="44"/>
      <c r="G206" s="112"/>
      <c r="H206" s="31"/>
      <c r="I206" s="45">
        <f>FEBRERO!AX207</f>
        <v>0</v>
      </c>
      <c r="J206" s="32"/>
      <c r="K206" s="33"/>
      <c r="L206" s="336"/>
      <c r="M206" s="32"/>
      <c r="N206" s="336"/>
      <c r="O206" s="33"/>
      <c r="P206" s="31"/>
      <c r="Q206" s="31"/>
      <c r="R206" s="31"/>
      <c r="S206" s="66"/>
      <c r="T206" s="66"/>
      <c r="U206" s="67"/>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33">
        <f t="shared" si="2"/>
        <v>0</v>
      </c>
      <c r="BB206" s="43" t="s">
        <v>2301</v>
      </c>
    </row>
    <row r="207" spans="1:55" ht="62.25" customHeight="1" x14ac:dyDescent="0.35">
      <c r="A207" s="26">
        <v>190</v>
      </c>
      <c r="B207" s="43" t="s">
        <v>2526</v>
      </c>
      <c r="C207" s="53"/>
      <c r="D207" s="300" t="s">
        <v>2527</v>
      </c>
      <c r="E207" s="98">
        <v>2</v>
      </c>
      <c r="F207" s="44" t="s">
        <v>30</v>
      </c>
      <c r="G207" s="112"/>
      <c r="H207" s="31"/>
      <c r="I207" s="45"/>
      <c r="J207" s="32"/>
      <c r="K207" s="33"/>
      <c r="L207" s="336"/>
      <c r="M207" s="32"/>
      <c r="N207" s="336"/>
      <c r="O207" s="33"/>
      <c r="P207" s="31"/>
      <c r="Q207" s="31"/>
      <c r="R207" s="31"/>
      <c r="S207" s="66">
        <f>300*E207</f>
        <v>600</v>
      </c>
      <c r="T207" s="66">
        <f>1800*2</f>
        <v>3600</v>
      </c>
      <c r="U207" s="67"/>
      <c r="V207" s="63"/>
      <c r="W207" s="63"/>
      <c r="X207" s="63"/>
      <c r="Y207" s="63"/>
      <c r="Z207" s="63"/>
      <c r="AA207" s="63"/>
      <c r="AB207" s="63"/>
      <c r="AC207" s="63"/>
      <c r="AD207" s="63"/>
      <c r="AE207" s="63"/>
      <c r="AF207" s="63"/>
      <c r="AG207" s="63"/>
      <c r="AH207" s="63"/>
      <c r="AI207" s="63"/>
      <c r="AJ207" s="63"/>
      <c r="AK207" s="63"/>
      <c r="AL207" s="63"/>
      <c r="AM207" s="63"/>
      <c r="AN207" s="63"/>
      <c r="AO207" s="63">
        <v>2100</v>
      </c>
      <c r="AP207" s="63"/>
      <c r="AQ207" s="63"/>
      <c r="AR207" s="63"/>
      <c r="AS207" s="63"/>
      <c r="AT207" s="63"/>
      <c r="AU207" s="63">
        <v>2100</v>
      </c>
      <c r="AV207" s="63"/>
      <c r="AW207" s="63"/>
      <c r="AX207" s="63"/>
      <c r="AY207" s="63"/>
      <c r="AZ207" s="63"/>
      <c r="BA207" s="33">
        <f t="shared" si="2"/>
        <v>0</v>
      </c>
      <c r="BB207" s="43" t="s">
        <v>2549</v>
      </c>
    </row>
    <row r="208" spans="1:55" ht="76.5" customHeight="1" x14ac:dyDescent="0.35">
      <c r="A208" s="26">
        <v>191</v>
      </c>
      <c r="B208" s="27" t="s">
        <v>142</v>
      </c>
      <c r="C208" s="28" t="s">
        <v>143</v>
      </c>
      <c r="D208" s="307" t="s">
        <v>1193</v>
      </c>
      <c r="E208" s="99">
        <v>4</v>
      </c>
      <c r="F208" s="44" t="s">
        <v>35</v>
      </c>
      <c r="G208" s="234">
        <f>[1]DICIEMBRE!$BA$202</f>
        <v>-0.73000000000047294</v>
      </c>
      <c r="H208" s="31">
        <f>ENERO!BA208</f>
        <v>-0.73000000000047294</v>
      </c>
      <c r="I208" s="31">
        <f>FEBRERO!AX208</f>
        <v>-4.5474735088646412E-13</v>
      </c>
      <c r="J208" s="32"/>
      <c r="K208" s="32"/>
      <c r="L208" s="32"/>
      <c r="M208" s="32"/>
      <c r="N208" s="32"/>
      <c r="O208" s="32"/>
      <c r="P208" s="33"/>
      <c r="Q208" s="31"/>
      <c r="R208" s="31"/>
      <c r="S208" s="47">
        <f>250*E208</f>
        <v>1000</v>
      </c>
      <c r="T208" s="47"/>
      <c r="U208" s="48">
        <v>500</v>
      </c>
      <c r="V208" s="49"/>
      <c r="W208" s="49"/>
      <c r="X208" s="50"/>
      <c r="Y208" s="49"/>
      <c r="Z208" s="49"/>
      <c r="AA208" s="49"/>
      <c r="AB208" s="50"/>
      <c r="AC208" s="49"/>
      <c r="AD208" s="49"/>
      <c r="AE208" s="49"/>
      <c r="AF208" s="50"/>
      <c r="AG208" s="49"/>
      <c r="AH208" s="49"/>
      <c r="AI208" s="50"/>
      <c r="AJ208" s="49"/>
      <c r="AK208" s="49"/>
      <c r="AL208" s="49"/>
      <c r="AM208" s="50"/>
      <c r="AN208" s="49">
        <v>500</v>
      </c>
      <c r="AO208" s="49"/>
      <c r="AP208" s="50"/>
      <c r="AQ208" s="49"/>
      <c r="AR208" s="49"/>
      <c r="AS208" s="49"/>
      <c r="AT208" s="49"/>
      <c r="AU208" s="49"/>
      <c r="AV208" s="49"/>
      <c r="AW208" s="49"/>
      <c r="AX208" s="49"/>
      <c r="AY208" s="49"/>
      <c r="AZ208" s="49"/>
      <c r="BA208" s="33">
        <f t="shared" si="2"/>
        <v>-4.5474735088646412E-13</v>
      </c>
      <c r="BB208" s="43" t="s">
        <v>2307</v>
      </c>
    </row>
    <row r="209" spans="1:54" ht="57.75" customHeight="1" x14ac:dyDescent="0.35">
      <c r="A209" s="26">
        <v>192</v>
      </c>
      <c r="B209" s="43" t="s">
        <v>2575</v>
      </c>
      <c r="C209" s="28"/>
      <c r="D209" s="300" t="s">
        <v>2576</v>
      </c>
      <c r="E209" s="98">
        <v>1</v>
      </c>
      <c r="F209" s="44" t="s">
        <v>30</v>
      </c>
      <c r="G209" s="234"/>
      <c r="H209" s="31"/>
      <c r="I209" s="31"/>
      <c r="J209" s="32"/>
      <c r="K209" s="32"/>
      <c r="L209" s="32"/>
      <c r="M209" s="32"/>
      <c r="N209" s="32"/>
      <c r="O209" s="32"/>
      <c r="P209" s="33"/>
      <c r="Q209" s="31"/>
      <c r="R209" s="31"/>
      <c r="S209" s="47">
        <f>300*0.16+300</f>
        <v>348</v>
      </c>
      <c r="T209" s="47">
        <f>549*0.16+549</f>
        <v>636.84</v>
      </c>
      <c r="U209" s="48"/>
      <c r="V209" s="49"/>
      <c r="W209" s="49"/>
      <c r="X209" s="50"/>
      <c r="Y209" s="49"/>
      <c r="Z209" s="49"/>
      <c r="AA209" s="49"/>
      <c r="AB209" s="50"/>
      <c r="AC209" s="49"/>
      <c r="AD209" s="49"/>
      <c r="AE209" s="49"/>
      <c r="AF209" s="50"/>
      <c r="AG209" s="49"/>
      <c r="AH209" s="49"/>
      <c r="AI209" s="50"/>
      <c r="AJ209" s="49"/>
      <c r="AK209" s="49"/>
      <c r="AL209" s="49"/>
      <c r="AM209" s="50"/>
      <c r="AN209" s="49"/>
      <c r="AO209" s="49"/>
      <c r="AP209" s="50"/>
      <c r="AQ209" s="49"/>
      <c r="AR209" s="49"/>
      <c r="AS209" s="49"/>
      <c r="AT209" s="49"/>
      <c r="AU209" s="49"/>
      <c r="AV209" s="49"/>
      <c r="AW209" s="49"/>
      <c r="AX209" s="49">
        <v>985</v>
      </c>
      <c r="AY209" s="49"/>
      <c r="AZ209" s="49"/>
      <c r="BA209" s="33">
        <f t="shared" si="2"/>
        <v>-0.15999999999996817</v>
      </c>
      <c r="BB209" s="43" t="s">
        <v>2577</v>
      </c>
    </row>
    <row r="210" spans="1:54" s="5" customFormat="1" ht="49.5" customHeight="1" x14ac:dyDescent="0.35">
      <c r="A210" s="26">
        <v>193</v>
      </c>
      <c r="B210" s="43" t="s">
        <v>251</v>
      </c>
      <c r="C210" s="53" t="s">
        <v>1264</v>
      </c>
      <c r="D210" s="308" t="s">
        <v>1194</v>
      </c>
      <c r="E210" s="99">
        <v>2</v>
      </c>
      <c r="F210" s="44" t="s">
        <v>30</v>
      </c>
      <c r="G210" s="112">
        <f>[1]DICIEMBRE!$BA$203</f>
        <v>-3.3399999999999181</v>
      </c>
      <c r="H210" s="45">
        <f>ENERO!BA209</f>
        <v>-3.3399999999999181</v>
      </c>
      <c r="I210" s="45">
        <f>FEBRERO!AX209</f>
        <v>5.6843418860808015E-14</v>
      </c>
      <c r="J210" s="32"/>
      <c r="K210" s="32"/>
      <c r="L210" s="32"/>
      <c r="M210" s="336"/>
      <c r="N210" s="32"/>
      <c r="O210" s="32"/>
      <c r="P210" s="31"/>
      <c r="Q210" s="31"/>
      <c r="R210" s="31"/>
      <c r="S210" s="47">
        <f>250*E210</f>
        <v>500</v>
      </c>
      <c r="T210" s="310"/>
      <c r="U210" s="311"/>
      <c r="V210" s="86"/>
      <c r="W210" s="312"/>
      <c r="X210" s="86"/>
      <c r="Y210" s="86"/>
      <c r="Z210" s="86"/>
      <c r="AA210" s="312"/>
      <c r="AB210" s="86"/>
      <c r="AC210" s="86"/>
      <c r="AD210" s="86"/>
      <c r="AE210" s="312"/>
      <c r="AF210" s="86"/>
      <c r="AG210" s="86"/>
      <c r="AH210" s="312"/>
      <c r="AI210" s="313"/>
      <c r="AJ210" s="86"/>
      <c r="AK210" s="86"/>
      <c r="AL210" s="312"/>
      <c r="AM210" s="86"/>
      <c r="AN210" s="86"/>
      <c r="AO210" s="312"/>
      <c r="AP210" s="86"/>
      <c r="AQ210" s="86"/>
      <c r="AR210" s="86"/>
      <c r="AS210" s="86">
        <v>500</v>
      </c>
      <c r="AT210" s="86"/>
      <c r="AU210" s="86"/>
      <c r="AV210" s="86"/>
      <c r="AW210" s="86"/>
      <c r="AX210" s="86"/>
      <c r="AY210" s="86"/>
      <c r="AZ210" s="86"/>
      <c r="BA210" s="33">
        <f t="shared" si="2"/>
        <v>5.6843418860808015E-14</v>
      </c>
      <c r="BB210" s="43"/>
    </row>
    <row r="211" spans="1:54" ht="68.25" customHeight="1" x14ac:dyDescent="0.35">
      <c r="A211" s="26">
        <v>194</v>
      </c>
      <c r="B211" s="43" t="s">
        <v>144</v>
      </c>
      <c r="C211" s="43" t="s">
        <v>145</v>
      </c>
      <c r="D211" s="307" t="s">
        <v>1195</v>
      </c>
      <c r="E211" s="98">
        <v>14</v>
      </c>
      <c r="F211" s="44" t="s">
        <v>30</v>
      </c>
      <c r="G211" s="234">
        <f>[1]DICIEMBRE!$BA$204</f>
        <v>0</v>
      </c>
      <c r="H211" s="31">
        <f>ENERO!BA210</f>
        <v>0</v>
      </c>
      <c r="I211" s="31">
        <f>FEBRERO!AX210</f>
        <v>0</v>
      </c>
      <c r="J211" s="32"/>
      <c r="K211" s="33"/>
      <c r="L211" s="336"/>
      <c r="M211" s="32"/>
      <c r="N211" s="336"/>
      <c r="O211" s="33"/>
      <c r="P211" s="33"/>
      <c r="Q211" s="31"/>
      <c r="R211" s="31"/>
      <c r="S211" s="47">
        <f>300*E211</f>
        <v>4200</v>
      </c>
      <c r="T211" s="47"/>
      <c r="U211" s="48"/>
      <c r="V211" s="49"/>
      <c r="W211" s="49"/>
      <c r="X211" s="49"/>
      <c r="Y211" s="49"/>
      <c r="Z211" s="49"/>
      <c r="AA211" s="49"/>
      <c r="AB211" s="49"/>
      <c r="AC211" s="49"/>
      <c r="AD211" s="49"/>
      <c r="AE211" s="49"/>
      <c r="AF211" s="49"/>
      <c r="AG211" s="49"/>
      <c r="AH211" s="49"/>
      <c r="AI211" s="49"/>
      <c r="AJ211" s="49"/>
      <c r="AK211" s="63"/>
      <c r="AL211" s="49"/>
      <c r="AM211" s="49"/>
      <c r="AN211" s="49"/>
      <c r="AO211" s="49">
        <v>4200</v>
      </c>
      <c r="AP211" s="49"/>
      <c r="AQ211" s="49"/>
      <c r="AR211" s="49"/>
      <c r="AS211" s="49"/>
      <c r="AT211" s="49"/>
      <c r="AU211" s="49"/>
      <c r="AV211" s="49"/>
      <c r="AW211" s="49"/>
      <c r="AX211" s="49"/>
      <c r="AY211" s="49"/>
      <c r="AZ211" s="49"/>
      <c r="BA211" s="33">
        <f t="shared" si="2"/>
        <v>0</v>
      </c>
      <c r="BB211" s="43"/>
    </row>
    <row r="212" spans="1:54" ht="68.25" customHeight="1" x14ac:dyDescent="0.35">
      <c r="A212" s="26">
        <v>195</v>
      </c>
      <c r="B212" s="43" t="s">
        <v>261</v>
      </c>
      <c r="C212" s="43"/>
      <c r="D212" s="307" t="s">
        <v>2043</v>
      </c>
      <c r="E212" s="98"/>
      <c r="F212" s="44"/>
      <c r="G212" s="234"/>
      <c r="H212" s="31"/>
      <c r="I212" s="31">
        <v>450</v>
      </c>
      <c r="J212" s="32"/>
      <c r="K212" s="33"/>
      <c r="L212" s="336"/>
      <c r="M212" s="32"/>
      <c r="N212" s="336"/>
      <c r="O212" s="33"/>
      <c r="P212" s="33"/>
      <c r="Q212" s="31"/>
      <c r="R212" s="31"/>
      <c r="S212" s="47"/>
      <c r="T212" s="47">
        <v>2200</v>
      </c>
      <c r="U212" s="48"/>
      <c r="V212" s="49"/>
      <c r="W212" s="49"/>
      <c r="X212" s="49"/>
      <c r="Y212" s="49"/>
      <c r="Z212" s="49"/>
      <c r="AA212" s="49"/>
      <c r="AB212" s="49"/>
      <c r="AC212" s="49"/>
      <c r="AD212" s="49"/>
      <c r="AE212" s="49"/>
      <c r="AF212" s="49"/>
      <c r="AG212" s="49"/>
      <c r="AH212" s="49"/>
      <c r="AI212" s="49"/>
      <c r="AJ212" s="49"/>
      <c r="AK212" s="63"/>
      <c r="AL212" s="49"/>
      <c r="AM212" s="49"/>
      <c r="AN212" s="49"/>
      <c r="AO212" s="49"/>
      <c r="AP212" s="49"/>
      <c r="AQ212" s="49"/>
      <c r="AR212" s="49"/>
      <c r="AS212" s="49"/>
      <c r="AT212" s="49"/>
      <c r="AU212" s="49"/>
      <c r="AV212" s="49"/>
      <c r="AW212" s="49"/>
      <c r="AX212" s="49">
        <v>2650</v>
      </c>
      <c r="AY212" s="49"/>
      <c r="AZ212" s="49"/>
      <c r="BA212" s="33">
        <f t="shared" si="2"/>
        <v>0</v>
      </c>
      <c r="BB212" s="43" t="s">
        <v>2540</v>
      </c>
    </row>
    <row r="213" spans="1:54" ht="68.25" customHeight="1" x14ac:dyDescent="0.35">
      <c r="A213" s="26">
        <v>196</v>
      </c>
      <c r="B213" s="43" t="s">
        <v>2531</v>
      </c>
      <c r="C213" s="43"/>
      <c r="D213" s="307" t="s">
        <v>2043</v>
      </c>
      <c r="E213" s="98">
        <v>1</v>
      </c>
      <c r="F213" s="44"/>
      <c r="G213" s="234"/>
      <c r="H213" s="31"/>
      <c r="I213" s="31"/>
      <c r="J213" s="32"/>
      <c r="K213" s="33"/>
      <c r="L213" s="336"/>
      <c r="M213" s="32"/>
      <c r="N213" s="336"/>
      <c r="O213" s="33"/>
      <c r="P213" s="33"/>
      <c r="Q213" s="31"/>
      <c r="R213" s="31"/>
      <c r="S213" s="47"/>
      <c r="T213" s="47">
        <v>1850</v>
      </c>
      <c r="U213" s="48"/>
      <c r="V213" s="49"/>
      <c r="W213" s="49"/>
      <c r="X213" s="49"/>
      <c r="Y213" s="49"/>
      <c r="Z213" s="49"/>
      <c r="AA213" s="49"/>
      <c r="AB213" s="49"/>
      <c r="AC213" s="49"/>
      <c r="AD213" s="49"/>
      <c r="AE213" s="49"/>
      <c r="AF213" s="49"/>
      <c r="AG213" s="49"/>
      <c r="AH213" s="49"/>
      <c r="AI213" s="49"/>
      <c r="AJ213" s="49"/>
      <c r="AK213" s="63"/>
      <c r="AL213" s="49"/>
      <c r="AM213" s="49"/>
      <c r="AN213" s="49"/>
      <c r="AO213" s="49"/>
      <c r="AP213" s="49">
        <v>1850</v>
      </c>
      <c r="AQ213" s="49"/>
      <c r="AR213" s="49"/>
      <c r="AS213" s="49"/>
      <c r="AT213" s="49"/>
      <c r="AU213" s="49"/>
      <c r="AV213" s="49"/>
      <c r="AW213" s="49"/>
      <c r="AX213" s="49"/>
      <c r="AY213" s="49"/>
      <c r="AZ213" s="49"/>
      <c r="BA213" s="33">
        <f t="shared" si="2"/>
        <v>0</v>
      </c>
      <c r="BB213" s="43" t="s">
        <v>2532</v>
      </c>
    </row>
    <row r="214" spans="1:54" ht="68.25" customHeight="1" x14ac:dyDescent="0.35">
      <c r="A214" s="26">
        <v>197</v>
      </c>
      <c r="B214" s="43" t="s">
        <v>369</v>
      </c>
      <c r="C214" s="43"/>
      <c r="D214" s="298" t="s">
        <v>2439</v>
      </c>
      <c r="E214" s="385">
        <v>6</v>
      </c>
      <c r="F214" s="44"/>
      <c r="G214" s="234"/>
      <c r="H214" s="31"/>
      <c r="I214" s="31"/>
      <c r="J214" s="32"/>
      <c r="K214" s="33"/>
      <c r="L214" s="336"/>
      <c r="M214" s="32"/>
      <c r="N214" s="336"/>
      <c r="O214" s="33"/>
      <c r="P214" s="33"/>
      <c r="Q214" s="31"/>
      <c r="R214" s="31"/>
      <c r="S214" s="47">
        <v>6000</v>
      </c>
      <c r="T214" s="47"/>
      <c r="U214" s="48"/>
      <c r="V214" s="49"/>
      <c r="W214" s="49"/>
      <c r="X214" s="49"/>
      <c r="Y214" s="49"/>
      <c r="Z214" s="49"/>
      <c r="AA214" s="49"/>
      <c r="AB214" s="49"/>
      <c r="AC214" s="49"/>
      <c r="AD214" s="49"/>
      <c r="AE214" s="49"/>
      <c r="AF214" s="49"/>
      <c r="AG214" s="49"/>
      <c r="AH214" s="49"/>
      <c r="AI214" s="49"/>
      <c r="AJ214" s="49"/>
      <c r="AK214" s="63"/>
      <c r="AL214" s="49"/>
      <c r="AM214" s="49"/>
      <c r="AN214" s="49"/>
      <c r="AO214" s="49"/>
      <c r="AP214" s="49"/>
      <c r="AQ214" s="49"/>
      <c r="AR214" s="49"/>
      <c r="AS214" s="49"/>
      <c r="AT214" s="49"/>
      <c r="AU214" s="49"/>
      <c r="AV214" s="49"/>
      <c r="AW214" s="49">
        <v>3000</v>
      </c>
      <c r="AX214" s="49"/>
      <c r="AY214" s="49"/>
      <c r="AZ214" s="49"/>
      <c r="BA214" s="33">
        <f t="shared" si="2"/>
        <v>3000</v>
      </c>
      <c r="BB214" s="43" t="s">
        <v>2429</v>
      </c>
    </row>
    <row r="215" spans="1:54" ht="45.75" customHeight="1" x14ac:dyDescent="0.35">
      <c r="A215" s="26">
        <v>198</v>
      </c>
      <c r="B215" s="256" t="s">
        <v>146</v>
      </c>
      <c r="C215" s="53" t="s">
        <v>147</v>
      </c>
      <c r="D215" s="298" t="s">
        <v>1196</v>
      </c>
      <c r="E215" s="98">
        <v>3</v>
      </c>
      <c r="F215" s="64" t="s">
        <v>30</v>
      </c>
      <c r="G215" s="112">
        <f>[1]DICIEMBRE!$BA$209</f>
        <v>0</v>
      </c>
      <c r="H215" s="45">
        <f>ENERO!BA213</f>
        <v>200</v>
      </c>
      <c r="I215" s="31">
        <f>FEBRERO!AX212</f>
        <v>0</v>
      </c>
      <c r="J215" s="32"/>
      <c r="K215" s="33"/>
      <c r="L215" s="32"/>
      <c r="M215" s="32"/>
      <c r="N215" s="336"/>
      <c r="O215" s="32"/>
      <c r="P215" s="33"/>
      <c r="Q215" s="31"/>
      <c r="R215" s="31"/>
      <c r="S215" s="47">
        <f>100*E215</f>
        <v>300</v>
      </c>
      <c r="T215" s="61"/>
      <c r="U215" s="72"/>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49"/>
      <c r="AU215" s="49"/>
      <c r="AV215" s="49"/>
      <c r="AW215" s="49"/>
      <c r="AX215" s="49"/>
      <c r="AY215" s="49"/>
      <c r="AZ215" s="49"/>
      <c r="BA215" s="33">
        <f t="shared" si="2"/>
        <v>300</v>
      </c>
      <c r="BB215" s="269" t="s">
        <v>2524</v>
      </c>
    </row>
    <row r="216" spans="1:54" ht="23.25" customHeight="1" thickBot="1" x14ac:dyDescent="0.4">
      <c r="A216" s="26"/>
      <c r="B216" s="80"/>
      <c r="C216" s="81"/>
      <c r="D216" s="82"/>
      <c r="E216" s="83">
        <f>SUM(E18:E215)</f>
        <v>2174</v>
      </c>
      <c r="F216" s="84"/>
      <c r="G216" s="85">
        <f>SUM(G18:G215)</f>
        <v>34476.146400000027</v>
      </c>
      <c r="H216" s="85">
        <f>SUM(H18:H215)</f>
        <v>44143.394400000034</v>
      </c>
      <c r="I216" s="46">
        <f>SUM(I18:I215)-H216</f>
        <v>6487.8524000000107</v>
      </c>
      <c r="J216" s="46">
        <f>SUM(J31:J215)</f>
        <v>0</v>
      </c>
      <c r="K216" s="46">
        <f>SUM(K31:K215)</f>
        <v>0</v>
      </c>
      <c r="L216" s="46">
        <f>SUM(L31:L215)</f>
        <v>0</v>
      </c>
      <c r="M216" s="46">
        <f>SUM(M31:M215)</f>
        <v>0</v>
      </c>
      <c r="N216" s="46">
        <f>SUM(N31:N215)</f>
        <v>0</v>
      </c>
      <c r="O216" s="46">
        <f>SUM(O31+O97+O29+O19+O77+O21+O22+O24+O55+O27+O28+O93+O94+O30+O91+O34+O35+O74+O36+O37+O53+O78+O40+O42+O103+O23+O50+O46+O76+O47+O48+O100+O52+O38+O58+O219+O62+O25+O64+O54+O68+O70+O71+O72+O20+O73+O32+O75+O79+O80+O83+O84+O57+O85+O87+O18+O95+O96+O105+O61+O63+O60+O106+O108+O109+O112+O113+O114+O118+O120+O123+O124+O131+O132+O133+O134+O135+O136+O137+O141+O142+O221+O144+O146+O148+O150+O152+O153+O154+O155+O157+O222+O161+O162+O163+O164+O165+O169+O171+O172+O173+O175+O176+O177+O178+O179+O223+O183+O184+O186+O188+O189+O192+O193+O194+O195+O196+O197+O198+O200+O201+O202+O203+O208+O210+O211+O215)</f>
        <v>0</v>
      </c>
      <c r="P216" s="46">
        <f>SUM(P31:P215)</f>
        <v>0</v>
      </c>
      <c r="Q216" s="46">
        <f>SUM(Q31:Q215)</f>
        <v>0</v>
      </c>
      <c r="R216" s="46">
        <f>SUM(R31:R215)</f>
        <v>0</v>
      </c>
      <c r="S216" s="86">
        <f>SUM(S18:S215)</f>
        <v>414876.67199999996</v>
      </c>
      <c r="T216" s="86">
        <f>SUM(T18:T215)</f>
        <v>165051.58919999999</v>
      </c>
      <c r="U216" s="87">
        <f>-SUM(U18:U215)</f>
        <v>-3632</v>
      </c>
      <c r="V216" s="191">
        <f t="shared" ref="V216:AZ216" si="3">SUM(V18:V215)</f>
        <v>4330.8599999999997</v>
      </c>
      <c r="W216" s="191">
        <f t="shared" si="3"/>
        <v>0</v>
      </c>
      <c r="X216" s="191">
        <f t="shared" si="3"/>
        <v>14599</v>
      </c>
      <c r="Y216" s="191">
        <f t="shared" si="3"/>
        <v>17182.64</v>
      </c>
      <c r="Z216" s="191">
        <f t="shared" si="3"/>
        <v>53590.92</v>
      </c>
      <c r="AA216" s="191">
        <f t="shared" si="3"/>
        <v>25266.16</v>
      </c>
      <c r="AB216" s="191">
        <f t="shared" si="3"/>
        <v>27673.64</v>
      </c>
      <c r="AC216" s="191">
        <f t="shared" si="3"/>
        <v>7923</v>
      </c>
      <c r="AD216" s="191">
        <f t="shared" si="3"/>
        <v>250</v>
      </c>
      <c r="AE216" s="191">
        <f t="shared" si="3"/>
        <v>20705.68</v>
      </c>
      <c r="AF216" s="191">
        <f t="shared" si="3"/>
        <v>14547.84</v>
      </c>
      <c r="AG216" s="191">
        <f t="shared" si="3"/>
        <v>2542</v>
      </c>
      <c r="AH216" s="191">
        <f t="shared" si="3"/>
        <v>13265.64</v>
      </c>
      <c r="AI216" s="191">
        <f t="shared" si="3"/>
        <v>31412.48</v>
      </c>
      <c r="AJ216" s="191">
        <f t="shared" si="3"/>
        <v>1946</v>
      </c>
      <c r="AK216" s="191">
        <f t="shared" si="3"/>
        <v>9205.76</v>
      </c>
      <c r="AL216" s="191">
        <f t="shared" si="3"/>
        <v>0</v>
      </c>
      <c r="AM216" s="191">
        <f t="shared" si="3"/>
        <v>60586.239999999998</v>
      </c>
      <c r="AN216" s="191">
        <f t="shared" si="3"/>
        <v>17937.599999999999</v>
      </c>
      <c r="AO216" s="191">
        <f t="shared" si="3"/>
        <v>52770.7</v>
      </c>
      <c r="AP216" s="191">
        <f t="shared" si="3"/>
        <v>7559.36</v>
      </c>
      <c r="AQ216" s="191">
        <f t="shared" si="3"/>
        <v>16061</v>
      </c>
      <c r="AR216" s="191">
        <f t="shared" si="3"/>
        <v>0</v>
      </c>
      <c r="AS216" s="191">
        <f t="shared" si="3"/>
        <v>3150</v>
      </c>
      <c r="AT216" s="191">
        <f t="shared" si="3"/>
        <v>53056.24</v>
      </c>
      <c r="AU216" s="191">
        <f t="shared" si="3"/>
        <v>2100</v>
      </c>
      <c r="AV216" s="191">
        <f t="shared" si="3"/>
        <v>76847</v>
      </c>
      <c r="AW216" s="191">
        <f t="shared" si="3"/>
        <v>22280.080000000002</v>
      </c>
      <c r="AX216" s="191">
        <f t="shared" si="3"/>
        <v>6495</v>
      </c>
      <c r="AY216" s="191">
        <f t="shared" si="3"/>
        <v>0</v>
      </c>
      <c r="AZ216" s="191">
        <f t="shared" si="3"/>
        <v>18015.169999999998</v>
      </c>
      <c r="BA216" s="88">
        <f>SUM(BA18:BA215)</f>
        <v>45627.498000000021</v>
      </c>
      <c r="BB216" s="272" t="s">
        <v>148</v>
      </c>
    </row>
    <row r="217" spans="1:54" ht="21.75" customHeight="1" thickBot="1" x14ac:dyDescent="0.4">
      <c r="B217" s="439" t="s">
        <v>2274</v>
      </c>
      <c r="C217" s="440"/>
      <c r="D217" s="441"/>
    </row>
    <row r="218" spans="1:54" x14ac:dyDescent="0.35">
      <c r="B218" s="381"/>
    </row>
    <row r="219" spans="1:54" s="23" customFormat="1" ht="36" customHeight="1" x14ac:dyDescent="0.3">
      <c r="A219" s="26">
        <v>17</v>
      </c>
      <c r="B219" s="43" t="s">
        <v>1728</v>
      </c>
      <c r="C219" s="28"/>
      <c r="D219" s="298" t="s">
        <v>1215</v>
      </c>
      <c r="E219" s="92">
        <v>2</v>
      </c>
      <c r="F219" s="30"/>
      <c r="G219" s="112">
        <f>[1]DICIEMBRE!$BA$61</f>
        <v>2598.4</v>
      </c>
      <c r="H219" s="31">
        <f>ENERO!BA33</f>
        <v>2598.4</v>
      </c>
      <c r="I219" s="31">
        <f>FEBRERO!AX34</f>
        <v>2598.4</v>
      </c>
      <c r="J219" s="32"/>
      <c r="K219" s="33"/>
      <c r="L219" s="336"/>
      <c r="M219" s="32"/>
      <c r="N219" s="336"/>
      <c r="O219" s="32"/>
      <c r="P219" s="31"/>
      <c r="Q219" s="31"/>
      <c r="R219" s="31"/>
      <c r="S219" s="34"/>
      <c r="T219" s="34"/>
      <c r="U219" s="34"/>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3">
        <f>SUM(I219+S219+T219-U219-V219-W219-X219-Y219-Z219-AA219-AB219-AC219-AD219-AE219-AF219-AG219-AH219-AI219-AJ219-AK219-AL219-AM219-AN219-AO219-AP219-AQ219-AR219-AS219-AT219-AU219-AV219-AW219-AX219-AY219-AZ219)</f>
        <v>2598.4</v>
      </c>
      <c r="BB219" s="43" t="s">
        <v>456</v>
      </c>
    </row>
    <row r="220" spans="1:54" ht="45" customHeight="1" x14ac:dyDescent="0.35">
      <c r="A220" s="26">
        <v>111</v>
      </c>
      <c r="B220" s="43" t="s">
        <v>1597</v>
      </c>
      <c r="C220" s="27"/>
      <c r="D220" s="300" t="s">
        <v>1598</v>
      </c>
      <c r="E220" s="95">
        <v>1</v>
      </c>
      <c r="F220" s="44"/>
      <c r="G220" s="234">
        <f>[1]DICIEMBRE!$BA$128</f>
        <v>348</v>
      </c>
      <c r="H220" s="31">
        <f>ENERO!BA132</f>
        <v>348</v>
      </c>
      <c r="I220" s="31">
        <f>FEBRERO!AX133</f>
        <v>696</v>
      </c>
      <c r="J220" s="32"/>
      <c r="K220" s="33"/>
      <c r="L220" s="32"/>
      <c r="M220" s="32"/>
      <c r="N220" s="32"/>
      <c r="O220" s="32"/>
      <c r="P220" s="33"/>
      <c r="Q220" s="31"/>
      <c r="R220" s="31"/>
      <c r="S220" s="47">
        <v>348</v>
      </c>
      <c r="T220" s="47"/>
      <c r="U220" s="48"/>
      <c r="V220" s="50"/>
      <c r="W220" s="50"/>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33">
        <f>SUM(I220+S220+T220-U220-V220-W220-X220-Y220-Z220-AA220-AB220-AC220-AD220-AE220-AF220-AG220-AH220-AI220-AJ220-AK220-AL220-AM220-AN220-AO220-AP220-AQ220-AR220-AS220-AT220-AU220-AV220-AW220-AX220-AY220-AZ220)</f>
        <v>1044</v>
      </c>
      <c r="BB220" s="43" t="s">
        <v>456</v>
      </c>
    </row>
    <row r="221" spans="1:54" ht="34.5" customHeight="1" x14ac:dyDescent="0.35">
      <c r="A221" s="26">
        <v>116</v>
      </c>
      <c r="B221" s="43" t="s">
        <v>513</v>
      </c>
      <c r="C221" s="28"/>
      <c r="D221" s="300" t="s">
        <v>1527</v>
      </c>
      <c r="E221" s="95">
        <v>1</v>
      </c>
      <c r="F221" s="44" t="s">
        <v>30</v>
      </c>
      <c r="G221" s="112">
        <f>[1]DICIEMBRE!$BA$133</f>
        <v>2250</v>
      </c>
      <c r="H221" s="31">
        <f>ENERO!BA138</f>
        <v>2250</v>
      </c>
      <c r="I221" s="31">
        <f>FEBRERO!AX138</f>
        <v>2250</v>
      </c>
      <c r="J221" s="32"/>
      <c r="K221" s="33"/>
      <c r="L221" s="32"/>
      <c r="M221" s="336"/>
      <c r="N221" s="336"/>
      <c r="O221" s="33"/>
      <c r="P221" s="31"/>
      <c r="Q221" s="31"/>
      <c r="R221" s="31"/>
      <c r="S221" s="47"/>
      <c r="T221" s="47"/>
      <c r="U221" s="48"/>
      <c r="V221" s="49"/>
      <c r="W221" s="49"/>
      <c r="X221" s="49"/>
      <c r="Y221" s="49"/>
      <c r="Z221" s="49"/>
      <c r="AA221" s="49"/>
      <c r="AB221" s="49"/>
      <c r="AC221" s="50"/>
      <c r="AD221" s="49"/>
      <c r="AE221" s="49"/>
      <c r="AF221" s="49"/>
      <c r="AG221" s="49"/>
      <c r="AH221" s="51"/>
      <c r="AI221" s="49"/>
      <c r="AJ221" s="49"/>
      <c r="AK221" s="49"/>
      <c r="AL221" s="49"/>
      <c r="AM221" s="49"/>
      <c r="AN221" s="49"/>
      <c r="AO221" s="49"/>
      <c r="AP221" s="49"/>
      <c r="AQ221" s="49"/>
      <c r="AR221" s="49"/>
      <c r="AS221" s="49"/>
      <c r="AT221" s="49"/>
      <c r="AU221" s="49"/>
      <c r="AV221" s="49"/>
      <c r="AW221" s="49"/>
      <c r="AX221" s="49"/>
      <c r="AY221" s="49"/>
      <c r="AZ221" s="49"/>
      <c r="BA221" s="33">
        <f>SUM(I221+S221+T221-U221-V221-W221-X221-Y221-Z221-AA221-AB221-AC221-AD221-AE221-AF221-AG221-AH221-AI221-AJ221-AK221-AL221-AM221-AN221-AO221-AP221-AQ221-AR221-AS221-AT221-AU221-AV221-AW221-AX221-AY221-AZ221)</f>
        <v>2250</v>
      </c>
      <c r="BB221" s="43" t="s">
        <v>456</v>
      </c>
    </row>
    <row r="222" spans="1:54" ht="40.5" customHeight="1" x14ac:dyDescent="0.35">
      <c r="A222" s="26">
        <v>133</v>
      </c>
      <c r="B222" s="43" t="s">
        <v>1110</v>
      </c>
      <c r="C222" s="43"/>
      <c r="D222" s="308" t="s">
        <v>1537</v>
      </c>
      <c r="E222" s="95">
        <v>2</v>
      </c>
      <c r="F222" s="44" t="s">
        <v>30</v>
      </c>
      <c r="G222" s="112">
        <f>[1]DICIEMBRE!$BA$153</f>
        <v>696</v>
      </c>
      <c r="H222" s="45">
        <f>ENERO!BA158</f>
        <v>1392</v>
      </c>
      <c r="I222" s="45">
        <f>FEBRERO!AX156</f>
        <v>2088</v>
      </c>
      <c r="J222" s="32"/>
      <c r="K222" s="32"/>
      <c r="L222" s="32"/>
      <c r="M222" s="336"/>
      <c r="N222" s="32"/>
      <c r="O222" s="32"/>
      <c r="P222" s="33"/>
      <c r="Q222" s="31"/>
      <c r="R222" s="31"/>
      <c r="S222" s="47">
        <f>(300*0.16+300)*E222</f>
        <v>696</v>
      </c>
      <c r="T222" s="47"/>
      <c r="U222" s="48"/>
      <c r="V222" s="47"/>
      <c r="W222" s="47"/>
      <c r="X222" s="47"/>
      <c r="Y222" s="47"/>
      <c r="Z222" s="47"/>
      <c r="AA222" s="47"/>
      <c r="AB222" s="47"/>
      <c r="AC222" s="47"/>
      <c r="AD222" s="47"/>
      <c r="AE222" s="47"/>
      <c r="AF222" s="47"/>
      <c r="AG222" s="47"/>
      <c r="AH222" s="47"/>
      <c r="AI222" s="47"/>
      <c r="AJ222" s="47"/>
      <c r="AK222" s="66"/>
      <c r="AL222" s="47"/>
      <c r="AM222" s="47"/>
      <c r="AN222" s="47"/>
      <c r="AO222" s="47"/>
      <c r="AP222" s="47"/>
      <c r="AQ222" s="47"/>
      <c r="AR222" s="47"/>
      <c r="AS222" s="47"/>
      <c r="AT222" s="47"/>
      <c r="AU222" s="47"/>
      <c r="AV222" s="47"/>
      <c r="AW222" s="47"/>
      <c r="AX222" s="47"/>
      <c r="AY222" s="47"/>
      <c r="AZ222" s="47"/>
      <c r="BA222" s="33">
        <f>SUM(I222+S222+T222-U222-V222-W222-X222-Y222-Z222-AA222-AB222-AC222-AD222-AE222-AF222-AG222-AH222-AI222-AJ222-AK222-AL222-AM222-AN222-AO222-AP222-AQ222-AR222-AS222-AT222-AU222-AV222-AW222-AX222-AY222-AZ222)</f>
        <v>2784</v>
      </c>
      <c r="BB222" s="43" t="s">
        <v>456</v>
      </c>
    </row>
    <row r="223" spans="1:54" ht="45.75" customHeight="1" x14ac:dyDescent="0.35">
      <c r="A223" s="26">
        <v>159</v>
      </c>
      <c r="B223" s="43" t="s">
        <v>1250</v>
      </c>
      <c r="C223" s="53"/>
      <c r="D223" s="298" t="s">
        <v>1251</v>
      </c>
      <c r="E223" s="95">
        <v>1</v>
      </c>
      <c r="F223" s="44" t="s">
        <v>35</v>
      </c>
      <c r="G223" s="112">
        <f>[1]DICIEMBRE!$BA$179</f>
        <v>2750</v>
      </c>
      <c r="H223" s="31">
        <f>ENERO!BA184</f>
        <v>3050</v>
      </c>
      <c r="I223" s="31">
        <f>FEBRERO!AX182</f>
        <v>3350</v>
      </c>
      <c r="J223" s="32"/>
      <c r="K223" s="32"/>
      <c r="L223" s="336"/>
      <c r="M223" s="336"/>
      <c r="N223" s="32"/>
      <c r="O223" s="33"/>
      <c r="P223" s="33"/>
      <c r="Q223" s="31"/>
      <c r="R223" s="31"/>
      <c r="S223" s="47">
        <f>300*E223</f>
        <v>300</v>
      </c>
      <c r="T223" s="47"/>
      <c r="U223" s="48"/>
      <c r="V223" s="49"/>
      <c r="W223" s="49"/>
      <c r="X223" s="49"/>
      <c r="Y223" s="49"/>
      <c r="Z223" s="49"/>
      <c r="AA223" s="49"/>
      <c r="AB223" s="49"/>
      <c r="AC223" s="49"/>
      <c r="AD223" s="49"/>
      <c r="AE223" s="49"/>
      <c r="AF223" s="50"/>
      <c r="AG223" s="49"/>
      <c r="AH223" s="49"/>
      <c r="AI223" s="49"/>
      <c r="AJ223" s="49"/>
      <c r="AK223" s="49"/>
      <c r="AL223" s="49"/>
      <c r="AM223" s="49"/>
      <c r="AN223" s="49"/>
      <c r="AO223" s="49"/>
      <c r="AP223" s="49"/>
      <c r="AQ223" s="49"/>
      <c r="AR223" s="49"/>
      <c r="AS223" s="49"/>
      <c r="AT223" s="49"/>
      <c r="AU223" s="49"/>
      <c r="AV223" s="49"/>
      <c r="AW223" s="49"/>
      <c r="AX223" s="49"/>
      <c r="AY223" s="49"/>
      <c r="AZ223" s="49"/>
      <c r="BA223" s="33">
        <f>SUM(I223+S223+T223-U223-V223-W223-X223-Y223-Z223-AA223-AB223-AC223-AD223-AE223-AF223-AG223-AH223-AI223-AJ223-AK223-AL223-AM223-AN223-AO223-AP223-AQ223-AR223-AS223-AT223-AU223-AV223-AW223-AX223-AY223-AZ223)</f>
        <v>3650</v>
      </c>
      <c r="BB223" s="43" t="s">
        <v>456</v>
      </c>
    </row>
  </sheetData>
  <autoFilter ref="A16:BC217" xr:uid="{00000000-0009-0000-0000-000002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28">
    <mergeCell ref="E12:R12"/>
    <mergeCell ref="E2:R2"/>
    <mergeCell ref="E3:R3"/>
    <mergeCell ref="B4:D4"/>
    <mergeCell ref="E4:R4"/>
    <mergeCell ref="E5:R5"/>
    <mergeCell ref="E6:R6"/>
    <mergeCell ref="E7:R7"/>
    <mergeCell ref="E8:R8"/>
    <mergeCell ref="E9:R9"/>
    <mergeCell ref="E10:R10"/>
    <mergeCell ref="E11:R11"/>
    <mergeCell ref="BB16:BB17"/>
    <mergeCell ref="BC16:BC17"/>
    <mergeCell ref="E13:R13"/>
    <mergeCell ref="E14:R14"/>
    <mergeCell ref="A16:A17"/>
    <mergeCell ref="B16:B17"/>
    <mergeCell ref="C16:C17"/>
    <mergeCell ref="D16:D17"/>
    <mergeCell ref="E16:E17"/>
    <mergeCell ref="F16:F17"/>
    <mergeCell ref="G16:R16"/>
    <mergeCell ref="B217:D217"/>
    <mergeCell ref="S16:S17"/>
    <mergeCell ref="T16:T17"/>
    <mergeCell ref="U16:U17"/>
    <mergeCell ref="BA16:BA17"/>
  </mergeCells>
  <hyperlinks>
    <hyperlink ref="D85" r:id="rId1" display="facturacion@quitakilos.com     _x000a_" xr:uid="{00000000-0004-0000-0200-000000000000}"/>
    <hyperlink ref="D91" r:id="rId2" display="daniela.ochoa@seiarquitectos.com" xr:uid="{00000000-0004-0000-0200-000001000000}"/>
    <hyperlink ref="D102" r:id="rId3" display="ernesto.gomez@sanbox.com.mx" xr:uid="{00000000-0004-0000-0200-000002000000}"/>
    <hyperlink ref="D56" r:id="rId4" display="ernesto.gomez@sanbox.com.mx" xr:uid="{00000000-0004-0000-0200-000003000000}"/>
    <hyperlink ref="D92" r:id="rId5" display="se.arriaga@hotmail.com" xr:uid="{00000000-0004-0000-0200-000004000000}"/>
    <hyperlink ref="D129" r:id="rId6" xr:uid="{00000000-0004-0000-0200-000005000000}"/>
  </hyperlinks>
  <pageMargins left="0.7" right="0.7" top="0.75" bottom="0.75" header="0.3" footer="0.3"/>
  <pageSetup orientation="portrait" r:id="rId7"/>
  <drawing r:id="rId8"/>
  <legacyDrawing r:id="rId9"/>
  <extLst>
    <ext xmlns:x14="http://schemas.microsoft.com/office/spreadsheetml/2009/9/main" uri="{78C0D931-6437-407d-A8EE-F0AAD7539E65}">
      <x14:conditionalFormattings>
        <x14:conditionalFormatting xmlns:xm="http://schemas.microsoft.com/office/excel/2006/main">
          <x14:cfRule type="containsText" priority="1" operator="containsText" id="{A45B2029-168C-4AEA-A0A0-629A74F4AF30}">
            <xm:f>NOT(ISERROR(SEARCH("-",P111)))</xm:f>
            <xm:f>"-"</xm:f>
            <x14:dxf>
              <font>
                <color rgb="FF9C6500"/>
              </font>
              <fill>
                <patternFill>
                  <bgColor rgb="FFFFEB9C"/>
                </patternFill>
              </fill>
            </x14:dxf>
          </x14:cfRule>
          <xm:sqref>P111:R111</xm:sqref>
        </x14:conditionalFormatting>
        <x14:conditionalFormatting xmlns:xm="http://schemas.microsoft.com/office/excel/2006/main">
          <x14:cfRule type="containsText" priority="3" operator="containsText" id="{7C119FED-1F42-4E62-9DFC-8D19C002B3A6}">
            <xm:f>NOT(ISERROR(SEARCH("-",Q113)))</xm:f>
            <xm:f>"-"</xm:f>
            <x14:dxf>
              <font>
                <color rgb="FF9C6500"/>
              </font>
              <fill>
                <patternFill>
                  <bgColor rgb="FFFFEB9C"/>
                </patternFill>
              </fill>
            </x14:dxf>
          </x14:cfRule>
          <xm:sqref>Q113:Q119</xm:sqref>
        </x14:conditionalFormatting>
        <x14:conditionalFormatting xmlns:xm="http://schemas.microsoft.com/office/excel/2006/main">
          <x14:cfRule type="containsText" priority="2" operator="containsText" id="{A6F17D12-AF51-499F-9492-C0CDB95D536D}">
            <xm:f>NOT(ISERROR(SEARCH("-",Q122)))</xm:f>
            <xm:f>"-"</xm:f>
            <x14:dxf>
              <font>
                <color rgb="FF9C6500"/>
              </font>
              <fill>
                <patternFill>
                  <bgColor rgb="FFFFEB9C"/>
                </patternFill>
              </fill>
            </x14:dxf>
          </x14:cfRule>
          <xm:sqref>Q122:Q124</xm:sqref>
        </x14:conditionalFormatting>
        <x14:conditionalFormatting xmlns:xm="http://schemas.microsoft.com/office/excel/2006/main">
          <x14:cfRule type="containsText" priority="4" operator="containsText" id="{E234B1C9-B401-45DF-B747-3691790AA450}">
            <xm:f>NOT(ISERROR(SEARCH("-",P16)))</xm:f>
            <xm:f>"-"</xm:f>
            <x14:dxf>
              <font>
                <color rgb="FF9C6500"/>
              </font>
              <fill>
                <patternFill>
                  <bgColor rgb="FFFFEB9C"/>
                </patternFill>
              </fill>
            </x14:dxf>
          </x14:cfRule>
          <xm:sqref>BA16:BA216 Q18 P19 R19 Q20:Q21 P21 R21 P23:R25 Q26 P27 R27 Q28:Q29 P30:R30 P33:Q33 P34 Q35:R35 R36 P37:Q37 P38 P39:R39 Q40 R41 P42:Q43 P44:R45 P46 R46 P47:R47 Q49:R49 Q50:Q51 R52 Q53:R53 P54:Q54 Q55 Q56:R56 Q57 Q58:R59 P60 R60 P61:R61 Q62:Q63 Q65:R65 P66:Q66 P67:R67 P70:R70 Q71 P72 R72 P73:R73 P74:Q74 P75:R75 Q76:Q77 P78:P79 R79 Q80 P81 R81 P83:R84 Q85 Q86:R86 P87:P88 P89:R89 R90 Q91:R92 P93:R93 Q95 P96 R96 P97:R98 P99:Q100 Q105:R105 Q106:Q107 P108 R108 Q109:Q110 P110 R110 P113 R113 P123 R123 R125 Q126 P127:R130 P131 R131 Q131:Q134 P134 R134 P136 R136 Q136:Q137 P138 R138 Q139:Q140 P141 R141 Q142:Q143 R144 Q145:Q146 R146 P147 R148 Q148:Q149 R150 P150:P151 Q151:Q152 R152 P153 R154 Q154:Q155 P155 Q157:Q160 P160 R160 Q162 R163 P164:Q164 P165:P170 R166 Q167:Q170 R168 R170 P172 Q172:Q175 R173:R174 P175 R176 P177 Q177:Q178 R178 P179 P180:R180 R181:R182 Q181:Q183 P183 R184 R186 P186:P187 Q186:Q188 R188 P189 Q190:Q191 R192 P193 Q193:Q194 R194 Q195:R195 P197 R197 Q197:Q198 P199:Q200 R201 P202:Q202 P203:P207 R208:R209 Q208:Q210 P210 R211:R215 P219:Q219 BA219:BA223 Q220:R221 P221 Q222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B243"/>
  <sheetViews>
    <sheetView zoomScale="68" zoomScaleNormal="68" workbookViewId="0">
      <pane xSplit="21" ySplit="17" topLeftCell="AT18" activePane="bottomRight" state="frozenSplit"/>
      <selection pane="topRight" activeCell="U1" sqref="U1"/>
      <selection pane="bottomLeft" activeCell="A17" sqref="A17"/>
      <selection pane="bottomRight" activeCell="B41" sqref="B41"/>
    </sheetView>
  </sheetViews>
  <sheetFormatPr baseColWidth="10" defaultColWidth="11.453125" defaultRowHeight="14.5" x14ac:dyDescent="0.35"/>
  <cols>
    <col min="1" max="1" width="5.453125" style="1" customWidth="1"/>
    <col min="2" max="2" width="28" style="91" customWidth="1"/>
    <col min="3" max="3" width="50.54296875" hidden="1" customWidth="1"/>
    <col min="4" max="4" width="34.81640625" style="90" customWidth="1"/>
    <col min="5" max="5" width="8.453125" customWidth="1"/>
    <col min="6" max="6" width="13.1796875" customWidth="1"/>
    <col min="7" max="7" width="13.7265625" hidden="1" customWidth="1"/>
    <col min="8" max="8" width="15" hidden="1" customWidth="1"/>
    <col min="9" max="9" width="18.81640625" hidden="1" customWidth="1"/>
    <col min="10" max="10" width="14.1796875" customWidth="1"/>
    <col min="11" max="11" width="15.453125" hidden="1" customWidth="1"/>
    <col min="12" max="12" width="15.26953125" hidden="1" customWidth="1"/>
    <col min="13" max="13" width="14.7265625" hidden="1" customWidth="1"/>
    <col min="14" max="14" width="14" hidden="1" customWidth="1"/>
    <col min="15" max="15" width="16.26953125" hidden="1" customWidth="1"/>
    <col min="16" max="16" width="17.453125" hidden="1" customWidth="1"/>
    <col min="17" max="18" width="13.81640625" hidden="1" customWidth="1"/>
    <col min="19" max="19" width="19" customWidth="1"/>
    <col min="20" max="20" width="15.26953125" customWidth="1"/>
    <col min="21" max="21" width="15.453125" customWidth="1"/>
    <col min="22" max="51" width="11.453125" customWidth="1"/>
    <col min="52" max="52" width="18.7265625" customWidth="1"/>
    <col min="53" max="53" width="34" style="163" customWidth="1"/>
    <col min="54" max="54" width="20.1796875" customWidth="1"/>
  </cols>
  <sheetData>
    <row r="1" spans="1:54" s="5" customFormat="1" ht="18" customHeight="1" x14ac:dyDescent="0.35">
      <c r="A1" s="1"/>
      <c r="C1" s="161"/>
      <c r="E1" s="337"/>
      <c r="F1" s="337"/>
      <c r="G1" s="337"/>
      <c r="H1" s="337"/>
      <c r="I1" s="337"/>
      <c r="J1" s="337"/>
      <c r="K1" s="337"/>
      <c r="L1" s="337"/>
      <c r="M1" s="337"/>
      <c r="N1" s="337"/>
      <c r="O1" s="337"/>
      <c r="P1" s="337"/>
      <c r="Q1" s="337"/>
      <c r="R1" s="337"/>
      <c r="BA1" s="166"/>
    </row>
    <row r="2" spans="1:54" s="5" customFormat="1" ht="15" customHeight="1" x14ac:dyDescent="0.4">
      <c r="A2" s="1"/>
      <c r="B2" s="2" t="s">
        <v>2547</v>
      </c>
      <c r="D2" s="3">
        <f>SUM(S2+S3+S4+S5+S6+S7+S8+S9+S10+S11+S12+S13+D5)</f>
        <v>579375.14399999997</v>
      </c>
      <c r="E2" s="434" t="s">
        <v>1703</v>
      </c>
      <c r="F2" s="434"/>
      <c r="G2" s="434"/>
      <c r="H2" s="434"/>
      <c r="I2" s="434"/>
      <c r="J2" s="434"/>
      <c r="K2" s="434"/>
      <c r="L2" s="434"/>
      <c r="M2" s="434"/>
      <c r="N2" s="434"/>
      <c r="O2" s="434"/>
      <c r="P2" s="434"/>
      <c r="Q2" s="434"/>
      <c r="R2" s="434"/>
      <c r="S2" s="4">
        <f>G234</f>
        <v>26129.563600000023</v>
      </c>
      <c r="BA2" s="166"/>
    </row>
    <row r="3" spans="1:54" s="5" customFormat="1" ht="15" customHeight="1" x14ac:dyDescent="0.4">
      <c r="A3" s="1"/>
      <c r="E3" s="433" t="s">
        <v>1704</v>
      </c>
      <c r="F3" s="433"/>
      <c r="G3" s="433"/>
      <c r="H3" s="433"/>
      <c r="I3" s="433"/>
      <c r="J3" s="433"/>
      <c r="K3" s="433"/>
      <c r="L3" s="433"/>
      <c r="M3" s="433"/>
      <c r="N3" s="433"/>
      <c r="O3" s="433"/>
      <c r="P3" s="433"/>
      <c r="Q3" s="433"/>
      <c r="R3" s="433"/>
      <c r="S3" s="4">
        <f>H234-S2</f>
        <v>13344.842400000009</v>
      </c>
      <c r="BA3" s="166"/>
    </row>
    <row r="4" spans="1:54" s="7" customFormat="1" ht="15" customHeight="1" x14ac:dyDescent="0.4">
      <c r="A4" s="6"/>
      <c r="B4" s="435" t="s">
        <v>2557</v>
      </c>
      <c r="C4" s="436"/>
      <c r="D4" s="437"/>
      <c r="E4" s="432" t="s">
        <v>1705</v>
      </c>
      <c r="F4" s="433"/>
      <c r="G4" s="433"/>
      <c r="H4" s="433"/>
      <c r="I4" s="433"/>
      <c r="J4" s="433"/>
      <c r="K4" s="433"/>
      <c r="L4" s="433"/>
      <c r="M4" s="433"/>
      <c r="N4" s="433"/>
      <c r="O4" s="433"/>
      <c r="P4" s="433"/>
      <c r="Q4" s="433"/>
      <c r="R4" s="433"/>
      <c r="S4" s="4">
        <f>I234</f>
        <v>-3120.3575999999957</v>
      </c>
      <c r="W4" s="5"/>
      <c r="BA4" s="265"/>
    </row>
    <row r="5" spans="1:54" s="7" customFormat="1" ht="15" customHeight="1" x14ac:dyDescent="0.4">
      <c r="A5" s="6"/>
      <c r="B5" s="8" t="s">
        <v>2558</v>
      </c>
      <c r="C5" s="9"/>
      <c r="D5" s="10">
        <f>S234+T234+U234</f>
        <v>538935.64439999999</v>
      </c>
      <c r="E5" s="432" t="s">
        <v>1706</v>
      </c>
      <c r="F5" s="433"/>
      <c r="G5" s="433"/>
      <c r="H5" s="433"/>
      <c r="I5" s="433"/>
      <c r="J5" s="433"/>
      <c r="K5" s="433"/>
      <c r="L5" s="433"/>
      <c r="M5" s="433"/>
      <c r="N5" s="433"/>
      <c r="O5" s="433"/>
      <c r="P5" s="433"/>
      <c r="Q5" s="433"/>
      <c r="R5" s="433"/>
      <c r="S5" s="4">
        <f>J234</f>
        <v>4085.4511999999813</v>
      </c>
      <c r="W5" s="5"/>
      <c r="BA5" s="265"/>
    </row>
    <row r="6" spans="1:54" s="7" customFormat="1" ht="15" customHeight="1" x14ac:dyDescent="0.4">
      <c r="A6" s="6"/>
      <c r="B6" s="11" t="s">
        <v>2560</v>
      </c>
      <c r="C6" s="12"/>
      <c r="D6" s="13">
        <f>SUM(V234:AA234)</f>
        <v>118029.79</v>
      </c>
      <c r="E6" s="432" t="s">
        <v>1707</v>
      </c>
      <c r="F6" s="433"/>
      <c r="G6" s="433"/>
      <c r="H6" s="433"/>
      <c r="I6" s="433"/>
      <c r="J6" s="433"/>
      <c r="K6" s="433"/>
      <c r="L6" s="433"/>
      <c r="M6" s="433"/>
      <c r="N6" s="433"/>
      <c r="O6" s="433"/>
      <c r="P6" s="433"/>
      <c r="Q6" s="433"/>
      <c r="R6" s="433"/>
      <c r="S6" s="4">
        <f>K234</f>
        <v>0</v>
      </c>
      <c r="T6"/>
      <c r="W6" s="5"/>
      <c r="BA6" s="265"/>
    </row>
    <row r="7" spans="1:54" s="7" customFormat="1" ht="15" customHeight="1" x14ac:dyDescent="0.4">
      <c r="A7" s="6"/>
      <c r="B7" s="11" t="s">
        <v>2561</v>
      </c>
      <c r="C7" s="12"/>
      <c r="D7" s="13">
        <f>SUM(AB234:AH234)</f>
        <v>100622.04000000001</v>
      </c>
      <c r="E7" s="432" t="s">
        <v>1708</v>
      </c>
      <c r="F7" s="433"/>
      <c r="G7" s="433"/>
      <c r="H7" s="433"/>
      <c r="I7" s="433"/>
      <c r="J7" s="433"/>
      <c r="K7" s="433"/>
      <c r="L7" s="433"/>
      <c r="M7" s="433"/>
      <c r="N7" s="433"/>
      <c r="O7" s="433"/>
      <c r="P7" s="433"/>
      <c r="Q7" s="433"/>
      <c r="R7" s="433"/>
      <c r="S7" s="4">
        <f>L234</f>
        <v>0</v>
      </c>
      <c r="W7" s="5"/>
      <c r="BA7" s="265"/>
    </row>
    <row r="8" spans="1:54" s="7" customFormat="1" ht="15" customHeight="1" x14ac:dyDescent="0.4">
      <c r="A8" s="6"/>
      <c r="B8" s="11" t="s">
        <v>2562</v>
      </c>
      <c r="C8" s="12"/>
      <c r="D8" s="13">
        <f>SUM(AI234:AO234)</f>
        <v>100082.12000000001</v>
      </c>
      <c r="E8" s="432" t="s">
        <v>1709</v>
      </c>
      <c r="F8" s="433"/>
      <c r="G8" s="433"/>
      <c r="H8" s="433"/>
      <c r="I8" s="433"/>
      <c r="J8" s="433"/>
      <c r="K8" s="433"/>
      <c r="L8" s="433"/>
      <c r="M8" s="433"/>
      <c r="N8" s="433"/>
      <c r="O8" s="433"/>
      <c r="P8" s="433"/>
      <c r="Q8" s="433"/>
      <c r="R8" s="433"/>
      <c r="S8" s="4">
        <f>M234</f>
        <v>0</v>
      </c>
      <c r="W8" s="5"/>
      <c r="BA8" s="265"/>
    </row>
    <row r="9" spans="1:54" s="7" customFormat="1" ht="15" customHeight="1" x14ac:dyDescent="0.4">
      <c r="A9" s="6"/>
      <c r="B9" s="11" t="s">
        <v>2563</v>
      </c>
      <c r="C9" s="12"/>
      <c r="D9" s="13">
        <f>SUM(AP234:AV234)</f>
        <v>127665.74</v>
      </c>
      <c r="E9" s="432" t="s">
        <v>1710</v>
      </c>
      <c r="F9" s="433"/>
      <c r="G9" s="433"/>
      <c r="H9" s="433"/>
      <c r="I9" s="433"/>
      <c r="J9" s="433"/>
      <c r="K9" s="433"/>
      <c r="L9" s="433"/>
      <c r="M9" s="433"/>
      <c r="N9" s="433"/>
      <c r="O9" s="433"/>
      <c r="P9" s="433"/>
      <c r="Q9" s="433"/>
      <c r="R9" s="433"/>
      <c r="S9" s="4">
        <f>N234</f>
        <v>0</v>
      </c>
      <c r="Z9"/>
      <c r="BA9" s="265"/>
    </row>
    <row r="10" spans="1:54" s="7" customFormat="1" ht="15" customHeight="1" x14ac:dyDescent="0.4">
      <c r="A10" s="6"/>
      <c r="B10" s="11" t="s">
        <v>2564</v>
      </c>
      <c r="C10" s="12"/>
      <c r="D10" s="13">
        <f>SUM(AW234:AY234)</f>
        <v>14638</v>
      </c>
      <c r="E10" s="432" t="s">
        <v>1711</v>
      </c>
      <c r="F10" s="433"/>
      <c r="G10" s="433"/>
      <c r="H10" s="433"/>
      <c r="I10" s="433"/>
      <c r="J10" s="433"/>
      <c r="K10" s="433"/>
      <c r="L10" s="433"/>
      <c r="M10" s="433"/>
      <c r="N10" s="433"/>
      <c r="O10" s="433"/>
      <c r="P10" s="433"/>
      <c r="Q10" s="433"/>
      <c r="R10" s="433"/>
      <c r="S10" s="4">
        <f>O234</f>
        <v>0</v>
      </c>
      <c r="BA10" s="265"/>
    </row>
    <row r="11" spans="1:54" s="7" customFormat="1" ht="15" customHeight="1" x14ac:dyDescent="0.4">
      <c r="A11" s="6"/>
      <c r="B11" s="18"/>
      <c r="C11" s="14"/>
      <c r="D11" s="343"/>
      <c r="E11" s="433" t="s">
        <v>1712</v>
      </c>
      <c r="F11" s="433"/>
      <c r="G11" s="433"/>
      <c r="H11" s="433"/>
      <c r="I11" s="433"/>
      <c r="J11" s="433"/>
      <c r="K11" s="433"/>
      <c r="L11" s="433"/>
      <c r="M11" s="433"/>
      <c r="N11" s="433"/>
      <c r="O11" s="433"/>
      <c r="P11" s="433"/>
      <c r="Q11" s="433"/>
      <c r="R11" s="433"/>
      <c r="S11" s="4">
        <f>P234</f>
        <v>0</v>
      </c>
      <c r="BA11" s="265"/>
    </row>
    <row r="12" spans="1:54" s="7" customFormat="1" ht="15" customHeight="1" x14ac:dyDescent="0.4">
      <c r="A12" s="6"/>
      <c r="B12" s="16"/>
      <c r="C12" s="14"/>
      <c r="D12" s="223"/>
      <c r="E12" s="433" t="s">
        <v>1713</v>
      </c>
      <c r="F12" s="433"/>
      <c r="G12" s="433"/>
      <c r="H12" s="433"/>
      <c r="I12" s="433"/>
      <c r="J12" s="433"/>
      <c r="K12" s="433"/>
      <c r="L12" s="433"/>
      <c r="M12" s="433"/>
      <c r="N12" s="433"/>
      <c r="O12" s="433"/>
      <c r="P12" s="433"/>
      <c r="Q12" s="433"/>
      <c r="R12" s="433"/>
      <c r="S12" s="4">
        <f>Q234</f>
        <v>0</v>
      </c>
      <c r="BA12" s="265"/>
    </row>
    <row r="13" spans="1:54" s="7" customFormat="1" ht="15" customHeight="1" x14ac:dyDescent="0.4">
      <c r="A13" s="6"/>
      <c r="B13" s="15" t="s">
        <v>0</v>
      </c>
      <c r="C13" s="16"/>
      <c r="D13" s="3">
        <f>SUM(D6:D11)</f>
        <v>461037.69</v>
      </c>
      <c r="E13" s="423" t="s">
        <v>1714</v>
      </c>
      <c r="F13" s="423"/>
      <c r="G13" s="423"/>
      <c r="H13" s="423"/>
      <c r="I13" s="423"/>
      <c r="J13" s="423"/>
      <c r="K13" s="423"/>
      <c r="L13" s="423"/>
      <c r="M13" s="423"/>
      <c r="N13" s="423"/>
      <c r="O13" s="423"/>
      <c r="P13" s="423"/>
      <c r="Q13" s="423"/>
      <c r="R13" s="423"/>
      <c r="S13" s="4">
        <f>R234</f>
        <v>0</v>
      </c>
      <c r="BA13" s="265"/>
    </row>
    <row r="14" spans="1:54" s="7" customFormat="1" ht="15.75" customHeight="1" x14ac:dyDescent="0.4">
      <c r="A14" s="6"/>
      <c r="B14" s="17" t="s">
        <v>1</v>
      </c>
      <c r="C14" s="16"/>
      <c r="D14" s="3">
        <f>D2-D13</f>
        <v>118337.45399999997</v>
      </c>
      <c r="E14" s="423" t="s">
        <v>149</v>
      </c>
      <c r="F14" s="423"/>
      <c r="G14" s="423"/>
      <c r="H14" s="423"/>
      <c r="I14" s="423"/>
      <c r="J14" s="423"/>
      <c r="K14" s="423"/>
      <c r="L14" s="423"/>
      <c r="M14" s="423"/>
      <c r="N14" s="423"/>
      <c r="O14" s="423"/>
      <c r="P14" s="423"/>
      <c r="Q14" s="423"/>
      <c r="R14" s="423"/>
      <c r="S14" s="4">
        <f>SUM(S2:S13)</f>
        <v>40439.499600000017</v>
      </c>
      <c r="BA14" s="265"/>
    </row>
    <row r="15" spans="1:54" s="5" customFormat="1" ht="16.5" customHeight="1" x14ac:dyDescent="0.4">
      <c r="A15" s="1"/>
      <c r="B15" s="18"/>
      <c r="C15" s="14"/>
      <c r="D15" s="14"/>
      <c r="F15" s="19"/>
      <c r="G15" s="19"/>
      <c r="H15" s="19"/>
      <c r="I15" s="19"/>
      <c r="J15" s="19"/>
      <c r="K15" s="20"/>
      <c r="L15" s="19"/>
      <c r="M15" s="19"/>
      <c r="N15" s="19"/>
      <c r="O15" s="19"/>
      <c r="P15" s="19"/>
      <c r="Q15" s="19"/>
      <c r="R15" s="19"/>
      <c r="BA15" s="166"/>
    </row>
    <row r="16" spans="1:54" s="23" customFormat="1" ht="17.25" customHeight="1" x14ac:dyDescent="0.3">
      <c r="A16" s="424" t="s">
        <v>2</v>
      </c>
      <c r="B16" s="426" t="s">
        <v>3</v>
      </c>
      <c r="C16" s="426" t="s">
        <v>4</v>
      </c>
      <c r="D16" s="426" t="s">
        <v>5</v>
      </c>
      <c r="E16" s="427" t="s">
        <v>6</v>
      </c>
      <c r="F16" s="438" t="s">
        <v>7</v>
      </c>
      <c r="G16" s="428" t="s">
        <v>800</v>
      </c>
      <c r="H16" s="428"/>
      <c r="I16" s="428"/>
      <c r="J16" s="428"/>
      <c r="K16" s="428"/>
      <c r="L16" s="428"/>
      <c r="M16" s="428"/>
      <c r="N16" s="428"/>
      <c r="O16" s="428"/>
      <c r="P16" s="428"/>
      <c r="Q16" s="428"/>
      <c r="R16" s="428"/>
      <c r="S16" s="429" t="s">
        <v>2559</v>
      </c>
      <c r="T16" s="429" t="s">
        <v>8</v>
      </c>
      <c r="U16" s="429" t="s">
        <v>9</v>
      </c>
      <c r="V16" s="21">
        <v>1</v>
      </c>
      <c r="W16" s="21">
        <v>2</v>
      </c>
      <c r="X16" s="21">
        <v>3</v>
      </c>
      <c r="Y16" s="21">
        <v>4</v>
      </c>
      <c r="Z16" s="21">
        <v>5</v>
      </c>
      <c r="AA16" s="21">
        <v>6</v>
      </c>
      <c r="AB16" s="21">
        <v>7</v>
      </c>
      <c r="AC16" s="21">
        <v>8</v>
      </c>
      <c r="AD16" s="21">
        <v>9</v>
      </c>
      <c r="AE16" s="21">
        <v>10</v>
      </c>
      <c r="AF16" s="21">
        <v>11</v>
      </c>
      <c r="AG16" s="21">
        <v>12</v>
      </c>
      <c r="AH16" s="21">
        <v>13</v>
      </c>
      <c r="AI16" s="21">
        <v>14</v>
      </c>
      <c r="AJ16" s="21">
        <v>15</v>
      </c>
      <c r="AK16" s="22">
        <v>16</v>
      </c>
      <c r="AL16" s="21">
        <v>17</v>
      </c>
      <c r="AM16" s="21">
        <v>18</v>
      </c>
      <c r="AN16" s="21">
        <v>19</v>
      </c>
      <c r="AO16" s="21">
        <v>20</v>
      </c>
      <c r="AP16" s="21">
        <v>21</v>
      </c>
      <c r="AQ16" s="21">
        <v>22</v>
      </c>
      <c r="AR16" s="21">
        <v>23</v>
      </c>
      <c r="AS16" s="21">
        <v>24</v>
      </c>
      <c r="AT16" s="21">
        <v>25</v>
      </c>
      <c r="AU16" s="21">
        <v>26</v>
      </c>
      <c r="AV16" s="21">
        <v>27</v>
      </c>
      <c r="AW16" s="21">
        <v>28</v>
      </c>
      <c r="AX16" s="21">
        <v>29</v>
      </c>
      <c r="AY16" s="21">
        <v>30</v>
      </c>
      <c r="AZ16" s="430" t="s">
        <v>10</v>
      </c>
      <c r="BA16" s="431" t="s">
        <v>11</v>
      </c>
      <c r="BB16" s="422" t="s">
        <v>12</v>
      </c>
    </row>
    <row r="17" spans="1:54" s="23" customFormat="1" ht="17.25" customHeight="1" x14ac:dyDescent="0.3">
      <c r="A17" s="425"/>
      <c r="B17" s="426"/>
      <c r="C17" s="426"/>
      <c r="D17" s="426"/>
      <c r="E17" s="427"/>
      <c r="F17" s="438"/>
      <c r="G17" s="24">
        <v>2024</v>
      </c>
      <c r="H17" s="336" t="s">
        <v>13</v>
      </c>
      <c r="I17" s="336" t="s">
        <v>14</v>
      </c>
      <c r="J17" s="336" t="s">
        <v>15</v>
      </c>
      <c r="K17" s="336" t="s">
        <v>16</v>
      </c>
      <c r="L17" s="336" t="s">
        <v>17</v>
      </c>
      <c r="M17" s="336" t="s">
        <v>18</v>
      </c>
      <c r="N17" s="336" t="s">
        <v>19</v>
      </c>
      <c r="O17" s="336" t="s">
        <v>20</v>
      </c>
      <c r="P17" s="336" t="s">
        <v>21</v>
      </c>
      <c r="Q17" s="336" t="s">
        <v>22</v>
      </c>
      <c r="R17" s="336" t="s">
        <v>150</v>
      </c>
      <c r="S17" s="429"/>
      <c r="T17" s="429"/>
      <c r="U17" s="429"/>
      <c r="V17" s="25" t="s">
        <v>28</v>
      </c>
      <c r="W17" s="25" t="s">
        <v>28</v>
      </c>
      <c r="X17" s="25" t="s">
        <v>23</v>
      </c>
      <c r="Y17" s="25" t="s">
        <v>24</v>
      </c>
      <c r="Z17" s="25" t="s">
        <v>25</v>
      </c>
      <c r="AA17" s="25" t="s">
        <v>26</v>
      </c>
      <c r="AB17" s="25" t="s">
        <v>27</v>
      </c>
      <c r="AC17" s="25" t="s">
        <v>28</v>
      </c>
      <c r="AD17" s="25" t="s">
        <v>28</v>
      </c>
      <c r="AE17" s="25" t="s">
        <v>23</v>
      </c>
      <c r="AF17" s="25" t="s">
        <v>24</v>
      </c>
      <c r="AG17" s="25" t="s">
        <v>25</v>
      </c>
      <c r="AH17" s="25" t="s">
        <v>26</v>
      </c>
      <c r="AI17" s="25" t="s">
        <v>27</v>
      </c>
      <c r="AJ17" s="25" t="s">
        <v>28</v>
      </c>
      <c r="AK17" s="25" t="s">
        <v>28</v>
      </c>
      <c r="AL17" s="25" t="s">
        <v>23</v>
      </c>
      <c r="AM17" s="25" t="s">
        <v>24</v>
      </c>
      <c r="AN17" s="25" t="s">
        <v>25</v>
      </c>
      <c r="AO17" s="25" t="s">
        <v>26</v>
      </c>
      <c r="AP17" s="25" t="s">
        <v>27</v>
      </c>
      <c r="AQ17" s="25" t="s">
        <v>28</v>
      </c>
      <c r="AR17" s="25" t="s">
        <v>28</v>
      </c>
      <c r="AS17" s="25" t="s">
        <v>23</v>
      </c>
      <c r="AT17" s="25" t="s">
        <v>24</v>
      </c>
      <c r="AU17" s="25" t="s">
        <v>25</v>
      </c>
      <c r="AV17" s="25" t="s">
        <v>26</v>
      </c>
      <c r="AW17" s="25" t="s">
        <v>27</v>
      </c>
      <c r="AX17" s="25" t="s">
        <v>28</v>
      </c>
      <c r="AY17" s="25" t="s">
        <v>28</v>
      </c>
      <c r="AZ17" s="430"/>
      <c r="BA17" s="431"/>
      <c r="BB17" s="422"/>
    </row>
    <row r="18" spans="1:54" ht="93" hidden="1" customHeight="1" x14ac:dyDescent="0.35">
      <c r="A18" s="26">
        <v>1</v>
      </c>
      <c r="B18" s="27" t="s">
        <v>1721</v>
      </c>
      <c r="C18" s="28" t="s">
        <v>133</v>
      </c>
      <c r="D18" s="304" t="s">
        <v>1498</v>
      </c>
      <c r="E18" s="94">
        <v>18</v>
      </c>
      <c r="F18" s="60" t="s">
        <v>33</v>
      </c>
      <c r="G18" s="112">
        <f>[1]DICIEMBRE!$BA$21</f>
        <v>-0.39520000000266009</v>
      </c>
      <c r="H18" s="45">
        <f>ENERO!BA19</f>
        <v>-0.39520000000266009</v>
      </c>
      <c r="I18" s="45">
        <f>FEBRERO!AX19</f>
        <v>4.799999996976112E-3</v>
      </c>
      <c r="J18" s="32">
        <f>MARZO!BA19</f>
        <v>4.799999996976112E-3</v>
      </c>
      <c r="K18" s="33"/>
      <c r="L18" s="336"/>
      <c r="M18" s="32"/>
      <c r="N18" s="32"/>
      <c r="O18" s="33"/>
      <c r="P18" s="31"/>
      <c r="Q18" s="31"/>
      <c r="R18" s="31"/>
      <c r="S18" s="47">
        <f>(300*0.16+300)*E18</f>
        <v>6264</v>
      </c>
      <c r="T18" s="47">
        <f>500*0.16+500</f>
        <v>580</v>
      </c>
      <c r="U18" s="48"/>
      <c r="V18" s="49"/>
      <c r="W18" s="49">
        <v>6844</v>
      </c>
      <c r="X18" s="49"/>
      <c r="Y18" s="49"/>
      <c r="Z18" s="49"/>
      <c r="AA18" s="49"/>
      <c r="AB18" s="49"/>
      <c r="AC18" s="49"/>
      <c r="AD18" s="50"/>
      <c r="AE18" s="49"/>
      <c r="AF18" s="49"/>
      <c r="AG18" s="51"/>
      <c r="AH18" s="49"/>
      <c r="AI18" s="49"/>
      <c r="AJ18" s="49"/>
      <c r="AK18" s="49"/>
      <c r="AL18" s="49"/>
      <c r="AM18" s="49"/>
      <c r="AN18" s="49"/>
      <c r="AO18" s="49"/>
      <c r="AP18" s="49"/>
      <c r="AQ18" s="49"/>
      <c r="AR18" s="49"/>
      <c r="AS18" s="49"/>
      <c r="AT18" s="49"/>
      <c r="AU18" s="49"/>
      <c r="AV18" s="49"/>
      <c r="AW18" s="49"/>
      <c r="AX18" s="49"/>
      <c r="AY18" s="49"/>
      <c r="AZ18" s="33">
        <f>SUM(J18+S18+T18-U18-V18-W18-X18-Y18-Z18-AA18-AB18-AC18-AD18-AE18-AF18-AG18-AH18-AI18-AJ18-AK18-AL18-AM18-AN18-AO18-AP18-AQ18-AR18-AS18-AT18-AU18-AV18-AW18-AX18-AY18)</f>
        <v>4.799999996976112E-3</v>
      </c>
      <c r="BA18" s="268" t="s">
        <v>2622</v>
      </c>
    </row>
    <row r="19" spans="1:54" s="23" customFormat="1" ht="69" hidden="1" customHeight="1" x14ac:dyDescent="0.3">
      <c r="A19" s="26">
        <v>2</v>
      </c>
      <c r="B19" s="43" t="s">
        <v>1722</v>
      </c>
      <c r="C19" s="53" t="s">
        <v>52</v>
      </c>
      <c r="D19" s="298" t="s">
        <v>1223</v>
      </c>
      <c r="E19" s="92">
        <v>5</v>
      </c>
      <c r="F19" s="56" t="s">
        <v>30</v>
      </c>
      <c r="G19" s="112">
        <f>[1]DICIEMBRE!$BA$75</f>
        <v>3190.0027999999993</v>
      </c>
      <c r="H19" s="31">
        <f>ENERO!BA20</f>
        <v>2.7999999992971425E-3</v>
      </c>
      <c r="I19" s="31">
        <f>FEBRERO!AX20</f>
        <v>2.7999999992971425E-3</v>
      </c>
      <c r="J19" s="32">
        <f>MARZO!BA20</f>
        <v>2.7999999992971425E-3</v>
      </c>
      <c r="K19" s="33"/>
      <c r="L19" s="336"/>
      <c r="M19" s="32"/>
      <c r="N19" s="336"/>
      <c r="O19" s="32"/>
      <c r="P19" s="33"/>
      <c r="Q19" s="31"/>
      <c r="R19" s="31"/>
      <c r="S19" s="34">
        <f>(280*0.16+280)*E19</f>
        <v>1624</v>
      </c>
      <c r="T19" s="34"/>
      <c r="U19" s="34"/>
      <c r="V19" s="35"/>
      <c r="W19" s="35"/>
      <c r="X19" s="35"/>
      <c r="Y19" s="54"/>
      <c r="Z19" s="35"/>
      <c r="AA19" s="35"/>
      <c r="AB19" s="35"/>
      <c r="AC19" s="35"/>
      <c r="AD19" s="35"/>
      <c r="AE19" s="35">
        <v>1624</v>
      </c>
      <c r="AF19" s="35"/>
      <c r="AG19" s="35"/>
      <c r="AH19" s="35"/>
      <c r="AI19" s="35"/>
      <c r="AJ19" s="35"/>
      <c r="AK19" s="35"/>
      <c r="AL19" s="35"/>
      <c r="AM19" s="35"/>
      <c r="AN19" s="35"/>
      <c r="AO19" s="35"/>
      <c r="AP19" s="35"/>
      <c r="AQ19" s="35"/>
      <c r="AR19" s="35"/>
      <c r="AS19" s="35"/>
      <c r="AT19" s="35"/>
      <c r="AU19" s="35"/>
      <c r="AV19" s="35"/>
      <c r="AW19" s="35"/>
      <c r="AX19" s="35"/>
      <c r="AY19" s="35"/>
      <c r="AZ19" s="33">
        <f>SUM(J19+S19+T19-U19-V19-W19-X19-Y19-Z19-AA19-AB19-AC19-AD19-AE19-AF19-AG19-AH19-AI19-AJ19-AK19-AL19-AM19-AN19-AO19-AP19-AQ19-AR19-AS19-AT19-AU19-AV19-AW19-AX19-AY19)</f>
        <v>2.7999999992971425E-3</v>
      </c>
      <c r="BA19" s="269"/>
    </row>
    <row r="20" spans="1:54" s="23" customFormat="1" ht="47.25" hidden="1" customHeight="1" x14ac:dyDescent="0.3">
      <c r="A20" s="26">
        <v>3</v>
      </c>
      <c r="B20" s="43" t="s">
        <v>375</v>
      </c>
      <c r="C20" s="28" t="s">
        <v>380</v>
      </c>
      <c r="D20" s="298" t="s">
        <v>2703</v>
      </c>
      <c r="E20" s="92">
        <v>4</v>
      </c>
      <c r="F20" s="30" t="s">
        <v>30</v>
      </c>
      <c r="G20" s="112">
        <f>[1]DICIEMBRE!$BA$23</f>
        <v>-3.1999999935123924E-3</v>
      </c>
      <c r="H20" s="31">
        <f>ENERO!BA21</f>
        <v>-3.1999999935123924E-3</v>
      </c>
      <c r="I20" s="31">
        <f>FEBRERO!AX21</f>
        <v>-3.1999999935123924E-3</v>
      </c>
      <c r="J20" s="32">
        <f>MARZO!BA21</f>
        <v>-3.1999999932850187E-3</v>
      </c>
      <c r="K20" s="32"/>
      <c r="L20" s="32"/>
      <c r="M20" s="32"/>
      <c r="N20" s="32"/>
      <c r="O20" s="32"/>
      <c r="P20" s="31"/>
      <c r="Q20" s="31"/>
      <c r="R20" s="31"/>
      <c r="S20" s="38">
        <f>(299*0.16+299)*E20</f>
        <v>1387.3600000000001</v>
      </c>
      <c r="T20" s="39"/>
      <c r="U20" s="39"/>
      <c r="V20" s="37"/>
      <c r="W20" s="37"/>
      <c r="X20" s="37"/>
      <c r="Y20" s="37"/>
      <c r="Z20" s="37"/>
      <c r="AA20" s="37"/>
      <c r="AB20" s="37"/>
      <c r="AC20" s="37"/>
      <c r="AD20" s="37"/>
      <c r="AE20" s="37"/>
      <c r="AF20" s="37"/>
      <c r="AG20" s="37"/>
      <c r="AH20" s="37"/>
      <c r="AI20" s="37"/>
      <c r="AJ20" s="37"/>
      <c r="AK20" s="35"/>
      <c r="AL20" s="37"/>
      <c r="AM20" s="37"/>
      <c r="AN20" s="37"/>
      <c r="AO20" s="37"/>
      <c r="AP20" s="37"/>
      <c r="AQ20" s="37">
        <v>1387.36</v>
      </c>
      <c r="AR20" s="37"/>
      <c r="AS20" s="37"/>
      <c r="AT20" s="37"/>
      <c r="AU20" s="37"/>
      <c r="AV20" s="37"/>
      <c r="AW20" s="37"/>
      <c r="AX20" s="37"/>
      <c r="AY20" s="37"/>
      <c r="AZ20" s="33">
        <f>SUM(J20+S20+T20-U20-V20-W20-X20-Y20-Z20-AA20-AB20-AC20-AD20-AE20-AF20-AG20-AH20-AI20-AJ20-AK20-AL20-AM20-AN20-AO20-AP20-AQ20-AR20-AS20-AT20-AU20-AV20-AW20-AX20-AY20)</f>
        <v>-3.199999993057645E-3</v>
      </c>
      <c r="BA20" s="43"/>
    </row>
    <row r="21" spans="1:54" s="23" customFormat="1" ht="57.75" hidden="1" customHeight="1" x14ac:dyDescent="0.3">
      <c r="A21" s="26">
        <v>4</v>
      </c>
      <c r="B21" s="43" t="s">
        <v>750</v>
      </c>
      <c r="C21" s="28"/>
      <c r="D21" s="298" t="s">
        <v>1273</v>
      </c>
      <c r="E21" s="92">
        <v>10</v>
      </c>
      <c r="F21" s="30" t="s">
        <v>30</v>
      </c>
      <c r="G21" s="234">
        <f>[1]DICIEMBRE!$BA$24</f>
        <v>-0.39520000000266009</v>
      </c>
      <c r="H21" s="45">
        <f>ENERO!BA22</f>
        <v>-0.39520000000266009</v>
      </c>
      <c r="I21" s="31">
        <f>FEBRERO!AX22</f>
        <v>4.7999999974308594E-3</v>
      </c>
      <c r="J21" s="32">
        <f>MARZO!BA22</f>
        <v>4.7999999974308594E-3</v>
      </c>
      <c r="K21" s="32"/>
      <c r="L21" s="32"/>
      <c r="M21" s="32"/>
      <c r="N21" s="32"/>
      <c r="O21" s="33"/>
      <c r="P21" s="33"/>
      <c r="Q21" s="31"/>
      <c r="R21" s="31"/>
      <c r="S21" s="38">
        <f>(270*0.16+270)*E21</f>
        <v>3132</v>
      </c>
      <c r="T21" s="39"/>
      <c r="U21" s="39"/>
      <c r="V21" s="37"/>
      <c r="W21" s="37">
        <v>3132</v>
      </c>
      <c r="X21" s="37"/>
      <c r="Y21" s="37"/>
      <c r="Z21" s="37"/>
      <c r="AA21" s="37"/>
      <c r="AB21" s="37"/>
      <c r="AC21" s="37"/>
      <c r="AD21" s="37"/>
      <c r="AE21" s="37"/>
      <c r="AF21" s="37"/>
      <c r="AG21" s="37"/>
      <c r="AH21" s="37"/>
      <c r="AI21" s="37"/>
      <c r="AJ21" s="37"/>
      <c r="AK21" s="35"/>
      <c r="AL21" s="37"/>
      <c r="AM21" s="37"/>
      <c r="AN21" s="37"/>
      <c r="AO21" s="37"/>
      <c r="AP21" s="37"/>
      <c r="AQ21" s="37"/>
      <c r="AR21" s="37"/>
      <c r="AS21" s="37"/>
      <c r="AT21" s="37"/>
      <c r="AU21" s="37"/>
      <c r="AV21" s="37"/>
      <c r="AW21" s="37"/>
      <c r="AX21" s="37"/>
      <c r="AY21" s="37"/>
      <c r="AZ21" s="33">
        <f t="shared" ref="AZ21:AZ84" si="0">SUM(J21+S21+T21-U21-V21-W21-X21-Y21-Z21-AA21-AB21-AC21-AD21-AE21-AF21-AG21-AH21-AI21-AJ21-AK21-AL21-AM21-AN21-AO21-AP21-AQ21-AR21-AS21-AT21-AU21-AV21-AW21-AX21-AY21)</f>
        <v>4.7999999974308594E-3</v>
      </c>
      <c r="BA21" s="43"/>
    </row>
    <row r="22" spans="1:54" s="23" customFormat="1" ht="55.5" hidden="1" customHeight="1" x14ac:dyDescent="0.3">
      <c r="A22" s="26">
        <v>5</v>
      </c>
      <c r="B22" s="43" t="s">
        <v>1723</v>
      </c>
      <c r="C22" s="53" t="s">
        <v>39</v>
      </c>
      <c r="D22" s="298" t="s">
        <v>1209</v>
      </c>
      <c r="E22" s="92">
        <v>2</v>
      </c>
      <c r="F22" s="30" t="s">
        <v>30</v>
      </c>
      <c r="G22" s="234">
        <f>[1]DICIEMBRE!$BA$48</f>
        <v>696</v>
      </c>
      <c r="H22" s="31">
        <f>ENERO!BA23</f>
        <v>696</v>
      </c>
      <c r="I22" s="45">
        <f>FEBRERO!AX23</f>
        <v>0</v>
      </c>
      <c r="J22" s="32">
        <f>MARZO!BA23</f>
        <v>0</v>
      </c>
      <c r="K22" s="32"/>
      <c r="L22" s="32"/>
      <c r="M22" s="32"/>
      <c r="N22" s="32"/>
      <c r="O22" s="33"/>
      <c r="P22" s="31"/>
      <c r="Q22" s="31"/>
      <c r="R22" s="31"/>
      <c r="S22" s="34">
        <f>(300*0.16+300)*1</f>
        <v>348</v>
      </c>
      <c r="T22" s="34"/>
      <c r="U22" s="34"/>
      <c r="V22" s="34"/>
      <c r="W22" s="34"/>
      <c r="X22" s="34"/>
      <c r="Y22" s="34"/>
      <c r="Z22" s="52"/>
      <c r="AA22" s="34"/>
      <c r="AB22" s="34"/>
      <c r="AC22" s="34"/>
      <c r="AD22" s="34"/>
      <c r="AE22" s="34"/>
      <c r="AF22" s="34"/>
      <c r="AG22" s="34"/>
      <c r="AH22" s="34"/>
      <c r="AI22" s="34"/>
      <c r="AJ22" s="34"/>
      <c r="AK22" s="38"/>
      <c r="AL22" s="34"/>
      <c r="AM22" s="34"/>
      <c r="AN22" s="34"/>
      <c r="AO22" s="34"/>
      <c r="AP22" s="34"/>
      <c r="AQ22" s="34"/>
      <c r="AR22" s="34"/>
      <c r="AS22" s="34"/>
      <c r="AT22" s="34">
        <v>348</v>
      </c>
      <c r="AU22" s="34"/>
      <c r="AV22" s="34"/>
      <c r="AW22" s="34"/>
      <c r="AX22" s="34"/>
      <c r="AY22" s="34"/>
      <c r="AZ22" s="33">
        <f t="shared" si="0"/>
        <v>0</v>
      </c>
      <c r="BA22" s="43" t="s">
        <v>1589</v>
      </c>
    </row>
    <row r="23" spans="1:54" s="23" customFormat="1" ht="72" hidden="1" customHeight="1" x14ac:dyDescent="0.3">
      <c r="A23" s="26">
        <v>6</v>
      </c>
      <c r="B23" s="43" t="s">
        <v>779</v>
      </c>
      <c r="C23" s="28"/>
      <c r="D23" s="298" t="s">
        <v>1200</v>
      </c>
      <c r="E23" s="92">
        <v>1</v>
      </c>
      <c r="F23" s="30" t="s">
        <v>30</v>
      </c>
      <c r="G23" s="112">
        <f>[1]DICIEMBRE!$BA$25</f>
        <v>0</v>
      </c>
      <c r="H23" s="31">
        <f>ENERO!BA24</f>
        <v>0</v>
      </c>
      <c r="I23" s="31">
        <f>FEBRERO!AX24</f>
        <v>0</v>
      </c>
      <c r="J23" s="32">
        <f>MARZO!BA24</f>
        <v>0</v>
      </c>
      <c r="K23" s="33"/>
      <c r="L23" s="336"/>
      <c r="M23" s="336"/>
      <c r="N23" s="336"/>
      <c r="O23" s="32"/>
      <c r="P23" s="31"/>
      <c r="Q23" s="31"/>
      <c r="R23" s="31"/>
      <c r="S23" s="38">
        <f>250*0.16+250</f>
        <v>290</v>
      </c>
      <c r="T23" s="39"/>
      <c r="U23" s="39"/>
      <c r="V23" s="37"/>
      <c r="W23" s="37">
        <v>290</v>
      </c>
      <c r="X23" s="37"/>
      <c r="Y23" s="37"/>
      <c r="Z23" s="37"/>
      <c r="AA23" s="37"/>
      <c r="AB23" s="37"/>
      <c r="AC23" s="37"/>
      <c r="AD23" s="37"/>
      <c r="AE23" s="37"/>
      <c r="AF23" s="37"/>
      <c r="AG23" s="37"/>
      <c r="AH23" s="37"/>
      <c r="AI23" s="37"/>
      <c r="AJ23" s="37"/>
      <c r="AK23" s="35"/>
      <c r="AL23" s="37"/>
      <c r="AM23" s="37"/>
      <c r="AN23" s="37"/>
      <c r="AO23" s="37"/>
      <c r="AP23" s="37"/>
      <c r="AQ23" s="37"/>
      <c r="AR23" s="37"/>
      <c r="AS23" s="37"/>
      <c r="AT23" s="37"/>
      <c r="AU23" s="37"/>
      <c r="AV23" s="37"/>
      <c r="AW23" s="37"/>
      <c r="AX23" s="37"/>
      <c r="AY23" s="37"/>
      <c r="AZ23" s="33">
        <f t="shared" si="0"/>
        <v>0</v>
      </c>
      <c r="BA23" s="43"/>
    </row>
    <row r="24" spans="1:54" s="23" customFormat="1" ht="51" hidden="1" customHeight="1" x14ac:dyDescent="0.3">
      <c r="A24" s="26">
        <v>7</v>
      </c>
      <c r="B24" s="43" t="s">
        <v>1724</v>
      </c>
      <c r="C24" s="28"/>
      <c r="D24" s="298" t="s">
        <v>1217</v>
      </c>
      <c r="E24" s="92">
        <v>5</v>
      </c>
      <c r="F24" s="30" t="s">
        <v>30</v>
      </c>
      <c r="G24" s="234">
        <f>[1]DICIEMBRE!$BA$64</f>
        <v>6.799999999202555E-3</v>
      </c>
      <c r="H24" s="45">
        <f>ENERO!BA25</f>
        <v>6.799999999202555E-3</v>
      </c>
      <c r="I24" s="31">
        <f>FEBRERO!AX25</f>
        <v>-3.20000000078835E-3</v>
      </c>
      <c r="J24" s="32">
        <f>MARZO!BA25</f>
        <v>-3.20000000078835E-3</v>
      </c>
      <c r="K24" s="32"/>
      <c r="L24" s="32"/>
      <c r="M24" s="32"/>
      <c r="N24" s="32"/>
      <c r="O24" s="33"/>
      <c r="P24" s="31"/>
      <c r="Q24" s="31"/>
      <c r="R24" s="31"/>
      <c r="S24" s="34">
        <f>(250*0.16+250)*E24</f>
        <v>1450</v>
      </c>
      <c r="T24" s="34"/>
      <c r="U24" s="34"/>
      <c r="V24" s="35"/>
      <c r="W24" s="35"/>
      <c r="X24" s="35"/>
      <c r="Y24" s="35">
        <v>1450</v>
      </c>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3">
        <f t="shared" si="0"/>
        <v>-3.20000000078835E-3</v>
      </c>
      <c r="BA24" s="43"/>
    </row>
    <row r="25" spans="1:54" ht="60.75" hidden="1" customHeight="1" x14ac:dyDescent="0.35">
      <c r="A25" s="26">
        <v>8</v>
      </c>
      <c r="B25" s="43" t="s">
        <v>1582</v>
      </c>
      <c r="C25" s="27"/>
      <c r="D25" s="300" t="s">
        <v>1577</v>
      </c>
      <c r="E25" s="94">
        <v>1</v>
      </c>
      <c r="F25" s="44" t="s">
        <v>30</v>
      </c>
      <c r="G25" s="234">
        <f>[1]DICIEMBRE!$BA$134</f>
        <v>0</v>
      </c>
      <c r="H25" s="31">
        <f>ENERO!BA139</f>
        <v>48</v>
      </c>
      <c r="I25" s="31">
        <f>FEBRERO!AX26</f>
        <v>0</v>
      </c>
      <c r="J25" s="32">
        <f>MARZO!BA26</f>
        <v>0</v>
      </c>
      <c r="K25" s="32"/>
      <c r="L25" s="32"/>
      <c r="M25" s="336"/>
      <c r="N25" s="336"/>
      <c r="O25" s="32"/>
      <c r="P25" s="33"/>
      <c r="Q25" s="31"/>
      <c r="R25" s="31"/>
      <c r="S25" s="47">
        <f>(300*0.16+300)*E25</f>
        <v>348</v>
      </c>
      <c r="T25" s="47"/>
      <c r="U25" s="48"/>
      <c r="V25" s="49"/>
      <c r="W25" s="49"/>
      <c r="X25" s="49"/>
      <c r="Y25" s="49"/>
      <c r="Z25" s="49"/>
      <c r="AA25" s="49"/>
      <c r="AB25" s="49"/>
      <c r="AC25" s="49">
        <v>348</v>
      </c>
      <c r="AD25" s="49"/>
      <c r="AE25" s="49"/>
      <c r="AF25" s="49"/>
      <c r="AG25" s="49"/>
      <c r="AH25" s="49"/>
      <c r="AI25" s="49"/>
      <c r="AJ25" s="49"/>
      <c r="AK25" s="49"/>
      <c r="AL25" s="49"/>
      <c r="AM25" s="49"/>
      <c r="AN25" s="49"/>
      <c r="AO25" s="49"/>
      <c r="AP25" s="49"/>
      <c r="AQ25" s="49"/>
      <c r="AR25" s="49"/>
      <c r="AS25" s="49"/>
      <c r="AT25" s="49"/>
      <c r="AU25" s="49"/>
      <c r="AV25" s="49"/>
      <c r="AW25" s="49"/>
      <c r="AX25" s="49"/>
      <c r="AY25" s="49"/>
      <c r="AZ25" s="33">
        <f t="shared" si="0"/>
        <v>0</v>
      </c>
      <c r="BA25" s="43"/>
    </row>
    <row r="26" spans="1:54" s="23" customFormat="1" ht="84" hidden="1" customHeight="1" x14ac:dyDescent="0.3">
      <c r="A26" s="26">
        <v>9</v>
      </c>
      <c r="B26" s="43" t="s">
        <v>783</v>
      </c>
      <c r="C26" s="28"/>
      <c r="D26" s="298" t="s">
        <v>1674</v>
      </c>
      <c r="E26" s="92">
        <v>5</v>
      </c>
      <c r="F26" s="30" t="s">
        <v>30</v>
      </c>
      <c r="G26" s="112">
        <f>[1]DICIEMBRE!$BA$27</f>
        <v>3.9999999989959178E-3</v>
      </c>
      <c r="H26" s="31">
        <f>ENERO!BA26</f>
        <v>3.9999999987685442E-3</v>
      </c>
      <c r="I26" s="45">
        <f>FEBRERO!AX27</f>
        <v>3.9999999985411705E-3</v>
      </c>
      <c r="J26" s="32">
        <f>MARZO!BA27</f>
        <v>3.9999999983137968E-3</v>
      </c>
      <c r="K26" s="32"/>
      <c r="L26" s="32"/>
      <c r="M26" s="32"/>
      <c r="N26" s="32"/>
      <c r="O26" s="33"/>
      <c r="P26" s="31"/>
      <c r="Q26" s="31"/>
      <c r="R26" s="31"/>
      <c r="S26" s="38">
        <f>(279*0.16+279)*E26</f>
        <v>1618.1999999999998</v>
      </c>
      <c r="T26" s="39"/>
      <c r="U26" s="39"/>
      <c r="V26" s="37"/>
      <c r="W26" s="37"/>
      <c r="X26" s="37">
        <v>1618.2</v>
      </c>
      <c r="Y26" s="37"/>
      <c r="Z26" s="37"/>
      <c r="AA26" s="37"/>
      <c r="AB26" s="37"/>
      <c r="AC26" s="37"/>
      <c r="AD26" s="37"/>
      <c r="AE26" s="37"/>
      <c r="AF26" s="37"/>
      <c r="AG26" s="37"/>
      <c r="AH26" s="37"/>
      <c r="AI26" s="37"/>
      <c r="AJ26" s="37"/>
      <c r="AK26" s="35"/>
      <c r="AL26" s="37"/>
      <c r="AM26" s="37"/>
      <c r="AN26" s="37"/>
      <c r="AO26" s="37"/>
      <c r="AP26" s="37"/>
      <c r="AQ26" s="37"/>
      <c r="AR26" s="37"/>
      <c r="AS26" s="37"/>
      <c r="AT26" s="37"/>
      <c r="AU26" s="37"/>
      <c r="AV26" s="37"/>
      <c r="AW26" s="37"/>
      <c r="AX26" s="37"/>
      <c r="AY26" s="37"/>
      <c r="AZ26" s="33">
        <f t="shared" si="0"/>
        <v>3.9999999980864231E-3</v>
      </c>
      <c r="BA26" s="43"/>
    </row>
    <row r="27" spans="1:54" s="23" customFormat="1" ht="126.75" hidden="1" customHeight="1" x14ac:dyDescent="0.3">
      <c r="A27" s="26">
        <v>10</v>
      </c>
      <c r="B27" s="27" t="s">
        <v>31</v>
      </c>
      <c r="C27" s="28" t="s">
        <v>287</v>
      </c>
      <c r="D27" s="298" t="s">
        <v>1201</v>
      </c>
      <c r="E27" s="93">
        <v>5</v>
      </c>
      <c r="F27" s="40" t="s">
        <v>30</v>
      </c>
      <c r="G27" s="234">
        <f>[1]DICIEMBRE!$BA$28</f>
        <v>2.8000000004340109E-3</v>
      </c>
      <c r="H27" s="31">
        <f>ENERO!BA27</f>
        <v>2.8000000002066372E-3</v>
      </c>
      <c r="I27" s="31">
        <f>FEBRERO!AX28</f>
        <v>2.8000000002066372E-3</v>
      </c>
      <c r="J27" s="32">
        <f>MARZO!BA28</f>
        <v>2.8000000002066372E-3</v>
      </c>
      <c r="K27" s="33"/>
      <c r="L27" s="336"/>
      <c r="M27" s="336"/>
      <c r="N27" s="336"/>
      <c r="O27" s="32"/>
      <c r="P27" s="33"/>
      <c r="Q27" s="31"/>
      <c r="R27" s="31"/>
      <c r="S27" s="34">
        <f>(280*0.16+280)*E27</f>
        <v>1624</v>
      </c>
      <c r="T27" s="34"/>
      <c r="U27" s="34"/>
      <c r="V27" s="35"/>
      <c r="W27" s="35"/>
      <c r="X27" s="35">
        <v>1624</v>
      </c>
      <c r="Y27" s="35"/>
      <c r="Z27" s="35"/>
      <c r="AA27" s="36"/>
      <c r="AB27" s="35"/>
      <c r="AC27" s="35"/>
      <c r="AD27" s="35"/>
      <c r="AE27" s="35"/>
      <c r="AF27" s="35"/>
      <c r="AG27" s="35"/>
      <c r="AH27" s="35"/>
      <c r="AI27" s="35"/>
      <c r="AJ27" s="35"/>
      <c r="AK27" s="37"/>
      <c r="AL27" s="35"/>
      <c r="AM27" s="35"/>
      <c r="AN27" s="35"/>
      <c r="AO27" s="35"/>
      <c r="AP27" s="35"/>
      <c r="AQ27" s="35"/>
      <c r="AR27" s="35"/>
      <c r="AS27" s="35"/>
      <c r="AT27" s="35"/>
      <c r="AU27" s="35"/>
      <c r="AV27" s="35"/>
      <c r="AW27" s="35"/>
      <c r="AX27" s="35"/>
      <c r="AY27" s="35"/>
      <c r="AZ27" s="33">
        <f t="shared" si="0"/>
        <v>2.8000000002066372E-3</v>
      </c>
      <c r="BA27" s="267"/>
    </row>
    <row r="28" spans="1:54" s="23" customFormat="1" ht="71.25" hidden="1" customHeight="1" x14ac:dyDescent="0.3">
      <c r="A28" s="26">
        <v>11</v>
      </c>
      <c r="B28" s="43" t="s">
        <v>1725</v>
      </c>
      <c r="C28" s="28" t="s">
        <v>484</v>
      </c>
      <c r="D28" s="298" t="s">
        <v>1198</v>
      </c>
      <c r="E28" s="92">
        <v>4</v>
      </c>
      <c r="F28" s="30" t="s">
        <v>30</v>
      </c>
      <c r="G28" s="234">
        <f>[1]DICIEMBRE!$BA$20</f>
        <v>0</v>
      </c>
      <c r="H28" s="45">
        <f>ENERO!BA28</f>
        <v>0</v>
      </c>
      <c r="I28" s="31">
        <f>FEBRERO!AX29</f>
        <v>0</v>
      </c>
      <c r="J28" s="32">
        <f>MARZO!BA29</f>
        <v>0</v>
      </c>
      <c r="K28" s="32"/>
      <c r="L28" s="32"/>
      <c r="M28" s="32"/>
      <c r="N28" s="32"/>
      <c r="O28" s="32"/>
      <c r="P28" s="33"/>
      <c r="Q28" s="31"/>
      <c r="R28" s="31"/>
      <c r="S28" s="34">
        <f>(300*0.16+300)*E28</f>
        <v>1392</v>
      </c>
      <c r="T28" s="34"/>
      <c r="U28" s="34"/>
      <c r="V28" s="35"/>
      <c r="W28" s="35"/>
      <c r="X28" s="35">
        <v>1392</v>
      </c>
      <c r="Y28" s="35"/>
      <c r="Z28" s="36"/>
      <c r="AA28" s="35"/>
      <c r="AB28" s="35"/>
      <c r="AC28" s="35"/>
      <c r="AD28" s="35"/>
      <c r="AE28" s="35"/>
      <c r="AF28" s="35"/>
      <c r="AG28" s="35"/>
      <c r="AH28" s="35"/>
      <c r="AI28" s="35"/>
      <c r="AJ28" s="35"/>
      <c r="AK28" s="37"/>
      <c r="AL28" s="35"/>
      <c r="AM28" s="35"/>
      <c r="AN28" s="35"/>
      <c r="AO28" s="35"/>
      <c r="AP28" s="35"/>
      <c r="AQ28" s="35"/>
      <c r="AR28" s="35"/>
      <c r="AS28" s="35"/>
      <c r="AT28" s="35"/>
      <c r="AU28" s="35"/>
      <c r="AV28" s="35"/>
      <c r="AW28" s="35"/>
      <c r="AX28" s="35"/>
      <c r="AY28" s="35"/>
      <c r="AZ28" s="33">
        <f t="shared" si="0"/>
        <v>0</v>
      </c>
      <c r="BA28" s="43"/>
    </row>
    <row r="29" spans="1:54" s="23" customFormat="1" ht="51" hidden="1" customHeight="1" x14ac:dyDescent="0.3">
      <c r="A29" s="26">
        <v>12</v>
      </c>
      <c r="B29" s="43" t="s">
        <v>1352</v>
      </c>
      <c r="C29" s="28"/>
      <c r="D29" s="300" t="s">
        <v>1499</v>
      </c>
      <c r="E29" s="93">
        <v>5</v>
      </c>
      <c r="F29" s="30" t="s">
        <v>30</v>
      </c>
      <c r="G29" s="112">
        <f>[1]DICIEMBRE!$BA$31</f>
        <v>-3480</v>
      </c>
      <c r="H29" s="31">
        <f>ENERO!BA29</f>
        <v>-1740</v>
      </c>
      <c r="I29" s="31">
        <f>FEBRERO!AX30</f>
        <v>0</v>
      </c>
      <c r="J29" s="32">
        <f>MARZO!BA30</f>
        <v>-3480</v>
      </c>
      <c r="K29" s="32"/>
      <c r="L29" s="32"/>
      <c r="M29" s="32"/>
      <c r="N29" s="32"/>
      <c r="O29" s="33"/>
      <c r="P29" s="31"/>
      <c r="Q29" s="31"/>
      <c r="R29" s="31"/>
      <c r="S29" s="34">
        <f>(300*0.16+300)*E29</f>
        <v>1740</v>
      </c>
      <c r="T29" s="34"/>
      <c r="U29" s="34"/>
      <c r="V29" s="34"/>
      <c r="W29" s="34"/>
      <c r="X29" s="34"/>
      <c r="Y29" s="34"/>
      <c r="Z29" s="34"/>
      <c r="AA29" s="34"/>
      <c r="AB29" s="34"/>
      <c r="AC29" s="34"/>
      <c r="AD29" s="34"/>
      <c r="AE29" s="34"/>
      <c r="AF29" s="34"/>
      <c r="AG29" s="34"/>
      <c r="AH29" s="34"/>
      <c r="AI29" s="34"/>
      <c r="AJ29" s="34"/>
      <c r="AK29" s="38"/>
      <c r="AL29" s="34"/>
      <c r="AM29" s="34"/>
      <c r="AN29" s="34"/>
      <c r="AO29" s="34"/>
      <c r="AP29" s="34"/>
      <c r="AQ29" s="34"/>
      <c r="AR29" s="34"/>
      <c r="AS29" s="34"/>
      <c r="AT29" s="34"/>
      <c r="AU29" s="34"/>
      <c r="AV29" s="34"/>
      <c r="AW29" s="34"/>
      <c r="AX29" s="34"/>
      <c r="AY29" s="34"/>
      <c r="AZ29" s="33">
        <f t="shared" si="0"/>
        <v>-1740</v>
      </c>
      <c r="BA29" s="43" t="s">
        <v>2453</v>
      </c>
    </row>
    <row r="30" spans="1:54" s="23" customFormat="1" ht="69.75" hidden="1" customHeight="1" x14ac:dyDescent="0.3">
      <c r="A30" s="26">
        <v>13</v>
      </c>
      <c r="B30" s="43" t="s">
        <v>1726</v>
      </c>
      <c r="C30" s="334"/>
      <c r="D30" s="298" t="s">
        <v>2210</v>
      </c>
      <c r="E30" s="93">
        <v>5</v>
      </c>
      <c r="F30" s="30" t="s">
        <v>30</v>
      </c>
      <c r="G30" s="234">
        <f>[1]DICIEMBRE!$BA$18</f>
        <v>-128</v>
      </c>
      <c r="H30" s="31">
        <f>ENERO!BA30</f>
        <v>-128</v>
      </c>
      <c r="I30" s="45">
        <f>FEBRERO!AX31</f>
        <v>-128</v>
      </c>
      <c r="J30" s="32">
        <f>MARZO!BA31</f>
        <v>-128</v>
      </c>
      <c r="K30" s="33"/>
      <c r="L30" s="336"/>
      <c r="M30" s="336"/>
      <c r="N30" s="336"/>
      <c r="O30" s="33"/>
      <c r="P30" s="33"/>
      <c r="Q30" s="31"/>
      <c r="R30" s="31"/>
      <c r="S30" s="34">
        <f>(350*0.16+350)*E30</f>
        <v>2030</v>
      </c>
      <c r="T30" s="335"/>
      <c r="U30" s="335"/>
      <c r="V30" s="25"/>
      <c r="X30" s="25"/>
      <c r="Y30" s="25"/>
      <c r="Z30" s="25"/>
      <c r="AA30" s="25"/>
      <c r="AB30" s="25"/>
      <c r="AC30" s="54"/>
      <c r="AD30" s="25"/>
      <c r="AE30" s="25"/>
      <c r="AF30" s="25"/>
      <c r="AG30" s="25"/>
      <c r="AH30" s="25"/>
      <c r="AI30" s="25"/>
      <c r="AJ30" s="25"/>
      <c r="AK30" s="25">
        <v>2030</v>
      </c>
      <c r="AL30" s="25"/>
      <c r="AM30" s="25"/>
      <c r="AN30" s="25"/>
      <c r="AO30" s="25"/>
      <c r="AP30" s="25"/>
      <c r="AQ30" s="25"/>
      <c r="AR30" s="25"/>
      <c r="AS30" s="25"/>
      <c r="AT30" s="25"/>
      <c r="AU30" s="25"/>
      <c r="AV30" s="25"/>
      <c r="AW30" s="25"/>
      <c r="AX30" s="25"/>
      <c r="AY30" s="25"/>
      <c r="AZ30" s="33">
        <f t="shared" si="0"/>
        <v>-128</v>
      </c>
      <c r="BA30" s="266"/>
      <c r="BB30" s="333"/>
    </row>
    <row r="31" spans="1:54" s="23" customFormat="1" ht="52.5" hidden="1" customHeight="1" x14ac:dyDescent="0.3">
      <c r="A31" s="26">
        <v>14</v>
      </c>
      <c r="B31" s="43" t="s">
        <v>1727</v>
      </c>
      <c r="C31" s="53"/>
      <c r="D31" s="298" t="s">
        <v>1225</v>
      </c>
      <c r="E31" s="92">
        <v>6</v>
      </c>
      <c r="F31" s="56" t="s">
        <v>30</v>
      </c>
      <c r="G31" s="112">
        <f>[1]DICIEMBRE!$BA$77</f>
        <v>1.1999999996987754E-3</v>
      </c>
      <c r="H31" s="45">
        <f>ENERO!BA31</f>
        <v>1.1999999996987754E-3</v>
      </c>
      <c r="I31" s="31">
        <f>FEBRERO!AX32</f>
        <v>1.1999999996987754E-3</v>
      </c>
      <c r="J31" s="32">
        <f>MARZO!BA32</f>
        <v>1.1999999996987754E-3</v>
      </c>
      <c r="K31" s="32"/>
      <c r="L31" s="32"/>
      <c r="M31" s="32"/>
      <c r="N31" s="32"/>
      <c r="O31" s="33"/>
      <c r="P31" s="33"/>
      <c r="Q31" s="31"/>
      <c r="R31" s="31"/>
      <c r="S31" s="34">
        <f>(250*0.16+250)*5+(300*0.16+300)*1</f>
        <v>1798</v>
      </c>
      <c r="T31" s="34">
        <f>650*0.16+650</f>
        <v>754</v>
      </c>
      <c r="U31" s="34"/>
      <c r="V31" s="35"/>
      <c r="W31" s="35"/>
      <c r="X31" s="35"/>
      <c r="Y31" s="54">
        <v>2552</v>
      </c>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3">
        <f t="shared" si="0"/>
        <v>1.1999999996987754E-3</v>
      </c>
      <c r="BA31" s="269" t="s">
        <v>2626</v>
      </c>
    </row>
    <row r="32" spans="1:54" s="23" customFormat="1" ht="60.75" hidden="1" customHeight="1" x14ac:dyDescent="0.3">
      <c r="A32" s="26">
        <v>15</v>
      </c>
      <c r="B32" s="43" t="s">
        <v>1632</v>
      </c>
      <c r="C32" s="28"/>
      <c r="D32" s="303" t="s">
        <v>1641</v>
      </c>
      <c r="E32" s="93">
        <v>6</v>
      </c>
      <c r="F32" s="30" t="s">
        <v>35</v>
      </c>
      <c r="G32" s="234">
        <f>[1]DICIEMBRE!$BA$32</f>
        <v>0</v>
      </c>
      <c r="H32" s="31">
        <f>ENERO!BA32</f>
        <v>-3.9999999999054126E-3</v>
      </c>
      <c r="I32" s="31">
        <f>FEBRERO!AX33</f>
        <v>-3.9999999999054126E-3</v>
      </c>
      <c r="J32" s="32">
        <f>MARZO!BA33</f>
        <v>-3.9999999999054126E-3</v>
      </c>
      <c r="K32" s="32"/>
      <c r="L32" s="32"/>
      <c r="M32" s="32"/>
      <c r="N32" s="32"/>
      <c r="O32" s="33"/>
      <c r="P32" s="31"/>
      <c r="Q32" s="31"/>
      <c r="R32" s="31"/>
      <c r="S32" s="34">
        <f>(279*0.16+279)*E32</f>
        <v>1941.84</v>
      </c>
      <c r="T32" s="34"/>
      <c r="U32" s="34"/>
      <c r="V32" s="34"/>
      <c r="W32" s="34"/>
      <c r="X32" s="34"/>
      <c r="Y32" s="34"/>
      <c r="Z32" s="34"/>
      <c r="AA32" s="34"/>
      <c r="AB32" s="34"/>
      <c r="AC32" s="34"/>
      <c r="AD32" s="34"/>
      <c r="AE32" s="34"/>
      <c r="AF32" s="34">
        <v>1941.84</v>
      </c>
      <c r="AG32" s="34"/>
      <c r="AH32" s="34"/>
      <c r="AI32" s="34"/>
      <c r="AJ32" s="34"/>
      <c r="AK32" s="38"/>
      <c r="AL32" s="34"/>
      <c r="AM32" s="34"/>
      <c r="AN32" s="34"/>
      <c r="AO32" s="34"/>
      <c r="AP32" s="34"/>
      <c r="AQ32" s="34"/>
      <c r="AR32" s="34"/>
      <c r="AS32" s="34"/>
      <c r="AT32" s="34"/>
      <c r="AU32" s="34"/>
      <c r="AV32" s="34"/>
      <c r="AW32" s="34"/>
      <c r="AX32" s="34"/>
      <c r="AY32" s="34"/>
      <c r="AZ32" s="33">
        <f t="shared" si="0"/>
        <v>-3.9999999999054126E-3</v>
      </c>
      <c r="BA32" s="43"/>
    </row>
    <row r="33" spans="1:53" s="23" customFormat="1" ht="83.25" hidden="1" customHeight="1" x14ac:dyDescent="0.3">
      <c r="A33" s="26">
        <v>16</v>
      </c>
      <c r="B33" s="43" t="s">
        <v>1729</v>
      </c>
      <c r="C33" s="53"/>
      <c r="D33" s="300" t="s">
        <v>1500</v>
      </c>
      <c r="E33" s="320">
        <v>9</v>
      </c>
      <c r="F33" s="41" t="s">
        <v>30</v>
      </c>
      <c r="G33" s="234">
        <f>[1]DICIEMBRE!$BA$34</f>
        <v>0</v>
      </c>
      <c r="H33" s="45">
        <f>ENERO!BA34</f>
        <v>0</v>
      </c>
      <c r="I33" s="45">
        <f>FEBRERO!AX35</f>
        <v>0</v>
      </c>
      <c r="J33" s="32">
        <f>MARZO!BA34</f>
        <v>-15660</v>
      </c>
      <c r="K33" s="32"/>
      <c r="L33" s="32"/>
      <c r="M33" s="32"/>
      <c r="N33" s="32"/>
      <c r="O33" s="32"/>
      <c r="P33" s="31"/>
      <c r="Q33" s="31"/>
      <c r="R33" s="31"/>
      <c r="S33" s="38">
        <f>(300*0.16+300)*E33</f>
        <v>3132</v>
      </c>
      <c r="T33" s="38"/>
      <c r="U33" s="35"/>
      <c r="V33" s="35"/>
      <c r="W33" s="35"/>
      <c r="X33" s="35"/>
      <c r="Y33" s="35"/>
      <c r="Z33" s="35"/>
      <c r="AA33" s="35"/>
      <c r="AB33" s="35"/>
      <c r="AC33" s="35"/>
      <c r="AD33" s="35"/>
      <c r="AE33" s="35"/>
      <c r="AF33" s="35"/>
      <c r="AG33" s="35"/>
      <c r="AH33" s="35"/>
      <c r="AI33" s="35"/>
      <c r="AJ33" s="35"/>
      <c r="AK33" s="42"/>
      <c r="AL33" s="35"/>
      <c r="AM33" s="35"/>
      <c r="AN33" s="35"/>
      <c r="AO33" s="35"/>
      <c r="AP33" s="35"/>
      <c r="AQ33" s="35"/>
      <c r="AR33" s="35"/>
      <c r="AS33" s="35"/>
      <c r="AT33" s="35"/>
      <c r="AU33" s="35"/>
      <c r="AV33" s="35"/>
      <c r="AW33" s="35"/>
      <c r="AX33" s="35"/>
      <c r="AY33" s="35"/>
      <c r="AZ33" s="33">
        <f t="shared" si="0"/>
        <v>-12528</v>
      </c>
      <c r="BA33" s="268" t="s">
        <v>2500</v>
      </c>
    </row>
    <row r="34" spans="1:53" ht="37.5" hidden="1" customHeight="1" x14ac:dyDescent="0.35">
      <c r="A34" s="26">
        <v>17</v>
      </c>
      <c r="B34" s="43" t="s">
        <v>1274</v>
      </c>
      <c r="C34" s="28"/>
      <c r="D34" s="300" t="s">
        <v>1070</v>
      </c>
      <c r="E34" s="94">
        <v>1</v>
      </c>
      <c r="F34" s="44" t="s">
        <v>30</v>
      </c>
      <c r="G34" s="112">
        <f>[1]DICIEMBRE!$BA$35</f>
        <v>0</v>
      </c>
      <c r="H34" s="31">
        <f>ENERO!BA35</f>
        <v>0</v>
      </c>
      <c r="I34" s="31">
        <f>FEBRERO!AX36</f>
        <v>0</v>
      </c>
      <c r="J34" s="32">
        <f>MARZO!BA35</f>
        <v>0</v>
      </c>
      <c r="K34" s="32"/>
      <c r="L34" s="32"/>
      <c r="M34" s="32"/>
      <c r="N34" s="32"/>
      <c r="O34" s="33"/>
      <c r="P34" s="33"/>
      <c r="Q34" s="31"/>
      <c r="R34" s="31"/>
      <c r="S34" s="47">
        <f>(250*0.16+250)*E34</f>
        <v>290</v>
      </c>
      <c r="T34" s="47"/>
      <c r="U34" s="48"/>
      <c r="V34" s="49"/>
      <c r="W34" s="49"/>
      <c r="X34" s="49"/>
      <c r="Y34" s="49">
        <v>290</v>
      </c>
      <c r="Z34" s="49"/>
      <c r="AA34" s="49"/>
      <c r="AB34" s="49"/>
      <c r="AC34" s="49"/>
      <c r="AD34" s="49"/>
      <c r="AE34" s="50"/>
      <c r="AF34" s="49"/>
      <c r="AG34" s="49"/>
      <c r="AH34" s="49"/>
      <c r="AI34" s="49"/>
      <c r="AJ34" s="49"/>
      <c r="AK34" s="49"/>
      <c r="AL34" s="49"/>
      <c r="AM34" s="49"/>
      <c r="AN34" s="49"/>
      <c r="AO34" s="49"/>
      <c r="AP34" s="49"/>
      <c r="AQ34" s="49"/>
      <c r="AR34" s="49"/>
      <c r="AS34" s="49"/>
      <c r="AT34" s="49"/>
      <c r="AU34" s="49"/>
      <c r="AV34" s="49"/>
      <c r="AW34" s="49"/>
      <c r="AX34" s="49"/>
      <c r="AY34" s="49"/>
      <c r="AZ34" s="33">
        <f t="shared" si="0"/>
        <v>0</v>
      </c>
      <c r="BA34" s="43"/>
    </row>
    <row r="35" spans="1:53" s="23" customFormat="1" ht="39.75" hidden="1" customHeight="1" x14ac:dyDescent="0.3">
      <c r="A35" s="26">
        <v>18</v>
      </c>
      <c r="B35" s="27" t="s">
        <v>36</v>
      </c>
      <c r="C35" s="28" t="s">
        <v>37</v>
      </c>
      <c r="D35" s="298" t="s">
        <v>1204</v>
      </c>
      <c r="E35" s="92">
        <v>3</v>
      </c>
      <c r="F35" s="30" t="s">
        <v>30</v>
      </c>
      <c r="G35" s="112">
        <f>[1]DICIEMBRE!$BA$37</f>
        <v>0</v>
      </c>
      <c r="H35" s="31">
        <f>ENERO!BA36</f>
        <v>0</v>
      </c>
      <c r="I35" s="31">
        <f>FEBRERO!AX37</f>
        <v>-4.3999999999755346E-3</v>
      </c>
      <c r="J35" s="32">
        <f>MARZO!BA36</f>
        <v>-4.400000000032378E-3</v>
      </c>
      <c r="K35" s="33"/>
      <c r="L35" s="336"/>
      <c r="M35" s="336"/>
      <c r="N35" s="32"/>
      <c r="O35" s="32"/>
      <c r="P35" s="33"/>
      <c r="Q35" s="31"/>
      <c r="R35" s="31"/>
      <c r="S35" s="34">
        <f>(250*0.16+250)*E35</f>
        <v>870</v>
      </c>
      <c r="T35" s="34">
        <f>2016.66*0.16+2016.66</f>
        <v>2339.3256000000001</v>
      </c>
      <c r="U35" s="34"/>
      <c r="V35" s="34"/>
      <c r="W35" s="34"/>
      <c r="X35" s="34">
        <v>3209.32</v>
      </c>
      <c r="Y35" s="34"/>
      <c r="Z35" s="52"/>
      <c r="AA35" s="34"/>
      <c r="AB35" s="34"/>
      <c r="AC35" s="34"/>
      <c r="AD35" s="34"/>
      <c r="AE35" s="34"/>
      <c r="AF35" s="34"/>
      <c r="AG35" s="34"/>
      <c r="AH35" s="34"/>
      <c r="AI35" s="34"/>
      <c r="AJ35" s="34"/>
      <c r="AK35" s="38"/>
      <c r="AL35" s="34"/>
      <c r="AM35" s="34"/>
      <c r="AN35" s="34"/>
      <c r="AO35" s="34"/>
      <c r="AP35" s="34"/>
      <c r="AQ35" s="34"/>
      <c r="AR35" s="34"/>
      <c r="AS35" s="34"/>
      <c r="AT35" s="34"/>
      <c r="AU35" s="34"/>
      <c r="AV35" s="34"/>
      <c r="AW35" s="34"/>
      <c r="AX35" s="34"/>
      <c r="AY35" s="34"/>
      <c r="AZ35" s="33">
        <f t="shared" si="0"/>
        <v>1.2000000001535227E-3</v>
      </c>
      <c r="BA35" s="43" t="s">
        <v>2621</v>
      </c>
    </row>
    <row r="36" spans="1:53" s="23" customFormat="1" ht="140.25" hidden="1" customHeight="1" x14ac:dyDescent="0.3">
      <c r="A36" s="26">
        <v>19</v>
      </c>
      <c r="B36" s="27" t="s">
        <v>291</v>
      </c>
      <c r="C36" s="28" t="s">
        <v>292</v>
      </c>
      <c r="D36" s="298" t="s">
        <v>1205</v>
      </c>
      <c r="E36" s="92">
        <v>7</v>
      </c>
      <c r="F36" s="40" t="s">
        <v>30</v>
      </c>
      <c r="G36" s="234">
        <f>[1]DICIEMBRE!$BA$38</f>
        <v>-753.99240000000054</v>
      </c>
      <c r="H36" s="45">
        <f>ENERO!BA37</f>
        <v>-753.99240000000054</v>
      </c>
      <c r="I36" s="31">
        <f>FEBRERO!AX38</f>
        <v>-753.99240000000054</v>
      </c>
      <c r="J36" s="32">
        <f>MARZO!BA37</f>
        <v>-753.99240000000054</v>
      </c>
      <c r="K36" s="32"/>
      <c r="L36" s="32"/>
      <c r="M36" s="32"/>
      <c r="N36" s="32"/>
      <c r="O36" s="33"/>
      <c r="P36" s="31"/>
      <c r="Q36" s="31"/>
      <c r="R36" s="31"/>
      <c r="S36" s="34">
        <f>(350*0.16+350)*E36</f>
        <v>2842</v>
      </c>
      <c r="T36" s="34"/>
      <c r="U36" s="34"/>
      <c r="V36" s="35"/>
      <c r="W36" s="54"/>
      <c r="X36" s="35"/>
      <c r="Y36" s="35">
        <v>2842</v>
      </c>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3">
        <f t="shared" si="0"/>
        <v>-753.99240000000054</v>
      </c>
      <c r="BA36" s="267"/>
    </row>
    <row r="37" spans="1:53" s="23" customFormat="1" ht="78" hidden="1" customHeight="1" x14ac:dyDescent="0.3">
      <c r="A37" s="26">
        <v>20</v>
      </c>
      <c r="B37" s="43" t="s">
        <v>1730</v>
      </c>
      <c r="C37" s="27"/>
      <c r="D37" s="298" t="s">
        <v>1213</v>
      </c>
      <c r="E37" s="92">
        <v>4</v>
      </c>
      <c r="F37" s="30" t="s">
        <v>30</v>
      </c>
      <c r="G37" s="112">
        <f>[1]DICIEMBRE!$BA$59</f>
        <v>6.8212102632969618E-13</v>
      </c>
      <c r="H37" s="31">
        <f>ENERO!BA38</f>
        <v>9.0949470177292824E-13</v>
      </c>
      <c r="I37" s="45">
        <f>FEBRERO!AX39</f>
        <v>1.1368683772161603E-12</v>
      </c>
      <c r="J37" s="32">
        <f>MARZO!BA38</f>
        <v>1.3642420526593924E-12</v>
      </c>
      <c r="K37" s="32"/>
      <c r="L37" s="32"/>
      <c r="M37" s="336"/>
      <c r="N37" s="32"/>
      <c r="O37" s="32"/>
      <c r="P37" s="31"/>
      <c r="Q37" s="31"/>
      <c r="R37" s="31"/>
      <c r="S37" s="34">
        <f>(249*0.16+249)*E37</f>
        <v>1155.3600000000001</v>
      </c>
      <c r="T37" s="35"/>
      <c r="U37" s="35"/>
      <c r="V37" s="35"/>
      <c r="W37" s="35"/>
      <c r="X37" s="35"/>
      <c r="Y37" s="35">
        <v>1155.3599999999999</v>
      </c>
      <c r="Z37" s="35"/>
      <c r="AA37" s="35"/>
      <c r="AB37" s="35"/>
      <c r="AC37" s="35"/>
      <c r="AD37" s="35"/>
      <c r="AE37" s="35"/>
      <c r="AF37" s="35"/>
      <c r="AG37" s="35"/>
      <c r="AH37" s="35"/>
      <c r="AI37" s="35"/>
      <c r="AJ37" s="35"/>
      <c r="AK37" s="42"/>
      <c r="AL37" s="35"/>
      <c r="AM37" s="35"/>
      <c r="AN37" s="35"/>
      <c r="AO37" s="35"/>
      <c r="AP37" s="35"/>
      <c r="AQ37" s="35"/>
      <c r="AR37" s="35"/>
      <c r="AS37" s="35"/>
      <c r="AT37" s="35"/>
      <c r="AU37" s="35"/>
      <c r="AV37" s="35"/>
      <c r="AW37" s="35"/>
      <c r="AX37" s="35"/>
      <c r="AY37" s="35"/>
      <c r="AZ37" s="33">
        <f t="shared" si="0"/>
        <v>1.5916157281026244E-12</v>
      </c>
      <c r="BA37" s="43"/>
    </row>
    <row r="38" spans="1:53" s="23" customFormat="1" ht="60.75" hidden="1" customHeight="1" x14ac:dyDescent="0.3">
      <c r="A38" s="26">
        <v>21</v>
      </c>
      <c r="B38" s="43" t="s">
        <v>1446</v>
      </c>
      <c r="C38" s="53"/>
      <c r="D38" s="298" t="s">
        <v>2123</v>
      </c>
      <c r="E38" s="94">
        <v>2</v>
      </c>
      <c r="F38" s="44" t="s">
        <v>30</v>
      </c>
      <c r="G38" s="112">
        <f>[1]DICIEMBRE!$BA$41</f>
        <v>0</v>
      </c>
      <c r="H38" s="31">
        <f>ENERO!BA39</f>
        <v>0</v>
      </c>
      <c r="I38" s="31">
        <f>FEBRERO!AX40</f>
        <v>0</v>
      </c>
      <c r="J38" s="32">
        <f>MARZO!BA39</f>
        <v>0</v>
      </c>
      <c r="K38" s="32"/>
      <c r="L38" s="32"/>
      <c r="M38" s="336"/>
      <c r="N38" s="32"/>
      <c r="O38" s="33"/>
      <c r="P38" s="31"/>
      <c r="Q38" s="31"/>
      <c r="R38" s="31"/>
      <c r="S38" s="47">
        <f>(300*0.16+300)*2</f>
        <v>696</v>
      </c>
      <c r="T38" s="34"/>
      <c r="U38" s="34"/>
      <c r="V38" s="34"/>
      <c r="W38" s="34"/>
      <c r="X38" s="34"/>
      <c r="Y38" s="34"/>
      <c r="Z38" s="52"/>
      <c r="AA38" s="34"/>
      <c r="AB38" s="34">
        <v>696</v>
      </c>
      <c r="AC38" s="34"/>
      <c r="AD38" s="34"/>
      <c r="AE38" s="34"/>
      <c r="AF38" s="34"/>
      <c r="AG38" s="34"/>
      <c r="AH38" s="34"/>
      <c r="AI38" s="34"/>
      <c r="AJ38" s="34"/>
      <c r="AK38" s="38"/>
      <c r="AL38" s="34"/>
      <c r="AM38" s="34"/>
      <c r="AN38" s="34"/>
      <c r="AO38" s="34"/>
      <c r="AP38" s="34"/>
      <c r="AQ38" s="34"/>
      <c r="AR38" s="34"/>
      <c r="AS38" s="34"/>
      <c r="AT38" s="34"/>
      <c r="AU38" s="34"/>
      <c r="AV38" s="34"/>
      <c r="AW38" s="34"/>
      <c r="AX38" s="34"/>
      <c r="AY38" s="34"/>
      <c r="AZ38" s="33">
        <f t="shared" si="0"/>
        <v>0</v>
      </c>
      <c r="BA38" s="43" t="s">
        <v>1588</v>
      </c>
    </row>
    <row r="39" spans="1:53" s="23" customFormat="1" ht="72" customHeight="1" x14ac:dyDescent="0.3">
      <c r="A39" s="26">
        <v>22</v>
      </c>
      <c r="B39" s="43" t="s">
        <v>960</v>
      </c>
      <c r="C39" s="43" t="s">
        <v>252</v>
      </c>
      <c r="D39" s="300" t="s">
        <v>1207</v>
      </c>
      <c r="E39" s="92">
        <v>674</v>
      </c>
      <c r="F39" s="30" t="s">
        <v>30</v>
      </c>
      <c r="G39" s="234">
        <f>[1]DICIEMBRE!$BA$42</f>
        <v>3220.0259999999871</v>
      </c>
      <c r="H39" s="45">
        <f>ENERO!BA40</f>
        <v>3220.0259999999835</v>
      </c>
      <c r="I39" s="31">
        <f>FEBRERO!AX41</f>
        <v>3220.0279999999766</v>
      </c>
      <c r="J39" s="32">
        <f>MARZO!BA40</f>
        <v>3220.0299999999697</v>
      </c>
      <c r="K39" s="32"/>
      <c r="L39" s="32"/>
      <c r="M39" s="32"/>
      <c r="N39" s="32"/>
      <c r="O39" s="33"/>
      <c r="P39" s="33"/>
      <c r="Q39" s="31"/>
      <c r="R39" s="31"/>
      <c r="S39" s="34">
        <f>(38.8*0.16+38.8)*E39</f>
        <v>30335.391999999996</v>
      </c>
      <c r="T39" s="34"/>
      <c r="U39" s="34"/>
      <c r="V39" s="34"/>
      <c r="W39" s="34"/>
      <c r="X39" s="34"/>
      <c r="Y39" s="34"/>
      <c r="Z39" s="52"/>
      <c r="AA39" s="34"/>
      <c r="AB39" s="34"/>
      <c r="AC39" s="34"/>
      <c r="AD39" s="34"/>
      <c r="AE39" s="34"/>
      <c r="AF39" s="34"/>
      <c r="AG39" s="34"/>
      <c r="AH39" s="34"/>
      <c r="AI39" s="34"/>
      <c r="AJ39" s="34"/>
      <c r="AK39" s="38"/>
      <c r="AL39" s="34"/>
      <c r="AM39" s="34"/>
      <c r="AN39" s="34"/>
      <c r="AO39" s="34"/>
      <c r="AP39" s="34"/>
      <c r="AQ39" s="34"/>
      <c r="AR39" s="34"/>
      <c r="AS39" s="34">
        <v>30335.39</v>
      </c>
      <c r="AT39" s="34"/>
      <c r="AU39" s="34"/>
      <c r="AV39" s="34"/>
      <c r="AW39" s="34"/>
      <c r="AX39" s="34"/>
      <c r="AY39" s="34"/>
      <c r="AZ39" s="33">
        <f t="shared" si="0"/>
        <v>3220.0319999999629</v>
      </c>
      <c r="BA39" s="43"/>
    </row>
    <row r="40" spans="1:53" s="23" customFormat="1" ht="72" hidden="1" customHeight="1" x14ac:dyDescent="0.3">
      <c r="A40" s="26">
        <v>23</v>
      </c>
      <c r="B40" s="43" t="s">
        <v>1453</v>
      </c>
      <c r="C40" s="43"/>
      <c r="D40" s="300" t="s">
        <v>1503</v>
      </c>
      <c r="E40" s="92">
        <v>1</v>
      </c>
      <c r="F40" s="30" t="s">
        <v>30</v>
      </c>
      <c r="G40" s="112">
        <f>[1]DICIEMBRE!$BA$43</f>
        <v>348</v>
      </c>
      <c r="H40" s="31">
        <f>ENERO!BA41</f>
        <v>0</v>
      </c>
      <c r="I40" s="31">
        <f>FEBRERO!AX42</f>
        <v>0</v>
      </c>
      <c r="J40" s="32">
        <f>MARZO!BA41</f>
        <v>0</v>
      </c>
      <c r="K40" s="32"/>
      <c r="L40" s="32"/>
      <c r="M40" s="32"/>
      <c r="N40" s="32"/>
      <c r="O40" s="33"/>
      <c r="P40" s="33"/>
      <c r="Q40" s="31"/>
      <c r="R40" s="31"/>
      <c r="S40" s="34">
        <f>(300*0.16+300)*E40</f>
        <v>348</v>
      </c>
      <c r="T40" s="34"/>
      <c r="U40" s="34"/>
      <c r="V40" s="34"/>
      <c r="W40" s="34"/>
      <c r="X40" s="34"/>
      <c r="Y40" s="34"/>
      <c r="Z40" s="52"/>
      <c r="AA40" s="34"/>
      <c r="AB40" s="34"/>
      <c r="AC40" s="34"/>
      <c r="AD40" s="34"/>
      <c r="AE40" s="34"/>
      <c r="AF40" s="34"/>
      <c r="AG40" s="34"/>
      <c r="AH40" s="34"/>
      <c r="AI40" s="34"/>
      <c r="AJ40" s="34"/>
      <c r="AK40" s="38"/>
      <c r="AL40" s="34"/>
      <c r="AM40" s="34"/>
      <c r="AN40" s="34"/>
      <c r="AO40" s="34"/>
      <c r="AP40" s="34"/>
      <c r="AQ40" s="34"/>
      <c r="AR40" s="34"/>
      <c r="AS40" s="34"/>
      <c r="AT40" s="34"/>
      <c r="AU40" s="34"/>
      <c r="AV40" s="34"/>
      <c r="AW40" s="34">
        <v>348</v>
      </c>
      <c r="AX40" s="34"/>
      <c r="AY40" s="34"/>
      <c r="AZ40" s="33">
        <f t="shared" si="0"/>
        <v>0</v>
      </c>
      <c r="BA40" s="43"/>
    </row>
    <row r="41" spans="1:53" s="23" customFormat="1" ht="57.75" customHeight="1" x14ac:dyDescent="0.3">
      <c r="A41" s="26">
        <v>24</v>
      </c>
      <c r="B41" s="43" t="s">
        <v>428</v>
      </c>
      <c r="C41" s="28" t="s">
        <v>429</v>
      </c>
      <c r="D41" s="298" t="s">
        <v>1208</v>
      </c>
      <c r="E41" s="92">
        <v>7</v>
      </c>
      <c r="F41" s="30" t="s">
        <v>30</v>
      </c>
      <c r="G41" s="234">
        <f>[1]DICIEMBRE!$BA$44</f>
        <v>2598.3956000000003</v>
      </c>
      <c r="H41" s="31">
        <f>ENERO!BA42</f>
        <v>5486.7956000000004</v>
      </c>
      <c r="I41" s="45">
        <f>FEBRERO!AX43</f>
        <v>8085.1956000000009</v>
      </c>
      <c r="J41" s="32">
        <f>MARZO!BA42</f>
        <v>10683.595600000001</v>
      </c>
      <c r="K41" s="32"/>
      <c r="L41" s="32"/>
      <c r="M41" s="32"/>
      <c r="N41" s="336"/>
      <c r="O41" s="32"/>
      <c r="P41" s="31"/>
      <c r="Q41" s="31"/>
      <c r="R41" s="31"/>
      <c r="S41" s="34">
        <f>(320*0.16+320)*E41</f>
        <v>2598.4</v>
      </c>
      <c r="T41" s="34"/>
      <c r="U41" s="34"/>
      <c r="V41" s="34"/>
      <c r="W41" s="34"/>
      <c r="X41" s="34"/>
      <c r="Y41" s="34"/>
      <c r="Z41" s="52"/>
      <c r="AA41" s="34"/>
      <c r="AB41" s="34"/>
      <c r="AC41" s="34"/>
      <c r="AD41" s="34"/>
      <c r="AE41" s="34"/>
      <c r="AF41" s="34"/>
      <c r="AG41" s="34"/>
      <c r="AH41" s="34"/>
      <c r="AI41" s="34"/>
      <c r="AJ41" s="34"/>
      <c r="AK41" s="38"/>
      <c r="AL41" s="34"/>
      <c r="AM41" s="34"/>
      <c r="AN41" s="34"/>
      <c r="AO41" s="34"/>
      <c r="AP41" s="34"/>
      <c r="AQ41" s="34"/>
      <c r="AR41" s="34">
        <v>8085.2</v>
      </c>
      <c r="AS41" s="34"/>
      <c r="AT41" s="34"/>
      <c r="AU41" s="34"/>
      <c r="AV41" s="34"/>
      <c r="AW41" s="34"/>
      <c r="AX41" s="34"/>
      <c r="AY41" s="34"/>
      <c r="AZ41" s="33">
        <f t="shared" si="0"/>
        <v>5196.7956000000004</v>
      </c>
      <c r="BA41" s="43"/>
    </row>
    <row r="42" spans="1:53" s="23" customFormat="1" ht="49.5" hidden="1" customHeight="1" x14ac:dyDescent="0.3">
      <c r="A42" s="26">
        <v>25</v>
      </c>
      <c r="B42" s="43" t="s">
        <v>1685</v>
      </c>
      <c r="C42" s="28"/>
      <c r="D42" s="300" t="s">
        <v>1686</v>
      </c>
      <c r="E42" s="92">
        <v>6</v>
      </c>
      <c r="F42" s="30"/>
      <c r="G42" s="112">
        <f>[1]DICIEMBRE!$BA$45</f>
        <v>0</v>
      </c>
      <c r="H42" s="45">
        <f>ENERO!BA43</f>
        <v>1.2000000001535227E-3</v>
      </c>
      <c r="I42" s="31">
        <f>FEBRERO!AX44</f>
        <v>-3.9999999989959178E-4</v>
      </c>
      <c r="J42" s="32">
        <f>MARZO!BA43</f>
        <v>-3.9999999989959178E-4</v>
      </c>
      <c r="K42" s="32"/>
      <c r="L42" s="32"/>
      <c r="M42" s="32"/>
      <c r="N42" s="336"/>
      <c r="O42" s="32"/>
      <c r="P42" s="31"/>
      <c r="Q42" s="31"/>
      <c r="R42" s="31"/>
      <c r="S42" s="34">
        <f>(290*0.16+290)*E42</f>
        <v>2018.3999999999999</v>
      </c>
      <c r="T42" s="34">
        <f>2432*0.16+2432</f>
        <v>2821.12</v>
      </c>
      <c r="U42" s="34"/>
      <c r="V42" s="34"/>
      <c r="W42" s="34"/>
      <c r="X42" s="34"/>
      <c r="Y42" s="34"/>
      <c r="Z42" s="52"/>
      <c r="AA42" s="34"/>
      <c r="AB42" s="34"/>
      <c r="AC42" s="34"/>
      <c r="AD42" s="34"/>
      <c r="AE42" s="34"/>
      <c r="AF42" s="34"/>
      <c r="AG42" s="34"/>
      <c r="AH42" s="34"/>
      <c r="AI42" s="34"/>
      <c r="AJ42" s="34"/>
      <c r="AK42" s="38"/>
      <c r="AL42" s="34"/>
      <c r="AM42" s="34"/>
      <c r="AN42" s="34"/>
      <c r="AO42" s="34"/>
      <c r="AP42" s="34"/>
      <c r="AQ42" s="34"/>
      <c r="AR42" s="34"/>
      <c r="AS42" s="34">
        <v>4839.5200000000004</v>
      </c>
      <c r="AT42" s="34"/>
      <c r="AU42" s="34"/>
      <c r="AV42" s="34"/>
      <c r="AW42" s="34"/>
      <c r="AX42" s="34"/>
      <c r="AY42" s="34"/>
      <c r="AZ42" s="33">
        <f t="shared" si="0"/>
        <v>-4.0000000080908649E-4</v>
      </c>
      <c r="BA42" s="43" t="s">
        <v>2618</v>
      </c>
    </row>
    <row r="43" spans="1:53" s="23" customFormat="1" ht="54.75" hidden="1" customHeight="1" x14ac:dyDescent="0.3">
      <c r="A43" s="26">
        <v>26</v>
      </c>
      <c r="B43" s="43" t="s">
        <v>1493</v>
      </c>
      <c r="C43" s="28"/>
      <c r="D43" s="298" t="s">
        <v>1504</v>
      </c>
      <c r="E43" s="92">
        <v>18</v>
      </c>
      <c r="F43" s="30" t="s">
        <v>30</v>
      </c>
      <c r="G43" s="234">
        <f>[1]DICIEMBRE!$BA$46</f>
        <v>9.0949470177292824E-13</v>
      </c>
      <c r="H43" s="31">
        <f>ENERO!BA44</f>
        <v>9.0949470177292824E-13</v>
      </c>
      <c r="I43" s="31">
        <f>FEBRERO!AX45</f>
        <v>2.0000000004074536E-3</v>
      </c>
      <c r="J43" s="32">
        <f>MARZO!BA44</f>
        <v>2.0000000004074536E-3</v>
      </c>
      <c r="K43" s="32"/>
      <c r="L43" s="32"/>
      <c r="M43" s="32"/>
      <c r="N43" s="336"/>
      <c r="O43" s="32"/>
      <c r="P43" s="31"/>
      <c r="Q43" s="31"/>
      <c r="R43" s="31"/>
      <c r="S43" s="34">
        <f>(300*0.16+300)*E43</f>
        <v>6264</v>
      </c>
      <c r="T43" s="34"/>
      <c r="U43" s="34"/>
      <c r="V43" s="34"/>
      <c r="W43" s="34"/>
      <c r="X43" s="34"/>
      <c r="Y43" s="34"/>
      <c r="Z43" s="52"/>
      <c r="AA43" s="34"/>
      <c r="AB43" s="34">
        <v>6264</v>
      </c>
      <c r="AC43" s="34"/>
      <c r="AD43" s="34"/>
      <c r="AE43" s="34"/>
      <c r="AF43" s="34"/>
      <c r="AG43" s="34"/>
      <c r="AH43" s="34"/>
      <c r="AI43" s="34"/>
      <c r="AJ43" s="34"/>
      <c r="AK43" s="38"/>
      <c r="AL43" s="34"/>
      <c r="AM43" s="34"/>
      <c r="AN43" s="34"/>
      <c r="AO43" s="34"/>
      <c r="AP43" s="34"/>
      <c r="AQ43" s="34"/>
      <c r="AR43" s="34"/>
      <c r="AS43" s="34"/>
      <c r="AT43" s="34"/>
      <c r="AU43" s="34"/>
      <c r="AV43" s="34"/>
      <c r="AW43" s="34"/>
      <c r="AX43" s="34"/>
      <c r="AY43" s="34"/>
      <c r="AZ43" s="33">
        <f t="shared" si="0"/>
        <v>2.0000000004074536E-3</v>
      </c>
      <c r="BA43" s="43"/>
    </row>
    <row r="44" spans="1:53" s="23" customFormat="1" ht="69.75" customHeight="1" x14ac:dyDescent="0.3">
      <c r="A44" s="26">
        <v>27</v>
      </c>
      <c r="B44" s="43" t="s">
        <v>1936</v>
      </c>
      <c r="C44" s="28"/>
      <c r="D44" s="300" t="s">
        <v>1960</v>
      </c>
      <c r="E44" s="92">
        <v>22</v>
      </c>
      <c r="F44" s="30" t="s">
        <v>30</v>
      </c>
      <c r="G44" s="234"/>
      <c r="H44" s="31">
        <f>ENERO!BA45</f>
        <v>9604.7999999999993</v>
      </c>
      <c r="I44" s="31">
        <f>FEBRERO!AX46</f>
        <v>1380.8639999999996</v>
      </c>
      <c r="J44" s="32">
        <f>MARZO!BA45</f>
        <v>3.9999999989959178E-3</v>
      </c>
      <c r="K44" s="32"/>
      <c r="L44" s="32"/>
      <c r="M44" s="32"/>
      <c r="N44" s="336"/>
      <c r="O44" s="32"/>
      <c r="P44" s="31"/>
      <c r="Q44" s="31"/>
      <c r="R44" s="31"/>
      <c r="S44" s="34">
        <f>(279*0.16+279)*E44</f>
        <v>7120.08</v>
      </c>
      <c r="T44" s="34">
        <f>12497*0.16+12497</f>
        <v>14496.52</v>
      </c>
      <c r="U44" s="34"/>
      <c r="V44" s="34"/>
      <c r="W44" s="34"/>
      <c r="X44" s="34"/>
      <c r="Y44" s="34"/>
      <c r="Z44" s="52"/>
      <c r="AA44" s="34"/>
      <c r="AB44" s="34"/>
      <c r="AC44" s="34"/>
      <c r="AD44" s="34"/>
      <c r="AE44" s="34"/>
      <c r="AF44" s="34"/>
      <c r="AG44" s="34">
        <v>7120.08</v>
      </c>
      <c r="AH44" s="34"/>
      <c r="AI44" s="34"/>
      <c r="AJ44" s="34"/>
      <c r="AK44" s="38"/>
      <c r="AL44" s="34"/>
      <c r="AM44" s="34"/>
      <c r="AN44" s="34"/>
      <c r="AO44" s="34"/>
      <c r="AP44" s="34"/>
      <c r="AQ44" s="34"/>
      <c r="AR44" s="34"/>
      <c r="AS44" s="34"/>
      <c r="AT44" s="34"/>
      <c r="AU44" s="34"/>
      <c r="AV44" s="34"/>
      <c r="AW44" s="34"/>
      <c r="AX44" s="34"/>
      <c r="AY44" s="34"/>
      <c r="AZ44" s="33">
        <f t="shared" si="0"/>
        <v>14496.523999999999</v>
      </c>
      <c r="BA44" s="43" t="s">
        <v>2842</v>
      </c>
    </row>
    <row r="45" spans="1:53" s="23" customFormat="1" ht="61.5" hidden="1" customHeight="1" x14ac:dyDescent="0.3">
      <c r="A45" s="26">
        <v>28</v>
      </c>
      <c r="B45" s="27" t="s">
        <v>42</v>
      </c>
      <c r="C45" s="28" t="s">
        <v>253</v>
      </c>
      <c r="D45" s="298" t="s">
        <v>1313</v>
      </c>
      <c r="E45" s="92">
        <v>14</v>
      </c>
      <c r="F45" s="40" t="s">
        <v>30</v>
      </c>
      <c r="G45" s="234">
        <f>[1]DICIEMBRE!$BA$50</f>
        <v>-3.9999999899009708E-4</v>
      </c>
      <c r="H45" s="45">
        <f>ENERO!BA46</f>
        <v>-3.9999999899009708E-4</v>
      </c>
      <c r="I45" s="45">
        <f>FEBRERO!AX47</f>
        <v>-3.9999999899009708E-4</v>
      </c>
      <c r="J45" s="32">
        <f>MARZO!BA46</f>
        <v>-3.9999999899009708E-4</v>
      </c>
      <c r="K45" s="33"/>
      <c r="L45" s="336"/>
      <c r="M45" s="336"/>
      <c r="N45" s="32"/>
      <c r="O45" s="32"/>
      <c r="P45" s="31"/>
      <c r="Q45" s="31"/>
      <c r="R45" s="31"/>
      <c r="S45" s="34">
        <f>(250*0.16+250)*E45</f>
        <v>4060</v>
      </c>
      <c r="T45" s="34">
        <f>650*0.16+650</f>
        <v>754</v>
      </c>
      <c r="U45" s="34"/>
      <c r="V45" s="35"/>
      <c r="W45" s="54"/>
      <c r="X45" s="35"/>
      <c r="Y45" s="35"/>
      <c r="Z45" s="35"/>
      <c r="AA45" s="35"/>
      <c r="AB45" s="35"/>
      <c r="AC45" s="35">
        <v>4814</v>
      </c>
      <c r="AD45" s="35"/>
      <c r="AE45" s="35"/>
      <c r="AF45" s="35"/>
      <c r="AG45" s="35"/>
      <c r="AH45" s="35"/>
      <c r="AI45" s="36"/>
      <c r="AJ45" s="35"/>
      <c r="AK45" s="35"/>
      <c r="AL45" s="35"/>
      <c r="AM45" s="35"/>
      <c r="AN45" s="35"/>
      <c r="AO45" s="35"/>
      <c r="AP45" s="35"/>
      <c r="AQ45" s="35"/>
      <c r="AR45" s="35"/>
      <c r="AS45" s="35"/>
      <c r="AT45" s="35"/>
      <c r="AU45" s="35"/>
      <c r="AV45" s="35"/>
      <c r="AW45" s="35"/>
      <c r="AX45" s="35"/>
      <c r="AY45" s="35"/>
      <c r="AZ45" s="33">
        <f t="shared" si="0"/>
        <v>-3.9999999899009708E-4</v>
      </c>
      <c r="BA45" s="267" t="s">
        <v>2622</v>
      </c>
    </row>
    <row r="46" spans="1:53" s="23" customFormat="1" ht="66" customHeight="1" x14ac:dyDescent="0.3">
      <c r="A46" s="26">
        <v>29</v>
      </c>
      <c r="B46" s="27" t="s">
        <v>2322</v>
      </c>
      <c r="C46" s="28" t="s">
        <v>44</v>
      </c>
      <c r="D46" s="298" t="s">
        <v>1211</v>
      </c>
      <c r="E46" s="92">
        <v>1</v>
      </c>
      <c r="F46" s="30" t="s">
        <v>30</v>
      </c>
      <c r="G46" s="234">
        <f>[1]DICIEMBRE!$BA$52</f>
        <v>0</v>
      </c>
      <c r="H46" s="31">
        <f>ENERO!BA47</f>
        <v>0</v>
      </c>
      <c r="I46" s="31">
        <f>FEBRERO!AX48</f>
        <v>0</v>
      </c>
      <c r="J46" s="32">
        <f>MARZO!BA47</f>
        <v>0</v>
      </c>
      <c r="K46" s="32"/>
      <c r="L46" s="32"/>
      <c r="M46" s="32"/>
      <c r="N46" s="336"/>
      <c r="O46" s="32"/>
      <c r="P46" s="31"/>
      <c r="Q46" s="31"/>
      <c r="R46" s="31"/>
      <c r="S46" s="34">
        <v>348</v>
      </c>
      <c r="T46" s="35"/>
      <c r="U46" s="35"/>
      <c r="V46" s="35"/>
      <c r="W46" s="35"/>
      <c r="X46" s="35"/>
      <c r="Y46" s="35"/>
      <c r="Z46" s="35"/>
      <c r="AA46" s="35"/>
      <c r="AB46" s="35"/>
      <c r="AC46" s="35"/>
      <c r="AD46" s="35"/>
      <c r="AE46" s="35"/>
      <c r="AF46" s="35"/>
      <c r="AG46" s="35"/>
      <c r="AH46" s="35"/>
      <c r="AI46" s="35"/>
      <c r="AJ46" s="35"/>
      <c r="AK46" s="42"/>
      <c r="AL46" s="35"/>
      <c r="AM46" s="35"/>
      <c r="AN46" s="35"/>
      <c r="AO46" s="35"/>
      <c r="AP46" s="35"/>
      <c r="AQ46" s="35"/>
      <c r="AR46" s="35"/>
      <c r="AS46" s="35"/>
      <c r="AT46" s="35"/>
      <c r="AU46" s="35"/>
      <c r="AV46" s="35"/>
      <c r="AW46" s="35"/>
      <c r="AX46" s="35"/>
      <c r="AY46" s="35"/>
      <c r="AZ46" s="33">
        <f t="shared" si="0"/>
        <v>348</v>
      </c>
      <c r="BA46" s="43"/>
    </row>
    <row r="47" spans="1:53" s="23" customFormat="1" ht="57" hidden="1" customHeight="1" x14ac:dyDescent="0.3">
      <c r="A47" s="26">
        <v>30</v>
      </c>
      <c r="B47" s="27" t="s">
        <v>45</v>
      </c>
      <c r="C47" s="27" t="s">
        <v>46</v>
      </c>
      <c r="D47" s="298" t="s">
        <v>1211</v>
      </c>
      <c r="E47" s="92">
        <v>2</v>
      </c>
      <c r="F47" s="30" t="s">
        <v>30</v>
      </c>
      <c r="G47" s="112">
        <f>[1]DICIEMBRE!$BA$53</f>
        <v>0</v>
      </c>
      <c r="H47" s="31">
        <f>ENERO!BA48</f>
        <v>0</v>
      </c>
      <c r="I47" s="31">
        <f>FEBRERO!AX49</f>
        <v>0</v>
      </c>
      <c r="J47" s="32">
        <f>MARZO!BA48</f>
        <v>0</v>
      </c>
      <c r="K47" s="33"/>
      <c r="L47" s="336"/>
      <c r="M47" s="336"/>
      <c r="N47" s="32"/>
      <c r="O47" s="32"/>
      <c r="P47" s="33"/>
      <c r="Q47" s="31"/>
      <c r="R47" s="31"/>
      <c r="S47" s="34">
        <v>696</v>
      </c>
      <c r="T47" s="35"/>
      <c r="U47" s="35"/>
      <c r="V47" s="35"/>
      <c r="W47" s="35"/>
      <c r="X47" s="35"/>
      <c r="Y47" s="35"/>
      <c r="Z47" s="35"/>
      <c r="AA47" s="35"/>
      <c r="AB47" s="35">
        <v>696</v>
      </c>
      <c r="AC47" s="35"/>
      <c r="AD47" s="35"/>
      <c r="AE47" s="35"/>
      <c r="AF47" s="35"/>
      <c r="AG47" s="35"/>
      <c r="AH47" s="35"/>
      <c r="AI47" s="35"/>
      <c r="AJ47" s="35"/>
      <c r="AK47" s="42"/>
      <c r="AL47" s="35"/>
      <c r="AM47" s="35"/>
      <c r="AN47" s="35"/>
      <c r="AO47" s="35"/>
      <c r="AP47" s="35"/>
      <c r="AQ47" s="35"/>
      <c r="AR47" s="35"/>
      <c r="AS47" s="35"/>
      <c r="AT47" s="35"/>
      <c r="AU47" s="35"/>
      <c r="AV47" s="35"/>
      <c r="AW47" s="35"/>
      <c r="AX47" s="35"/>
      <c r="AY47" s="35"/>
      <c r="AZ47" s="33">
        <f t="shared" si="0"/>
        <v>0</v>
      </c>
      <c r="BA47" s="43"/>
    </row>
    <row r="48" spans="1:53" s="23" customFormat="1" ht="65.25" hidden="1" customHeight="1" x14ac:dyDescent="0.3">
      <c r="A48" s="26">
        <v>31</v>
      </c>
      <c r="B48" s="43" t="s">
        <v>1458</v>
      </c>
      <c r="C48" s="27"/>
      <c r="D48" s="298" t="s">
        <v>1507</v>
      </c>
      <c r="E48" s="92">
        <v>3</v>
      </c>
      <c r="F48" s="30" t="s">
        <v>30</v>
      </c>
      <c r="G48" s="234">
        <f>[1]DICIEMBRE!$BA$54</f>
        <v>0</v>
      </c>
      <c r="H48" s="45">
        <f>ENERO!BA49</f>
        <v>0</v>
      </c>
      <c r="I48" s="31">
        <f>FEBRERO!AX50</f>
        <v>0</v>
      </c>
      <c r="J48" s="32">
        <f>MARZO!BA49</f>
        <v>0</v>
      </c>
      <c r="K48" s="33"/>
      <c r="L48" s="336"/>
      <c r="M48" s="336"/>
      <c r="N48" s="32"/>
      <c r="O48" s="32"/>
      <c r="P48" s="33"/>
      <c r="Q48" s="31"/>
      <c r="R48" s="31"/>
      <c r="S48" s="34">
        <f>(300*0.16+300)*E48</f>
        <v>1044</v>
      </c>
      <c r="T48" s="35"/>
      <c r="U48" s="35"/>
      <c r="V48" s="35"/>
      <c r="W48" s="35"/>
      <c r="X48" s="35"/>
      <c r="Y48" s="35"/>
      <c r="Z48" s="35"/>
      <c r="AA48" s="35"/>
      <c r="AB48" s="35"/>
      <c r="AC48" s="35"/>
      <c r="AD48" s="35"/>
      <c r="AE48" s="35">
        <v>1044</v>
      </c>
      <c r="AF48" s="35"/>
      <c r="AG48" s="35"/>
      <c r="AH48" s="35"/>
      <c r="AI48" s="35"/>
      <c r="AJ48" s="35"/>
      <c r="AK48" s="42"/>
      <c r="AL48" s="35"/>
      <c r="AM48" s="35"/>
      <c r="AN48" s="35"/>
      <c r="AO48" s="35"/>
      <c r="AP48" s="35"/>
      <c r="AQ48" s="35"/>
      <c r="AR48" s="35"/>
      <c r="AS48" s="35"/>
      <c r="AT48" s="35"/>
      <c r="AU48" s="35"/>
      <c r="AV48" s="35"/>
      <c r="AW48" s="35"/>
      <c r="AX48" s="35"/>
      <c r="AY48" s="35"/>
      <c r="AZ48" s="33">
        <f t="shared" si="0"/>
        <v>0</v>
      </c>
      <c r="BA48" s="43"/>
    </row>
    <row r="49" spans="1:53" s="23" customFormat="1" ht="71.25" hidden="1" customHeight="1" x14ac:dyDescent="0.3">
      <c r="A49" s="26">
        <v>32</v>
      </c>
      <c r="B49" s="27" t="s">
        <v>40</v>
      </c>
      <c r="C49" s="28" t="s">
        <v>41</v>
      </c>
      <c r="D49" s="298" t="s">
        <v>1210</v>
      </c>
      <c r="E49" s="92">
        <v>3</v>
      </c>
      <c r="F49" s="30" t="s">
        <v>30</v>
      </c>
      <c r="G49" s="112">
        <f>[1]DICIEMBRE!$BA$49</f>
        <v>0</v>
      </c>
      <c r="H49" s="31">
        <f>ENERO!BA50</f>
        <v>0</v>
      </c>
      <c r="I49" s="45">
        <f>FEBRERO!AX51</f>
        <v>0</v>
      </c>
      <c r="J49" s="32">
        <f>MARZO!BA50</f>
        <v>0</v>
      </c>
      <c r="K49" s="32"/>
      <c r="L49" s="32"/>
      <c r="M49" s="32"/>
      <c r="N49" s="336"/>
      <c r="O49" s="32"/>
      <c r="P49" s="33"/>
      <c r="Q49" s="31"/>
      <c r="R49" s="31"/>
      <c r="S49" s="34">
        <f>(300*0.16+300)*E49</f>
        <v>1044</v>
      </c>
      <c r="T49" s="34"/>
      <c r="U49" s="34"/>
      <c r="V49" s="34"/>
      <c r="W49" s="34"/>
      <c r="X49" s="34"/>
      <c r="Y49" s="34"/>
      <c r="Z49" s="52"/>
      <c r="AA49" s="34"/>
      <c r="AB49" s="34"/>
      <c r="AC49" s="34"/>
      <c r="AD49" s="34"/>
      <c r="AE49" s="34"/>
      <c r="AF49" s="34">
        <v>1044</v>
      </c>
      <c r="AG49" s="34"/>
      <c r="AH49" s="34"/>
      <c r="AI49" s="34"/>
      <c r="AJ49" s="34"/>
      <c r="AK49" s="38"/>
      <c r="AL49" s="34"/>
      <c r="AM49" s="34"/>
      <c r="AN49" s="34"/>
      <c r="AO49" s="34"/>
      <c r="AP49" s="34"/>
      <c r="AQ49" s="34"/>
      <c r="AR49" s="34"/>
      <c r="AS49" s="34"/>
      <c r="AT49" s="34"/>
      <c r="AU49" s="34"/>
      <c r="AV49" s="34"/>
      <c r="AW49" s="34"/>
      <c r="AX49" s="34"/>
      <c r="AY49" s="34"/>
      <c r="AZ49" s="33">
        <f t="shared" si="0"/>
        <v>0</v>
      </c>
      <c r="BA49" s="43"/>
    </row>
    <row r="50" spans="1:53" s="23" customFormat="1" ht="71.25" hidden="1" customHeight="1" x14ac:dyDescent="0.3">
      <c r="A50" s="26">
        <v>33</v>
      </c>
      <c r="B50" s="43" t="s">
        <v>2458</v>
      </c>
      <c r="C50" s="28"/>
      <c r="D50" s="300" t="s">
        <v>2457</v>
      </c>
      <c r="E50" s="93">
        <v>1</v>
      </c>
      <c r="F50" s="40" t="s">
        <v>30</v>
      </c>
      <c r="G50" s="112"/>
      <c r="H50" s="31"/>
      <c r="I50" s="45"/>
      <c r="J50" s="32">
        <f>MARZO!BA51</f>
        <v>0</v>
      </c>
      <c r="K50" s="32"/>
      <c r="L50" s="32"/>
      <c r="M50" s="32"/>
      <c r="N50" s="336"/>
      <c r="O50" s="32"/>
      <c r="P50" s="33"/>
      <c r="Q50" s="31"/>
      <c r="R50" s="31"/>
      <c r="S50" s="34">
        <f>(250*0.16+250)*E50</f>
        <v>290</v>
      </c>
      <c r="T50" s="34">
        <f>250*0.16+250</f>
        <v>290</v>
      </c>
      <c r="U50" s="34"/>
      <c r="V50" s="34"/>
      <c r="W50" s="34"/>
      <c r="X50" s="34"/>
      <c r="Y50" s="34"/>
      <c r="Z50" s="52"/>
      <c r="AA50" s="34"/>
      <c r="AB50" s="34"/>
      <c r="AC50" s="34"/>
      <c r="AD50" s="34"/>
      <c r="AE50" s="34">
        <v>580</v>
      </c>
      <c r="AF50" s="34"/>
      <c r="AG50" s="34"/>
      <c r="AH50" s="34"/>
      <c r="AI50" s="34"/>
      <c r="AJ50" s="34"/>
      <c r="AK50" s="38"/>
      <c r="AL50" s="34"/>
      <c r="AM50" s="34"/>
      <c r="AN50" s="34"/>
      <c r="AO50" s="34"/>
      <c r="AP50" s="34"/>
      <c r="AQ50" s="34"/>
      <c r="AR50" s="34"/>
      <c r="AS50" s="34"/>
      <c r="AT50" s="34"/>
      <c r="AU50" s="34"/>
      <c r="AV50" s="34"/>
      <c r="AW50" s="34"/>
      <c r="AX50" s="34"/>
      <c r="AY50" s="34"/>
      <c r="AZ50" s="33">
        <f t="shared" si="0"/>
        <v>0</v>
      </c>
      <c r="BA50" s="43" t="s">
        <v>2625</v>
      </c>
    </row>
    <row r="51" spans="1:53" s="23" customFormat="1" ht="78" hidden="1" customHeight="1" x14ac:dyDescent="0.3">
      <c r="A51" s="26">
        <v>34</v>
      </c>
      <c r="B51" s="43" t="s">
        <v>780</v>
      </c>
      <c r="C51" s="27"/>
      <c r="D51" s="298" t="s">
        <v>1248</v>
      </c>
      <c r="E51" s="92">
        <v>4</v>
      </c>
      <c r="F51" s="30" t="s">
        <v>30</v>
      </c>
      <c r="G51" s="234">
        <f>[1]DICIEMBRE!$BA$56</f>
        <v>0</v>
      </c>
      <c r="H51" s="31">
        <f>ENERO!BA51</f>
        <v>0</v>
      </c>
      <c r="I51" s="31">
        <f>FEBRERO!AX52</f>
        <v>0</v>
      </c>
      <c r="J51" s="32">
        <f>MARZO!BA52</f>
        <v>0</v>
      </c>
      <c r="K51" s="32"/>
      <c r="L51" s="32"/>
      <c r="M51" s="32"/>
      <c r="N51" s="336"/>
      <c r="O51" s="32"/>
      <c r="P51" s="33"/>
      <c r="Q51" s="31"/>
      <c r="R51" s="31"/>
      <c r="S51" s="34">
        <f>(300*0.16+300)*E51</f>
        <v>1392</v>
      </c>
      <c r="T51" s="35"/>
      <c r="U51" s="35"/>
      <c r="V51" s="35"/>
      <c r="W51" s="35">
        <v>1392</v>
      </c>
      <c r="X51" s="35"/>
      <c r="Y51" s="35"/>
      <c r="Z51" s="35"/>
      <c r="AA51" s="35"/>
      <c r="AB51" s="35"/>
      <c r="AC51" s="35"/>
      <c r="AD51" s="35"/>
      <c r="AE51" s="35"/>
      <c r="AF51" s="35"/>
      <c r="AG51" s="35"/>
      <c r="AH51" s="35"/>
      <c r="AI51" s="35"/>
      <c r="AJ51" s="35"/>
      <c r="AK51" s="42"/>
      <c r="AL51" s="35"/>
      <c r="AM51" s="35"/>
      <c r="AN51" s="35"/>
      <c r="AO51" s="35"/>
      <c r="AP51" s="35"/>
      <c r="AQ51" s="35"/>
      <c r="AR51" s="35"/>
      <c r="AS51" s="35"/>
      <c r="AT51" s="35"/>
      <c r="AU51" s="35"/>
      <c r="AV51" s="35"/>
      <c r="AW51" s="35"/>
      <c r="AX51" s="35"/>
      <c r="AY51" s="35"/>
      <c r="AZ51" s="33">
        <f t="shared" si="0"/>
        <v>0</v>
      </c>
      <c r="BA51" s="43"/>
    </row>
    <row r="52" spans="1:53" s="23" customFormat="1" ht="54.75" hidden="1" customHeight="1" x14ac:dyDescent="0.3">
      <c r="A52" s="26">
        <v>35</v>
      </c>
      <c r="B52" s="43" t="s">
        <v>1731</v>
      </c>
      <c r="C52" s="28" t="s">
        <v>558</v>
      </c>
      <c r="D52" s="298" t="s">
        <v>2568</v>
      </c>
      <c r="E52" s="92">
        <v>3</v>
      </c>
      <c r="F52" s="30" t="s">
        <v>30</v>
      </c>
      <c r="G52" s="112">
        <f>[1]DICIEMBRE!$BA$39</f>
        <v>9.0949470177292824E-13</v>
      </c>
      <c r="H52" s="45">
        <f>ENERO!BA52</f>
        <v>9.0949470177292824E-13</v>
      </c>
      <c r="I52" s="31">
        <f>FEBRERO!AX53</f>
        <v>9.0949470177292824E-13</v>
      </c>
      <c r="J52" s="32">
        <f>MARZO!BA53</f>
        <v>9.0949470177292824E-13</v>
      </c>
      <c r="K52" s="32"/>
      <c r="L52" s="32"/>
      <c r="M52" s="32"/>
      <c r="N52" s="336"/>
      <c r="O52" s="32"/>
      <c r="P52" s="33"/>
      <c r="Q52" s="31"/>
      <c r="R52" s="31"/>
      <c r="S52" s="34">
        <f>(250*0.16+250)*E52</f>
        <v>870</v>
      </c>
      <c r="T52" s="34"/>
      <c r="U52" s="34"/>
      <c r="V52" s="34"/>
      <c r="W52" s="34"/>
      <c r="X52" s="34"/>
      <c r="Y52" s="34">
        <v>870</v>
      </c>
      <c r="Z52" s="52"/>
      <c r="AA52" s="34"/>
      <c r="AB52" s="34"/>
      <c r="AC52" s="34"/>
      <c r="AD52" s="34"/>
      <c r="AE52" s="34"/>
      <c r="AF52" s="34"/>
      <c r="AG52" s="34"/>
      <c r="AH52" s="34"/>
      <c r="AI52" s="34"/>
      <c r="AJ52" s="34"/>
      <c r="AK52" s="38"/>
      <c r="AL52" s="34"/>
      <c r="AM52" s="34"/>
      <c r="AN52" s="34"/>
      <c r="AO52" s="34"/>
      <c r="AP52" s="34"/>
      <c r="AQ52" s="34"/>
      <c r="AR52" s="34"/>
      <c r="AS52" s="34"/>
      <c r="AT52" s="34"/>
      <c r="AU52" s="34"/>
      <c r="AV52" s="34"/>
      <c r="AW52" s="34"/>
      <c r="AX52" s="34"/>
      <c r="AY52" s="34"/>
      <c r="AZ52" s="33">
        <f t="shared" si="0"/>
        <v>9.0949470177292824E-13</v>
      </c>
      <c r="BA52" s="43"/>
    </row>
    <row r="53" spans="1:53" s="23" customFormat="1" ht="42.75" hidden="1" customHeight="1" x14ac:dyDescent="0.3">
      <c r="A53" s="26">
        <v>36</v>
      </c>
      <c r="B53" s="43" t="s">
        <v>1733</v>
      </c>
      <c r="C53" s="28" t="s">
        <v>559</v>
      </c>
      <c r="D53" s="298" t="s">
        <v>1219</v>
      </c>
      <c r="E53" s="92">
        <v>1</v>
      </c>
      <c r="F53" s="30" t="s">
        <v>30</v>
      </c>
      <c r="G53" s="112">
        <f>[1]DICIEMBRE!$BA$67</f>
        <v>0</v>
      </c>
      <c r="H53" s="31">
        <f>ENERO!BA53</f>
        <v>0</v>
      </c>
      <c r="I53" s="31">
        <f>FEBRERO!AX54</f>
        <v>0</v>
      </c>
      <c r="J53" s="32">
        <f>MARZO!BA54</f>
        <v>0</v>
      </c>
      <c r="K53" s="32"/>
      <c r="L53" s="32"/>
      <c r="M53" s="336"/>
      <c r="N53" s="32"/>
      <c r="O53" s="32"/>
      <c r="P53" s="31"/>
      <c r="Q53" s="31"/>
      <c r="R53" s="31"/>
      <c r="S53" s="34">
        <f>(300*0.16+300)*E53</f>
        <v>348</v>
      </c>
      <c r="T53" s="34"/>
      <c r="U53" s="34"/>
      <c r="V53" s="35"/>
      <c r="W53" s="35"/>
      <c r="X53" s="35"/>
      <c r="Y53" s="35"/>
      <c r="Z53" s="35"/>
      <c r="AA53" s="35"/>
      <c r="AB53" s="35"/>
      <c r="AC53" s="35"/>
      <c r="AD53" s="35"/>
      <c r="AE53" s="35">
        <v>348</v>
      </c>
      <c r="AF53" s="35"/>
      <c r="AG53" s="35"/>
      <c r="AH53" s="35"/>
      <c r="AI53" s="35"/>
      <c r="AJ53" s="35"/>
      <c r="AK53" s="35"/>
      <c r="AL53" s="35"/>
      <c r="AM53" s="35"/>
      <c r="AN53" s="35"/>
      <c r="AO53" s="35"/>
      <c r="AP53" s="35"/>
      <c r="AQ53" s="35"/>
      <c r="AR53" s="35"/>
      <c r="AS53" s="35"/>
      <c r="AT53" s="35"/>
      <c r="AU53" s="35"/>
      <c r="AV53" s="35"/>
      <c r="AW53" s="35"/>
      <c r="AX53" s="35"/>
      <c r="AY53" s="35"/>
      <c r="AZ53" s="33">
        <f t="shared" si="0"/>
        <v>0</v>
      </c>
      <c r="BA53" s="43"/>
    </row>
    <row r="54" spans="1:53" s="23" customFormat="1" ht="67.5" hidden="1" customHeight="1" x14ac:dyDescent="0.3">
      <c r="A54" s="26">
        <v>37</v>
      </c>
      <c r="B54" s="43" t="s">
        <v>1734</v>
      </c>
      <c r="C54" s="28" t="s">
        <v>246</v>
      </c>
      <c r="D54" s="298" t="s">
        <v>1653</v>
      </c>
      <c r="E54" s="92">
        <v>4</v>
      </c>
      <c r="F54" s="30" t="s">
        <v>30</v>
      </c>
      <c r="G54" s="234">
        <f>[1]DICIEMBRE!$BA$26</f>
        <v>3.2000000055631972E-3</v>
      </c>
      <c r="H54" s="31">
        <f>ENERO!BA54</f>
        <v>3.2000000057905709E-3</v>
      </c>
      <c r="I54" s="45">
        <f>FEBRERO!AX55</f>
        <v>3.2000000060179445E-3</v>
      </c>
      <c r="J54" s="32">
        <f>MARZO!BA55</f>
        <v>3.2000000062453182E-3</v>
      </c>
      <c r="K54" s="32"/>
      <c r="L54" s="32"/>
      <c r="M54" s="32"/>
      <c r="N54" s="32"/>
      <c r="O54" s="32"/>
      <c r="P54" s="33"/>
      <c r="Q54" s="31"/>
      <c r="R54" s="31"/>
      <c r="S54" s="38">
        <f>(349*0.16+349)*E54</f>
        <v>1619.3600000000001</v>
      </c>
      <c r="T54" s="39"/>
      <c r="U54" s="39"/>
      <c r="V54" s="37"/>
      <c r="W54" s="37"/>
      <c r="X54" s="37"/>
      <c r="Y54" s="37"/>
      <c r="Z54" s="37"/>
      <c r="AA54" s="37"/>
      <c r="AB54" s="37"/>
      <c r="AC54" s="37"/>
      <c r="AD54" s="37"/>
      <c r="AE54" s="37">
        <v>1619.36</v>
      </c>
      <c r="AF54" s="37"/>
      <c r="AG54" s="37"/>
      <c r="AH54" s="37"/>
      <c r="AI54" s="37"/>
      <c r="AJ54" s="37"/>
      <c r="AK54" s="35"/>
      <c r="AL54" s="37"/>
      <c r="AM54" s="37"/>
      <c r="AN54" s="37"/>
      <c r="AO54" s="37"/>
      <c r="AP54" s="37"/>
      <c r="AQ54" s="37"/>
      <c r="AR54" s="37"/>
      <c r="AS54" s="37"/>
      <c r="AT54" s="37"/>
      <c r="AU54" s="37"/>
      <c r="AV54" s="37"/>
      <c r="AW54" s="37"/>
      <c r="AX54" s="37"/>
      <c r="AY54" s="37"/>
      <c r="AZ54" s="33">
        <f t="shared" si="0"/>
        <v>3.2000000064726919E-3</v>
      </c>
      <c r="BA54" s="43"/>
    </row>
    <row r="55" spans="1:53" s="23" customFormat="1" ht="59.25" hidden="1" customHeight="1" x14ac:dyDescent="0.3">
      <c r="A55" s="26">
        <v>38</v>
      </c>
      <c r="B55" s="43" t="s">
        <v>1415</v>
      </c>
      <c r="C55" s="27"/>
      <c r="D55" s="249" t="s">
        <v>1508</v>
      </c>
      <c r="E55" s="92">
        <v>14</v>
      </c>
      <c r="F55" s="30" t="s">
        <v>30</v>
      </c>
      <c r="G55" s="234">
        <f>[1]DICIEMBRE!$BA$58</f>
        <v>1525.006400000002</v>
      </c>
      <c r="H55" s="45">
        <f>ENERO!BA55</f>
        <v>-3.5999999979594577E-3</v>
      </c>
      <c r="I55" s="31">
        <f>FEBRERO!AX56</f>
        <v>-3.5999999981868314E-3</v>
      </c>
      <c r="J55" s="32">
        <f>MARZO!BA56</f>
        <v>-3.5999999981868314E-3</v>
      </c>
      <c r="K55" s="32"/>
      <c r="L55" s="32"/>
      <c r="M55" s="32"/>
      <c r="N55" s="336"/>
      <c r="O55" s="32"/>
      <c r="P55" s="33"/>
      <c r="Q55" s="31"/>
      <c r="R55" s="31"/>
      <c r="S55" s="34">
        <f>(250*0.16+250)*E55</f>
        <v>4060</v>
      </c>
      <c r="T55" s="35">
        <f>(500*0.16+500)*2</f>
        <v>1160</v>
      </c>
      <c r="U55" s="35"/>
      <c r="V55" s="35"/>
      <c r="W55" s="35"/>
      <c r="X55" s="35">
        <v>4350</v>
      </c>
      <c r="Y55" s="35">
        <v>870</v>
      </c>
      <c r="Z55" s="35"/>
      <c r="AA55" s="35"/>
      <c r="AB55" s="35"/>
      <c r="AC55" s="35"/>
      <c r="AD55" s="35"/>
      <c r="AE55" s="35"/>
      <c r="AF55" s="35"/>
      <c r="AG55" s="35"/>
      <c r="AH55" s="35"/>
      <c r="AI55" s="35"/>
      <c r="AJ55" s="35"/>
      <c r="AK55" s="42"/>
      <c r="AL55" s="35"/>
      <c r="AM55" s="35"/>
      <c r="AN55" s="35"/>
      <c r="AO55" s="35"/>
      <c r="AP55" s="35"/>
      <c r="AQ55" s="35"/>
      <c r="AR55" s="35"/>
      <c r="AS55" s="35"/>
      <c r="AT55" s="35"/>
      <c r="AU55" s="35"/>
      <c r="AV55" s="35"/>
      <c r="AW55" s="35"/>
      <c r="AX55" s="35"/>
      <c r="AY55" s="35"/>
      <c r="AZ55" s="33">
        <f t="shared" si="0"/>
        <v>-3.5999999981868314E-3</v>
      </c>
      <c r="BA55" s="43" t="s">
        <v>2620</v>
      </c>
    </row>
    <row r="56" spans="1:53" s="23" customFormat="1" ht="68.25" hidden="1" customHeight="1" x14ac:dyDescent="0.3">
      <c r="A56" s="26">
        <v>39</v>
      </c>
      <c r="B56" s="27" t="s">
        <v>1735</v>
      </c>
      <c r="C56" s="28" t="s">
        <v>123</v>
      </c>
      <c r="D56" s="298" t="s">
        <v>1229</v>
      </c>
      <c r="E56" s="94">
        <v>8</v>
      </c>
      <c r="F56" s="44" t="s">
        <v>30</v>
      </c>
      <c r="G56" s="112">
        <f>[1]DICIEMBRE!$BA$85</f>
        <v>4.7999999987951014E-3</v>
      </c>
      <c r="H56" s="31">
        <f>ENERO!BA56</f>
        <v>4.7999999987951014E-3</v>
      </c>
      <c r="I56" s="31">
        <f>FEBRERO!AX57</f>
        <v>4.7999999983403541E-3</v>
      </c>
      <c r="J56" s="32">
        <f>MARZO!BA57</f>
        <v>4.799999996976112E-3</v>
      </c>
      <c r="K56" s="32"/>
      <c r="L56" s="32"/>
      <c r="M56" s="32"/>
      <c r="N56" s="336"/>
      <c r="O56" s="32"/>
      <c r="P56" s="33"/>
      <c r="Q56" s="31"/>
      <c r="R56" s="31"/>
      <c r="S56" s="47">
        <f>(220*0.16+220)*E56</f>
        <v>2041.6</v>
      </c>
      <c r="T56" s="75">
        <f>5200*0.16+5200</f>
        <v>6032</v>
      </c>
      <c r="U56" s="78"/>
      <c r="V56" s="35"/>
      <c r="W56" s="35"/>
      <c r="X56" s="35"/>
      <c r="Y56" s="35">
        <v>8073.6</v>
      </c>
      <c r="Z56" s="36"/>
      <c r="AA56" s="35"/>
      <c r="AB56" s="35"/>
      <c r="AC56" s="54"/>
      <c r="AD56" s="35"/>
      <c r="AE56" s="35"/>
      <c r="AF56" s="35"/>
      <c r="AG56" s="35"/>
      <c r="AH56" s="35"/>
      <c r="AI56" s="35"/>
      <c r="AJ56" s="35"/>
      <c r="AK56" s="35"/>
      <c r="AL56" s="35"/>
      <c r="AM56" s="35"/>
      <c r="AN56" s="35"/>
      <c r="AO56" s="35"/>
      <c r="AP56" s="35"/>
      <c r="AQ56" s="35"/>
      <c r="AR56" s="35"/>
      <c r="AS56" s="35"/>
      <c r="AT56" s="35"/>
      <c r="AU56" s="35"/>
      <c r="AV56" s="35"/>
      <c r="AW56" s="35"/>
      <c r="AX56" s="35"/>
      <c r="AY56" s="35"/>
      <c r="AZ56" s="33">
        <f t="shared" si="0"/>
        <v>4.799999996976112E-3</v>
      </c>
      <c r="BA56" s="43" t="s">
        <v>2640</v>
      </c>
    </row>
    <row r="57" spans="1:53" s="23" customFormat="1" ht="54.75" hidden="1" customHeight="1" x14ac:dyDescent="0.3">
      <c r="A57" s="26">
        <v>40</v>
      </c>
      <c r="B57" s="27" t="s">
        <v>48</v>
      </c>
      <c r="C57" s="28" t="s">
        <v>49</v>
      </c>
      <c r="D57" s="298" t="s">
        <v>1214</v>
      </c>
      <c r="E57" s="92">
        <v>4</v>
      </c>
      <c r="F57" s="30" t="s">
        <v>30</v>
      </c>
      <c r="G57" s="234">
        <f>[1]DICIEMBRE!$BA$60</f>
        <v>-4.7999999997045961E-3</v>
      </c>
      <c r="H57" s="31">
        <f>ENERO!BA57</f>
        <v>-4.7999999997045961E-3</v>
      </c>
      <c r="I57" s="31">
        <f>FEBRERO!AX58</f>
        <v>-4.7999999997045961E-3</v>
      </c>
      <c r="J57" s="32">
        <f>MARZO!BA58</f>
        <v>-4.7999999997045961E-3</v>
      </c>
      <c r="K57" s="32"/>
      <c r="L57" s="32"/>
      <c r="M57" s="32"/>
      <c r="N57" s="32"/>
      <c r="O57" s="33"/>
      <c r="P57" s="33"/>
      <c r="Q57" s="31"/>
      <c r="R57" s="31"/>
      <c r="S57" s="34">
        <f>(330*0.16+330)*E57</f>
        <v>1531.2</v>
      </c>
      <c r="T57" s="34"/>
      <c r="U57" s="34"/>
      <c r="V57" s="35"/>
      <c r="W57" s="35"/>
      <c r="X57" s="35">
        <v>1531.2</v>
      </c>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3">
        <f t="shared" si="0"/>
        <v>-4.7999999997045961E-3</v>
      </c>
      <c r="BA57" s="43"/>
    </row>
    <row r="58" spans="1:53" s="23" customFormat="1" ht="54.75" hidden="1" customHeight="1" x14ac:dyDescent="0.3">
      <c r="A58" s="26">
        <v>41</v>
      </c>
      <c r="B58" s="43" t="s">
        <v>2443</v>
      </c>
      <c r="C58" s="28"/>
      <c r="D58" s="300" t="s">
        <v>2445</v>
      </c>
      <c r="E58" s="92">
        <v>1</v>
      </c>
      <c r="F58" s="30" t="s">
        <v>30</v>
      </c>
      <c r="G58" s="234"/>
      <c r="H58" s="31"/>
      <c r="I58" s="31"/>
      <c r="J58" s="32">
        <f>MARZO!BA59</f>
        <v>0</v>
      </c>
      <c r="K58" s="32"/>
      <c r="L58" s="32"/>
      <c r="M58" s="32"/>
      <c r="N58" s="32"/>
      <c r="O58" s="33"/>
      <c r="P58" s="33"/>
      <c r="Q58" s="31"/>
      <c r="R58" s="31"/>
      <c r="S58" s="34">
        <f>(799*0.16+799)*E58</f>
        <v>926.84</v>
      </c>
      <c r="T58" s="34">
        <f>481*0.16+481</f>
        <v>557.96</v>
      </c>
      <c r="U58" s="34"/>
      <c r="V58" s="35"/>
      <c r="W58" s="35"/>
      <c r="X58" s="35"/>
      <c r="Y58" s="35">
        <v>1484.8</v>
      </c>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3">
        <f t="shared" si="0"/>
        <v>2.2737367544323206E-13</v>
      </c>
      <c r="BA58" s="43" t="s">
        <v>2627</v>
      </c>
    </row>
    <row r="59" spans="1:53" s="23" customFormat="1" ht="66.75" customHeight="1" x14ac:dyDescent="0.3">
      <c r="A59" s="26">
        <v>42</v>
      </c>
      <c r="B59" s="43" t="s">
        <v>1736</v>
      </c>
      <c r="C59" s="28"/>
      <c r="D59" s="303" t="s">
        <v>1031</v>
      </c>
      <c r="E59" s="92">
        <v>1</v>
      </c>
      <c r="F59" s="40" t="s">
        <v>30</v>
      </c>
      <c r="G59" s="234">
        <f>[1]DICIEMBRE!$BA$100</f>
        <v>0</v>
      </c>
      <c r="H59" s="45">
        <f>ENERO!BA58</f>
        <v>0</v>
      </c>
      <c r="I59" s="45">
        <f>FEBRERO!AX59</f>
        <v>0</v>
      </c>
      <c r="J59" s="32">
        <f>MARZO!BA60</f>
        <v>0</v>
      </c>
      <c r="K59" s="33"/>
      <c r="L59" s="32"/>
      <c r="M59" s="32"/>
      <c r="N59" s="32"/>
      <c r="O59" s="32"/>
      <c r="P59" s="31"/>
      <c r="Q59" s="31"/>
      <c r="R59" s="31"/>
      <c r="S59" s="34">
        <f>300*0.16+300</f>
        <v>348</v>
      </c>
      <c r="T59" s="34"/>
      <c r="U59" s="34"/>
      <c r="V59" s="35"/>
      <c r="W59" s="54"/>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3">
        <f t="shared" si="0"/>
        <v>348</v>
      </c>
      <c r="BA59" s="267"/>
    </row>
    <row r="60" spans="1:53" ht="43.5" hidden="1" customHeight="1" x14ac:dyDescent="0.35">
      <c r="A60" s="26">
        <v>43</v>
      </c>
      <c r="B60" s="43" t="s">
        <v>1737</v>
      </c>
      <c r="C60" s="53" t="s">
        <v>128</v>
      </c>
      <c r="D60" s="298" t="s">
        <v>1234</v>
      </c>
      <c r="E60" s="94">
        <v>4</v>
      </c>
      <c r="F60" s="44" t="s">
        <v>30</v>
      </c>
      <c r="G60" s="234">
        <f>[1]DICIEMBRE!$BA$98</f>
        <v>-6</v>
      </c>
      <c r="H60" s="31">
        <f>ENERO!BA59</f>
        <v>-6</v>
      </c>
      <c r="I60" s="31">
        <f>FEBRERO!AX60</f>
        <v>0</v>
      </c>
      <c r="J60" s="32">
        <f>MARZO!BA61</f>
        <v>0</v>
      </c>
      <c r="K60" s="32"/>
      <c r="L60" s="336"/>
      <c r="M60" s="32"/>
      <c r="N60" s="336"/>
      <c r="O60" s="32"/>
      <c r="P60" s="31"/>
      <c r="Q60" s="31"/>
      <c r="R60" s="31"/>
      <c r="S60" s="47">
        <f>(300*0.16+300)*E60</f>
        <v>1392</v>
      </c>
      <c r="T60" s="47"/>
      <c r="U60" s="48"/>
      <c r="V60" s="49"/>
      <c r="W60" s="49"/>
      <c r="X60" s="49"/>
      <c r="Y60" s="49"/>
      <c r="Z60" s="49"/>
      <c r="AA60" s="49">
        <v>1392</v>
      </c>
      <c r="AB60" s="49"/>
      <c r="AC60" s="69"/>
      <c r="AD60" s="49"/>
      <c r="AE60" s="50"/>
      <c r="AF60" s="49"/>
      <c r="AG60" s="49"/>
      <c r="AH60" s="49"/>
      <c r="AI60" s="49"/>
      <c r="AJ60" s="49"/>
      <c r="AK60" s="49"/>
      <c r="AL60" s="49"/>
      <c r="AM60" s="49"/>
      <c r="AN60" s="49"/>
      <c r="AO60" s="49"/>
      <c r="AP60" s="49"/>
      <c r="AQ60" s="49"/>
      <c r="AR60" s="49"/>
      <c r="AS60" s="49"/>
      <c r="AT60" s="49"/>
      <c r="AU60" s="49"/>
      <c r="AV60" s="49"/>
      <c r="AW60" s="49"/>
      <c r="AX60" s="49"/>
      <c r="AY60" s="49"/>
      <c r="AZ60" s="33">
        <f t="shared" si="0"/>
        <v>0</v>
      </c>
      <c r="BA60" s="43"/>
    </row>
    <row r="61" spans="1:53" s="23" customFormat="1" ht="46.5" hidden="1" customHeight="1" x14ac:dyDescent="0.3">
      <c r="A61" s="26">
        <v>44</v>
      </c>
      <c r="B61" s="43" t="s">
        <v>1306</v>
      </c>
      <c r="C61" s="28"/>
      <c r="D61" s="298" t="s">
        <v>1216</v>
      </c>
      <c r="E61" s="92">
        <v>2</v>
      </c>
      <c r="F61" s="30" t="s">
        <v>30</v>
      </c>
      <c r="G61" s="112">
        <f>[1]DICIEMBRE!$BA$63</f>
        <v>2.2737367544323206E-13</v>
      </c>
      <c r="H61" s="31">
        <f>ENERO!BA60</f>
        <v>2.2737367544323206E-13</v>
      </c>
      <c r="I61" s="31">
        <f>FEBRERO!AX61</f>
        <v>2.2737367544323206E-13</v>
      </c>
      <c r="J61" s="32">
        <f>MARZO!BA62</f>
        <v>2.2737367544323206E-13</v>
      </c>
      <c r="K61" s="32"/>
      <c r="L61" s="32"/>
      <c r="M61" s="336"/>
      <c r="N61" s="32"/>
      <c r="O61" s="32"/>
      <c r="P61" s="33"/>
      <c r="Q61" s="31"/>
      <c r="R61" s="31"/>
      <c r="S61" s="34">
        <f>(330*0.16+330)*E61</f>
        <v>765.6</v>
      </c>
      <c r="T61" s="34"/>
      <c r="U61" s="34"/>
      <c r="V61" s="35"/>
      <c r="W61" s="35">
        <v>765.6</v>
      </c>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3">
        <f t="shared" si="0"/>
        <v>2.2737367544323206E-13</v>
      </c>
      <c r="BA61" s="43"/>
    </row>
    <row r="62" spans="1:53" s="23" customFormat="1" ht="74.25" hidden="1" customHeight="1" x14ac:dyDescent="0.3">
      <c r="A62" s="26">
        <v>45</v>
      </c>
      <c r="B62" s="43" t="s">
        <v>1739</v>
      </c>
      <c r="C62" s="28" t="s">
        <v>61</v>
      </c>
      <c r="D62" s="302" t="s">
        <v>2888</v>
      </c>
      <c r="E62" s="92">
        <v>14</v>
      </c>
      <c r="F62" s="40" t="s">
        <v>30</v>
      </c>
      <c r="G62" s="112">
        <f>[1]DICIEMBRE!$BA$99</f>
        <v>4.0000000171858119E-3</v>
      </c>
      <c r="H62" s="45">
        <f>ENERO!BA61</f>
        <v>4693.3640000000178</v>
      </c>
      <c r="I62" s="31">
        <f>FEBRERO!AX62</f>
        <v>4.0000000190048013E-3</v>
      </c>
      <c r="J62" s="32">
        <f>MARZO!BA63</f>
        <v>4693.3640000000196</v>
      </c>
      <c r="K62" s="32"/>
      <c r="L62" s="32"/>
      <c r="M62" s="336"/>
      <c r="N62" s="32"/>
      <c r="O62" s="33"/>
      <c r="P62" s="33"/>
      <c r="Q62" s="31"/>
      <c r="R62" s="31"/>
      <c r="S62" s="34">
        <f>(289*0.16+289)*E62</f>
        <v>4693.3600000000006</v>
      </c>
      <c r="T62" s="34"/>
      <c r="U62" s="34"/>
      <c r="V62" s="35"/>
      <c r="W62" s="54"/>
      <c r="X62" s="35"/>
      <c r="Y62" s="35"/>
      <c r="Z62" s="35"/>
      <c r="AA62" s="35"/>
      <c r="AB62" s="35"/>
      <c r="AC62" s="35"/>
      <c r="AD62" s="35"/>
      <c r="AE62" s="35"/>
      <c r="AF62" s="35"/>
      <c r="AG62" s="35"/>
      <c r="AH62" s="35"/>
      <c r="AI62" s="35"/>
      <c r="AJ62" s="35"/>
      <c r="AK62" s="35"/>
      <c r="AL62" s="35"/>
      <c r="AM62" s="35"/>
      <c r="AN62" s="35"/>
      <c r="AO62" s="35"/>
      <c r="AP62" s="35"/>
      <c r="AQ62" s="35"/>
      <c r="AR62" s="35">
        <v>9386.7199999999993</v>
      </c>
      <c r="AS62" s="35"/>
      <c r="AT62" s="35"/>
      <c r="AU62" s="35"/>
      <c r="AV62" s="35"/>
      <c r="AW62" s="35"/>
      <c r="AX62" s="35"/>
      <c r="AY62" s="35"/>
      <c r="AZ62" s="33">
        <f t="shared" si="0"/>
        <v>4.0000000208237907E-3</v>
      </c>
      <c r="BA62" s="267"/>
    </row>
    <row r="63" spans="1:53" s="23" customFormat="1" ht="51" hidden="1" customHeight="1" x14ac:dyDescent="0.3">
      <c r="A63" s="26">
        <v>46</v>
      </c>
      <c r="B63" s="43" t="s">
        <v>713</v>
      </c>
      <c r="C63" s="28"/>
      <c r="D63" s="298" t="s">
        <v>1218</v>
      </c>
      <c r="E63" s="92">
        <v>4</v>
      </c>
      <c r="F63" s="30" t="s">
        <v>30</v>
      </c>
      <c r="G63" s="112">
        <f>[1]DICIEMBRE!$BA$65</f>
        <v>-3.9999999989959178E-4</v>
      </c>
      <c r="H63" s="31">
        <f>ENERO!BA63</f>
        <v>-3.9999999989959178E-4</v>
      </c>
      <c r="I63" s="45">
        <f>FEBRERO!AX63</f>
        <v>-3.9999999989959178E-4</v>
      </c>
      <c r="J63" s="32">
        <f>MARZO!BA64</f>
        <v>-3.9999999989959178E-4</v>
      </c>
      <c r="K63" s="32"/>
      <c r="L63" s="336"/>
      <c r="M63" s="32"/>
      <c r="N63" s="336"/>
      <c r="O63" s="32"/>
      <c r="P63" s="33"/>
      <c r="Q63" s="31"/>
      <c r="R63" s="31"/>
      <c r="S63" s="34">
        <f>(300*0.16+300)*E63</f>
        <v>1392</v>
      </c>
      <c r="T63" s="34"/>
      <c r="U63" s="34"/>
      <c r="V63" s="35"/>
      <c r="W63" s="35">
        <v>1392</v>
      </c>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3">
        <f t="shared" si="0"/>
        <v>-3.9999999989959178E-4</v>
      </c>
      <c r="BA63" s="43"/>
    </row>
    <row r="64" spans="1:53" s="23" customFormat="1" ht="42" hidden="1" customHeight="1" x14ac:dyDescent="0.3">
      <c r="A64" s="26">
        <v>47</v>
      </c>
      <c r="B64" s="43" t="s">
        <v>1551</v>
      </c>
      <c r="C64" s="28"/>
      <c r="D64" s="300" t="s">
        <v>1552</v>
      </c>
      <c r="E64" s="92">
        <v>1</v>
      </c>
      <c r="F64" s="30" t="s">
        <v>30</v>
      </c>
      <c r="G64" s="234">
        <f>[1]DICIEMBRE!$BA$66</f>
        <v>0</v>
      </c>
      <c r="H64" s="45">
        <f>ENERO!BA64</f>
        <v>0</v>
      </c>
      <c r="I64" s="31">
        <f>FEBRERO!AX64</f>
        <v>0</v>
      </c>
      <c r="J64" s="32">
        <f>MARZO!BA65</f>
        <v>0</v>
      </c>
      <c r="K64" s="32"/>
      <c r="L64" s="336"/>
      <c r="M64" s="32"/>
      <c r="N64" s="336"/>
      <c r="O64" s="32"/>
      <c r="P64" s="33"/>
      <c r="Q64" s="31"/>
      <c r="R64" s="31"/>
      <c r="S64" s="34">
        <f>(200*0.16+200)*E64</f>
        <v>232</v>
      </c>
      <c r="T64" s="34"/>
      <c r="U64" s="34"/>
      <c r="V64" s="35"/>
      <c r="W64" s="35">
        <v>232</v>
      </c>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3">
        <f t="shared" si="0"/>
        <v>0</v>
      </c>
      <c r="BA64" s="43"/>
    </row>
    <row r="65" spans="1:53" s="23" customFormat="1" ht="50.25" hidden="1" customHeight="1" x14ac:dyDescent="0.3">
      <c r="A65" s="26">
        <v>48</v>
      </c>
      <c r="B65" s="43" t="s">
        <v>693</v>
      </c>
      <c r="C65" s="28"/>
      <c r="D65" s="300" t="s">
        <v>1662</v>
      </c>
      <c r="E65" s="92">
        <v>1</v>
      </c>
      <c r="F65" s="30" t="s">
        <v>30</v>
      </c>
      <c r="G65" s="234">
        <f>[1]DICIEMBRE!$BA$68</f>
        <v>0</v>
      </c>
      <c r="H65" s="31">
        <f>ENERO!BA65</f>
        <v>0</v>
      </c>
      <c r="I65" s="31">
        <f>FEBRERO!AX65</f>
        <v>0</v>
      </c>
      <c r="J65" s="32">
        <f>MARZO!BA66</f>
        <v>0</v>
      </c>
      <c r="K65" s="32"/>
      <c r="L65" s="32"/>
      <c r="M65" s="336"/>
      <c r="N65" s="32"/>
      <c r="O65" s="32"/>
      <c r="P65" s="31"/>
      <c r="Q65" s="31"/>
      <c r="R65" s="31"/>
      <c r="S65" s="34">
        <f>(300*0.16+300)*E65</f>
        <v>348</v>
      </c>
      <c r="T65" s="34"/>
      <c r="U65" s="34"/>
      <c r="V65" s="35"/>
      <c r="W65" s="35"/>
      <c r="X65" s="35"/>
      <c r="Y65" s="35"/>
      <c r="Z65" s="35"/>
      <c r="AA65" s="35"/>
      <c r="AB65" s="35"/>
      <c r="AC65" s="35">
        <v>348</v>
      </c>
      <c r="AD65" s="35"/>
      <c r="AE65" s="35"/>
      <c r="AF65" s="35"/>
      <c r="AG65" s="35"/>
      <c r="AH65" s="35"/>
      <c r="AI65" s="35"/>
      <c r="AJ65" s="35"/>
      <c r="AK65" s="35"/>
      <c r="AL65" s="35"/>
      <c r="AM65" s="35"/>
      <c r="AN65" s="35"/>
      <c r="AO65" s="35"/>
      <c r="AP65" s="35"/>
      <c r="AQ65" s="35"/>
      <c r="AR65" s="35"/>
      <c r="AS65" s="35"/>
      <c r="AT65" s="35"/>
      <c r="AU65" s="35"/>
      <c r="AV65" s="35"/>
      <c r="AW65" s="35"/>
      <c r="AX65" s="35"/>
      <c r="AY65" s="35"/>
      <c r="AZ65" s="33">
        <f t="shared" si="0"/>
        <v>0</v>
      </c>
      <c r="BA65" s="43"/>
    </row>
    <row r="66" spans="1:53" s="23" customFormat="1" ht="65.25" hidden="1" customHeight="1" x14ac:dyDescent="0.3">
      <c r="A66" s="26">
        <v>49</v>
      </c>
      <c r="B66" s="43" t="s">
        <v>1621</v>
      </c>
      <c r="C66" s="28"/>
      <c r="D66" s="300" t="s">
        <v>1622</v>
      </c>
      <c r="E66" s="92">
        <v>1</v>
      </c>
      <c r="F66" s="30" t="s">
        <v>30</v>
      </c>
      <c r="G66" s="112">
        <f>[1]DICIEMBRE!$BA$69</f>
        <v>0</v>
      </c>
      <c r="H66" s="31">
        <f>ENERO!BA66</f>
        <v>0</v>
      </c>
      <c r="I66" s="31">
        <f>FEBRERO!AX66</f>
        <v>0</v>
      </c>
      <c r="J66" s="32">
        <f>MARZO!BA67</f>
        <v>0</v>
      </c>
      <c r="K66" s="32"/>
      <c r="L66" s="32"/>
      <c r="M66" s="336"/>
      <c r="N66" s="32"/>
      <c r="O66" s="32"/>
      <c r="P66" s="31"/>
      <c r="Q66" s="31"/>
      <c r="R66" s="31"/>
      <c r="S66" s="34">
        <f>(250*0.16+250)*E66</f>
        <v>290</v>
      </c>
      <c r="T66" s="34"/>
      <c r="U66" s="34"/>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v>290</v>
      </c>
      <c r="AX66" s="35"/>
      <c r="AY66" s="35"/>
      <c r="AZ66" s="33">
        <f t="shared" si="0"/>
        <v>0</v>
      </c>
      <c r="BA66" s="43"/>
    </row>
    <row r="67" spans="1:53" s="23" customFormat="1" ht="87" hidden="1" customHeight="1" x14ac:dyDescent="0.3">
      <c r="A67" s="26">
        <v>50</v>
      </c>
      <c r="B67" s="43" t="s">
        <v>533</v>
      </c>
      <c r="C67" s="28" t="s">
        <v>560</v>
      </c>
      <c r="D67" s="301" t="s">
        <v>1220</v>
      </c>
      <c r="E67" s="92">
        <v>17</v>
      </c>
      <c r="F67" s="30" t="s">
        <v>30</v>
      </c>
      <c r="G67" s="234">
        <f>[1]DICIEMBRE!$BA$70</f>
        <v>2.0000000140498742E-3</v>
      </c>
      <c r="H67" s="45">
        <f>ENERO!BA67</f>
        <v>2.0000000149593689E-3</v>
      </c>
      <c r="I67" s="45">
        <f>FEBRERO!AX67</f>
        <v>2.0000000158688636E-3</v>
      </c>
      <c r="J67" s="32">
        <f>MARZO!BA68</f>
        <v>2.0000000167783583E-3</v>
      </c>
      <c r="K67" s="32"/>
      <c r="L67" s="32"/>
      <c r="M67" s="32"/>
      <c r="N67" s="32"/>
      <c r="O67" s="33"/>
      <c r="P67" s="33"/>
      <c r="Q67" s="31"/>
      <c r="R67" s="31"/>
      <c r="S67" s="34">
        <f>(249*0.16+249)*E67</f>
        <v>4910.2800000000007</v>
      </c>
      <c r="T67" s="34"/>
      <c r="U67" s="34"/>
      <c r="V67" s="35"/>
      <c r="W67" s="35"/>
      <c r="X67" s="35"/>
      <c r="Y67" s="35">
        <v>4910.28</v>
      </c>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3">
        <f t="shared" si="0"/>
        <v>2.000000017687853E-3</v>
      </c>
      <c r="BA67" s="43" t="s">
        <v>2896</v>
      </c>
    </row>
    <row r="68" spans="1:53" s="23" customFormat="1" ht="52.5" hidden="1" customHeight="1" x14ac:dyDescent="0.3">
      <c r="A68" s="26">
        <v>51</v>
      </c>
      <c r="B68" s="43" t="s">
        <v>1676</v>
      </c>
      <c r="C68" s="28"/>
      <c r="D68" s="341" t="s">
        <v>1677</v>
      </c>
      <c r="E68" s="92">
        <v>4</v>
      </c>
      <c r="F68" s="30" t="s">
        <v>30</v>
      </c>
      <c r="G68" s="112">
        <f>[1]DICIEMBRE!$BA$71</f>
        <v>0</v>
      </c>
      <c r="H68" s="31">
        <f>ENERO!BA68</f>
        <v>0</v>
      </c>
      <c r="I68" s="31">
        <f>FEBRERO!AX68</f>
        <v>0</v>
      </c>
      <c r="J68" s="32">
        <f>MARZO!BA69</f>
        <v>0</v>
      </c>
      <c r="K68" s="32"/>
      <c r="L68" s="32"/>
      <c r="M68" s="32"/>
      <c r="N68" s="32"/>
      <c r="O68" s="33"/>
      <c r="P68" s="33"/>
      <c r="Q68" s="31"/>
      <c r="R68" s="31"/>
      <c r="S68" s="34">
        <f>(300*0.16+300)*E68</f>
        <v>1392</v>
      </c>
      <c r="T68" s="34">
        <f>2060*0.16+2060</f>
        <v>2389.6</v>
      </c>
      <c r="U68" s="34"/>
      <c r="V68" s="35"/>
      <c r="W68" s="35"/>
      <c r="X68" s="35"/>
      <c r="Y68" s="35">
        <v>1392</v>
      </c>
      <c r="Z68" s="35"/>
      <c r="AA68" s="35"/>
      <c r="AB68" s="35"/>
      <c r="AC68" s="35"/>
      <c r="AD68" s="35"/>
      <c r="AE68" s="35"/>
      <c r="AF68" s="35"/>
      <c r="AG68" s="35"/>
      <c r="AH68" s="35"/>
      <c r="AI68" s="35"/>
      <c r="AJ68" s="35"/>
      <c r="AK68" s="35"/>
      <c r="AL68" s="35"/>
      <c r="AM68" s="35"/>
      <c r="AN68" s="35"/>
      <c r="AO68" s="35"/>
      <c r="AP68" s="35"/>
      <c r="AQ68" s="35">
        <v>2389.6</v>
      </c>
      <c r="AR68" s="35"/>
      <c r="AS68" s="35"/>
      <c r="AT68" s="35"/>
      <c r="AU68" s="35"/>
      <c r="AV68" s="35"/>
      <c r="AW68" s="35"/>
      <c r="AX68" s="35"/>
      <c r="AY68" s="35"/>
      <c r="AZ68" s="33">
        <f t="shared" si="0"/>
        <v>0</v>
      </c>
      <c r="BA68" s="43" t="s">
        <v>2780</v>
      </c>
    </row>
    <row r="69" spans="1:53" s="23" customFormat="1" ht="71.25" hidden="1" customHeight="1" x14ac:dyDescent="0.3">
      <c r="A69" s="26">
        <v>52</v>
      </c>
      <c r="B69" s="43" t="s">
        <v>496</v>
      </c>
      <c r="C69" s="28" t="s">
        <v>561</v>
      </c>
      <c r="D69" s="298" t="s">
        <v>1276</v>
      </c>
      <c r="E69" s="92">
        <v>2</v>
      </c>
      <c r="F69" s="30" t="s">
        <v>30</v>
      </c>
      <c r="G69" s="234">
        <f>[1]DICIEMBRE!$BA$72</f>
        <v>-7.9999999981055225E-3</v>
      </c>
      <c r="H69" s="31">
        <f>ENERO!BA69</f>
        <v>-7.9999999979918357E-3</v>
      </c>
      <c r="I69" s="31">
        <f>FEBRERO!AX69</f>
        <v>2.0000000021127562E-3</v>
      </c>
      <c r="J69" s="32">
        <f>MARZO!BA70</f>
        <v>2.000000002226443E-3</v>
      </c>
      <c r="K69" s="33"/>
      <c r="L69" s="336"/>
      <c r="M69" s="32"/>
      <c r="N69" s="336"/>
      <c r="O69" s="32"/>
      <c r="P69" s="31"/>
      <c r="Q69" s="31"/>
      <c r="R69" s="31"/>
      <c r="S69" s="34">
        <f>(249*0.16+249)*E69</f>
        <v>577.68000000000006</v>
      </c>
      <c r="T69" s="34"/>
      <c r="U69" s="34"/>
      <c r="V69" s="35"/>
      <c r="W69" s="35"/>
      <c r="X69" s="35"/>
      <c r="Y69" s="35"/>
      <c r="Z69" s="35"/>
      <c r="AA69" s="35"/>
      <c r="AB69" s="35"/>
      <c r="AC69" s="35"/>
      <c r="AD69" s="35"/>
      <c r="AE69" s="35">
        <v>577.67999999999995</v>
      </c>
      <c r="AF69" s="35"/>
      <c r="AG69" s="35"/>
      <c r="AH69" s="35"/>
      <c r="AI69" s="35"/>
      <c r="AJ69" s="35"/>
      <c r="AK69" s="35"/>
      <c r="AL69" s="35"/>
      <c r="AM69" s="35"/>
      <c r="AN69" s="35"/>
      <c r="AO69" s="35"/>
      <c r="AP69" s="35"/>
      <c r="AQ69" s="35"/>
      <c r="AR69" s="35"/>
      <c r="AS69" s="35"/>
      <c r="AT69" s="35"/>
      <c r="AU69" s="35"/>
      <c r="AV69" s="35"/>
      <c r="AW69" s="35"/>
      <c r="AX69" s="35"/>
      <c r="AY69" s="35"/>
      <c r="AZ69" s="33">
        <f t="shared" si="0"/>
        <v>2.0000000023401299E-3</v>
      </c>
      <c r="BA69" s="43"/>
    </row>
    <row r="70" spans="1:53" s="23" customFormat="1" ht="48" hidden="1" customHeight="1" x14ac:dyDescent="0.3">
      <c r="A70" s="26">
        <v>53</v>
      </c>
      <c r="B70" s="43" t="s">
        <v>323</v>
      </c>
      <c r="C70" s="28" t="s">
        <v>324</v>
      </c>
      <c r="D70" s="298" t="s">
        <v>1221</v>
      </c>
      <c r="E70" s="92">
        <v>1</v>
      </c>
      <c r="F70" s="30" t="s">
        <v>30</v>
      </c>
      <c r="G70" s="112">
        <f>[1]DICIEMBRE!$BA$73</f>
        <v>-866.51999999999782</v>
      </c>
      <c r="H70" s="45">
        <f>ENERO!BA70</f>
        <v>-577.67999999999779</v>
      </c>
      <c r="I70" s="31">
        <f>FEBRERO!AX70</f>
        <v>-288.83999999999776</v>
      </c>
      <c r="J70" s="32">
        <f>MARZO!BA71</f>
        <v>2.2737367544323206E-12</v>
      </c>
      <c r="K70" s="32"/>
      <c r="L70" s="32"/>
      <c r="M70" s="336"/>
      <c r="N70" s="32"/>
      <c r="O70" s="32"/>
      <c r="P70" s="33"/>
      <c r="Q70" s="31"/>
      <c r="R70" s="31"/>
      <c r="S70" s="34">
        <f>(249*0.16+249)*E70</f>
        <v>288.84000000000003</v>
      </c>
      <c r="T70" s="34"/>
      <c r="U70" s="34"/>
      <c r="V70" s="35"/>
      <c r="W70" s="35"/>
      <c r="X70" s="35"/>
      <c r="Y70" s="35"/>
      <c r="Z70" s="35"/>
      <c r="AA70" s="35"/>
      <c r="AB70" s="35"/>
      <c r="AC70" s="35"/>
      <c r="AD70" s="35"/>
      <c r="AE70" s="35">
        <v>1733.04</v>
      </c>
      <c r="AF70" s="35"/>
      <c r="AG70" s="35"/>
      <c r="AH70" s="35"/>
      <c r="AI70" s="35"/>
      <c r="AJ70" s="35"/>
      <c r="AK70" s="35"/>
      <c r="AL70" s="35"/>
      <c r="AM70" s="35"/>
      <c r="AN70" s="35"/>
      <c r="AO70" s="35"/>
      <c r="AP70" s="35"/>
      <c r="AQ70" s="35"/>
      <c r="AR70" s="35"/>
      <c r="AS70" s="35"/>
      <c r="AT70" s="35"/>
      <c r="AU70" s="35"/>
      <c r="AV70" s="35"/>
      <c r="AW70" s="35"/>
      <c r="AX70" s="35"/>
      <c r="AY70" s="35"/>
      <c r="AZ70" s="33">
        <f t="shared" si="0"/>
        <v>-1444.1999999999975</v>
      </c>
      <c r="BA70" s="43" t="s">
        <v>2628</v>
      </c>
    </row>
    <row r="71" spans="1:53" s="23" customFormat="1" ht="51.75" hidden="1" customHeight="1" x14ac:dyDescent="0.3">
      <c r="A71" s="26">
        <v>54</v>
      </c>
      <c r="B71" s="27" t="s">
        <v>50</v>
      </c>
      <c r="C71" s="28" t="s">
        <v>51</v>
      </c>
      <c r="D71" s="298" t="s">
        <v>1222</v>
      </c>
      <c r="E71" s="92">
        <v>1</v>
      </c>
      <c r="F71" s="56" t="s">
        <v>30</v>
      </c>
      <c r="G71" s="234">
        <f>[1]DICIEMBRE!$BA$74</f>
        <v>0</v>
      </c>
      <c r="H71" s="31">
        <f>ENERO!BA71</f>
        <v>0</v>
      </c>
      <c r="I71" s="45">
        <f>FEBRERO!AX71</f>
        <v>0</v>
      </c>
      <c r="J71" s="32">
        <f>MARZO!BA72</f>
        <v>0</v>
      </c>
      <c r="K71" s="32"/>
      <c r="L71" s="32"/>
      <c r="M71" s="32"/>
      <c r="N71" s="32"/>
      <c r="O71" s="33"/>
      <c r="P71" s="31"/>
      <c r="Q71" s="31"/>
      <c r="R71" s="31"/>
      <c r="S71" s="34">
        <v>348</v>
      </c>
      <c r="T71" s="34"/>
      <c r="U71" s="34"/>
      <c r="V71" s="35"/>
      <c r="W71" s="35"/>
      <c r="X71" s="35"/>
      <c r="Y71" s="35"/>
      <c r="Z71" s="35"/>
      <c r="AA71" s="35"/>
      <c r="AB71" s="35">
        <v>348</v>
      </c>
      <c r="AC71" s="35"/>
      <c r="AD71" s="35"/>
      <c r="AE71" s="35"/>
      <c r="AF71" s="35"/>
      <c r="AG71" s="35"/>
      <c r="AH71" s="35"/>
      <c r="AI71" s="35"/>
      <c r="AJ71" s="35"/>
      <c r="AK71" s="35"/>
      <c r="AL71" s="35"/>
      <c r="AM71" s="35"/>
      <c r="AN71" s="35"/>
      <c r="AO71" s="35"/>
      <c r="AP71" s="35"/>
      <c r="AQ71" s="54"/>
      <c r="AR71" s="35"/>
      <c r="AS71" s="35"/>
      <c r="AT71" s="35"/>
      <c r="AU71" s="35"/>
      <c r="AV71" s="35"/>
      <c r="AW71" s="35"/>
      <c r="AX71" s="35"/>
      <c r="AY71" s="35"/>
      <c r="AZ71" s="33">
        <f t="shared" si="0"/>
        <v>0</v>
      </c>
      <c r="BA71" s="269"/>
    </row>
    <row r="72" spans="1:53" s="23" customFormat="1" ht="54.75" hidden="1" customHeight="1" x14ac:dyDescent="0.3">
      <c r="A72" s="26">
        <v>55</v>
      </c>
      <c r="B72" s="43" t="s">
        <v>53</v>
      </c>
      <c r="C72" s="53" t="s">
        <v>54</v>
      </c>
      <c r="D72" s="298" t="s">
        <v>1224</v>
      </c>
      <c r="E72" s="92">
        <v>1</v>
      </c>
      <c r="F72" s="56" t="s">
        <v>30</v>
      </c>
      <c r="G72" s="234">
        <f>[1]DICIEMBRE!$BA$76</f>
        <v>0</v>
      </c>
      <c r="H72" s="31">
        <f>ENERO!BA72</f>
        <v>0</v>
      </c>
      <c r="I72" s="31">
        <f>FEBRERO!AX72</f>
        <v>0</v>
      </c>
      <c r="J72" s="32">
        <f>MARZO!BA73</f>
        <v>0</v>
      </c>
      <c r="K72" s="32"/>
      <c r="L72" s="32"/>
      <c r="M72" s="336"/>
      <c r="N72" s="32"/>
      <c r="O72" s="32"/>
      <c r="P72" s="31"/>
      <c r="Q72" s="31"/>
      <c r="R72" s="31"/>
      <c r="S72" s="34">
        <f>(300*0.16+300)*E72</f>
        <v>348</v>
      </c>
      <c r="T72" s="34"/>
      <c r="U72" s="34"/>
      <c r="V72" s="35"/>
      <c r="W72" s="35"/>
      <c r="X72" s="35"/>
      <c r="Y72" s="54"/>
      <c r="Z72" s="35"/>
      <c r="AA72" s="35"/>
      <c r="AB72" s="35">
        <v>348</v>
      </c>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3">
        <f t="shared" si="0"/>
        <v>0</v>
      </c>
      <c r="BA72" s="269"/>
    </row>
    <row r="73" spans="1:53" s="23" customFormat="1" ht="62.25" hidden="1" customHeight="1" x14ac:dyDescent="0.3">
      <c r="A73" s="26">
        <v>56</v>
      </c>
      <c r="B73" s="43" t="s">
        <v>1741</v>
      </c>
      <c r="C73" s="28"/>
      <c r="D73" s="298" t="s">
        <v>1203</v>
      </c>
      <c r="E73" s="92">
        <v>11</v>
      </c>
      <c r="F73" s="41" t="s">
        <v>30</v>
      </c>
      <c r="G73" s="234">
        <f>[1]DICIEMBRE!$BA$36</f>
        <v>1.2000000006082701E-3</v>
      </c>
      <c r="H73" s="45">
        <f>ENERO!BA73</f>
        <v>-7.5999999990017386E-3</v>
      </c>
      <c r="I73" s="31">
        <f>FEBRERO!AX73</f>
        <v>2.4000000012165401E-3</v>
      </c>
      <c r="J73" s="32">
        <f>MARZO!BA74</f>
        <v>2.4000000012165401E-3</v>
      </c>
      <c r="K73" s="32"/>
      <c r="L73" s="32"/>
      <c r="M73" s="32"/>
      <c r="N73" s="336"/>
      <c r="O73" s="32"/>
      <c r="P73" s="31"/>
      <c r="Q73" s="31"/>
      <c r="R73" s="31"/>
      <c r="S73" s="38">
        <f>(250*0.16+250)*E73</f>
        <v>3190</v>
      </c>
      <c r="T73" s="38"/>
      <c r="U73" s="35"/>
      <c r="V73" s="35"/>
      <c r="W73" s="35"/>
      <c r="X73" s="35"/>
      <c r="Y73" s="35">
        <v>3190</v>
      </c>
      <c r="Z73" s="35"/>
      <c r="AA73" s="35"/>
      <c r="AB73" s="35"/>
      <c r="AC73" s="35"/>
      <c r="AD73" s="35"/>
      <c r="AE73" s="35"/>
      <c r="AF73" s="35"/>
      <c r="AG73" s="35"/>
      <c r="AH73" s="35"/>
      <c r="AI73" s="35"/>
      <c r="AJ73" s="35"/>
      <c r="AK73" s="42"/>
      <c r="AL73" s="35"/>
      <c r="AM73" s="35"/>
      <c r="AN73" s="35"/>
      <c r="AO73" s="35"/>
      <c r="AP73" s="35"/>
      <c r="AQ73" s="35"/>
      <c r="AR73" s="35"/>
      <c r="AS73" s="35"/>
      <c r="AT73" s="35"/>
      <c r="AU73" s="35"/>
      <c r="AV73" s="35"/>
      <c r="AW73" s="35"/>
      <c r="AX73" s="35"/>
      <c r="AY73" s="35"/>
      <c r="AZ73" s="33">
        <f t="shared" si="0"/>
        <v>2.4000000012165401E-3</v>
      </c>
      <c r="BA73" s="268"/>
    </row>
    <row r="74" spans="1:53" s="23" customFormat="1" ht="37.5" hidden="1" customHeight="1" x14ac:dyDescent="0.3">
      <c r="A74" s="26">
        <v>57</v>
      </c>
      <c r="B74" s="43" t="s">
        <v>1450</v>
      </c>
      <c r="C74" s="53"/>
      <c r="D74" s="300" t="s">
        <v>595</v>
      </c>
      <c r="E74" s="94">
        <v>3</v>
      </c>
      <c r="F74" s="44" t="s">
        <v>30</v>
      </c>
      <c r="G74" s="234">
        <f>[1]DICIEMBRE!$BA$78</f>
        <v>1.1999999996987754E-3</v>
      </c>
      <c r="H74" s="31">
        <f>ENERO!BA74</f>
        <v>1.1999999996987754E-3</v>
      </c>
      <c r="I74" s="31">
        <f>FEBRERO!AX74</f>
        <v>1.1999999996987754E-3</v>
      </c>
      <c r="J74" s="32">
        <f>MARZO!BA75</f>
        <v>1.1999999996987754E-3</v>
      </c>
      <c r="K74" s="33"/>
      <c r="L74" s="336"/>
      <c r="M74" s="32"/>
      <c r="N74" s="336"/>
      <c r="O74" s="32"/>
      <c r="P74" s="31"/>
      <c r="Q74" s="31"/>
      <c r="R74" s="31"/>
      <c r="S74" s="47">
        <f>(250*0.16+250)*E74</f>
        <v>870</v>
      </c>
      <c r="T74" s="34"/>
      <c r="U74" s="34"/>
      <c r="V74" s="35"/>
      <c r="W74" s="35"/>
      <c r="X74" s="35"/>
      <c r="Y74" s="54">
        <v>870</v>
      </c>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3">
        <f t="shared" si="0"/>
        <v>1.1999999996987754E-3</v>
      </c>
      <c r="BA74" s="269"/>
    </row>
    <row r="75" spans="1:53" s="23" customFormat="1" ht="57" hidden="1" customHeight="1" x14ac:dyDescent="0.3">
      <c r="A75" s="26">
        <v>58</v>
      </c>
      <c r="B75" s="43" t="s">
        <v>1742</v>
      </c>
      <c r="C75" s="28"/>
      <c r="D75" s="298" t="s">
        <v>1506</v>
      </c>
      <c r="E75" s="92">
        <v>5</v>
      </c>
      <c r="F75" s="40" t="s">
        <v>30</v>
      </c>
      <c r="G75" s="112">
        <f>[1]DICIEMBRE!$BA$51</f>
        <v>0</v>
      </c>
      <c r="H75" s="31">
        <f>ENERO!BA75</f>
        <v>0</v>
      </c>
      <c r="I75" s="45">
        <f>FEBRERO!AX75</f>
        <v>0</v>
      </c>
      <c r="J75" s="32">
        <f>MARZO!BA76</f>
        <v>0</v>
      </c>
      <c r="K75" s="32"/>
      <c r="L75" s="32"/>
      <c r="M75" s="32"/>
      <c r="N75" s="32"/>
      <c r="O75" s="33"/>
      <c r="P75" s="33"/>
      <c r="Q75" s="31"/>
      <c r="R75" s="31"/>
      <c r="S75" s="34">
        <f>(300*0.16+300)*E75</f>
        <v>1740</v>
      </c>
      <c r="T75" s="34"/>
      <c r="U75" s="34"/>
      <c r="V75" s="35"/>
      <c r="W75" s="54"/>
      <c r="X75" s="35"/>
      <c r="Y75" s="35"/>
      <c r="Z75" s="35"/>
      <c r="AA75" s="35"/>
      <c r="AB75" s="35"/>
      <c r="AC75" s="35"/>
      <c r="AD75" s="35"/>
      <c r="AE75" s="35">
        <v>1740</v>
      </c>
      <c r="AF75" s="35"/>
      <c r="AG75" s="35"/>
      <c r="AH75" s="35"/>
      <c r="AI75" s="36"/>
      <c r="AJ75" s="35"/>
      <c r="AK75" s="35"/>
      <c r="AL75" s="35"/>
      <c r="AM75" s="35"/>
      <c r="AN75" s="35"/>
      <c r="AO75" s="35"/>
      <c r="AP75" s="35"/>
      <c r="AQ75" s="35"/>
      <c r="AR75" s="35"/>
      <c r="AS75" s="35"/>
      <c r="AT75" s="35"/>
      <c r="AU75" s="35"/>
      <c r="AV75" s="35"/>
      <c r="AW75" s="35"/>
      <c r="AX75" s="35"/>
      <c r="AY75" s="35"/>
      <c r="AZ75" s="33">
        <f t="shared" si="0"/>
        <v>0</v>
      </c>
      <c r="BA75" s="267"/>
    </row>
    <row r="76" spans="1:53" s="23" customFormat="1" ht="90" hidden="1" customHeight="1" x14ac:dyDescent="0.3">
      <c r="A76" s="26">
        <v>59</v>
      </c>
      <c r="B76" s="43" t="s">
        <v>1743</v>
      </c>
      <c r="C76" s="28"/>
      <c r="D76" s="298" t="s">
        <v>1238</v>
      </c>
      <c r="E76" s="92">
        <v>15</v>
      </c>
      <c r="F76" s="30" t="s">
        <v>30</v>
      </c>
      <c r="G76" s="234">
        <f>[1]DICIEMBRE!$BA$22</f>
        <v>-1.8189894035458565E-12</v>
      </c>
      <c r="H76" s="45">
        <f>ENERO!BA76</f>
        <v>-2.000000002226443E-3</v>
      </c>
      <c r="I76" s="31">
        <f>FEBRERO!AX76</f>
        <v>-2.000000002226443E-3</v>
      </c>
      <c r="J76" s="32">
        <f>MARZO!BA77</f>
        <v>-2.0000000031359377E-3</v>
      </c>
      <c r="K76" s="33"/>
      <c r="L76" s="336"/>
      <c r="M76" s="336"/>
      <c r="N76" s="336"/>
      <c r="O76" s="32"/>
      <c r="P76" s="33"/>
      <c r="Q76" s="31"/>
      <c r="R76" s="31"/>
      <c r="S76" s="34">
        <f>(279*0.16+279)*E76</f>
        <v>4854.5999999999995</v>
      </c>
      <c r="T76" s="34"/>
      <c r="U76" s="34"/>
      <c r="V76" s="35"/>
      <c r="W76" s="35"/>
      <c r="X76" s="35"/>
      <c r="Y76" s="35"/>
      <c r="Z76" s="36"/>
      <c r="AA76" s="35"/>
      <c r="AB76" s="35"/>
      <c r="AC76" s="35"/>
      <c r="AD76" s="35"/>
      <c r="AE76" s="35"/>
      <c r="AF76" s="35"/>
      <c r="AG76" s="35"/>
      <c r="AH76" s="35"/>
      <c r="AI76" s="35"/>
      <c r="AJ76" s="35"/>
      <c r="AK76" s="37"/>
      <c r="AL76" s="35"/>
      <c r="AM76" s="35"/>
      <c r="AN76" s="35"/>
      <c r="AO76" s="35"/>
      <c r="AP76" s="35"/>
      <c r="AQ76" s="35"/>
      <c r="AR76" s="35"/>
      <c r="AS76" s="35"/>
      <c r="AT76" s="35">
        <v>4854.6000000000004</v>
      </c>
      <c r="AU76" s="35"/>
      <c r="AV76" s="35"/>
      <c r="AW76" s="35"/>
      <c r="AX76" s="35"/>
      <c r="AY76" s="35"/>
      <c r="AZ76" s="33">
        <f t="shared" si="0"/>
        <v>-2.0000000040454324E-3</v>
      </c>
      <c r="BA76" s="43"/>
    </row>
    <row r="77" spans="1:53" s="23" customFormat="1" ht="86.25" hidden="1" customHeight="1" x14ac:dyDescent="0.3">
      <c r="A77" s="26">
        <v>60</v>
      </c>
      <c r="B77" s="43" t="s">
        <v>1744</v>
      </c>
      <c r="C77" s="28"/>
      <c r="D77" s="298" t="s">
        <v>1206</v>
      </c>
      <c r="E77" s="92">
        <v>8</v>
      </c>
      <c r="F77" s="30" t="s">
        <v>30</v>
      </c>
      <c r="G77" s="234">
        <f>[1]DICIEMBRE!$BA$40</f>
        <v>4.0000000035433914E-4</v>
      </c>
      <c r="H77" s="31">
        <f>ENERO!BA77</f>
        <v>4.0000000035433914E-4</v>
      </c>
      <c r="I77" s="31">
        <f>FEBRERO!AX77</f>
        <v>4.0000000035433914E-4</v>
      </c>
      <c r="J77" s="32">
        <f>MARZO!BA78</f>
        <v>4.0000000035433914E-4</v>
      </c>
      <c r="K77" s="33"/>
      <c r="L77" s="336"/>
      <c r="M77" s="336"/>
      <c r="N77" s="32"/>
      <c r="O77" s="32"/>
      <c r="P77" s="31"/>
      <c r="Q77" s="31"/>
      <c r="R77" s="31"/>
      <c r="S77" s="34">
        <f>(269*0.16+269)*E77</f>
        <v>2496.3200000000002</v>
      </c>
      <c r="T77" s="34">
        <f>450*0.16+450</f>
        <v>522</v>
      </c>
      <c r="U77" s="34"/>
      <c r="V77" s="34"/>
      <c r="W77" s="34"/>
      <c r="X77" s="34"/>
      <c r="Y77" s="34"/>
      <c r="Z77" s="52"/>
      <c r="AA77" s="34"/>
      <c r="AB77" s="34">
        <v>3018.32</v>
      </c>
      <c r="AC77" s="34"/>
      <c r="AD77" s="34"/>
      <c r="AE77" s="34"/>
      <c r="AF77" s="34"/>
      <c r="AG77" s="34"/>
      <c r="AH77" s="34"/>
      <c r="AI77" s="34"/>
      <c r="AJ77" s="34"/>
      <c r="AK77" s="38"/>
      <c r="AL77" s="34"/>
      <c r="AM77" s="34"/>
      <c r="AN77" s="34"/>
      <c r="AO77" s="34"/>
      <c r="AP77" s="34"/>
      <c r="AQ77" s="34"/>
      <c r="AR77" s="34"/>
      <c r="AS77" s="34"/>
      <c r="AT77" s="34"/>
      <c r="AU77" s="34"/>
      <c r="AV77" s="34"/>
      <c r="AW77" s="34"/>
      <c r="AX77" s="34"/>
      <c r="AY77" s="34"/>
      <c r="AZ77" s="33">
        <f t="shared" si="0"/>
        <v>4.0000000035433914E-4</v>
      </c>
      <c r="BA77" s="43" t="s">
        <v>2622</v>
      </c>
    </row>
    <row r="78" spans="1:53" s="23" customFormat="1" ht="69.75" hidden="1" customHeight="1" x14ac:dyDescent="0.3">
      <c r="A78" s="26">
        <v>61</v>
      </c>
      <c r="B78" s="43" t="s">
        <v>1745</v>
      </c>
      <c r="C78" s="53" t="s">
        <v>55</v>
      </c>
      <c r="D78" s="298" t="s">
        <v>1226</v>
      </c>
      <c r="E78" s="92">
        <v>17</v>
      </c>
      <c r="F78" s="56" t="s">
        <v>30</v>
      </c>
      <c r="G78" s="234"/>
      <c r="H78" s="31">
        <f>ENERO!BA78</f>
        <v>0</v>
      </c>
      <c r="I78" s="31">
        <f>FEBRERO!AX78</f>
        <v>-2.4000000003070454E-3</v>
      </c>
      <c r="J78" s="32">
        <f>MARZO!BA79</f>
        <v>-2.4000000003070454E-3</v>
      </c>
      <c r="K78" s="32"/>
      <c r="L78" s="32"/>
      <c r="M78" s="32"/>
      <c r="N78" s="32"/>
      <c r="O78" s="33"/>
      <c r="P78" s="31"/>
      <c r="Q78" s="31"/>
      <c r="R78" s="31"/>
      <c r="S78" s="34">
        <f>(289*0.16+289)*E78</f>
        <v>5699.08</v>
      </c>
      <c r="T78" s="34"/>
      <c r="U78" s="34"/>
      <c r="V78" s="35"/>
      <c r="W78" s="35"/>
      <c r="X78" s="35"/>
      <c r="Y78" s="35"/>
      <c r="Z78" s="36"/>
      <c r="AA78" s="54"/>
      <c r="AB78" s="35"/>
      <c r="AC78" s="35"/>
      <c r="AD78" s="35"/>
      <c r="AE78" s="35"/>
      <c r="AF78" s="35"/>
      <c r="AG78" s="35"/>
      <c r="AH78" s="35"/>
      <c r="AI78" s="35"/>
      <c r="AJ78" s="35"/>
      <c r="AK78" s="35"/>
      <c r="AL78" s="35"/>
      <c r="AM78" s="35"/>
      <c r="AN78" s="35"/>
      <c r="AO78" s="35"/>
      <c r="AP78" s="35"/>
      <c r="AQ78" s="35"/>
      <c r="AR78" s="35"/>
      <c r="AS78" s="35"/>
      <c r="AT78" s="35"/>
      <c r="AU78" s="35">
        <v>5699.08</v>
      </c>
      <c r="AV78" s="35"/>
      <c r="AW78" s="35"/>
      <c r="AX78" s="35"/>
      <c r="AY78" s="35"/>
      <c r="AZ78" s="33">
        <f t="shared" si="0"/>
        <v>-2.4000000003070454E-3</v>
      </c>
      <c r="BA78" s="269"/>
    </row>
    <row r="79" spans="1:53" s="23" customFormat="1" ht="126" customHeight="1" x14ac:dyDescent="0.3">
      <c r="A79" s="26">
        <v>62</v>
      </c>
      <c r="B79" s="55" t="s">
        <v>56</v>
      </c>
      <c r="C79" s="28" t="s">
        <v>57</v>
      </c>
      <c r="D79" s="298" t="s">
        <v>1227</v>
      </c>
      <c r="E79" s="92">
        <v>16</v>
      </c>
      <c r="F79" s="57" t="s">
        <v>33</v>
      </c>
      <c r="G79" s="112">
        <f>[1]DICIEMBRE!$BA$81</f>
        <v>-1.1999999987892807E-3</v>
      </c>
      <c r="H79" s="45">
        <f>ENERO!BA79</f>
        <v>-1.1999999987892807E-3</v>
      </c>
      <c r="I79" s="45">
        <f>FEBRERO!AX79</f>
        <v>-1.1999999987892807E-3</v>
      </c>
      <c r="J79" s="32">
        <f>MARZO!BA80</f>
        <v>-1.1999999987892807E-3</v>
      </c>
      <c r="K79" s="32"/>
      <c r="L79" s="336"/>
      <c r="M79" s="32"/>
      <c r="N79" s="336"/>
      <c r="O79" s="32"/>
      <c r="P79" s="33"/>
      <c r="Q79" s="31"/>
      <c r="R79" s="31"/>
      <c r="S79" s="34">
        <f>(5250+300)*0.16+5250+300</f>
        <v>6438</v>
      </c>
      <c r="T79" s="34"/>
      <c r="U79" s="34"/>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3">
        <f t="shared" si="0"/>
        <v>6437.9988000000012</v>
      </c>
      <c r="BA79" s="270"/>
    </row>
    <row r="80" spans="1:53" ht="77.25" hidden="1" customHeight="1" x14ac:dyDescent="0.35">
      <c r="A80" s="26">
        <v>63</v>
      </c>
      <c r="B80" s="43" t="s">
        <v>2187</v>
      </c>
      <c r="C80" s="28"/>
      <c r="D80" s="298" t="s">
        <v>1522</v>
      </c>
      <c r="E80" s="94">
        <v>5</v>
      </c>
      <c r="F80" s="62" t="s">
        <v>30</v>
      </c>
      <c r="G80" s="112">
        <f>[1]DICIEMBRE!$BA$119</f>
        <v>-1.999999999998181E-2</v>
      </c>
      <c r="H80" s="31">
        <f>ENERO!BA123</f>
        <v>-1.999999999998181E-2</v>
      </c>
      <c r="I80" s="31">
        <f>FEBRERO!AX80</f>
        <v>0</v>
      </c>
      <c r="J80" s="32">
        <f>MARZO!BA81</f>
        <v>0</v>
      </c>
      <c r="K80" s="32"/>
      <c r="L80" s="336"/>
      <c r="M80" s="336"/>
      <c r="N80" s="32"/>
      <c r="O80" s="32"/>
      <c r="P80" s="31"/>
      <c r="Q80" s="31"/>
      <c r="R80" s="31"/>
      <c r="S80" s="47">
        <f>(300*0.16+300)*E80</f>
        <v>1740</v>
      </c>
      <c r="T80" s="47"/>
      <c r="U80" s="48"/>
      <c r="V80" s="49"/>
      <c r="W80" s="50"/>
      <c r="X80" s="49"/>
      <c r="Y80" s="49"/>
      <c r="Z80" s="49"/>
      <c r="AA80" s="49"/>
      <c r="AB80" s="70"/>
      <c r="AC80" s="49"/>
      <c r="AD80" s="49"/>
      <c r="AE80" s="49"/>
      <c r="AF80" s="49">
        <v>1740</v>
      </c>
      <c r="AG80" s="49"/>
      <c r="AH80" s="49"/>
      <c r="AI80" s="49"/>
      <c r="AJ80" s="49"/>
      <c r="AK80" s="49"/>
      <c r="AL80" s="49"/>
      <c r="AM80" s="49"/>
      <c r="AN80" s="49"/>
      <c r="AO80" s="49"/>
      <c r="AP80" s="49"/>
      <c r="AQ80" s="49"/>
      <c r="AR80" s="49"/>
      <c r="AS80" s="49"/>
      <c r="AT80" s="49"/>
      <c r="AU80" s="49"/>
      <c r="AV80" s="49"/>
      <c r="AW80" s="49"/>
      <c r="AX80" s="49"/>
      <c r="AY80" s="49"/>
      <c r="AZ80" s="33">
        <f t="shared" si="0"/>
        <v>0</v>
      </c>
      <c r="BA80" s="267"/>
    </row>
    <row r="81" spans="1:54" s="23" customFormat="1" ht="54.75" hidden="1" customHeight="1" x14ac:dyDescent="0.3">
      <c r="A81" s="26">
        <v>64</v>
      </c>
      <c r="B81" s="43" t="s">
        <v>1437</v>
      </c>
      <c r="C81" s="28"/>
      <c r="D81" s="298" t="s">
        <v>1434</v>
      </c>
      <c r="E81" s="92">
        <v>3</v>
      </c>
      <c r="F81" s="30" t="s">
        <v>30</v>
      </c>
      <c r="G81" s="112">
        <f>[1]DICIEMBRE!$BA$83</f>
        <v>0</v>
      </c>
      <c r="H81" s="31">
        <f>ENERO!BA80</f>
        <v>0</v>
      </c>
      <c r="I81" s="31">
        <f>FEBRERO!AX81</f>
        <v>0</v>
      </c>
      <c r="J81" s="32">
        <f>MARZO!BA82</f>
        <v>0</v>
      </c>
      <c r="K81" s="33"/>
      <c r="L81" s="32"/>
      <c r="M81" s="336"/>
      <c r="N81" s="32"/>
      <c r="O81" s="32"/>
      <c r="P81" s="33"/>
      <c r="Q81" s="31"/>
      <c r="R81" s="31"/>
      <c r="S81" s="59">
        <f>(300*0.16+300)*E81</f>
        <v>1044</v>
      </c>
      <c r="T81" s="34">
        <f>589*0.16+589</f>
        <v>683.24</v>
      </c>
      <c r="U81" s="34"/>
      <c r="V81" s="35"/>
      <c r="W81" s="35"/>
      <c r="X81" s="35"/>
      <c r="Y81" s="35"/>
      <c r="Z81" s="36"/>
      <c r="AA81" s="35"/>
      <c r="AB81" s="35"/>
      <c r="AC81" s="54"/>
      <c r="AD81" s="35"/>
      <c r="AE81" s="35"/>
      <c r="AF81" s="35"/>
      <c r="AG81" s="35"/>
      <c r="AH81" s="35"/>
      <c r="AI81" s="35"/>
      <c r="AJ81" s="35"/>
      <c r="AK81" s="35"/>
      <c r="AL81" s="35"/>
      <c r="AM81" s="35"/>
      <c r="AN81" s="35"/>
      <c r="AO81" s="35"/>
      <c r="AP81" s="35"/>
      <c r="AQ81" s="35"/>
      <c r="AR81" s="35"/>
      <c r="AS81" s="35">
        <v>1727.24</v>
      </c>
      <c r="AT81" s="35"/>
      <c r="AU81" s="35"/>
      <c r="AV81" s="35"/>
      <c r="AW81" s="35"/>
      <c r="AX81" s="35"/>
      <c r="AY81" s="35"/>
      <c r="AZ81" s="33">
        <f t="shared" si="0"/>
        <v>0</v>
      </c>
      <c r="BA81" s="43" t="s">
        <v>2624</v>
      </c>
      <c r="BB81" s="23" t="s">
        <v>2917</v>
      </c>
    </row>
    <row r="82" spans="1:54" s="23" customFormat="1" ht="66" hidden="1" customHeight="1" x14ac:dyDescent="0.3">
      <c r="A82" s="26">
        <v>65</v>
      </c>
      <c r="B82" s="27" t="s">
        <v>1746</v>
      </c>
      <c r="C82" s="28" t="s">
        <v>59</v>
      </c>
      <c r="D82" s="298" t="s">
        <v>1228</v>
      </c>
      <c r="E82" s="92">
        <v>8</v>
      </c>
      <c r="F82" s="30" t="s">
        <v>30</v>
      </c>
      <c r="G82" s="234">
        <f>[1]DICIEMBRE!$BA$82</f>
        <v>2784.0048000000006</v>
      </c>
      <c r="H82" s="31">
        <f>ENERO!BA81</f>
        <v>4.8000000006140908E-3</v>
      </c>
      <c r="I82" s="31">
        <f>FEBRERO!AX82</f>
        <v>4.8000000006140908E-3</v>
      </c>
      <c r="J82" s="32">
        <f>MARZO!BA83</f>
        <v>4.8000000006140908E-3</v>
      </c>
      <c r="K82" s="33"/>
      <c r="L82" s="32"/>
      <c r="M82" s="336"/>
      <c r="N82" s="32"/>
      <c r="O82" s="32"/>
      <c r="P82" s="31"/>
      <c r="Q82" s="31"/>
      <c r="R82" s="31"/>
      <c r="S82" s="59">
        <f>(300*0.16+300)*E82</f>
        <v>2784</v>
      </c>
      <c r="T82" s="34"/>
      <c r="U82" s="34"/>
      <c r="V82" s="35"/>
      <c r="W82" s="35"/>
      <c r="X82" s="35"/>
      <c r="Y82" s="35">
        <v>2784</v>
      </c>
      <c r="Z82" s="36"/>
      <c r="AA82" s="35"/>
      <c r="AB82" s="35"/>
      <c r="AC82" s="54"/>
      <c r="AD82" s="35"/>
      <c r="AE82" s="35"/>
      <c r="AF82" s="35"/>
      <c r="AG82" s="35"/>
      <c r="AH82" s="35"/>
      <c r="AI82" s="35"/>
      <c r="AJ82" s="35"/>
      <c r="AK82" s="35"/>
      <c r="AL82" s="35"/>
      <c r="AM82" s="35"/>
      <c r="AN82" s="35"/>
      <c r="AO82" s="35"/>
      <c r="AP82" s="35"/>
      <c r="AQ82" s="35"/>
      <c r="AR82" s="35"/>
      <c r="AS82" s="35"/>
      <c r="AT82" s="35"/>
      <c r="AU82" s="35"/>
      <c r="AV82" s="35"/>
      <c r="AW82" s="35"/>
      <c r="AX82" s="35"/>
      <c r="AY82" s="35"/>
      <c r="AZ82" s="33">
        <f t="shared" si="0"/>
        <v>4.8000000006140908E-3</v>
      </c>
      <c r="BA82" s="43"/>
    </row>
    <row r="83" spans="1:54" s="23" customFormat="1" ht="49.5" hidden="1" customHeight="1" x14ac:dyDescent="0.3">
      <c r="A83" s="26">
        <v>66</v>
      </c>
      <c r="B83" s="43" t="s">
        <v>1071</v>
      </c>
      <c r="C83" s="28"/>
      <c r="D83" s="298" t="s">
        <v>1312</v>
      </c>
      <c r="E83" s="92">
        <v>4</v>
      </c>
      <c r="F83" s="30" t="s">
        <v>30</v>
      </c>
      <c r="G83" s="234">
        <f>[1]DICIEMBRE!$BA$84</f>
        <v>0</v>
      </c>
      <c r="H83" s="45">
        <f>ENERO!BA82</f>
        <v>0</v>
      </c>
      <c r="I83" s="45">
        <f>FEBRERO!AX83</f>
        <v>0</v>
      </c>
      <c r="J83" s="32">
        <f>MARZO!BA84</f>
        <v>0</v>
      </c>
      <c r="K83" s="33"/>
      <c r="L83" s="32"/>
      <c r="M83" s="32"/>
      <c r="N83" s="32"/>
      <c r="O83" s="33"/>
      <c r="P83" s="31"/>
      <c r="Q83" s="31"/>
      <c r="R83" s="31"/>
      <c r="S83" s="59">
        <f>(220*0.16+220)*E83</f>
        <v>1020.8</v>
      </c>
      <c r="T83" s="34"/>
      <c r="U83" s="34"/>
      <c r="V83" s="35"/>
      <c r="W83" s="35"/>
      <c r="X83" s="35">
        <v>1020.8</v>
      </c>
      <c r="Y83" s="35"/>
      <c r="Z83" s="36"/>
      <c r="AA83" s="35"/>
      <c r="AB83" s="35"/>
      <c r="AC83" s="54"/>
      <c r="AD83" s="35"/>
      <c r="AE83" s="35"/>
      <c r="AF83" s="35"/>
      <c r="AG83" s="35"/>
      <c r="AH83" s="35"/>
      <c r="AI83" s="35"/>
      <c r="AJ83" s="35"/>
      <c r="AK83" s="35"/>
      <c r="AL83" s="35"/>
      <c r="AM83" s="35"/>
      <c r="AN83" s="35"/>
      <c r="AO83" s="35"/>
      <c r="AP83" s="35"/>
      <c r="AQ83" s="35"/>
      <c r="AR83" s="35"/>
      <c r="AS83" s="35"/>
      <c r="AT83" s="35"/>
      <c r="AU83" s="35"/>
      <c r="AV83" s="35"/>
      <c r="AW83" s="35"/>
      <c r="AX83" s="35"/>
      <c r="AY83" s="35"/>
      <c r="AZ83" s="33">
        <f t="shared" si="0"/>
        <v>0</v>
      </c>
      <c r="BA83" s="43"/>
    </row>
    <row r="84" spans="1:54" s="23" customFormat="1" ht="68.25" hidden="1" customHeight="1" x14ac:dyDescent="0.3">
      <c r="A84" s="26">
        <v>67</v>
      </c>
      <c r="B84" s="43" t="s">
        <v>688</v>
      </c>
      <c r="C84" s="28"/>
      <c r="D84" s="299" t="s">
        <v>1230</v>
      </c>
      <c r="E84" s="92">
        <v>3</v>
      </c>
      <c r="F84" s="30" t="s">
        <v>30</v>
      </c>
      <c r="G84" s="112">
        <f>[1]DICIEMBRE!$BA$87</f>
        <v>-4.400000000032378E-3</v>
      </c>
      <c r="H84" s="31">
        <f>ENERO!BA84</f>
        <v>-4.400000000032378E-3</v>
      </c>
      <c r="I84" s="31">
        <f>FEBRERO!AX84</f>
        <v>-4.400000000032378E-3</v>
      </c>
      <c r="J84" s="32">
        <f>MARZO!BA85</f>
        <v>-4.400000000032378E-3</v>
      </c>
      <c r="K84" s="32"/>
      <c r="L84" s="336"/>
      <c r="M84" s="336"/>
      <c r="N84" s="32"/>
      <c r="O84" s="33"/>
      <c r="P84" s="33"/>
      <c r="Q84" s="31"/>
      <c r="R84" s="31"/>
      <c r="S84" s="59">
        <f>(250*0.16+250)*E84</f>
        <v>870</v>
      </c>
      <c r="T84" s="34"/>
      <c r="U84" s="34"/>
      <c r="V84" s="35"/>
      <c r="W84" s="35"/>
      <c r="X84" s="35"/>
      <c r="Y84" s="35">
        <v>870</v>
      </c>
      <c r="Z84" s="36"/>
      <c r="AA84" s="35"/>
      <c r="AB84" s="35"/>
      <c r="AC84" s="54"/>
      <c r="AD84" s="35"/>
      <c r="AE84" s="35"/>
      <c r="AF84" s="35"/>
      <c r="AG84" s="35"/>
      <c r="AH84" s="35"/>
      <c r="AI84" s="35"/>
      <c r="AJ84" s="35"/>
      <c r="AK84" s="35"/>
      <c r="AL84" s="35"/>
      <c r="AM84" s="35"/>
      <c r="AN84" s="35"/>
      <c r="AO84" s="35"/>
      <c r="AP84" s="35"/>
      <c r="AQ84" s="35"/>
      <c r="AR84" s="35"/>
      <c r="AS84" s="35"/>
      <c r="AT84" s="35"/>
      <c r="AU84" s="35"/>
      <c r="AV84" s="35"/>
      <c r="AW84" s="35"/>
      <c r="AX84" s="35"/>
      <c r="AY84" s="35"/>
      <c r="AZ84" s="33">
        <f t="shared" si="0"/>
        <v>-4.400000000032378E-3</v>
      </c>
      <c r="BA84" s="43"/>
    </row>
    <row r="85" spans="1:54" s="23" customFormat="1" ht="50.25" hidden="1" customHeight="1" x14ac:dyDescent="0.3">
      <c r="A85" s="26">
        <v>68</v>
      </c>
      <c r="B85" s="43" t="s">
        <v>1543</v>
      </c>
      <c r="C85" s="28"/>
      <c r="D85" s="318" t="s">
        <v>1544</v>
      </c>
      <c r="E85" s="92">
        <v>5</v>
      </c>
      <c r="F85" s="30" t="s">
        <v>30</v>
      </c>
      <c r="G85" s="234">
        <f>[1]DICIEMBRE!$BA$88</f>
        <v>4.5474735088646412E-13</v>
      </c>
      <c r="H85" s="45">
        <f>ENERO!BA85</f>
        <v>4.5474735088646412E-13</v>
      </c>
      <c r="I85" s="31">
        <f>FEBRERO!AX85</f>
        <v>4.5474735088646412E-13</v>
      </c>
      <c r="J85" s="32">
        <f>MARZO!BA86</f>
        <v>4.5474735088646412E-13</v>
      </c>
      <c r="K85" s="32"/>
      <c r="L85" s="336"/>
      <c r="M85" s="336"/>
      <c r="N85" s="32"/>
      <c r="O85" s="33"/>
      <c r="P85" s="33"/>
      <c r="Q85" s="31"/>
      <c r="R85" s="31"/>
      <c r="S85" s="59">
        <f>(300*0.16+300)*E85</f>
        <v>1740</v>
      </c>
      <c r="T85" s="34"/>
      <c r="U85" s="34"/>
      <c r="V85" s="35"/>
      <c r="W85" s="35"/>
      <c r="X85" s="35"/>
      <c r="Y85" s="35"/>
      <c r="Z85" s="36"/>
      <c r="AA85" s="35"/>
      <c r="AB85" s="35"/>
      <c r="AC85" s="54"/>
      <c r="AD85" s="35"/>
      <c r="AE85" s="35"/>
      <c r="AF85" s="35"/>
      <c r="AG85" s="35"/>
      <c r="AH85" s="35"/>
      <c r="AI85" s="35"/>
      <c r="AJ85" s="35">
        <v>1740</v>
      </c>
      <c r="AK85" s="35"/>
      <c r="AL85" s="35"/>
      <c r="AM85" s="35"/>
      <c r="AN85" s="35"/>
      <c r="AO85" s="35"/>
      <c r="AP85" s="35"/>
      <c r="AQ85" s="35"/>
      <c r="AR85" s="35"/>
      <c r="AS85" s="35"/>
      <c r="AT85" s="35"/>
      <c r="AU85" s="35"/>
      <c r="AV85" s="35"/>
      <c r="AW85" s="35"/>
      <c r="AX85" s="35"/>
      <c r="AY85" s="35"/>
      <c r="AZ85" s="33">
        <f t="shared" ref="AZ85:AZ150" si="1">SUM(J85+S85+T85-U85-V85-W85-X85-Y85-Z85-AA85-AB85-AC85-AD85-AE85-AF85-AG85-AH85-AI85-AJ85-AK85-AL85-AM85-AN85-AO85-AP85-AQ85-AR85-AS85-AT85-AU85-AV85-AW85-AX85-AY85)</f>
        <v>4.5474735088646412E-13</v>
      </c>
      <c r="BA85" s="43"/>
    </row>
    <row r="86" spans="1:54" s="23" customFormat="1" ht="68.25" hidden="1" customHeight="1" x14ac:dyDescent="0.3">
      <c r="A86" s="26">
        <v>69</v>
      </c>
      <c r="B86" s="43" t="s">
        <v>869</v>
      </c>
      <c r="C86" s="28"/>
      <c r="D86" s="299" t="s">
        <v>1231</v>
      </c>
      <c r="E86" s="92">
        <v>5</v>
      </c>
      <c r="F86" s="30" t="s">
        <v>30</v>
      </c>
      <c r="G86" s="112">
        <f>[1]DICIEMBRE!$BA$89</f>
        <v>0</v>
      </c>
      <c r="H86" s="31">
        <f>ENERO!BA86</f>
        <v>0</v>
      </c>
      <c r="I86" s="31">
        <f>FEBRERO!AX86</f>
        <v>0</v>
      </c>
      <c r="J86" s="32">
        <f>MARZO!BA87</f>
        <v>0</v>
      </c>
      <c r="K86" s="32"/>
      <c r="L86" s="32"/>
      <c r="M86" s="32"/>
      <c r="N86" s="32"/>
      <c r="O86" s="32"/>
      <c r="P86" s="31"/>
      <c r="Q86" s="31"/>
      <c r="R86" s="31"/>
      <c r="S86" s="59">
        <f>(300*0.16+300)*E86</f>
        <v>1740</v>
      </c>
      <c r="T86" s="34">
        <f>2810*0.16+2810</f>
        <v>3259.6</v>
      </c>
      <c r="U86" s="34"/>
      <c r="V86" s="35"/>
      <c r="W86" s="35"/>
      <c r="X86" s="35"/>
      <c r="Y86" s="35"/>
      <c r="Z86" s="36"/>
      <c r="AA86" s="35"/>
      <c r="AB86" s="35"/>
      <c r="AC86" s="54"/>
      <c r="AD86" s="35">
        <f>1740+3259.6</f>
        <v>4999.6000000000004</v>
      </c>
      <c r="AE86" s="35"/>
      <c r="AF86" s="35"/>
      <c r="AG86" s="35"/>
      <c r="AH86" s="35"/>
      <c r="AI86" s="35"/>
      <c r="AJ86" s="35"/>
      <c r="AK86" s="35"/>
      <c r="AL86" s="35"/>
      <c r="AM86" s="35"/>
      <c r="AN86" s="35"/>
      <c r="AO86" s="35"/>
      <c r="AP86" s="35"/>
      <c r="AQ86" s="35"/>
      <c r="AR86" s="35"/>
      <c r="AS86" s="35"/>
      <c r="AT86" s="35"/>
      <c r="AU86" s="35"/>
      <c r="AV86" s="35"/>
      <c r="AW86" s="35"/>
      <c r="AX86" s="35"/>
      <c r="AY86" s="35"/>
      <c r="AZ86" s="33">
        <f t="shared" si="1"/>
        <v>0</v>
      </c>
      <c r="BA86" s="43" t="s">
        <v>2781</v>
      </c>
    </row>
    <row r="87" spans="1:54" s="23" customFormat="1" ht="75.75" hidden="1" customHeight="1" x14ac:dyDescent="0.3">
      <c r="A87" s="26">
        <v>70</v>
      </c>
      <c r="B87" s="43" t="s">
        <v>2377</v>
      </c>
      <c r="C87" s="28"/>
      <c r="D87" s="305" t="s">
        <v>2382</v>
      </c>
      <c r="E87" s="94">
        <v>1</v>
      </c>
      <c r="F87" s="44" t="s">
        <v>30</v>
      </c>
      <c r="G87" s="112"/>
      <c r="H87" s="31"/>
      <c r="I87" s="31"/>
      <c r="J87" s="32">
        <f>MARZO!BA88</f>
        <v>0</v>
      </c>
      <c r="K87" s="32"/>
      <c r="L87" s="32"/>
      <c r="M87" s="32"/>
      <c r="N87" s="32"/>
      <c r="O87" s="32"/>
      <c r="P87" s="31"/>
      <c r="Q87" s="31"/>
      <c r="R87" s="31"/>
      <c r="S87" s="59">
        <f>(300*0.16+300)*E87</f>
        <v>348</v>
      </c>
      <c r="T87" s="34"/>
      <c r="U87" s="34"/>
      <c r="V87" s="35"/>
      <c r="W87" s="35"/>
      <c r="X87" s="35"/>
      <c r="Y87" s="35">
        <v>348</v>
      </c>
      <c r="Z87" s="36"/>
      <c r="AA87" s="35"/>
      <c r="AB87" s="35"/>
      <c r="AC87" s="54"/>
      <c r="AD87" s="35"/>
      <c r="AE87" s="35"/>
      <c r="AF87" s="35"/>
      <c r="AG87" s="35"/>
      <c r="AH87" s="35"/>
      <c r="AI87" s="35"/>
      <c r="AJ87" s="35"/>
      <c r="AK87" s="35"/>
      <c r="AL87" s="35"/>
      <c r="AM87" s="35"/>
      <c r="AN87" s="35"/>
      <c r="AO87" s="35"/>
      <c r="AP87" s="35"/>
      <c r="AQ87" s="35"/>
      <c r="AR87" s="35"/>
      <c r="AS87" s="35"/>
      <c r="AT87" s="35"/>
      <c r="AU87" s="35"/>
      <c r="AV87" s="35"/>
      <c r="AW87" s="35"/>
      <c r="AX87" s="35"/>
      <c r="AY87" s="35"/>
      <c r="AZ87" s="33">
        <f t="shared" si="1"/>
        <v>0</v>
      </c>
      <c r="BA87" s="43"/>
    </row>
    <row r="88" spans="1:54" s="23" customFormat="1" ht="49.5" hidden="1" customHeight="1" x14ac:dyDescent="0.3">
      <c r="A88" s="26">
        <v>71</v>
      </c>
      <c r="B88" s="43" t="s">
        <v>1471</v>
      </c>
      <c r="C88" s="28"/>
      <c r="D88" s="318" t="s">
        <v>1477</v>
      </c>
      <c r="E88" s="92">
        <v>8</v>
      </c>
      <c r="F88" s="30" t="s">
        <v>30</v>
      </c>
      <c r="G88" s="234">
        <f>[1]DICIEMBRE!$BA$90</f>
        <v>0</v>
      </c>
      <c r="H88" s="31">
        <f>ENERO!BA87</f>
        <v>0</v>
      </c>
      <c r="I88" s="45">
        <f>FEBRERO!AX87</f>
        <v>0</v>
      </c>
      <c r="J88" s="32">
        <f>MARZO!BA89</f>
        <v>0</v>
      </c>
      <c r="K88" s="32"/>
      <c r="L88" s="32"/>
      <c r="M88" s="32"/>
      <c r="N88" s="32"/>
      <c r="O88" s="32"/>
      <c r="P88" s="31"/>
      <c r="Q88" s="31"/>
      <c r="R88" s="31"/>
      <c r="S88" s="59">
        <f>(300*0.16+300)*E88</f>
        <v>2784</v>
      </c>
      <c r="T88" s="34"/>
      <c r="U88" s="34"/>
      <c r="V88" s="35"/>
      <c r="W88" s="35"/>
      <c r="X88" s="35"/>
      <c r="Y88" s="35"/>
      <c r="Z88" s="36"/>
      <c r="AA88" s="35"/>
      <c r="AB88" s="35">
        <v>2784</v>
      </c>
      <c r="AC88" s="54"/>
      <c r="AD88" s="35"/>
      <c r="AE88" s="35"/>
      <c r="AF88" s="35"/>
      <c r="AG88" s="35"/>
      <c r="AH88" s="35"/>
      <c r="AI88" s="35"/>
      <c r="AJ88" s="35"/>
      <c r="AK88" s="35"/>
      <c r="AL88" s="35"/>
      <c r="AM88" s="35"/>
      <c r="AN88" s="35"/>
      <c r="AO88" s="35"/>
      <c r="AP88" s="35"/>
      <c r="AQ88" s="35"/>
      <c r="AR88" s="35"/>
      <c r="AS88" s="35"/>
      <c r="AT88" s="35"/>
      <c r="AU88" s="35"/>
      <c r="AV88" s="35"/>
      <c r="AW88" s="35"/>
      <c r="AX88" s="35"/>
      <c r="AY88" s="35"/>
      <c r="AZ88" s="33">
        <f t="shared" si="1"/>
        <v>0</v>
      </c>
      <c r="BA88" s="43"/>
    </row>
    <row r="89" spans="1:54" s="23" customFormat="1" ht="45" hidden="1" customHeight="1" x14ac:dyDescent="0.3">
      <c r="A89" s="26">
        <v>72</v>
      </c>
      <c r="B89" s="43" t="s">
        <v>1467</v>
      </c>
      <c r="C89" s="28"/>
      <c r="D89" s="308" t="s">
        <v>1654</v>
      </c>
      <c r="E89" s="92">
        <v>3</v>
      </c>
      <c r="F89" s="30" t="s">
        <v>30</v>
      </c>
      <c r="G89" s="234">
        <f>[1]DICIEMBRE!$BA$92</f>
        <v>0</v>
      </c>
      <c r="H89" s="45">
        <f>ENERO!BA88</f>
        <v>0</v>
      </c>
      <c r="I89" s="31">
        <f>FEBRERO!AX88</f>
        <v>0</v>
      </c>
      <c r="J89" s="32">
        <f>MARZO!BA90</f>
        <v>0</v>
      </c>
      <c r="K89" s="33"/>
      <c r="L89" s="32"/>
      <c r="M89" s="32"/>
      <c r="N89" s="336"/>
      <c r="O89" s="32"/>
      <c r="P89" s="33"/>
      <c r="Q89" s="31"/>
      <c r="R89" s="31"/>
      <c r="S89" s="59">
        <f>(300*0.16+300)*E89</f>
        <v>1044</v>
      </c>
      <c r="T89" s="34"/>
      <c r="U89" s="34"/>
      <c r="V89" s="35"/>
      <c r="W89" s="35"/>
      <c r="X89" s="35"/>
      <c r="Y89" s="35"/>
      <c r="Z89" s="36"/>
      <c r="AA89" s="35"/>
      <c r="AB89" s="35"/>
      <c r="AC89" s="54"/>
      <c r="AD89" s="35"/>
      <c r="AE89" s="35"/>
      <c r="AF89" s="35"/>
      <c r="AG89" s="35"/>
      <c r="AH89" s="35"/>
      <c r="AI89" s="35"/>
      <c r="AJ89" s="35"/>
      <c r="AK89" s="35">
        <v>1044</v>
      </c>
      <c r="AL89" s="35"/>
      <c r="AM89" s="35"/>
      <c r="AN89" s="35"/>
      <c r="AO89" s="35"/>
      <c r="AP89" s="35"/>
      <c r="AQ89" s="35"/>
      <c r="AR89" s="35"/>
      <c r="AS89" s="35"/>
      <c r="AT89" s="35"/>
      <c r="AU89" s="35"/>
      <c r="AV89" s="35"/>
      <c r="AW89" s="35"/>
      <c r="AX89" s="35"/>
      <c r="AY89" s="35"/>
      <c r="AZ89" s="33">
        <f t="shared" si="1"/>
        <v>0</v>
      </c>
      <c r="BA89" s="43"/>
    </row>
    <row r="90" spans="1:54" s="23" customFormat="1" ht="92.25" customHeight="1" x14ac:dyDescent="0.3">
      <c r="A90" s="26">
        <v>73</v>
      </c>
      <c r="B90" s="43" t="s">
        <v>1747</v>
      </c>
      <c r="C90" s="28"/>
      <c r="D90" s="299" t="s">
        <v>1168</v>
      </c>
      <c r="E90" s="93">
        <v>2</v>
      </c>
      <c r="F90" s="30" t="s">
        <v>30</v>
      </c>
      <c r="G90" s="112">
        <f>[1]DICIEMBRE!$BA$33</f>
        <v>1.2000000001535227E-3</v>
      </c>
      <c r="H90" s="31">
        <f>ENERO!BA89</f>
        <v>1.2000000001535227E-3</v>
      </c>
      <c r="I90" s="31">
        <f>FEBRERO!AX89</f>
        <v>1.2000000001535227E-3</v>
      </c>
      <c r="J90" s="32">
        <f>MARZO!BA91</f>
        <v>580.00120000000015</v>
      </c>
      <c r="K90" s="32"/>
      <c r="L90" s="336"/>
      <c r="M90" s="336"/>
      <c r="N90" s="336"/>
      <c r="O90" s="32"/>
      <c r="P90" s="33"/>
      <c r="Q90" s="31"/>
      <c r="R90" s="31"/>
      <c r="S90" s="34">
        <f>(250*0.16+250)*E90</f>
        <v>580</v>
      </c>
      <c r="T90" s="34"/>
      <c r="U90" s="34"/>
      <c r="V90" s="34"/>
      <c r="W90" s="34"/>
      <c r="X90" s="34"/>
      <c r="Y90" s="34"/>
      <c r="Z90" s="34"/>
      <c r="AA90" s="34"/>
      <c r="AB90" s="34"/>
      <c r="AC90" s="34"/>
      <c r="AD90" s="34"/>
      <c r="AE90" s="34">
        <v>580</v>
      </c>
      <c r="AF90" s="34"/>
      <c r="AG90" s="34"/>
      <c r="AH90" s="34"/>
      <c r="AI90" s="34"/>
      <c r="AJ90" s="34"/>
      <c r="AK90" s="38"/>
      <c r="AL90" s="34"/>
      <c r="AM90" s="34"/>
      <c r="AN90" s="34"/>
      <c r="AO90" s="34"/>
      <c r="AP90" s="34"/>
      <c r="AQ90" s="34"/>
      <c r="AR90" s="34"/>
      <c r="AS90" s="34"/>
      <c r="AT90" s="34"/>
      <c r="AU90" s="34"/>
      <c r="AV90" s="34"/>
      <c r="AW90" s="34"/>
      <c r="AX90" s="34"/>
      <c r="AY90" s="34"/>
      <c r="AZ90" s="33">
        <f t="shared" si="1"/>
        <v>580.00120000000015</v>
      </c>
      <c r="BA90" s="43" t="s">
        <v>2807</v>
      </c>
    </row>
    <row r="91" spans="1:54" s="23" customFormat="1" ht="80.25" customHeight="1" x14ac:dyDescent="0.3">
      <c r="A91" s="26">
        <v>74</v>
      </c>
      <c r="B91" s="43" t="s">
        <v>1748</v>
      </c>
      <c r="C91" s="28"/>
      <c r="D91" s="298" t="s">
        <v>1616</v>
      </c>
      <c r="E91" s="92">
        <v>5</v>
      </c>
      <c r="F91" s="40" t="s">
        <v>30</v>
      </c>
      <c r="G91" s="112">
        <f>[1]DICIEMBRE!$BA$29</f>
        <v>2900</v>
      </c>
      <c r="H91" s="31">
        <f>ENERO!BA90</f>
        <v>4350</v>
      </c>
      <c r="I91" s="45">
        <f>FEBRERO!AX91</f>
        <v>0</v>
      </c>
      <c r="J91" s="32">
        <f>MARZO!BA93</f>
        <v>0</v>
      </c>
      <c r="K91" s="32"/>
      <c r="L91" s="32"/>
      <c r="M91" s="32"/>
      <c r="N91" s="32"/>
      <c r="O91" s="32"/>
      <c r="P91" s="31"/>
      <c r="Q91" s="31"/>
      <c r="R91" s="31"/>
      <c r="S91" s="34">
        <f>(250*0.16+250)*E91</f>
        <v>1450</v>
      </c>
      <c r="T91" s="34"/>
      <c r="U91" s="34"/>
      <c r="V91" s="35"/>
      <c r="W91" s="54"/>
      <c r="X91" s="35"/>
      <c r="Y91" s="35"/>
      <c r="Z91" s="35"/>
      <c r="AA91" s="35"/>
      <c r="AB91" s="35"/>
      <c r="AC91" s="35"/>
      <c r="AD91" s="35"/>
      <c r="AE91" s="35"/>
      <c r="AF91" s="35"/>
      <c r="AG91" s="35"/>
      <c r="AH91" s="35"/>
      <c r="AI91" s="36"/>
      <c r="AJ91" s="35"/>
      <c r="AK91" s="35"/>
      <c r="AL91" s="35"/>
      <c r="AM91" s="35"/>
      <c r="AN91" s="35"/>
      <c r="AO91" s="35"/>
      <c r="AP91" s="35"/>
      <c r="AQ91" s="35"/>
      <c r="AR91" s="35"/>
      <c r="AS91" s="35"/>
      <c r="AT91" s="35"/>
      <c r="AU91" s="35"/>
      <c r="AV91" s="35"/>
      <c r="AW91" s="35"/>
      <c r="AX91" s="35"/>
      <c r="AY91" s="35"/>
      <c r="AZ91" s="33">
        <f t="shared" si="1"/>
        <v>1450</v>
      </c>
      <c r="BA91" s="267" t="s">
        <v>796</v>
      </c>
    </row>
    <row r="92" spans="1:54" s="23" customFormat="1" ht="92.25" hidden="1" customHeight="1" x14ac:dyDescent="0.3">
      <c r="A92" s="26">
        <v>75</v>
      </c>
      <c r="B92" s="43" t="s">
        <v>1749</v>
      </c>
      <c r="C92" s="28" t="s">
        <v>32</v>
      </c>
      <c r="D92" s="298" t="s">
        <v>1202</v>
      </c>
      <c r="E92" s="93">
        <v>13</v>
      </c>
      <c r="F92" s="30" t="s">
        <v>30</v>
      </c>
      <c r="G92" s="234">
        <f>[1]DICIEMBRE!$BA$30</f>
        <v>0</v>
      </c>
      <c r="H92" s="45">
        <f>ENERO!BA91</f>
        <v>0</v>
      </c>
      <c r="I92" s="31">
        <f>FEBRERO!AX92</f>
        <v>0</v>
      </c>
      <c r="J92" s="32">
        <f>MARZO!BA94</f>
        <v>-9.0949470177292824E-13</v>
      </c>
      <c r="K92" s="32"/>
      <c r="L92" s="32"/>
      <c r="M92" s="32"/>
      <c r="N92" s="32"/>
      <c r="O92" s="33"/>
      <c r="P92" s="33"/>
      <c r="Q92" s="31"/>
      <c r="R92" s="31"/>
      <c r="S92" s="34">
        <f>(250*0.16+250)*E92</f>
        <v>3770</v>
      </c>
      <c r="T92" s="34"/>
      <c r="U92" s="34"/>
      <c r="V92" s="34"/>
      <c r="W92" s="34"/>
      <c r="X92" s="34"/>
      <c r="Y92" s="34"/>
      <c r="Z92" s="34"/>
      <c r="AA92" s="34"/>
      <c r="AB92" s="34"/>
      <c r="AC92" s="34"/>
      <c r="AD92" s="34">
        <v>3770</v>
      </c>
      <c r="AE92" s="34"/>
      <c r="AF92" s="34"/>
      <c r="AG92" s="34"/>
      <c r="AH92" s="34"/>
      <c r="AI92" s="34"/>
      <c r="AJ92" s="34"/>
      <c r="AK92" s="38"/>
      <c r="AL92" s="34"/>
      <c r="AM92" s="34"/>
      <c r="AN92" s="34"/>
      <c r="AO92" s="34"/>
      <c r="AP92" s="34"/>
      <c r="AQ92" s="34"/>
      <c r="AR92" s="34"/>
      <c r="AS92" s="34"/>
      <c r="AT92" s="34"/>
      <c r="AU92" s="34"/>
      <c r="AV92" s="34"/>
      <c r="AW92" s="34"/>
      <c r="AX92" s="34"/>
      <c r="AY92" s="34"/>
      <c r="AZ92" s="33">
        <f t="shared" si="1"/>
        <v>-9.0949470177292824E-13</v>
      </c>
      <c r="BA92" s="43"/>
    </row>
    <row r="93" spans="1:54" s="23" customFormat="1" ht="65.25" hidden="1" customHeight="1" x14ac:dyDescent="0.3">
      <c r="A93" s="26">
        <v>76</v>
      </c>
      <c r="B93" s="43" t="s">
        <v>409</v>
      </c>
      <c r="C93" s="28" t="s">
        <v>412</v>
      </c>
      <c r="D93" s="298" t="s">
        <v>1233</v>
      </c>
      <c r="E93" s="92">
        <v>4</v>
      </c>
      <c r="F93" s="40" t="s">
        <v>30</v>
      </c>
      <c r="G93" s="112">
        <f>[1]DICIEMBRE!$BA$93</f>
        <v>-8.4799999995084363E-2</v>
      </c>
      <c r="H93" s="31">
        <f>ENERO!BA92</f>
        <v>-8.4799999995084363E-2</v>
      </c>
      <c r="I93" s="31">
        <f>FEBRERO!AX93</f>
        <v>-4.7999999951571226E-3</v>
      </c>
      <c r="J93" s="32">
        <f>MARZO!BA95</f>
        <v>-4.7999999951571226E-3</v>
      </c>
      <c r="K93" s="32"/>
      <c r="L93" s="32"/>
      <c r="M93" s="336"/>
      <c r="N93" s="32"/>
      <c r="O93" s="33"/>
      <c r="P93" s="33"/>
      <c r="Q93" s="31"/>
      <c r="R93" s="31"/>
      <c r="S93" s="34">
        <f>(350*0.16+350)*E93</f>
        <v>1624</v>
      </c>
      <c r="T93" s="34"/>
      <c r="U93" s="34"/>
      <c r="V93" s="35"/>
      <c r="W93" s="54"/>
      <c r="X93" s="35"/>
      <c r="Y93" s="35"/>
      <c r="Z93" s="35"/>
      <c r="AA93" s="35"/>
      <c r="AB93" s="35">
        <v>1624</v>
      </c>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3">
        <f t="shared" si="1"/>
        <v>-4.7999999951571226E-3</v>
      </c>
      <c r="BA93" s="267"/>
    </row>
    <row r="94" spans="1:54" s="23" customFormat="1" ht="81" hidden="1" customHeight="1" x14ac:dyDescent="0.3">
      <c r="A94" s="26">
        <v>77</v>
      </c>
      <c r="B94" s="43" t="s">
        <v>410</v>
      </c>
      <c r="C94" s="28" t="s">
        <v>411</v>
      </c>
      <c r="D94" s="298" t="s">
        <v>1233</v>
      </c>
      <c r="E94" s="92">
        <v>8</v>
      </c>
      <c r="F94" s="40" t="s">
        <v>30</v>
      </c>
      <c r="G94" s="234">
        <f>[1]DICIEMBRE!$BA$94</f>
        <v>-8.7999999996100087E-3</v>
      </c>
      <c r="H94" s="31">
        <f>ENERO!BA93</f>
        <v>-8.7999999996100087E-3</v>
      </c>
      <c r="I94" s="31">
        <f>FEBRERO!AX94</f>
        <v>1.2000000006082701E-3</v>
      </c>
      <c r="J94" s="32">
        <f>MARZO!BA96</f>
        <v>1.2000000006082701E-3</v>
      </c>
      <c r="K94" s="33"/>
      <c r="L94" s="32"/>
      <c r="M94" s="32"/>
      <c r="N94" s="32"/>
      <c r="O94" s="32"/>
      <c r="P94" s="31"/>
      <c r="Q94" s="31"/>
      <c r="R94" s="31"/>
      <c r="S94" s="34">
        <f>(350*0.16+350)*E94</f>
        <v>3248</v>
      </c>
      <c r="T94" s="34"/>
      <c r="U94" s="34"/>
      <c r="V94" s="35"/>
      <c r="W94" s="54"/>
      <c r="X94" s="35"/>
      <c r="Y94" s="35"/>
      <c r="Z94" s="35"/>
      <c r="AA94" s="35"/>
      <c r="AB94" s="35">
        <v>3248</v>
      </c>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3">
        <f t="shared" si="1"/>
        <v>1.2000000006082701E-3</v>
      </c>
      <c r="BA94" s="267"/>
    </row>
    <row r="95" spans="1:54" s="23" customFormat="1" ht="90" hidden="1" customHeight="1" x14ac:dyDescent="0.3">
      <c r="A95" s="26">
        <v>78</v>
      </c>
      <c r="B95" s="43" t="s">
        <v>1751</v>
      </c>
      <c r="C95" s="28" t="s">
        <v>29</v>
      </c>
      <c r="D95" s="298" t="s">
        <v>1197</v>
      </c>
      <c r="E95" s="92">
        <v>6</v>
      </c>
      <c r="F95" s="30" t="s">
        <v>30</v>
      </c>
      <c r="G95" s="112">
        <f>[1]DICIEMBRE!$BA$19</f>
        <v>0</v>
      </c>
      <c r="H95" s="45">
        <f>ENERO!BA94</f>
        <v>0</v>
      </c>
      <c r="I95" s="45">
        <f>FEBRERO!AX95</f>
        <v>0</v>
      </c>
      <c r="J95" s="32">
        <f>MARZO!BA97</f>
        <v>0</v>
      </c>
      <c r="K95" s="32"/>
      <c r="L95" s="32"/>
      <c r="M95" s="32"/>
      <c r="N95" s="32"/>
      <c r="O95" s="32"/>
      <c r="P95" s="31"/>
      <c r="Q95" s="31"/>
      <c r="R95" s="31"/>
      <c r="S95" s="34">
        <f>350*E95*0.16+350*E95</f>
        <v>2436</v>
      </c>
      <c r="T95" s="34"/>
      <c r="U95" s="34"/>
      <c r="V95" s="35"/>
      <c r="W95" s="35"/>
      <c r="X95" s="35">
        <v>2436</v>
      </c>
      <c r="Y95" s="35"/>
      <c r="Z95" s="36"/>
      <c r="AA95" s="35"/>
      <c r="AB95" s="35"/>
      <c r="AC95" s="35"/>
      <c r="AD95" s="35"/>
      <c r="AE95" s="35"/>
      <c r="AF95" s="35"/>
      <c r="AG95" s="35"/>
      <c r="AH95" s="35"/>
      <c r="AI95" s="35"/>
      <c r="AJ95" s="35"/>
      <c r="AK95" s="37"/>
      <c r="AL95" s="35"/>
      <c r="AM95" s="35"/>
      <c r="AN95" s="35"/>
      <c r="AO95" s="35"/>
      <c r="AP95" s="35"/>
      <c r="AQ95" s="35"/>
      <c r="AR95" s="35"/>
      <c r="AS95" s="35"/>
      <c r="AT95" s="35"/>
      <c r="AU95" s="35"/>
      <c r="AV95" s="35"/>
      <c r="AW95" s="35"/>
      <c r="AX95" s="35"/>
      <c r="AY95" s="35"/>
      <c r="AZ95" s="33">
        <f t="shared" si="1"/>
        <v>0</v>
      </c>
      <c r="BA95" s="43"/>
    </row>
    <row r="96" spans="1:54" s="23" customFormat="1" ht="54.75" hidden="1" customHeight="1" x14ac:dyDescent="0.3">
      <c r="A96" s="26">
        <v>79</v>
      </c>
      <c r="B96" s="348" t="s">
        <v>1904</v>
      </c>
      <c r="C96" s="28"/>
      <c r="D96" s="300" t="s">
        <v>1905</v>
      </c>
      <c r="E96" s="92">
        <v>2</v>
      </c>
      <c r="F96" s="30"/>
      <c r="G96" s="112"/>
      <c r="H96" s="31">
        <f>ENERO!BA95</f>
        <v>0</v>
      </c>
      <c r="I96" s="31">
        <f>FEBRERO!AX96</f>
        <v>5.6843418860808015E-14</v>
      </c>
      <c r="J96" s="32">
        <f>MARZO!BA98</f>
        <v>4.5474735088646412E-13</v>
      </c>
      <c r="K96" s="32"/>
      <c r="L96" s="32"/>
      <c r="M96" s="32"/>
      <c r="N96" s="32"/>
      <c r="O96" s="32"/>
      <c r="P96" s="31"/>
      <c r="Q96" s="31"/>
      <c r="R96" s="31"/>
      <c r="S96" s="34">
        <f>(249*0.16+249)*E96</f>
        <v>577.68000000000006</v>
      </c>
      <c r="T96" s="34"/>
      <c r="U96" s="34"/>
      <c r="V96" s="35"/>
      <c r="W96" s="35"/>
      <c r="X96" s="35"/>
      <c r="Y96" s="35"/>
      <c r="Z96" s="36"/>
      <c r="AA96" s="35"/>
      <c r="AB96" s="35">
        <v>577.67999999999995</v>
      </c>
      <c r="AC96" s="35"/>
      <c r="AD96" s="35"/>
      <c r="AE96" s="35"/>
      <c r="AF96" s="35"/>
      <c r="AG96" s="35"/>
      <c r="AH96" s="35"/>
      <c r="AI96" s="35"/>
      <c r="AJ96" s="35"/>
      <c r="AK96" s="37"/>
      <c r="AL96" s="35"/>
      <c r="AM96" s="35"/>
      <c r="AN96" s="35"/>
      <c r="AO96" s="35"/>
      <c r="AP96" s="35"/>
      <c r="AQ96" s="35"/>
      <c r="AR96" s="35"/>
      <c r="AS96" s="35"/>
      <c r="AT96" s="35"/>
      <c r="AU96" s="35"/>
      <c r="AV96" s="35"/>
      <c r="AW96" s="35"/>
      <c r="AX96" s="35"/>
      <c r="AY96" s="35"/>
      <c r="AZ96" s="33">
        <f t="shared" si="1"/>
        <v>5.6843418860808015E-13</v>
      </c>
      <c r="BA96" s="43"/>
    </row>
    <row r="97" spans="1:54" s="23" customFormat="1" ht="81" hidden="1" customHeight="1" x14ac:dyDescent="0.3">
      <c r="A97" s="26">
        <v>80</v>
      </c>
      <c r="B97" s="43" t="s">
        <v>1548</v>
      </c>
      <c r="C97" s="28"/>
      <c r="D97" s="298" t="s">
        <v>2796</v>
      </c>
      <c r="E97" s="92">
        <v>9</v>
      </c>
      <c r="F97" s="40" t="s">
        <v>30</v>
      </c>
      <c r="G97" s="112">
        <f>[1]DICIEMBRE!$BA$95</f>
        <v>4.5474735088646412E-13</v>
      </c>
      <c r="H97" s="31">
        <f>ENERO!BA96</f>
        <v>4.5474735088646412E-13</v>
      </c>
      <c r="I97" s="31">
        <f>FEBRERO!AX97</f>
        <v>4.5474735088646412E-13</v>
      </c>
      <c r="J97" s="32">
        <f>MARZO!BA99</f>
        <v>4.5474735088646412E-13</v>
      </c>
      <c r="K97" s="33"/>
      <c r="L97" s="32"/>
      <c r="M97" s="32"/>
      <c r="N97" s="32"/>
      <c r="O97" s="32"/>
      <c r="P97" s="31"/>
      <c r="Q97" s="31"/>
      <c r="R97" s="31"/>
      <c r="S97" s="34">
        <f>(300*0.16+300)*E97</f>
        <v>3132</v>
      </c>
      <c r="T97" s="34"/>
      <c r="U97" s="34"/>
      <c r="V97" s="35"/>
      <c r="W97" s="54"/>
      <c r="X97" s="35"/>
      <c r="Y97" s="35">
        <v>3132</v>
      </c>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5"/>
      <c r="AZ97" s="33">
        <f t="shared" si="1"/>
        <v>4.5474735088646412E-13</v>
      </c>
      <c r="BA97" s="267"/>
    </row>
    <row r="98" spans="1:54" s="23" customFormat="1" ht="78" hidden="1" customHeight="1" x14ac:dyDescent="0.3">
      <c r="A98" s="26">
        <v>81</v>
      </c>
      <c r="B98" s="43" t="s">
        <v>1752</v>
      </c>
      <c r="C98" s="27" t="s">
        <v>381</v>
      </c>
      <c r="D98" s="298" t="s">
        <v>1212</v>
      </c>
      <c r="E98" s="92">
        <v>13</v>
      </c>
      <c r="F98" s="30" t="s">
        <v>30</v>
      </c>
      <c r="G98" s="112">
        <f>[1]DICIEMBRE!$BA$55</f>
        <v>-3.9999999989959178E-4</v>
      </c>
      <c r="H98" s="45">
        <f>ENERO!BA97</f>
        <v>-3.9999999989959178E-4</v>
      </c>
      <c r="I98" s="31">
        <f>FEBRERO!AX98</f>
        <v>-3.9999999989959178E-4</v>
      </c>
      <c r="J98" s="32">
        <f>MARZO!BA100</f>
        <v>-3.9999999989959178E-4</v>
      </c>
      <c r="K98" s="32"/>
      <c r="L98" s="32"/>
      <c r="M98" s="32"/>
      <c r="N98" s="32"/>
      <c r="O98" s="33"/>
      <c r="P98" s="31"/>
      <c r="Q98" s="31"/>
      <c r="R98" s="31"/>
      <c r="S98" s="34">
        <f>(300*0.16+300)*E98</f>
        <v>4524</v>
      </c>
      <c r="T98" s="35"/>
      <c r="U98" s="35"/>
      <c r="V98" s="35"/>
      <c r="W98" s="35"/>
      <c r="X98" s="35"/>
      <c r="Y98" s="35"/>
      <c r="Z98" s="35"/>
      <c r="AA98" s="35"/>
      <c r="AB98" s="35"/>
      <c r="AC98" s="35"/>
      <c r="AD98" s="35"/>
      <c r="AE98" s="35"/>
      <c r="AF98" s="35"/>
      <c r="AG98" s="35"/>
      <c r="AH98" s="35"/>
      <c r="AI98" s="35"/>
      <c r="AJ98" s="35">
        <v>4524</v>
      </c>
      <c r="AK98" s="42"/>
      <c r="AL98" s="35"/>
      <c r="AM98" s="35"/>
      <c r="AN98" s="35"/>
      <c r="AO98" s="35"/>
      <c r="AP98" s="35"/>
      <c r="AQ98" s="35"/>
      <c r="AR98" s="35"/>
      <c r="AS98" s="35"/>
      <c r="AT98" s="35"/>
      <c r="AU98" s="35"/>
      <c r="AV98" s="35"/>
      <c r="AW98" s="35"/>
      <c r="AX98" s="35"/>
      <c r="AY98" s="35"/>
      <c r="AZ98" s="33">
        <f t="shared" si="1"/>
        <v>-3.9999999989959178E-4</v>
      </c>
      <c r="BA98" s="43"/>
    </row>
    <row r="99" spans="1:54" ht="54.75" hidden="1" customHeight="1" x14ac:dyDescent="0.35">
      <c r="A99" s="26">
        <v>82</v>
      </c>
      <c r="B99" s="43" t="s">
        <v>1924</v>
      </c>
      <c r="C99" s="53"/>
      <c r="D99" s="249" t="s">
        <v>1508</v>
      </c>
      <c r="E99" s="94">
        <v>5</v>
      </c>
      <c r="F99" s="44" t="s">
        <v>30</v>
      </c>
      <c r="G99" s="112"/>
      <c r="H99" s="31">
        <f>ENERO!BA99</f>
        <v>9.0949470177292824E-13</v>
      </c>
      <c r="I99" s="31">
        <f>FEBRERO!AX100</f>
        <v>9.0949470177292824E-13</v>
      </c>
      <c r="J99" s="32">
        <f>MARZO!BA102</f>
        <v>9.0949470177292824E-13</v>
      </c>
      <c r="K99" s="32"/>
      <c r="L99" s="32"/>
      <c r="M99" s="336"/>
      <c r="N99" s="32"/>
      <c r="O99" s="32"/>
      <c r="P99" s="33"/>
      <c r="Q99" s="31"/>
      <c r="R99" s="31"/>
      <c r="S99" s="47">
        <f>(250*0.16+250)*E99</f>
        <v>1450</v>
      </c>
      <c r="T99" s="47"/>
      <c r="U99" s="48"/>
      <c r="V99" s="49"/>
      <c r="W99" s="49"/>
      <c r="X99" s="49">
        <v>1450</v>
      </c>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33">
        <f t="shared" si="1"/>
        <v>9.0949470177292824E-13</v>
      </c>
      <c r="BA99" s="43"/>
    </row>
    <row r="100" spans="1:54" s="23" customFormat="1" ht="71.25" hidden="1" customHeight="1" x14ac:dyDescent="0.3">
      <c r="A100" s="26">
        <v>83</v>
      </c>
      <c r="B100" s="43" t="s">
        <v>1753</v>
      </c>
      <c r="C100" s="28" t="s">
        <v>38</v>
      </c>
      <c r="D100" s="298" t="s">
        <v>1505</v>
      </c>
      <c r="E100" s="92">
        <v>9</v>
      </c>
      <c r="F100" s="30" t="s">
        <v>35</v>
      </c>
      <c r="G100" s="112">
        <f>[1]DICIEMBRE!$BA$47</f>
        <v>2.8000000056636054E-3</v>
      </c>
      <c r="H100" s="45">
        <f>ENERO!BA100</f>
        <v>2.8000000056636054E-3</v>
      </c>
      <c r="I100" s="31">
        <f>FEBRERO!AX101</f>
        <v>2.8000000056636054E-3</v>
      </c>
      <c r="J100" s="32">
        <f>MARZO!BA103</f>
        <v>2.8000000056636054E-3</v>
      </c>
      <c r="K100" s="33"/>
      <c r="L100" s="336"/>
      <c r="M100" s="336"/>
      <c r="N100" s="32"/>
      <c r="O100" s="32"/>
      <c r="P100" s="33"/>
      <c r="Q100" s="31"/>
      <c r="R100" s="31"/>
      <c r="S100" s="34">
        <f>(275*0.16+275)*E100</f>
        <v>2871</v>
      </c>
      <c r="T100" s="34"/>
      <c r="U100" s="34"/>
      <c r="V100" s="34"/>
      <c r="W100" s="34"/>
      <c r="X100" s="34"/>
      <c r="Y100" s="34"/>
      <c r="Z100" s="52"/>
      <c r="AA100" s="34"/>
      <c r="AB100" s="34"/>
      <c r="AC100" s="34"/>
      <c r="AD100" s="34"/>
      <c r="AE100" s="34"/>
      <c r="AF100" s="34">
        <v>2871</v>
      </c>
      <c r="AG100" s="34"/>
      <c r="AH100" s="34"/>
      <c r="AI100" s="34"/>
      <c r="AJ100" s="34"/>
      <c r="AK100" s="38"/>
      <c r="AL100" s="34"/>
      <c r="AM100" s="34"/>
      <c r="AN100" s="34"/>
      <c r="AO100" s="34"/>
      <c r="AP100" s="34"/>
      <c r="AQ100" s="34"/>
      <c r="AR100" s="34"/>
      <c r="AS100" s="34"/>
      <c r="AT100" s="34"/>
      <c r="AU100" s="34"/>
      <c r="AV100" s="34"/>
      <c r="AW100" s="34"/>
      <c r="AX100" s="34"/>
      <c r="AY100" s="34"/>
      <c r="AZ100" s="33">
        <f t="shared" si="1"/>
        <v>2.8000000056636054E-3</v>
      </c>
      <c r="BA100" s="43"/>
    </row>
    <row r="101" spans="1:54" s="23" customFormat="1" ht="56.25" hidden="1" customHeight="1" x14ac:dyDescent="0.3">
      <c r="A101" s="26">
        <v>84</v>
      </c>
      <c r="B101" s="348" t="s">
        <v>1893</v>
      </c>
      <c r="C101" s="28"/>
      <c r="D101" s="300" t="s">
        <v>2018</v>
      </c>
      <c r="E101" s="92">
        <v>3</v>
      </c>
      <c r="F101" s="30"/>
      <c r="G101" s="112"/>
      <c r="H101" s="31">
        <f>ENERO!BA101</f>
        <v>9.0949470177292824E-13</v>
      </c>
      <c r="I101" s="31">
        <f>FEBRERO!AX102</f>
        <v>2.8000000008887582E-3</v>
      </c>
      <c r="J101" s="32">
        <f>MARZO!BA104</f>
        <v>2.8000000008887582E-3</v>
      </c>
      <c r="K101" s="33"/>
      <c r="L101" s="336"/>
      <c r="M101" s="336"/>
      <c r="N101" s="32"/>
      <c r="O101" s="32"/>
      <c r="P101" s="33"/>
      <c r="Q101" s="31"/>
      <c r="R101" s="31"/>
      <c r="S101" s="35">
        <f>(299*0.16+299)*E101</f>
        <v>1040.52</v>
      </c>
      <c r="T101" s="34">
        <f>229.23*0.16+229.23</f>
        <v>265.90679999999998</v>
      </c>
      <c r="U101" s="34"/>
      <c r="V101" s="34"/>
      <c r="W101" s="34"/>
      <c r="X101" s="34">
        <v>1306.43</v>
      </c>
      <c r="Y101" s="34"/>
      <c r="Z101" s="52"/>
      <c r="AA101" s="34"/>
      <c r="AB101" s="34"/>
      <c r="AC101" s="34"/>
      <c r="AD101" s="34"/>
      <c r="AE101" s="34"/>
      <c r="AF101" s="34"/>
      <c r="AG101" s="34"/>
      <c r="AH101" s="34"/>
      <c r="AI101" s="34"/>
      <c r="AJ101" s="34"/>
      <c r="AK101" s="38"/>
      <c r="AL101" s="34"/>
      <c r="AM101" s="34"/>
      <c r="AN101" s="34"/>
      <c r="AO101" s="34"/>
      <c r="AP101" s="34"/>
      <c r="AQ101" s="34"/>
      <c r="AR101" s="34"/>
      <c r="AS101" s="34"/>
      <c r="AT101" s="34"/>
      <c r="AU101" s="34"/>
      <c r="AV101" s="34"/>
      <c r="AW101" s="34"/>
      <c r="AX101" s="34"/>
      <c r="AY101" s="34"/>
      <c r="AZ101" s="33">
        <f t="shared" si="1"/>
        <v>-3.9999999921747076E-4</v>
      </c>
      <c r="BA101" s="43" t="s">
        <v>2629</v>
      </c>
    </row>
    <row r="102" spans="1:54" ht="67.5" customHeight="1" x14ac:dyDescent="0.35">
      <c r="A102" s="26">
        <v>85</v>
      </c>
      <c r="B102" s="43" t="s">
        <v>1755</v>
      </c>
      <c r="C102" s="53" t="s">
        <v>127</v>
      </c>
      <c r="D102" s="298" t="s">
        <v>1923</v>
      </c>
      <c r="E102" s="94">
        <v>13</v>
      </c>
      <c r="F102" s="44" t="s">
        <v>30</v>
      </c>
      <c r="G102" s="234">
        <f>[1]DICIEMBRE!$BA$96</f>
        <v>0</v>
      </c>
      <c r="H102" s="31">
        <f>ENERO!BA102</f>
        <v>0</v>
      </c>
      <c r="I102" s="45">
        <f>FEBRERO!AX103</f>
        <v>0</v>
      </c>
      <c r="J102" s="32">
        <f>MARZO!BA105</f>
        <v>0</v>
      </c>
      <c r="K102" s="33"/>
      <c r="L102" s="336"/>
      <c r="M102" s="32"/>
      <c r="N102" s="32"/>
      <c r="O102" s="32"/>
      <c r="P102" s="33"/>
      <c r="Q102" s="31"/>
      <c r="R102" s="31"/>
      <c r="S102" s="47">
        <f>(300*0.16+300)*E102</f>
        <v>4524</v>
      </c>
      <c r="U102" s="48"/>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33">
        <f t="shared" si="1"/>
        <v>4524</v>
      </c>
      <c r="BA102" s="43"/>
    </row>
    <row r="103" spans="1:54" ht="90" hidden="1" customHeight="1" x14ac:dyDescent="0.35">
      <c r="A103" s="26">
        <v>86</v>
      </c>
      <c r="B103" s="27" t="s">
        <v>62</v>
      </c>
      <c r="C103" s="28" t="s">
        <v>63</v>
      </c>
      <c r="D103" s="298" t="s">
        <v>1272</v>
      </c>
      <c r="E103" s="125">
        <v>5</v>
      </c>
      <c r="F103" s="60" t="s">
        <v>33</v>
      </c>
      <c r="G103" s="112">
        <f>[1]DICIEMBRE!$BA$101</f>
        <v>0</v>
      </c>
      <c r="H103" s="45">
        <f>ENERO!BA103</f>
        <v>0</v>
      </c>
      <c r="I103" s="31">
        <f>FEBRERO!AX104</f>
        <v>0</v>
      </c>
      <c r="J103" s="32">
        <f>MARZO!BA106</f>
        <v>0</v>
      </c>
      <c r="K103" s="32"/>
      <c r="L103" s="32"/>
      <c r="M103" s="336"/>
      <c r="N103" s="32"/>
      <c r="O103" s="33"/>
      <c r="P103" s="33"/>
      <c r="Q103" s="31"/>
      <c r="R103" s="31"/>
      <c r="S103" s="47">
        <f>(350*0.16+350)*E103</f>
        <v>2030</v>
      </c>
      <c r="T103" s="47"/>
      <c r="U103" s="48"/>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v>2030</v>
      </c>
      <c r="AR103" s="49"/>
      <c r="AS103" s="49"/>
      <c r="AT103" s="49"/>
      <c r="AU103" s="49"/>
      <c r="AV103" s="49"/>
      <c r="AW103" s="49"/>
      <c r="AX103" s="49"/>
      <c r="AY103" s="49"/>
      <c r="AZ103" s="33">
        <f t="shared" si="1"/>
        <v>0</v>
      </c>
      <c r="BA103" s="268"/>
    </row>
    <row r="104" spans="1:54" ht="90" hidden="1" customHeight="1" x14ac:dyDescent="0.35">
      <c r="A104" s="26">
        <v>87</v>
      </c>
      <c r="B104" s="27" t="s">
        <v>2610</v>
      </c>
      <c r="C104" s="28"/>
      <c r="D104" s="300" t="s">
        <v>2704</v>
      </c>
      <c r="E104" s="125">
        <v>1</v>
      </c>
      <c r="F104" s="60" t="s">
        <v>30</v>
      </c>
      <c r="G104" s="112"/>
      <c r="H104" s="45"/>
      <c r="I104" s="31"/>
      <c r="J104" s="32">
        <f>MARZO!BA107</f>
        <v>0</v>
      </c>
      <c r="K104" s="32"/>
      <c r="L104" s="32"/>
      <c r="M104" s="336"/>
      <c r="N104" s="32"/>
      <c r="O104" s="33"/>
      <c r="P104" s="33"/>
      <c r="Q104" s="31"/>
      <c r="R104" s="31"/>
      <c r="S104" s="47"/>
      <c r="T104" s="47"/>
      <c r="U104" s="48"/>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33">
        <f t="shared" si="1"/>
        <v>0</v>
      </c>
      <c r="BA104" s="268" t="s">
        <v>2630</v>
      </c>
    </row>
    <row r="105" spans="1:54" ht="90" hidden="1" customHeight="1" x14ac:dyDescent="0.35">
      <c r="A105" s="26">
        <v>88</v>
      </c>
      <c r="B105" s="43" t="s">
        <v>2816</v>
      </c>
      <c r="C105" s="28"/>
      <c r="D105" s="405" t="s">
        <v>2787</v>
      </c>
      <c r="E105" s="128">
        <v>1</v>
      </c>
      <c r="F105" s="40"/>
      <c r="G105" s="234"/>
      <c r="H105" s="31"/>
      <c r="I105" s="31"/>
      <c r="J105" s="32">
        <f>MARZO!BA129</f>
        <v>0</v>
      </c>
      <c r="K105" s="32"/>
      <c r="L105" s="32"/>
      <c r="M105" s="336"/>
      <c r="N105" s="32"/>
      <c r="O105" s="33"/>
      <c r="P105" s="33"/>
      <c r="Q105" s="31"/>
      <c r="R105" s="31"/>
      <c r="S105" s="47">
        <f>(300*0.16+300)*E105</f>
        <v>348</v>
      </c>
      <c r="T105" s="47">
        <f>1700*0.16+1700</f>
        <v>1972</v>
      </c>
      <c r="U105" s="48"/>
      <c r="V105" s="49"/>
      <c r="W105" s="49"/>
      <c r="X105" s="49"/>
      <c r="Y105" s="49"/>
      <c r="Z105" s="49"/>
      <c r="AA105" s="49"/>
      <c r="AB105" s="49"/>
      <c r="AC105" s="49"/>
      <c r="AD105" s="49">
        <v>3006</v>
      </c>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33">
        <f t="shared" si="1"/>
        <v>-686</v>
      </c>
      <c r="BA105" s="268" t="s">
        <v>2788</v>
      </c>
    </row>
    <row r="106" spans="1:54" ht="66.75" hidden="1" customHeight="1" x14ac:dyDescent="0.35">
      <c r="A106" s="26">
        <v>89</v>
      </c>
      <c r="B106" s="43" t="s">
        <v>2902</v>
      </c>
      <c r="C106" s="53"/>
      <c r="D106" s="300" t="s">
        <v>2903</v>
      </c>
      <c r="E106" s="125">
        <v>1</v>
      </c>
      <c r="F106" s="44"/>
      <c r="G106" s="112"/>
      <c r="H106" s="31"/>
      <c r="I106" s="31"/>
      <c r="J106" s="32"/>
      <c r="K106" s="32"/>
      <c r="L106" s="32"/>
      <c r="M106" s="336"/>
      <c r="N106" s="32"/>
      <c r="O106" s="33"/>
      <c r="P106" s="33"/>
      <c r="Q106" s="31"/>
      <c r="R106" s="31"/>
      <c r="S106" s="47">
        <f>(300*0.16+300)*E106</f>
        <v>348</v>
      </c>
      <c r="T106" s="47">
        <f>2050*0.16+2050</f>
        <v>2378</v>
      </c>
      <c r="U106" s="48"/>
      <c r="V106" s="50"/>
      <c r="W106" s="49"/>
      <c r="X106" s="49"/>
      <c r="Y106" s="49"/>
      <c r="Z106" s="49"/>
      <c r="AA106" s="49"/>
      <c r="AB106" s="49"/>
      <c r="AC106" s="49"/>
      <c r="AD106" s="49"/>
      <c r="AE106" s="49"/>
      <c r="AF106" s="49"/>
      <c r="AG106" s="49"/>
      <c r="AH106" s="50"/>
      <c r="AI106" s="49"/>
      <c r="AJ106" s="49"/>
      <c r="AK106" s="49"/>
      <c r="AL106" s="49"/>
      <c r="AM106" s="49"/>
      <c r="AN106" s="49"/>
      <c r="AO106" s="49"/>
      <c r="AP106" s="49"/>
      <c r="AQ106" s="49"/>
      <c r="AR106" s="49">
        <v>2726</v>
      </c>
      <c r="AS106" s="49"/>
      <c r="AT106" s="49"/>
      <c r="AU106" s="49"/>
      <c r="AV106" s="49"/>
      <c r="AW106" s="49"/>
      <c r="AX106" s="49"/>
      <c r="AY106" s="49"/>
      <c r="AZ106" s="33">
        <f>SUM(J106+S106+T106-U106-V106-W106-X106-Y106-Z106-AA106-AB106-AC106-AD106-AE106-AF106-AG106-AH106-AI106-AJ106-AK106-AL106-AM106-AN106-AO106-AP106-AQ106-AR106-AS106-AT106-AU106-AV106-AW106-AX106-AY106)</f>
        <v>0</v>
      </c>
      <c r="BA106" s="43" t="s">
        <v>2904</v>
      </c>
    </row>
    <row r="107" spans="1:54" ht="81.75" customHeight="1" x14ac:dyDescent="0.35">
      <c r="A107" s="26">
        <v>90</v>
      </c>
      <c r="B107" s="55" t="s">
        <v>64</v>
      </c>
      <c r="C107" s="28" t="s">
        <v>65</v>
      </c>
      <c r="D107" s="298" t="s">
        <v>2918</v>
      </c>
      <c r="E107" s="125">
        <v>173</v>
      </c>
      <c r="F107" s="44" t="s">
        <v>30</v>
      </c>
      <c r="G107" s="234">
        <f>[1]DICIEMBRE!$BA$102</f>
        <v>1.0913936421275139E-11</v>
      </c>
      <c r="H107" s="31">
        <f>ENERO!BA104</f>
        <v>2.1827872842550278E-11</v>
      </c>
      <c r="I107" s="31">
        <f>FEBRERO!AX105</f>
        <v>14551.040000000037</v>
      </c>
      <c r="J107" s="32">
        <f>MARZO!BA108</f>
        <v>4347.6800000000221</v>
      </c>
      <c r="K107" s="33"/>
      <c r="L107" s="32"/>
      <c r="M107" s="32"/>
      <c r="N107" s="32"/>
      <c r="O107" s="32"/>
      <c r="P107" s="31"/>
      <c r="Q107" s="31"/>
      <c r="R107" s="31"/>
      <c r="S107" s="61">
        <f>(150*0.16+150)*E107</f>
        <v>30102</v>
      </c>
      <c r="T107" s="47">
        <f>(1724*0.16+1724)*3+250*0.16+250</f>
        <v>6289.52</v>
      </c>
      <c r="U107" s="48"/>
      <c r="V107" s="49"/>
      <c r="W107" s="49"/>
      <c r="X107" s="49"/>
      <c r="Y107" s="49"/>
      <c r="Z107" s="49"/>
      <c r="AA107" s="49"/>
      <c r="AB107" s="49"/>
      <c r="AC107" s="49"/>
      <c r="AD107" s="49"/>
      <c r="AE107" s="49"/>
      <c r="AF107" s="49"/>
      <c r="AG107" s="49"/>
      <c r="AH107" s="49"/>
      <c r="AI107" s="49"/>
      <c r="AJ107" s="50">
        <v>36391.519999999997</v>
      </c>
      <c r="AK107" s="49"/>
      <c r="AL107" s="49"/>
      <c r="AM107" s="49"/>
      <c r="AN107" s="49"/>
      <c r="AO107" s="49"/>
      <c r="AP107" s="49"/>
      <c r="AQ107" s="49"/>
      <c r="AR107" s="49"/>
      <c r="AS107" s="49"/>
      <c r="AT107" s="49"/>
      <c r="AU107" s="49"/>
      <c r="AV107" s="49"/>
      <c r="AW107" s="49"/>
      <c r="AX107" s="49"/>
      <c r="AY107" s="49"/>
      <c r="AZ107" s="33">
        <f t="shared" si="1"/>
        <v>4347.6800000000294</v>
      </c>
      <c r="BA107" s="43" t="s">
        <v>2925</v>
      </c>
      <c r="BB107" s="150"/>
    </row>
    <row r="108" spans="1:54" ht="84" hidden="1" customHeight="1" x14ac:dyDescent="0.35">
      <c r="A108" s="26">
        <v>91</v>
      </c>
      <c r="B108" s="27" t="s">
        <v>66</v>
      </c>
      <c r="C108" s="28" t="s">
        <v>67</v>
      </c>
      <c r="D108" s="298" t="s">
        <v>1237</v>
      </c>
      <c r="E108" s="125">
        <v>2</v>
      </c>
      <c r="F108" s="60" t="s">
        <v>33</v>
      </c>
      <c r="G108" s="112">
        <f>[1]DICIEMBRE!$BA$103</f>
        <v>0</v>
      </c>
      <c r="H108" s="31">
        <f>ENERO!BA105</f>
        <v>0</v>
      </c>
      <c r="I108" s="31">
        <f>FEBRERO!AX106</f>
        <v>0</v>
      </c>
      <c r="J108" s="32">
        <f>MARZO!BA109</f>
        <v>0</v>
      </c>
      <c r="K108" s="32"/>
      <c r="L108" s="336"/>
      <c r="M108" s="32"/>
      <c r="N108" s="336"/>
      <c r="O108" s="32"/>
      <c r="P108" s="33"/>
      <c r="Q108" s="31"/>
      <c r="R108" s="31"/>
      <c r="S108" s="47">
        <f>(300*0.16+300)*E108</f>
        <v>696</v>
      </c>
      <c r="T108" s="47"/>
      <c r="U108" s="48"/>
      <c r="V108" s="49"/>
      <c r="W108" s="49"/>
      <c r="X108" s="49"/>
      <c r="Y108" s="49"/>
      <c r="Z108" s="49"/>
      <c r="AA108" s="50"/>
      <c r="AB108" s="49"/>
      <c r="AC108" s="49"/>
      <c r="AD108" s="49"/>
      <c r="AE108" s="49"/>
      <c r="AF108" s="49"/>
      <c r="AG108" s="49"/>
      <c r="AH108" s="49"/>
      <c r="AI108" s="49"/>
      <c r="AJ108" s="49"/>
      <c r="AK108" s="49"/>
      <c r="AL108" s="49"/>
      <c r="AM108" s="49"/>
      <c r="AN108" s="49"/>
      <c r="AO108" s="49"/>
      <c r="AP108" s="49"/>
      <c r="AQ108" s="49">
        <v>696</v>
      </c>
      <c r="AR108" s="49"/>
      <c r="AS108" s="49"/>
      <c r="AT108" s="49"/>
      <c r="AU108" s="49"/>
      <c r="AV108" s="49"/>
      <c r="AW108" s="49"/>
      <c r="AX108" s="49"/>
      <c r="AY108" s="49"/>
      <c r="AZ108" s="33">
        <f t="shared" si="1"/>
        <v>0</v>
      </c>
      <c r="BA108" s="268"/>
    </row>
    <row r="109" spans="1:54" ht="84" hidden="1" customHeight="1" x14ac:dyDescent="0.35">
      <c r="A109" s="26">
        <v>92</v>
      </c>
      <c r="B109" s="43" t="s">
        <v>2874</v>
      </c>
      <c r="C109" s="28"/>
      <c r="D109" s="300" t="s">
        <v>2924</v>
      </c>
      <c r="E109" s="125">
        <v>7</v>
      </c>
      <c r="F109" s="60"/>
      <c r="G109" s="112"/>
      <c r="H109" s="31"/>
      <c r="I109" s="31"/>
      <c r="J109" s="32"/>
      <c r="K109" s="32"/>
      <c r="L109" s="336"/>
      <c r="M109" s="32"/>
      <c r="N109" s="336"/>
      <c r="O109" s="32"/>
      <c r="P109" s="33"/>
      <c r="Q109" s="31"/>
      <c r="R109" s="31"/>
      <c r="S109" s="47">
        <f>(299*0.16+299)*E109</f>
        <v>2427.88</v>
      </c>
      <c r="T109" s="47">
        <f>(549*0.16+549)*7</f>
        <v>4457.88</v>
      </c>
      <c r="U109" s="48"/>
      <c r="V109" s="49"/>
      <c r="W109" s="49"/>
      <c r="X109" s="49"/>
      <c r="Y109" s="49"/>
      <c r="Z109" s="49"/>
      <c r="AA109" s="50"/>
      <c r="AB109" s="49"/>
      <c r="AC109" s="49"/>
      <c r="AD109" s="49"/>
      <c r="AE109" s="49"/>
      <c r="AF109" s="49"/>
      <c r="AG109" s="49"/>
      <c r="AH109" s="49"/>
      <c r="AI109" s="49"/>
      <c r="AJ109" s="49"/>
      <c r="AK109" s="49"/>
      <c r="AL109" s="49"/>
      <c r="AM109" s="49"/>
      <c r="AN109" s="49"/>
      <c r="AO109" s="49"/>
      <c r="AP109" s="49"/>
      <c r="AQ109" s="49"/>
      <c r="AR109" s="49"/>
      <c r="AS109" s="49"/>
      <c r="AT109" s="49">
        <v>6885.76</v>
      </c>
      <c r="AU109" s="49"/>
      <c r="AV109" s="49"/>
      <c r="AW109" s="49"/>
      <c r="AX109" s="49"/>
      <c r="AY109" s="49"/>
      <c r="AZ109" s="33">
        <f t="shared" si="1"/>
        <v>0</v>
      </c>
      <c r="BA109" s="268" t="s">
        <v>2868</v>
      </c>
    </row>
    <row r="110" spans="1:54" ht="147.75" customHeight="1" x14ac:dyDescent="0.35">
      <c r="A110" s="26">
        <v>93</v>
      </c>
      <c r="B110" s="27" t="s">
        <v>68</v>
      </c>
      <c r="C110" s="28" t="s">
        <v>69</v>
      </c>
      <c r="D110" s="298" t="s">
        <v>1510</v>
      </c>
      <c r="E110" s="126">
        <v>48</v>
      </c>
      <c r="F110" s="62" t="s">
        <v>30</v>
      </c>
      <c r="G110" s="234">
        <f>[1]DICIEMBRE!$BA$104</f>
        <v>-4.3999999979860149E-3</v>
      </c>
      <c r="H110" s="45">
        <f>ENERO!BA106</f>
        <v>-4.3999999979860149E-3</v>
      </c>
      <c r="I110" s="45">
        <f>FEBRERO!AX107</f>
        <v>-4.3999999979860149E-3</v>
      </c>
      <c r="J110" s="32">
        <f>MARZO!BA110</f>
        <v>12643.995600000002</v>
      </c>
      <c r="K110" s="32"/>
      <c r="L110" s="32"/>
      <c r="M110" s="336"/>
      <c r="N110" s="32"/>
      <c r="O110" s="32"/>
      <c r="P110" s="31"/>
      <c r="Q110" s="31"/>
      <c r="R110" s="31"/>
      <c r="S110" s="47">
        <f>(200*0.16+200)*E110</f>
        <v>11136</v>
      </c>
      <c r="T110" s="47">
        <f>(8500*0.16+8500)+1850*0.16+1850</f>
        <v>12006</v>
      </c>
      <c r="U110" s="48"/>
      <c r="V110" s="49"/>
      <c r="W110" s="49"/>
      <c r="X110" s="49"/>
      <c r="Y110" s="49"/>
      <c r="Z110" s="49"/>
      <c r="AA110" s="49"/>
      <c r="AB110" s="49"/>
      <c r="AC110" s="49"/>
      <c r="AD110" s="49">
        <v>12644</v>
      </c>
      <c r="AE110" s="49"/>
      <c r="AF110" s="49"/>
      <c r="AG110" s="49"/>
      <c r="AH110" s="49"/>
      <c r="AI110" s="49"/>
      <c r="AJ110" s="49"/>
      <c r="AK110" s="63"/>
      <c r="AL110" s="49"/>
      <c r="AM110" s="49"/>
      <c r="AN110" s="49"/>
      <c r="AO110" s="49"/>
      <c r="AP110" s="49"/>
      <c r="AQ110" s="49"/>
      <c r="AR110" s="49"/>
      <c r="AS110" s="49"/>
      <c r="AT110" s="49"/>
      <c r="AU110" s="49"/>
      <c r="AV110" s="49"/>
      <c r="AW110" s="49"/>
      <c r="AX110" s="49"/>
      <c r="AY110" s="49"/>
      <c r="AZ110" s="33">
        <f t="shared" si="1"/>
        <v>23141.995600000002</v>
      </c>
      <c r="BA110" s="267" t="s">
        <v>2750</v>
      </c>
    </row>
    <row r="111" spans="1:54" ht="55.5" hidden="1" customHeight="1" x14ac:dyDescent="0.35">
      <c r="A111" s="26">
        <v>94</v>
      </c>
      <c r="B111" s="43" t="s">
        <v>2569</v>
      </c>
      <c r="C111" s="28"/>
      <c r="D111" s="300" t="s">
        <v>2469</v>
      </c>
      <c r="E111" s="332">
        <v>1</v>
      </c>
      <c r="F111" s="30"/>
      <c r="G111" s="234"/>
      <c r="H111" s="45"/>
      <c r="I111" s="31"/>
      <c r="J111" s="32">
        <f>MARZO!BA111</f>
        <v>0</v>
      </c>
      <c r="K111" s="32"/>
      <c r="L111" s="32"/>
      <c r="M111" s="32"/>
      <c r="N111" s="32"/>
      <c r="O111" s="33"/>
      <c r="P111" s="31"/>
      <c r="Q111" s="31"/>
      <c r="R111" s="31"/>
      <c r="S111" s="34">
        <f>170*0.16+170</f>
        <v>197.2</v>
      </c>
      <c r="T111" s="34"/>
      <c r="U111" s="48"/>
      <c r="V111" s="49"/>
      <c r="W111" s="49"/>
      <c r="X111" s="49"/>
      <c r="Y111" s="49">
        <v>197.2</v>
      </c>
      <c r="Z111" s="49"/>
      <c r="AA111" s="49"/>
      <c r="AB111" s="49"/>
      <c r="AC111" s="49"/>
      <c r="AD111" s="49"/>
      <c r="AE111" s="49"/>
      <c r="AF111" s="49"/>
      <c r="AG111" s="49"/>
      <c r="AH111" s="49"/>
      <c r="AI111" s="49"/>
      <c r="AJ111" s="49"/>
      <c r="AK111" s="63"/>
      <c r="AL111" s="49"/>
      <c r="AM111" s="49"/>
      <c r="AN111" s="49"/>
      <c r="AO111" s="49"/>
      <c r="AP111" s="49"/>
      <c r="AQ111" s="49"/>
      <c r="AR111" s="49"/>
      <c r="AS111" s="49"/>
      <c r="AT111" s="49"/>
      <c r="AU111" s="49"/>
      <c r="AV111" s="49"/>
      <c r="AW111" s="49"/>
      <c r="AX111" s="49"/>
      <c r="AY111" s="49"/>
      <c r="AZ111" s="33">
        <f t="shared" si="1"/>
        <v>0</v>
      </c>
      <c r="BA111" s="267" t="s">
        <v>2631</v>
      </c>
    </row>
    <row r="112" spans="1:54" ht="69" hidden="1" customHeight="1" x14ac:dyDescent="0.35">
      <c r="A112" s="26">
        <v>95</v>
      </c>
      <c r="B112" s="43" t="s">
        <v>70</v>
      </c>
      <c r="C112" s="53" t="s">
        <v>71</v>
      </c>
      <c r="D112" s="298" t="s">
        <v>1511</v>
      </c>
      <c r="E112" s="125">
        <v>1</v>
      </c>
      <c r="F112" s="44" t="s">
        <v>30</v>
      </c>
      <c r="G112" s="112">
        <f>[1]DICIEMBRE!$BA$105</f>
        <v>0</v>
      </c>
      <c r="H112" s="31">
        <f>ENERO!BA107</f>
        <v>0</v>
      </c>
      <c r="I112" s="31">
        <f>FEBRERO!AX108</f>
        <v>0</v>
      </c>
      <c r="J112" s="32">
        <f>MARZO!BA112</f>
        <v>0</v>
      </c>
      <c r="K112" s="33"/>
      <c r="L112" s="32"/>
      <c r="M112" s="32"/>
      <c r="N112" s="32"/>
      <c r="O112" s="32"/>
      <c r="P112" s="33"/>
      <c r="Q112" s="31"/>
      <c r="R112" s="31"/>
      <c r="S112" s="47">
        <v>406</v>
      </c>
      <c r="T112" s="47"/>
      <c r="U112" s="48"/>
      <c r="V112" s="49"/>
      <c r="W112" s="49"/>
      <c r="X112" s="49"/>
      <c r="Y112" s="49"/>
      <c r="Z112" s="49"/>
      <c r="AA112" s="50"/>
      <c r="AB112" s="49"/>
      <c r="AC112" s="49"/>
      <c r="AD112" s="49"/>
      <c r="AE112" s="49"/>
      <c r="AF112" s="49"/>
      <c r="AG112" s="49"/>
      <c r="AH112" s="49"/>
      <c r="AI112" s="49">
        <v>406</v>
      </c>
      <c r="AJ112" s="49"/>
      <c r="AK112" s="49"/>
      <c r="AL112" s="49"/>
      <c r="AM112" s="49"/>
      <c r="AN112" s="49"/>
      <c r="AO112" s="49"/>
      <c r="AP112" s="49"/>
      <c r="AQ112" s="49"/>
      <c r="AR112" s="49"/>
      <c r="AS112" s="49"/>
      <c r="AT112" s="49"/>
      <c r="AU112" s="49"/>
      <c r="AV112" s="49"/>
      <c r="AW112" s="49"/>
      <c r="AX112" s="49"/>
      <c r="AY112" s="49"/>
      <c r="AZ112" s="33">
        <f t="shared" si="1"/>
        <v>0</v>
      </c>
      <c r="BA112" s="43"/>
    </row>
    <row r="113" spans="1:53" ht="95.25" hidden="1" customHeight="1" x14ac:dyDescent="0.35">
      <c r="A113" s="26">
        <v>96</v>
      </c>
      <c r="B113" s="27" t="s">
        <v>72</v>
      </c>
      <c r="C113" s="28" t="s">
        <v>73</v>
      </c>
      <c r="D113" s="298" t="s">
        <v>1512</v>
      </c>
      <c r="E113" s="126">
        <v>5</v>
      </c>
      <c r="F113" s="62" t="s">
        <v>35</v>
      </c>
      <c r="G113" s="234">
        <f>[1]DICIEMBRE!$BA$106</f>
        <v>0</v>
      </c>
      <c r="H113" s="31">
        <f>ENERO!BA108</f>
        <v>0</v>
      </c>
      <c r="I113" s="31">
        <f>FEBRERO!AX109</f>
        <v>0</v>
      </c>
      <c r="J113" s="32">
        <f>MARZO!BA113</f>
        <v>-4.3999999998050043E-3</v>
      </c>
      <c r="K113" s="32"/>
      <c r="L113" s="336"/>
      <c r="M113" s="32"/>
      <c r="N113" s="336"/>
      <c r="O113" s="32"/>
      <c r="P113" s="31"/>
      <c r="Q113" s="31"/>
      <c r="R113" s="31"/>
      <c r="S113" s="47">
        <f>(250*0.16+250)*E113</f>
        <v>1450</v>
      </c>
      <c r="T113" s="47"/>
      <c r="U113" s="48"/>
      <c r="V113" s="49"/>
      <c r="W113" s="49"/>
      <c r="X113" s="49"/>
      <c r="Y113" s="49"/>
      <c r="Z113" s="49"/>
      <c r="AA113" s="49"/>
      <c r="AB113" s="49"/>
      <c r="AC113" s="50"/>
      <c r="AD113" s="49"/>
      <c r="AE113" s="49"/>
      <c r="AF113" s="49"/>
      <c r="AG113" s="49"/>
      <c r="AH113" s="49"/>
      <c r="AI113" s="49">
        <v>1450</v>
      </c>
      <c r="AJ113" s="49"/>
      <c r="AK113" s="49"/>
      <c r="AL113" s="49"/>
      <c r="AM113" s="49"/>
      <c r="AN113" s="49"/>
      <c r="AO113" s="49"/>
      <c r="AP113" s="49"/>
      <c r="AQ113" s="49"/>
      <c r="AR113" s="49"/>
      <c r="AS113" s="49"/>
      <c r="AT113" s="49"/>
      <c r="AU113" s="49"/>
      <c r="AV113" s="49"/>
      <c r="AW113" s="49"/>
      <c r="AX113" s="49"/>
      <c r="AY113" s="49"/>
      <c r="AZ113" s="33">
        <f t="shared" si="1"/>
        <v>-4.3999999998050043E-3</v>
      </c>
      <c r="BA113" s="267"/>
    </row>
    <row r="114" spans="1:53" ht="90.75" hidden="1" customHeight="1" x14ac:dyDescent="0.35">
      <c r="A114" s="26">
        <v>97</v>
      </c>
      <c r="B114" s="27" t="s">
        <v>74</v>
      </c>
      <c r="C114" s="28" t="s">
        <v>75</v>
      </c>
      <c r="D114" s="298" t="s">
        <v>2861</v>
      </c>
      <c r="E114" s="125">
        <v>21</v>
      </c>
      <c r="F114" s="60" t="s">
        <v>33</v>
      </c>
      <c r="G114" s="112">
        <f>[1]DICIEMBRE!$BA$107</f>
        <v>-2.2000000026309863E-2</v>
      </c>
      <c r="H114" s="45">
        <f>ENERO!BA109</f>
        <v>-2.600000002712477E-2</v>
      </c>
      <c r="I114" s="31">
        <f>FEBRERO!AX110</f>
        <v>3.9999999726205715E-3</v>
      </c>
      <c r="J114" s="32">
        <f>MARZO!BA114</f>
        <v>3.9999999726205715E-3</v>
      </c>
      <c r="K114" s="32"/>
      <c r="L114" s="32"/>
      <c r="M114" s="336"/>
      <c r="N114" s="32"/>
      <c r="O114" s="33"/>
      <c r="P114" s="33"/>
      <c r="Q114" s="31"/>
      <c r="R114" s="31"/>
      <c r="S114" s="66">
        <f>(315*0.16+315)*E114</f>
        <v>7673.4</v>
      </c>
      <c r="T114" s="66"/>
      <c r="U114" s="67"/>
      <c r="V114" s="68"/>
      <c r="W114" s="68"/>
      <c r="X114" s="68"/>
      <c r="Y114" s="68"/>
      <c r="Z114" s="68"/>
      <c r="AA114" s="68"/>
      <c r="AB114" s="68"/>
      <c r="AC114" s="68"/>
      <c r="AD114" s="68"/>
      <c r="AE114" s="68"/>
      <c r="AF114" s="68"/>
      <c r="AG114" s="68"/>
      <c r="AH114" s="68"/>
      <c r="AI114" s="68"/>
      <c r="AJ114" s="68">
        <v>7673.4</v>
      </c>
      <c r="AK114" s="68"/>
      <c r="AL114" s="63"/>
      <c r="AM114" s="68"/>
      <c r="AN114" s="68"/>
      <c r="AO114" s="68"/>
      <c r="AP114" s="68"/>
      <c r="AQ114" s="68"/>
      <c r="AR114" s="68"/>
      <c r="AS114" s="68"/>
      <c r="AT114" s="68"/>
      <c r="AU114" s="68"/>
      <c r="AV114" s="68"/>
      <c r="AW114" s="68"/>
      <c r="AX114" s="68"/>
      <c r="AY114" s="68"/>
      <c r="AZ114" s="33">
        <f t="shared" si="1"/>
        <v>3.9999999726205715E-3</v>
      </c>
      <c r="BA114" s="268"/>
    </row>
    <row r="115" spans="1:53" ht="81" hidden="1" customHeight="1" x14ac:dyDescent="0.35">
      <c r="A115" s="26">
        <v>98</v>
      </c>
      <c r="B115" s="43" t="s">
        <v>2542</v>
      </c>
      <c r="C115" s="28"/>
      <c r="D115" s="300" t="s">
        <v>2543</v>
      </c>
      <c r="E115" s="125">
        <v>1</v>
      </c>
      <c r="F115" s="60"/>
      <c r="G115" s="112"/>
      <c r="H115" s="45"/>
      <c r="I115" s="31"/>
      <c r="J115" s="32">
        <f>MARZO!BA115</f>
        <v>0</v>
      </c>
      <c r="K115" s="32"/>
      <c r="L115" s="32"/>
      <c r="M115" s="336"/>
      <c r="N115" s="32"/>
      <c r="O115" s="33"/>
      <c r="P115" s="33"/>
      <c r="Q115" s="31"/>
      <c r="R115" s="31"/>
      <c r="S115" s="66">
        <f>180*0.16+180</f>
        <v>208.8</v>
      </c>
      <c r="T115" s="66"/>
      <c r="U115" s="67"/>
      <c r="V115" s="68"/>
      <c r="W115" s="68"/>
      <c r="X115" s="68"/>
      <c r="Y115" s="68"/>
      <c r="Z115" s="68"/>
      <c r="AA115" s="68"/>
      <c r="AB115" s="68"/>
      <c r="AC115" s="68"/>
      <c r="AD115" s="68"/>
      <c r="AE115" s="68"/>
      <c r="AF115" s="68"/>
      <c r="AG115" s="68"/>
      <c r="AH115" s="68"/>
      <c r="AI115" s="68"/>
      <c r="AJ115" s="68"/>
      <c r="AK115" s="68"/>
      <c r="AL115" s="63"/>
      <c r="AM115" s="68"/>
      <c r="AN115" s="68">
        <v>208.8</v>
      </c>
      <c r="AO115" s="68"/>
      <c r="AP115" s="68"/>
      <c r="AQ115" s="68"/>
      <c r="AR115" s="68"/>
      <c r="AS115" s="68"/>
      <c r="AT115" s="68"/>
      <c r="AU115" s="68"/>
      <c r="AV115" s="68"/>
      <c r="AW115" s="68"/>
      <c r="AX115" s="68"/>
      <c r="AY115" s="68"/>
      <c r="AZ115" s="33">
        <f t="shared" si="1"/>
        <v>0</v>
      </c>
      <c r="BA115" s="268" t="s">
        <v>2632</v>
      </c>
    </row>
    <row r="116" spans="1:53" ht="81" hidden="1" customHeight="1" x14ac:dyDescent="0.35">
      <c r="A116" s="26">
        <v>99</v>
      </c>
      <c r="B116" s="43" t="s">
        <v>2475</v>
      </c>
      <c r="C116" s="28"/>
      <c r="D116" s="300" t="s">
        <v>2476</v>
      </c>
      <c r="E116" s="125">
        <v>1</v>
      </c>
      <c r="F116" s="44"/>
      <c r="G116" s="112"/>
      <c r="H116" s="31"/>
      <c r="I116" s="31"/>
      <c r="J116" s="32">
        <f>MARZO!BA116</f>
        <v>0</v>
      </c>
      <c r="K116" s="32"/>
      <c r="L116" s="32"/>
      <c r="M116" s="32"/>
      <c r="N116" s="336"/>
      <c r="O116" s="32"/>
      <c r="P116" s="33"/>
      <c r="Q116" s="31"/>
      <c r="R116" s="31"/>
      <c r="S116" s="34">
        <f>170*0.16+170</f>
        <v>197.2</v>
      </c>
      <c r="T116" s="34"/>
      <c r="U116" s="67"/>
      <c r="V116" s="68"/>
      <c r="W116" s="68"/>
      <c r="X116" s="68"/>
      <c r="Y116" s="68"/>
      <c r="Z116" s="68"/>
      <c r="AA116" s="68"/>
      <c r="AB116" s="68"/>
      <c r="AC116" s="68"/>
      <c r="AD116" s="68"/>
      <c r="AE116" s="68"/>
      <c r="AF116" s="68"/>
      <c r="AG116" s="68"/>
      <c r="AH116" s="68"/>
      <c r="AI116" s="68">
        <v>197.2</v>
      </c>
      <c r="AJ116" s="68"/>
      <c r="AK116" s="68"/>
      <c r="AL116" s="63"/>
      <c r="AM116" s="68"/>
      <c r="AN116" s="68"/>
      <c r="AO116" s="68"/>
      <c r="AP116" s="68"/>
      <c r="AQ116" s="68"/>
      <c r="AR116" s="68"/>
      <c r="AS116" s="68"/>
      <c r="AT116" s="68"/>
      <c r="AU116" s="68"/>
      <c r="AV116" s="68"/>
      <c r="AW116" s="68"/>
      <c r="AX116" s="68"/>
      <c r="AY116" s="68"/>
      <c r="AZ116" s="33">
        <f t="shared" si="1"/>
        <v>0</v>
      </c>
      <c r="BA116" s="268" t="s">
        <v>2631</v>
      </c>
    </row>
    <row r="117" spans="1:53" ht="81" hidden="1" customHeight="1" x14ac:dyDescent="0.35">
      <c r="A117" s="26">
        <v>100</v>
      </c>
      <c r="B117" s="43" t="s">
        <v>2511</v>
      </c>
      <c r="C117" s="28"/>
      <c r="D117" s="300" t="s">
        <v>2510</v>
      </c>
      <c r="E117" s="125"/>
      <c r="F117" s="44"/>
      <c r="G117" s="112"/>
      <c r="H117" s="31"/>
      <c r="I117" s="31"/>
      <c r="J117" s="32">
        <f>MARZO!BA117</f>
        <v>0</v>
      </c>
      <c r="K117" s="32"/>
      <c r="L117" s="32"/>
      <c r="M117" s="32"/>
      <c r="N117" s="336"/>
      <c r="O117" s="32"/>
      <c r="P117" s="33"/>
      <c r="Q117" s="31"/>
      <c r="R117" s="31"/>
      <c r="S117" s="34">
        <f>(300*0.16+300)*E117</f>
        <v>0</v>
      </c>
      <c r="T117" s="34"/>
      <c r="U117" s="67"/>
      <c r="V117" s="68"/>
      <c r="W117" s="68"/>
      <c r="X117" s="68"/>
      <c r="Y117" s="68"/>
      <c r="Z117" s="68"/>
      <c r="AA117" s="68"/>
      <c r="AB117" s="68"/>
      <c r="AC117" s="68"/>
      <c r="AD117" s="68"/>
      <c r="AE117" s="68"/>
      <c r="AF117" s="68"/>
      <c r="AG117" s="68"/>
      <c r="AH117" s="68"/>
      <c r="AI117" s="68"/>
      <c r="AJ117" s="68"/>
      <c r="AK117" s="68"/>
      <c r="AL117" s="63"/>
      <c r="AM117" s="68"/>
      <c r="AN117" s="68"/>
      <c r="AO117" s="68"/>
      <c r="AP117" s="68"/>
      <c r="AQ117" s="68"/>
      <c r="AR117" s="68"/>
      <c r="AS117" s="68"/>
      <c r="AT117" s="68"/>
      <c r="AU117" s="68"/>
      <c r="AV117" s="68"/>
      <c r="AW117" s="68"/>
      <c r="AX117" s="68"/>
      <c r="AY117" s="68"/>
      <c r="AZ117" s="33">
        <f t="shared" si="1"/>
        <v>0</v>
      </c>
      <c r="BA117" s="268" t="s">
        <v>2636</v>
      </c>
    </row>
    <row r="118" spans="1:53" ht="58.5" hidden="1" customHeight="1" x14ac:dyDescent="0.35">
      <c r="A118" s="26">
        <v>101</v>
      </c>
      <c r="B118" s="27" t="s">
        <v>80</v>
      </c>
      <c r="C118" s="28" t="s">
        <v>81</v>
      </c>
      <c r="D118" s="298" t="s">
        <v>1515</v>
      </c>
      <c r="E118" s="125">
        <v>2</v>
      </c>
      <c r="F118" s="71" t="s">
        <v>30</v>
      </c>
      <c r="G118" s="112">
        <f>[1]DICIEMBRE!$BA$109</f>
        <v>9.0949470177292824E-13</v>
      </c>
      <c r="H118" s="31">
        <f>ENERO!BA111</f>
        <v>9.0949470177292824E-13</v>
      </c>
      <c r="I118" s="45">
        <f>FEBRERO!AX111</f>
        <v>9.0949470177292824E-13</v>
      </c>
      <c r="J118" s="32">
        <f>MARZO!BA118</f>
        <v>9.0949470177292824E-13</v>
      </c>
      <c r="K118" s="32"/>
      <c r="L118" s="336"/>
      <c r="M118" s="32"/>
      <c r="N118" s="336"/>
      <c r="O118" s="32"/>
      <c r="P118" s="33"/>
      <c r="Q118" s="31"/>
      <c r="R118" s="31"/>
      <c r="S118" s="47">
        <f>(330*0.16+330)*E118</f>
        <v>765.6</v>
      </c>
      <c r="T118" s="47"/>
      <c r="U118" s="48"/>
      <c r="V118" s="47"/>
      <c r="W118" s="47"/>
      <c r="X118" s="47"/>
      <c r="Y118" s="47"/>
      <c r="Z118" s="47"/>
      <c r="AA118" s="47"/>
      <c r="AB118" s="47"/>
      <c r="AC118" s="47"/>
      <c r="AD118" s="47"/>
      <c r="AE118" s="47"/>
      <c r="AF118" s="47"/>
      <c r="AG118" s="47"/>
      <c r="AH118" s="47"/>
      <c r="AI118" s="47"/>
      <c r="AJ118" s="47"/>
      <c r="AK118" s="66">
        <v>765.6</v>
      </c>
      <c r="AL118" s="47"/>
      <c r="AM118" s="47"/>
      <c r="AN118" s="47"/>
      <c r="AO118" s="47"/>
      <c r="AP118" s="47"/>
      <c r="AQ118" s="47"/>
      <c r="AR118" s="47"/>
      <c r="AS118" s="47"/>
      <c r="AT118" s="47"/>
      <c r="AU118" s="47"/>
      <c r="AV118" s="47"/>
      <c r="AW118" s="47"/>
      <c r="AX118" s="47"/>
      <c r="AY118" s="47"/>
      <c r="AZ118" s="33">
        <f t="shared" si="1"/>
        <v>9.0949470177292824E-13</v>
      </c>
      <c r="BA118" s="271"/>
    </row>
    <row r="119" spans="1:53" ht="58.5" hidden="1" customHeight="1" x14ac:dyDescent="0.35">
      <c r="A119" s="26">
        <v>102</v>
      </c>
      <c r="B119" s="43" t="s">
        <v>233</v>
      </c>
      <c r="C119" s="28"/>
      <c r="D119" s="300" t="s">
        <v>2858</v>
      </c>
      <c r="E119" s="410">
        <v>3</v>
      </c>
      <c r="F119" s="71" t="s">
        <v>30</v>
      </c>
      <c r="G119" s="112"/>
      <c r="H119" s="31"/>
      <c r="I119" s="45"/>
      <c r="J119" s="32"/>
      <c r="K119" s="32"/>
      <c r="L119" s="336"/>
      <c r="M119" s="32"/>
      <c r="N119" s="336"/>
      <c r="O119" s="32"/>
      <c r="P119" s="33"/>
      <c r="Q119" s="31"/>
      <c r="R119" s="31"/>
      <c r="S119" s="47">
        <f>(300*0.16+300)*E119</f>
        <v>1044</v>
      </c>
      <c r="T119" s="47"/>
      <c r="U119" s="48"/>
      <c r="V119" s="47"/>
      <c r="W119" s="47"/>
      <c r="X119" s="47"/>
      <c r="Y119" s="47"/>
      <c r="Z119" s="47"/>
      <c r="AA119" s="47"/>
      <c r="AB119" s="47"/>
      <c r="AC119" s="47"/>
      <c r="AD119" s="47"/>
      <c r="AE119" s="47"/>
      <c r="AF119" s="47"/>
      <c r="AG119" s="47"/>
      <c r="AH119" s="47"/>
      <c r="AI119" s="47"/>
      <c r="AJ119" s="47"/>
      <c r="AK119" s="66">
        <v>1044</v>
      </c>
      <c r="AL119" s="47"/>
      <c r="AM119" s="47"/>
      <c r="AN119" s="47"/>
      <c r="AO119" s="47"/>
      <c r="AP119" s="47"/>
      <c r="AQ119" s="47"/>
      <c r="AR119" s="47"/>
      <c r="AS119" s="47"/>
      <c r="AT119" s="47"/>
      <c r="AU119" s="47"/>
      <c r="AV119" s="47"/>
      <c r="AW119" s="47"/>
      <c r="AX119" s="47"/>
      <c r="AY119" s="47"/>
      <c r="AZ119" s="33">
        <f t="shared" si="1"/>
        <v>0</v>
      </c>
      <c r="BA119" s="271"/>
    </row>
    <row r="120" spans="1:53" ht="58.5" hidden="1" customHeight="1" x14ac:dyDescent="0.35">
      <c r="A120" s="26">
        <v>103</v>
      </c>
      <c r="B120" s="43" t="s">
        <v>2578</v>
      </c>
      <c r="C120" s="53"/>
      <c r="D120" s="300" t="s">
        <v>2579</v>
      </c>
      <c r="E120" s="125">
        <v>1</v>
      </c>
      <c r="F120" s="71"/>
      <c r="G120" s="112"/>
      <c r="H120" s="31"/>
      <c r="I120" s="45"/>
      <c r="J120" s="32">
        <f>MARZO!BA119</f>
        <v>0</v>
      </c>
      <c r="K120" s="32"/>
      <c r="L120" s="336"/>
      <c r="M120" s="32"/>
      <c r="N120" s="336"/>
      <c r="O120" s="32"/>
      <c r="P120" s="33"/>
      <c r="Q120" s="31"/>
      <c r="R120" s="31"/>
      <c r="S120" s="47">
        <f>160*0.16+160</f>
        <v>185.6</v>
      </c>
      <c r="T120" s="47"/>
      <c r="U120" s="48"/>
      <c r="V120" s="47"/>
      <c r="W120" s="47"/>
      <c r="X120" s="47"/>
      <c r="Y120" s="47"/>
      <c r="Z120" s="47"/>
      <c r="AA120" s="47"/>
      <c r="AB120" s="47"/>
      <c r="AC120" s="47"/>
      <c r="AD120" s="47"/>
      <c r="AE120" s="47"/>
      <c r="AF120" s="47"/>
      <c r="AG120" s="47"/>
      <c r="AH120" s="47"/>
      <c r="AI120" s="47">
        <v>185.6</v>
      </c>
      <c r="AJ120" s="47"/>
      <c r="AK120" s="66"/>
      <c r="AL120" s="47"/>
      <c r="AM120" s="47"/>
      <c r="AN120" s="47"/>
      <c r="AO120" s="47"/>
      <c r="AP120" s="47"/>
      <c r="AQ120" s="47"/>
      <c r="AR120" s="47"/>
      <c r="AS120" s="47"/>
      <c r="AT120" s="47"/>
      <c r="AU120" s="47"/>
      <c r="AV120" s="47"/>
      <c r="AW120" s="47"/>
      <c r="AX120" s="47"/>
      <c r="AY120" s="47"/>
      <c r="AZ120" s="33">
        <f t="shared" si="1"/>
        <v>0</v>
      </c>
      <c r="BA120" s="271" t="s">
        <v>2633</v>
      </c>
    </row>
    <row r="121" spans="1:53" ht="68.25" hidden="1" customHeight="1" x14ac:dyDescent="0.35">
      <c r="A121" s="26">
        <v>104</v>
      </c>
      <c r="B121" s="43" t="s">
        <v>1781</v>
      </c>
      <c r="C121" s="53" t="s">
        <v>84</v>
      </c>
      <c r="D121" s="298" t="s">
        <v>1517</v>
      </c>
      <c r="E121" s="128">
        <v>5</v>
      </c>
      <c r="F121" s="62" t="s">
        <v>30</v>
      </c>
      <c r="G121" s="112">
        <f>[1]DICIEMBRE!$BA$111</f>
        <v>216.52679999999509</v>
      </c>
      <c r="H121" s="31">
        <f>ENERO!BA113</f>
        <v>-2146.0032000000047</v>
      </c>
      <c r="I121" s="31">
        <f>FEBRERO!AX113</f>
        <v>-2146.0032000000047</v>
      </c>
      <c r="J121" s="32">
        <f>MARZO!BA120</f>
        <v>-2146.002800000002</v>
      </c>
      <c r="K121" s="33"/>
      <c r="L121" s="32"/>
      <c r="M121" s="32"/>
      <c r="N121" s="32"/>
      <c r="O121" s="32"/>
      <c r="P121" s="33"/>
      <c r="Q121" s="31"/>
      <c r="R121" s="31"/>
      <c r="S121" s="73">
        <f>(350*0.16+350)*2+(400*0.16+400)*3</f>
        <v>2204</v>
      </c>
      <c r="T121" s="47"/>
      <c r="U121" s="48"/>
      <c r="V121" s="49"/>
      <c r="W121" s="50"/>
      <c r="X121" s="49">
        <v>2204</v>
      </c>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33">
        <f t="shared" si="1"/>
        <v>-2146.002800000002</v>
      </c>
      <c r="BA121" s="267"/>
    </row>
    <row r="122" spans="1:53" ht="68.25" hidden="1" customHeight="1" x14ac:dyDescent="0.35">
      <c r="A122" s="26">
        <v>105</v>
      </c>
      <c r="B122" s="348" t="s">
        <v>2003</v>
      </c>
      <c r="C122" s="53"/>
      <c r="D122" s="300" t="s">
        <v>2004</v>
      </c>
      <c r="E122" s="128">
        <v>2</v>
      </c>
      <c r="F122" s="62" t="s">
        <v>30</v>
      </c>
      <c r="G122" s="112"/>
      <c r="H122" s="31"/>
      <c r="I122" s="31">
        <f>FEBRERO!AX114</f>
        <v>0</v>
      </c>
      <c r="J122" s="32">
        <f>MARZO!BA121</f>
        <v>0</v>
      </c>
      <c r="K122" s="33"/>
      <c r="L122" s="32"/>
      <c r="M122" s="32"/>
      <c r="N122" s="32"/>
      <c r="O122" s="32"/>
      <c r="P122" s="33"/>
      <c r="Q122" s="31"/>
      <c r="R122" s="31"/>
      <c r="S122" s="73">
        <f>(350*0.16+350)*1+(400*0.16+400)*1</f>
        <v>870</v>
      </c>
      <c r="T122" s="47"/>
      <c r="U122" s="48"/>
      <c r="V122" s="49"/>
      <c r="W122" s="50"/>
      <c r="X122" s="49"/>
      <c r="Y122" s="49"/>
      <c r="Z122" s="49"/>
      <c r="AA122" s="49"/>
      <c r="AB122" s="49"/>
      <c r="AC122" s="49"/>
      <c r="AD122" s="49"/>
      <c r="AE122" s="49"/>
      <c r="AF122" s="49"/>
      <c r="AG122" s="49"/>
      <c r="AH122" s="49"/>
      <c r="AI122" s="49"/>
      <c r="AJ122" s="49"/>
      <c r="AK122" s="49">
        <v>870</v>
      </c>
      <c r="AL122" s="49"/>
      <c r="AM122" s="49"/>
      <c r="AN122" s="49"/>
      <c r="AO122" s="49"/>
      <c r="AP122" s="49"/>
      <c r="AQ122" s="49"/>
      <c r="AR122" s="49"/>
      <c r="AS122" s="49"/>
      <c r="AT122" s="49"/>
      <c r="AU122" s="49"/>
      <c r="AV122" s="49"/>
      <c r="AW122" s="49"/>
      <c r="AX122" s="49"/>
      <c r="AY122" s="49"/>
      <c r="AZ122" s="33">
        <f t="shared" si="1"/>
        <v>0</v>
      </c>
      <c r="BA122" s="267"/>
    </row>
    <row r="123" spans="1:53" ht="81" hidden="1" customHeight="1" x14ac:dyDescent="0.35">
      <c r="A123" s="26">
        <v>106</v>
      </c>
      <c r="B123" s="43" t="s">
        <v>2570</v>
      </c>
      <c r="C123" s="28"/>
      <c r="D123" s="300" t="s">
        <v>2464</v>
      </c>
      <c r="E123" s="125">
        <v>2</v>
      </c>
      <c r="F123" s="44"/>
      <c r="G123" s="112"/>
      <c r="H123" s="31"/>
      <c r="I123" s="31"/>
      <c r="J123" s="32">
        <f>MARZO!BA122</f>
        <v>0</v>
      </c>
      <c r="K123" s="32"/>
      <c r="L123" s="32"/>
      <c r="M123" s="32"/>
      <c r="N123" s="336"/>
      <c r="O123" s="32"/>
      <c r="P123" s="33"/>
      <c r="Q123" s="31"/>
      <c r="R123" s="31"/>
      <c r="S123" s="47">
        <f>(300*0.16+300)*E123</f>
        <v>696</v>
      </c>
      <c r="T123" s="75"/>
      <c r="U123" s="67"/>
      <c r="V123" s="68"/>
      <c r="W123" s="68"/>
      <c r="X123" s="68"/>
      <c r="Y123" s="68"/>
      <c r="Z123" s="68"/>
      <c r="AA123" s="68"/>
      <c r="AB123" s="68"/>
      <c r="AC123" s="68"/>
      <c r="AD123" s="68"/>
      <c r="AE123" s="68"/>
      <c r="AF123" s="68"/>
      <c r="AG123" s="68"/>
      <c r="AH123" s="68"/>
      <c r="AI123" s="68"/>
      <c r="AJ123" s="68"/>
      <c r="AK123" s="68"/>
      <c r="AL123" s="63"/>
      <c r="AM123" s="68"/>
      <c r="AN123" s="68">
        <v>696</v>
      </c>
      <c r="AO123" s="68"/>
      <c r="AP123" s="68"/>
      <c r="AQ123" s="68"/>
      <c r="AR123" s="68"/>
      <c r="AS123" s="68"/>
      <c r="AT123" s="68"/>
      <c r="AU123" s="68"/>
      <c r="AV123" s="68"/>
      <c r="AW123" s="68"/>
      <c r="AX123" s="68"/>
      <c r="AY123" s="68"/>
      <c r="AZ123" s="33">
        <f t="shared" si="1"/>
        <v>0</v>
      </c>
      <c r="BA123" s="268"/>
    </row>
    <row r="124" spans="1:53" ht="153.75" customHeight="1" x14ac:dyDescent="0.35">
      <c r="A124" s="26">
        <v>107</v>
      </c>
      <c r="B124" s="43" t="s">
        <v>2864</v>
      </c>
      <c r="C124" s="28"/>
      <c r="D124" s="300" t="s">
        <v>2875</v>
      </c>
      <c r="E124" s="125">
        <v>25</v>
      </c>
      <c r="F124" s="44" t="s">
        <v>30</v>
      </c>
      <c r="G124" s="112"/>
      <c r="H124" s="31"/>
      <c r="I124" s="31"/>
      <c r="J124" s="32"/>
      <c r="K124" s="32"/>
      <c r="L124" s="32"/>
      <c r="M124" s="32"/>
      <c r="N124" s="336"/>
      <c r="O124" s="32"/>
      <c r="P124" s="33"/>
      <c r="Q124" s="31"/>
      <c r="R124" s="31"/>
      <c r="S124" s="47">
        <f>(229*0.16+229)*E124</f>
        <v>6641</v>
      </c>
      <c r="T124" s="75">
        <f>(549*0.16+549)*25</f>
        <v>15921</v>
      </c>
      <c r="U124" s="67"/>
      <c r="V124" s="68"/>
      <c r="W124" s="68"/>
      <c r="X124" s="68"/>
      <c r="Y124" s="68"/>
      <c r="Z124" s="68"/>
      <c r="AA124" s="68"/>
      <c r="AB124" s="68"/>
      <c r="AC124" s="68"/>
      <c r="AD124" s="68"/>
      <c r="AE124" s="68"/>
      <c r="AF124" s="68"/>
      <c r="AG124" s="68"/>
      <c r="AH124" s="68"/>
      <c r="AI124" s="68"/>
      <c r="AJ124" s="68"/>
      <c r="AK124" s="68"/>
      <c r="AL124" s="63"/>
      <c r="AM124" s="68"/>
      <c r="AN124" s="68"/>
      <c r="AO124" s="68"/>
      <c r="AP124" s="68"/>
      <c r="AQ124" s="68"/>
      <c r="AR124" s="68"/>
      <c r="AS124" s="68"/>
      <c r="AT124" s="68"/>
      <c r="AU124" s="68"/>
      <c r="AV124" s="68"/>
      <c r="AW124" s="68"/>
      <c r="AX124" s="68"/>
      <c r="AY124" s="68"/>
      <c r="AZ124" s="33">
        <f t="shared" si="1"/>
        <v>22562</v>
      </c>
      <c r="BA124" s="268" t="s">
        <v>2868</v>
      </c>
    </row>
    <row r="125" spans="1:53" ht="68.25" hidden="1" customHeight="1" x14ac:dyDescent="0.35">
      <c r="A125" s="26">
        <v>108</v>
      </c>
      <c r="B125" s="27" t="s">
        <v>85</v>
      </c>
      <c r="C125" s="28" t="s">
        <v>86</v>
      </c>
      <c r="D125" s="298" t="s">
        <v>1518</v>
      </c>
      <c r="E125" s="125">
        <v>5</v>
      </c>
      <c r="F125" s="71" t="s">
        <v>35</v>
      </c>
      <c r="G125" s="234">
        <f>[1]DICIEMBRE!$BA$112</f>
        <v>0</v>
      </c>
      <c r="H125" s="31">
        <f>ENERO!BA114</f>
        <v>0</v>
      </c>
      <c r="I125" s="45">
        <f>FEBRERO!AX115</f>
        <v>0</v>
      </c>
      <c r="J125" s="32">
        <f>MARZO!BA123</f>
        <v>0</v>
      </c>
      <c r="K125" s="32"/>
      <c r="L125" s="336"/>
      <c r="M125" s="32"/>
      <c r="N125" s="336"/>
      <c r="O125" s="32"/>
      <c r="P125" s="31"/>
      <c r="Q125" s="31"/>
      <c r="R125" s="31"/>
      <c r="S125" s="47">
        <f>(250*0.16+250)*E125</f>
        <v>1450</v>
      </c>
      <c r="T125" s="47"/>
      <c r="U125" s="48"/>
      <c r="V125" s="47"/>
      <c r="W125" s="47"/>
      <c r="X125" s="47"/>
      <c r="Y125" s="47"/>
      <c r="Z125" s="47"/>
      <c r="AA125" s="47"/>
      <c r="AB125" s="47"/>
      <c r="AC125" s="47"/>
      <c r="AD125" s="47">
        <v>1450</v>
      </c>
      <c r="AE125" s="47"/>
      <c r="AF125" s="47"/>
      <c r="AG125" s="47"/>
      <c r="AH125" s="74"/>
      <c r="AI125" s="47"/>
      <c r="AJ125" s="47"/>
      <c r="AK125" s="66"/>
      <c r="AL125" s="47"/>
      <c r="AM125" s="47"/>
      <c r="AN125" s="47"/>
      <c r="AO125" s="47"/>
      <c r="AP125" s="47"/>
      <c r="AQ125" s="47"/>
      <c r="AR125" s="47"/>
      <c r="AS125" s="47"/>
      <c r="AT125" s="47"/>
      <c r="AU125" s="47"/>
      <c r="AV125" s="47"/>
      <c r="AW125" s="47"/>
      <c r="AX125" s="47"/>
      <c r="AY125" s="47"/>
      <c r="AZ125" s="33">
        <f t="shared" si="1"/>
        <v>0</v>
      </c>
      <c r="BA125" s="271"/>
    </row>
    <row r="126" spans="1:53" ht="57" hidden="1" customHeight="1" x14ac:dyDescent="0.35">
      <c r="A126" s="26">
        <v>109</v>
      </c>
      <c r="B126" s="27" t="s">
        <v>1297</v>
      </c>
      <c r="C126" s="28" t="s">
        <v>87</v>
      </c>
      <c r="D126" s="298" t="s">
        <v>1519</v>
      </c>
      <c r="E126" s="125">
        <v>6</v>
      </c>
      <c r="F126" s="60" t="s">
        <v>33</v>
      </c>
      <c r="G126" s="112">
        <f>[1]DICIEMBRE!$BA$113</f>
        <v>-1.8189894035458565E-12</v>
      </c>
      <c r="H126" s="45">
        <f>ENERO!BA115</f>
        <v>-1.8189894035458565E-12</v>
      </c>
      <c r="I126" s="31">
        <f>FEBRERO!AX116</f>
        <v>-2.7284841053187847E-12</v>
      </c>
      <c r="J126" s="32">
        <f>MARZO!BA124</f>
        <v>-2.7284841053187847E-12</v>
      </c>
      <c r="K126" s="32"/>
      <c r="L126" s="32"/>
      <c r="M126" s="336"/>
      <c r="N126" s="32"/>
      <c r="O126" s="33"/>
      <c r="P126" s="33"/>
      <c r="Q126" s="31"/>
      <c r="R126" s="31"/>
      <c r="S126" s="47">
        <f>(300*0.16+300)*5+(900*0.16+900)*1</f>
        <v>2784</v>
      </c>
      <c r="T126" s="47"/>
      <c r="U126" s="48"/>
      <c r="V126" s="49"/>
      <c r="W126" s="50"/>
      <c r="X126" s="49"/>
      <c r="Y126" s="51"/>
      <c r="Z126" s="49"/>
      <c r="AA126" s="49"/>
      <c r="AB126" s="49"/>
      <c r="AC126" s="49">
        <v>2784</v>
      </c>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33">
        <f t="shared" si="1"/>
        <v>-2.7284841053187847E-12</v>
      </c>
      <c r="BA126" s="268" t="s">
        <v>2272</v>
      </c>
    </row>
    <row r="127" spans="1:53" ht="75" hidden="1" customHeight="1" x14ac:dyDescent="0.35">
      <c r="A127" s="26">
        <v>110</v>
      </c>
      <c r="B127" s="43" t="s">
        <v>2926</v>
      </c>
      <c r="C127" s="53"/>
      <c r="D127" s="300" t="s">
        <v>2933</v>
      </c>
      <c r="E127" s="125">
        <v>1</v>
      </c>
      <c r="F127" s="60" t="s">
        <v>30</v>
      </c>
      <c r="G127" s="112"/>
      <c r="H127" s="45"/>
      <c r="I127" s="31"/>
      <c r="J127" s="32"/>
      <c r="K127" s="32"/>
      <c r="L127" s="32"/>
      <c r="M127" s="336"/>
      <c r="N127" s="32"/>
      <c r="O127" s="33"/>
      <c r="P127" s="33"/>
      <c r="Q127" s="31"/>
      <c r="R127" s="31"/>
      <c r="S127" s="47">
        <f>(299*0.16+299)*E127</f>
        <v>346.84000000000003</v>
      </c>
      <c r="T127" s="47">
        <f>549*0.16+549</f>
        <v>636.84</v>
      </c>
      <c r="U127" s="48">
        <f>299*0.16+299</f>
        <v>346.84000000000003</v>
      </c>
      <c r="V127" s="49"/>
      <c r="W127" s="50"/>
      <c r="X127" s="49"/>
      <c r="Y127" s="51"/>
      <c r="Z127" s="49"/>
      <c r="AA127" s="49"/>
      <c r="AB127" s="49"/>
      <c r="AC127" s="49"/>
      <c r="AD127" s="49"/>
      <c r="AE127" s="49"/>
      <c r="AF127" s="49"/>
      <c r="AG127" s="49"/>
      <c r="AH127" s="49"/>
      <c r="AI127" s="49"/>
      <c r="AJ127" s="49"/>
      <c r="AK127" s="49"/>
      <c r="AL127" s="49"/>
      <c r="AM127" s="49"/>
      <c r="AN127" s="49"/>
      <c r="AO127" s="49"/>
      <c r="AP127" s="49"/>
      <c r="AQ127" s="49"/>
      <c r="AR127" s="49"/>
      <c r="AS127" s="49"/>
      <c r="AT127" s="49">
        <v>2371.04</v>
      </c>
      <c r="AU127" s="49"/>
      <c r="AV127" s="49"/>
      <c r="AW127" s="49"/>
      <c r="AX127" s="49"/>
      <c r="AY127" s="49"/>
      <c r="AZ127" s="33">
        <f t="shared" si="1"/>
        <v>-1734.1999999999998</v>
      </c>
      <c r="BA127" s="268" t="s">
        <v>3056</v>
      </c>
    </row>
    <row r="128" spans="1:53" ht="57" hidden="1" customHeight="1" x14ac:dyDescent="0.35">
      <c r="A128" s="26">
        <v>111</v>
      </c>
      <c r="B128" s="43" t="s">
        <v>2520</v>
      </c>
      <c r="C128" s="43"/>
      <c r="D128" s="300" t="s">
        <v>2505</v>
      </c>
      <c r="E128" s="128">
        <v>4</v>
      </c>
      <c r="F128" s="44"/>
      <c r="G128" s="234"/>
      <c r="H128" s="31"/>
      <c r="I128" s="31"/>
      <c r="J128" s="32">
        <f>MARZO!BA125</f>
        <v>0</v>
      </c>
      <c r="K128" s="33"/>
      <c r="L128" s="336"/>
      <c r="M128" s="32"/>
      <c r="N128" s="336"/>
      <c r="O128" s="33"/>
      <c r="P128" s="33"/>
      <c r="Q128" s="31"/>
      <c r="R128" s="31"/>
      <c r="S128" s="47">
        <f>(225*0.16+225)*E128</f>
        <v>1044</v>
      </c>
      <c r="T128" s="47"/>
      <c r="U128" s="48"/>
      <c r="V128" s="49"/>
      <c r="W128" s="50"/>
      <c r="X128" s="49"/>
      <c r="Y128" s="51"/>
      <c r="Z128" s="49"/>
      <c r="AA128" s="49"/>
      <c r="AB128" s="49"/>
      <c r="AC128" s="49"/>
      <c r="AD128" s="49"/>
      <c r="AE128" s="49"/>
      <c r="AF128" s="49"/>
      <c r="AG128" s="49"/>
      <c r="AH128" s="49"/>
      <c r="AI128" s="49"/>
      <c r="AJ128" s="49"/>
      <c r="AK128" s="49">
        <v>1044</v>
      </c>
      <c r="AL128" s="49"/>
      <c r="AM128" s="49"/>
      <c r="AN128" s="49"/>
      <c r="AO128" s="49"/>
      <c r="AP128" s="49"/>
      <c r="AQ128" s="49"/>
      <c r="AR128" s="49"/>
      <c r="AS128" s="49"/>
      <c r="AT128" s="49"/>
      <c r="AU128" s="49"/>
      <c r="AV128" s="49"/>
      <c r="AW128" s="49"/>
      <c r="AX128" s="49"/>
      <c r="AY128" s="49"/>
      <c r="AZ128" s="33">
        <f t="shared" si="1"/>
        <v>0</v>
      </c>
      <c r="BA128" s="43" t="s">
        <v>2634</v>
      </c>
    </row>
    <row r="129" spans="1:53" ht="98.25" hidden="1" customHeight="1" x14ac:dyDescent="0.35">
      <c r="A129" s="26">
        <v>112</v>
      </c>
      <c r="B129" s="43" t="s">
        <v>2185</v>
      </c>
      <c r="C129" s="53"/>
      <c r="D129" s="300" t="s">
        <v>2216</v>
      </c>
      <c r="E129" s="125">
        <v>21</v>
      </c>
      <c r="F129" s="44" t="s">
        <v>30</v>
      </c>
      <c r="G129" s="112"/>
      <c r="H129" s="45"/>
      <c r="I129" s="31">
        <f>FEBRERO!AX117</f>
        <v>0</v>
      </c>
      <c r="J129" s="32">
        <f>MARZO!BA126</f>
        <v>0</v>
      </c>
      <c r="K129" s="32"/>
      <c r="L129" s="32"/>
      <c r="M129" s="336"/>
      <c r="N129" s="32"/>
      <c r="O129" s="33"/>
      <c r="P129" s="33"/>
      <c r="Q129" s="31"/>
      <c r="R129" s="31"/>
      <c r="S129" s="47">
        <f>(1800*0.16+1800)*2</f>
        <v>4176</v>
      </c>
      <c r="T129" s="47">
        <f>(2400*0.16+2400)*2</f>
        <v>5568</v>
      </c>
      <c r="U129" s="48">
        <f>600*0.16+600</f>
        <v>696</v>
      </c>
      <c r="V129" s="49"/>
      <c r="W129" s="50"/>
      <c r="X129" s="49"/>
      <c r="Y129" s="51"/>
      <c r="Z129" s="49"/>
      <c r="AA129" s="49"/>
      <c r="AB129" s="49"/>
      <c r="AC129" s="49"/>
      <c r="AD129" s="49"/>
      <c r="AE129" s="49"/>
      <c r="AF129" s="49"/>
      <c r="AG129" s="49"/>
      <c r="AH129" s="49"/>
      <c r="AI129" s="49"/>
      <c r="AJ129" s="49"/>
      <c r="AK129" s="49"/>
      <c r="AL129" s="49"/>
      <c r="AM129" s="49"/>
      <c r="AN129" s="49"/>
      <c r="AO129" s="49"/>
      <c r="AP129" s="49"/>
      <c r="AQ129" s="49"/>
      <c r="AR129" s="49"/>
      <c r="AS129" s="49"/>
      <c r="AT129" s="49">
        <v>9048</v>
      </c>
      <c r="AU129" s="49"/>
      <c r="AV129" s="49"/>
      <c r="AW129" s="49"/>
      <c r="AX129" s="49"/>
      <c r="AY129" s="49"/>
      <c r="AZ129" s="33">
        <f t="shared" si="1"/>
        <v>0</v>
      </c>
      <c r="BA129" s="268" t="s">
        <v>2623</v>
      </c>
    </row>
    <row r="130" spans="1:53" s="23" customFormat="1" ht="81" hidden="1" customHeight="1" x14ac:dyDescent="0.3">
      <c r="A130" s="26">
        <v>113</v>
      </c>
      <c r="B130" s="43" t="s">
        <v>1478</v>
      </c>
      <c r="C130" s="28"/>
      <c r="D130" s="329" t="s">
        <v>1479</v>
      </c>
      <c r="E130" s="332"/>
      <c r="F130" s="40" t="s">
        <v>30</v>
      </c>
      <c r="G130" s="234">
        <f>[1]DICIEMBRE!$BA$114</f>
        <v>0</v>
      </c>
      <c r="H130" s="31">
        <f>ENERO!BA116</f>
        <v>0</v>
      </c>
      <c r="I130" s="31">
        <f>FEBRERO!AX118</f>
        <v>0</v>
      </c>
      <c r="J130" s="32">
        <f>MARZO!BA127</f>
        <v>0</v>
      </c>
      <c r="K130" s="33"/>
      <c r="L130" s="32"/>
      <c r="M130" s="32"/>
      <c r="N130" s="32"/>
      <c r="O130" s="32"/>
      <c r="P130" s="31"/>
      <c r="Q130" s="31"/>
      <c r="R130" s="31"/>
      <c r="S130" s="34"/>
      <c r="T130" s="34">
        <f>(8750*0.16+8750)+2450*0.16+2450</f>
        <v>12992</v>
      </c>
      <c r="U130" s="34"/>
      <c r="V130" s="35"/>
      <c r="W130" s="54"/>
      <c r="X130" s="35"/>
      <c r="Y130" s="35"/>
      <c r="Z130" s="35"/>
      <c r="AA130" s="35"/>
      <c r="AB130" s="35"/>
      <c r="AC130" s="35"/>
      <c r="AD130" s="35"/>
      <c r="AE130" s="35"/>
      <c r="AF130" s="35"/>
      <c r="AG130" s="35"/>
      <c r="AH130" s="35"/>
      <c r="AI130" s="35"/>
      <c r="AJ130" s="35">
        <f>10150+2842</f>
        <v>12992</v>
      </c>
      <c r="AK130" s="35"/>
      <c r="AL130" s="35"/>
      <c r="AM130" s="35"/>
      <c r="AN130" s="35"/>
      <c r="AO130" s="35"/>
      <c r="AP130" s="35"/>
      <c r="AQ130" s="35"/>
      <c r="AR130" s="35"/>
      <c r="AS130" s="35"/>
      <c r="AT130" s="35"/>
      <c r="AU130" s="35"/>
      <c r="AV130" s="35"/>
      <c r="AW130" s="35"/>
      <c r="AX130" s="35"/>
      <c r="AY130" s="35"/>
      <c r="AZ130" s="33">
        <f t="shared" si="1"/>
        <v>0</v>
      </c>
      <c r="BA130" s="267" t="s">
        <v>2843</v>
      </c>
    </row>
    <row r="131" spans="1:53" s="23" customFormat="1" ht="122.25" customHeight="1" x14ac:dyDescent="0.3">
      <c r="A131" s="26">
        <v>114</v>
      </c>
      <c r="B131" s="91" t="s">
        <v>299</v>
      </c>
      <c r="C131" s="53"/>
      <c r="D131" s="300" t="s">
        <v>1951</v>
      </c>
      <c r="E131" s="408"/>
      <c r="F131" s="40"/>
      <c r="G131" s="234"/>
      <c r="H131" s="31"/>
      <c r="I131" s="31"/>
      <c r="J131" s="32"/>
      <c r="K131" s="33"/>
      <c r="L131" s="32"/>
      <c r="M131" s="32"/>
      <c r="N131" s="32"/>
      <c r="O131" s="32"/>
      <c r="P131" s="31"/>
      <c r="Q131" s="31"/>
      <c r="R131" s="31"/>
      <c r="S131" s="34"/>
      <c r="T131" s="34">
        <f>4550*0.16+4550</f>
        <v>5278</v>
      </c>
      <c r="U131" s="34"/>
      <c r="V131" s="35"/>
      <c r="W131" s="54"/>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c r="AV131" s="35"/>
      <c r="AW131" s="35"/>
      <c r="AX131" s="35"/>
      <c r="AY131" s="35"/>
      <c r="AZ131" s="33">
        <f t="shared" si="1"/>
        <v>5278</v>
      </c>
      <c r="BA131" s="267" t="s">
        <v>2846</v>
      </c>
    </row>
    <row r="132" spans="1:53" s="23" customFormat="1" ht="81" hidden="1" customHeight="1" x14ac:dyDescent="0.3">
      <c r="A132" s="26">
        <v>115</v>
      </c>
      <c r="B132" s="43" t="s">
        <v>1898</v>
      </c>
      <c r="C132" s="28"/>
      <c r="D132" s="300" t="s">
        <v>2791</v>
      </c>
      <c r="E132" s="406"/>
      <c r="F132" s="40"/>
      <c r="G132" s="234"/>
      <c r="H132" s="31"/>
      <c r="I132" s="31"/>
      <c r="J132" s="32"/>
      <c r="K132" s="33"/>
      <c r="L132" s="32"/>
      <c r="M132" s="32"/>
      <c r="N132" s="32"/>
      <c r="O132" s="32"/>
      <c r="P132" s="31"/>
      <c r="Q132" s="31"/>
      <c r="R132" s="31"/>
      <c r="S132" s="34"/>
      <c r="T132" s="34">
        <f>600*0.16+600</f>
        <v>696</v>
      </c>
      <c r="U132" s="34"/>
      <c r="V132" s="35"/>
      <c r="W132" s="54"/>
      <c r="X132" s="35"/>
      <c r="Y132" s="35"/>
      <c r="Z132" s="35"/>
      <c r="AA132" s="35"/>
      <c r="AB132" s="35"/>
      <c r="AC132" s="35">
        <v>696</v>
      </c>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5"/>
      <c r="AZ132" s="33">
        <f t="shared" si="1"/>
        <v>0</v>
      </c>
      <c r="BA132" s="267" t="s">
        <v>2619</v>
      </c>
    </row>
    <row r="133" spans="1:53" s="23" customFormat="1" ht="81" hidden="1" customHeight="1" x14ac:dyDescent="0.3">
      <c r="A133" s="26">
        <v>116</v>
      </c>
      <c r="B133" s="43" t="s">
        <v>764</v>
      </c>
      <c r="C133" s="53"/>
      <c r="D133" s="30" t="s">
        <v>762</v>
      </c>
      <c r="E133" s="392">
        <v>1</v>
      </c>
      <c r="F133" s="40"/>
      <c r="G133" s="112"/>
      <c r="H133" s="45"/>
      <c r="I133" s="31"/>
      <c r="J133" s="32">
        <f>MARZO!BA130</f>
        <v>4277.2331999999997</v>
      </c>
      <c r="K133" s="33"/>
      <c r="L133" s="32"/>
      <c r="M133" s="32"/>
      <c r="N133" s="32"/>
      <c r="O133" s="32"/>
      <c r="P133" s="31"/>
      <c r="Q133" s="31"/>
      <c r="R133" s="31"/>
      <c r="S133" s="34"/>
      <c r="T133" s="34"/>
      <c r="U133" s="34"/>
      <c r="V133" s="35"/>
      <c r="W133" s="54"/>
      <c r="X133" s="35"/>
      <c r="Y133" s="35"/>
      <c r="Z133" s="35"/>
      <c r="AA133" s="35"/>
      <c r="AB133" s="35"/>
      <c r="AC133" s="35"/>
      <c r="AD133" s="35"/>
      <c r="AE133" s="35"/>
      <c r="AF133" s="35"/>
      <c r="AG133" s="35"/>
      <c r="AH133" s="35"/>
      <c r="AI133" s="35"/>
      <c r="AJ133" s="35"/>
      <c r="AK133" s="35"/>
      <c r="AL133" s="35"/>
      <c r="AM133" s="35"/>
      <c r="AN133" s="35"/>
      <c r="AO133" s="35"/>
      <c r="AP133" s="35">
        <v>4277.2299999999996</v>
      </c>
      <c r="AQ133" s="35"/>
      <c r="AR133" s="35"/>
      <c r="AS133" s="35"/>
      <c r="AT133" s="35"/>
      <c r="AU133" s="35"/>
      <c r="AV133" s="35"/>
      <c r="AW133" s="35"/>
      <c r="AX133" s="35"/>
      <c r="AY133" s="35"/>
      <c r="AZ133" s="33">
        <f t="shared" si="1"/>
        <v>3.200000000106229E-3</v>
      </c>
      <c r="BA133" s="267"/>
    </row>
    <row r="134" spans="1:53" s="23" customFormat="1" ht="81" hidden="1" customHeight="1" x14ac:dyDescent="0.3">
      <c r="A134" s="26">
        <v>117</v>
      </c>
      <c r="B134" s="348" t="s">
        <v>415</v>
      </c>
      <c r="C134" s="53"/>
      <c r="D134" s="30" t="s">
        <v>480</v>
      </c>
      <c r="E134" s="399">
        <v>4</v>
      </c>
      <c r="F134" s="40"/>
      <c r="G134" s="112"/>
      <c r="H134" s="45"/>
      <c r="I134" s="31"/>
      <c r="J134" s="32"/>
      <c r="K134" s="33"/>
      <c r="L134" s="32"/>
      <c r="M134" s="32"/>
      <c r="N134" s="32"/>
      <c r="O134" s="32"/>
      <c r="P134" s="31"/>
      <c r="Q134" s="31"/>
      <c r="R134" s="31"/>
      <c r="S134" s="34">
        <f>(3300*0.16+3300)*E134</f>
        <v>15312</v>
      </c>
      <c r="T134" s="34"/>
      <c r="U134" s="34"/>
      <c r="V134" s="35"/>
      <c r="W134" s="54"/>
      <c r="X134" s="35"/>
      <c r="Y134" s="35">
        <v>15312</v>
      </c>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5"/>
      <c r="AZ134" s="33">
        <f t="shared" si="1"/>
        <v>0</v>
      </c>
      <c r="BA134" s="267" t="s">
        <v>2760</v>
      </c>
    </row>
    <row r="135" spans="1:53" s="23" customFormat="1" ht="81" hidden="1" customHeight="1" x14ac:dyDescent="0.3">
      <c r="A135" s="26">
        <v>118</v>
      </c>
      <c r="B135" s="348" t="s">
        <v>2820</v>
      </c>
      <c r="C135" s="53"/>
      <c r="D135" s="30" t="s">
        <v>2822</v>
      </c>
      <c r="E135" s="399">
        <v>1</v>
      </c>
      <c r="F135" s="40"/>
      <c r="G135" s="112"/>
      <c r="H135" s="45"/>
      <c r="I135" s="31"/>
      <c r="J135" s="32"/>
      <c r="K135" s="33"/>
      <c r="L135" s="32"/>
      <c r="M135" s="32"/>
      <c r="N135" s="32"/>
      <c r="O135" s="32"/>
      <c r="P135" s="31"/>
      <c r="Q135" s="31"/>
      <c r="R135" s="31"/>
      <c r="S135" s="34"/>
      <c r="T135" s="34">
        <f>1600*0.16+1600</f>
        <v>1856</v>
      </c>
      <c r="U135" s="34"/>
      <c r="V135" s="35"/>
      <c r="W135" s="54"/>
      <c r="X135" s="35"/>
      <c r="Y135" s="35"/>
      <c r="Z135" s="35"/>
      <c r="AA135" s="35"/>
      <c r="AB135" s="35"/>
      <c r="AC135" s="35"/>
      <c r="AD135" s="35"/>
      <c r="AE135" s="35"/>
      <c r="AF135" s="35"/>
      <c r="AG135" s="35">
        <v>1856</v>
      </c>
      <c r="AH135" s="35"/>
      <c r="AI135" s="35"/>
      <c r="AJ135" s="35"/>
      <c r="AK135" s="35"/>
      <c r="AL135" s="35"/>
      <c r="AM135" s="35"/>
      <c r="AN135" s="35"/>
      <c r="AO135" s="35"/>
      <c r="AP135" s="35"/>
      <c r="AQ135" s="35"/>
      <c r="AR135" s="35"/>
      <c r="AS135" s="35"/>
      <c r="AT135" s="35"/>
      <c r="AU135" s="35"/>
      <c r="AV135" s="35"/>
      <c r="AW135" s="35"/>
      <c r="AX135" s="35"/>
      <c r="AY135" s="35"/>
      <c r="AZ135" s="33">
        <f t="shared" si="1"/>
        <v>0</v>
      </c>
      <c r="BA135" s="267" t="s">
        <v>2821</v>
      </c>
    </row>
    <row r="136" spans="1:53" ht="98.25" hidden="1" customHeight="1" x14ac:dyDescent="0.35">
      <c r="A136" s="26">
        <v>119</v>
      </c>
      <c r="B136" s="27" t="s">
        <v>88</v>
      </c>
      <c r="C136" s="28" t="s">
        <v>89</v>
      </c>
      <c r="D136" s="300" t="s">
        <v>1520</v>
      </c>
      <c r="E136" s="125">
        <v>5</v>
      </c>
      <c r="F136" s="62" t="s">
        <v>30</v>
      </c>
      <c r="G136" s="112">
        <f>[1]DICIEMBRE!$BA$117</f>
        <v>0</v>
      </c>
      <c r="H136" s="45">
        <f>ENERO!BA121</f>
        <v>0</v>
      </c>
      <c r="I136" s="31">
        <f>FEBRERO!AX123</f>
        <v>0</v>
      </c>
      <c r="J136" s="32">
        <f>MARZO!BA131</f>
        <v>0</v>
      </c>
      <c r="K136" s="32"/>
      <c r="L136" s="32"/>
      <c r="M136" s="32"/>
      <c r="N136" s="336"/>
      <c r="O136" s="32"/>
      <c r="P136" s="31"/>
      <c r="Q136" s="31"/>
      <c r="R136" s="31"/>
      <c r="S136" s="47">
        <f>(300*0.16+300)*E136</f>
        <v>1740</v>
      </c>
      <c r="T136" s="47"/>
      <c r="U136" s="48"/>
      <c r="V136" s="49"/>
      <c r="W136" s="50"/>
      <c r="X136" s="49"/>
      <c r="Y136" s="49"/>
      <c r="Z136" s="49">
        <v>1740</v>
      </c>
      <c r="AA136" s="49"/>
      <c r="AB136" s="70"/>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33">
        <f t="shared" si="1"/>
        <v>0</v>
      </c>
      <c r="BA136" s="267"/>
    </row>
    <row r="137" spans="1:53" ht="53.25" hidden="1" customHeight="1" x14ac:dyDescent="0.35">
      <c r="A137" s="26">
        <v>120</v>
      </c>
      <c r="B137" s="43" t="s">
        <v>1080</v>
      </c>
      <c r="C137" s="28"/>
      <c r="D137" s="300" t="s">
        <v>1521</v>
      </c>
      <c r="E137" s="95">
        <v>1</v>
      </c>
      <c r="F137" s="62" t="s">
        <v>30</v>
      </c>
      <c r="G137" s="234">
        <f>[1]DICIEMBRE!$BA$118</f>
        <v>-250</v>
      </c>
      <c r="H137" s="31">
        <f>ENERO!BA122</f>
        <v>0</v>
      </c>
      <c r="I137" s="45">
        <f>FEBRERO!AX124</f>
        <v>-750</v>
      </c>
      <c r="J137" s="32">
        <f>MARZO!BA132</f>
        <v>-500</v>
      </c>
      <c r="K137" s="32"/>
      <c r="L137" s="336"/>
      <c r="M137" s="336"/>
      <c r="N137" s="32"/>
      <c r="O137" s="32"/>
      <c r="P137" s="33"/>
      <c r="Q137" s="31"/>
      <c r="R137" s="31"/>
      <c r="S137" s="47">
        <f>250*E137</f>
        <v>250</v>
      </c>
      <c r="T137" s="47"/>
      <c r="U137" s="48"/>
      <c r="V137" s="49"/>
      <c r="W137" s="50"/>
      <c r="X137" s="49"/>
      <c r="Y137" s="49"/>
      <c r="Z137" s="49"/>
      <c r="AA137" s="49"/>
      <c r="AB137" s="70"/>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33">
        <f t="shared" si="1"/>
        <v>-250</v>
      </c>
      <c r="BA137" s="267" t="s">
        <v>2194</v>
      </c>
    </row>
    <row r="138" spans="1:53" ht="57" hidden="1" customHeight="1" x14ac:dyDescent="0.35">
      <c r="A138" s="26">
        <v>121</v>
      </c>
      <c r="B138" s="43" t="s">
        <v>569</v>
      </c>
      <c r="C138" s="28"/>
      <c r="D138" s="300" t="s">
        <v>1169</v>
      </c>
      <c r="E138" s="95">
        <v>2</v>
      </c>
      <c r="F138" s="62" t="s">
        <v>30</v>
      </c>
      <c r="G138" s="234">
        <f>[1]DICIEMBRE!$BA$120</f>
        <v>1262</v>
      </c>
      <c r="H138" s="45">
        <f>ENERO!BA124</f>
        <v>0</v>
      </c>
      <c r="I138" s="31">
        <f>FEBRERO!AX125</f>
        <v>0</v>
      </c>
      <c r="J138" s="32">
        <f>MARZO!BA133</f>
        <v>0</v>
      </c>
      <c r="K138" s="33"/>
      <c r="L138" s="32"/>
      <c r="M138" s="32"/>
      <c r="N138" s="32"/>
      <c r="O138" s="33"/>
      <c r="P138" s="33"/>
      <c r="Q138" s="31"/>
      <c r="R138" s="31"/>
      <c r="S138" s="47">
        <f>(300*0.16+300)*E138</f>
        <v>696</v>
      </c>
      <c r="T138" s="47"/>
      <c r="U138" s="48"/>
      <c r="V138" s="49"/>
      <c r="W138" s="50"/>
      <c r="X138" s="49"/>
      <c r="Y138" s="49">
        <v>696</v>
      </c>
      <c r="Z138" s="49"/>
      <c r="AA138" s="49"/>
      <c r="AB138" s="70"/>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33">
        <f t="shared" si="1"/>
        <v>0</v>
      </c>
      <c r="BA138" s="267"/>
    </row>
    <row r="139" spans="1:53" ht="69.75" hidden="1" customHeight="1" x14ac:dyDescent="0.35">
      <c r="A139" s="26">
        <v>122</v>
      </c>
      <c r="B139" s="27" t="s">
        <v>91</v>
      </c>
      <c r="C139" s="28" t="s">
        <v>92</v>
      </c>
      <c r="D139" s="304" t="s">
        <v>1170</v>
      </c>
      <c r="E139" s="95">
        <v>9</v>
      </c>
      <c r="F139" s="44" t="s">
        <v>30</v>
      </c>
      <c r="G139" s="112">
        <f>[1]DICIEMBRE!$BA$121</f>
        <v>0</v>
      </c>
      <c r="H139" s="31">
        <f>ENERO!BA125</f>
        <v>0</v>
      </c>
      <c r="I139" s="31">
        <f>FEBRERO!AX126</f>
        <v>0</v>
      </c>
      <c r="J139" s="32">
        <f>MARZO!BA134</f>
        <v>0</v>
      </c>
      <c r="K139" s="32"/>
      <c r="L139" s="32"/>
      <c r="M139" s="32"/>
      <c r="N139" s="336"/>
      <c r="O139" s="32"/>
      <c r="P139" s="31"/>
      <c r="Q139" s="31"/>
      <c r="R139" s="31"/>
      <c r="S139" s="47">
        <f>E139*300</f>
        <v>2700</v>
      </c>
      <c r="T139" s="47">
        <v>350</v>
      </c>
      <c r="U139" s="48"/>
      <c r="V139" s="49"/>
      <c r="W139" s="49"/>
      <c r="X139" s="49"/>
      <c r="Y139" s="49"/>
      <c r="Z139" s="49"/>
      <c r="AA139" s="49"/>
      <c r="AB139" s="49"/>
      <c r="AC139" s="69"/>
      <c r="AD139" s="49">
        <v>3050</v>
      </c>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33">
        <f t="shared" si="1"/>
        <v>0</v>
      </c>
      <c r="BA139" s="43" t="s">
        <v>2779</v>
      </c>
    </row>
    <row r="140" spans="1:53" ht="28.5" hidden="1" customHeight="1" x14ac:dyDescent="0.35">
      <c r="A140" s="26">
        <v>123</v>
      </c>
      <c r="B140" s="43" t="s">
        <v>93</v>
      </c>
      <c r="C140" s="53" t="s">
        <v>94</v>
      </c>
      <c r="D140" s="298" t="s">
        <v>1523</v>
      </c>
      <c r="E140" s="95">
        <v>3</v>
      </c>
      <c r="F140" s="44" t="s">
        <v>30</v>
      </c>
      <c r="G140" s="234">
        <f>[1]DICIEMBRE!$BA$122</f>
        <v>-450</v>
      </c>
      <c r="H140" s="31">
        <f>ENERO!BA126</f>
        <v>-450</v>
      </c>
      <c r="I140" s="31">
        <f>FEBRERO!AX127</f>
        <v>-450</v>
      </c>
      <c r="J140" s="32">
        <f>MARZO!BA135</f>
        <v>-450</v>
      </c>
      <c r="K140" s="32"/>
      <c r="L140" s="336"/>
      <c r="M140" s="336"/>
      <c r="N140" s="32"/>
      <c r="O140" s="32"/>
      <c r="P140" s="33"/>
      <c r="Q140" s="31"/>
      <c r="R140" s="31"/>
      <c r="S140" s="47">
        <f>250*E140</f>
        <v>750</v>
      </c>
      <c r="T140" s="47"/>
      <c r="U140" s="48"/>
      <c r="V140" s="50"/>
      <c r="W140" s="50"/>
      <c r="X140" s="49"/>
      <c r="Y140" s="49"/>
      <c r="Z140" s="49"/>
      <c r="AA140" s="49"/>
      <c r="AB140" s="49"/>
      <c r="AC140" s="49"/>
      <c r="AD140" s="49"/>
      <c r="AE140" s="49"/>
      <c r="AF140" s="49"/>
      <c r="AG140" s="49"/>
      <c r="AH140" s="49"/>
      <c r="AI140" s="49"/>
      <c r="AJ140" s="49">
        <v>750</v>
      </c>
      <c r="AK140" s="49"/>
      <c r="AL140" s="49"/>
      <c r="AM140" s="49"/>
      <c r="AN140" s="49"/>
      <c r="AO140" s="49"/>
      <c r="AP140" s="49"/>
      <c r="AQ140" s="49"/>
      <c r="AR140" s="49"/>
      <c r="AS140" s="49"/>
      <c r="AT140" s="49"/>
      <c r="AU140" s="49"/>
      <c r="AV140" s="49"/>
      <c r="AW140" s="49"/>
      <c r="AX140" s="49"/>
      <c r="AY140" s="49"/>
      <c r="AZ140" s="33">
        <f t="shared" si="1"/>
        <v>-450</v>
      </c>
      <c r="BA140" s="43"/>
    </row>
    <row r="141" spans="1:53" ht="45" customHeight="1" x14ac:dyDescent="0.35">
      <c r="A141" s="26">
        <v>124</v>
      </c>
      <c r="B141" s="43" t="s">
        <v>95</v>
      </c>
      <c r="C141" s="27" t="s">
        <v>96</v>
      </c>
      <c r="D141" s="298" t="s">
        <v>1647</v>
      </c>
      <c r="E141" s="95">
        <v>15</v>
      </c>
      <c r="F141" s="44" t="s">
        <v>30</v>
      </c>
      <c r="G141" s="112">
        <f>[1]DICIEMBRE!$BA$123</f>
        <v>-0.2000000000007276</v>
      </c>
      <c r="H141" s="45">
        <f>ENERO!BA127</f>
        <v>-0.2000000000007276</v>
      </c>
      <c r="I141" s="45">
        <f>FEBRERO!AX128</f>
        <v>0</v>
      </c>
      <c r="J141" s="32">
        <f>MARZO!BA136</f>
        <v>0</v>
      </c>
      <c r="K141" s="33"/>
      <c r="L141" s="32"/>
      <c r="M141" s="32"/>
      <c r="N141" s="32"/>
      <c r="O141" s="33"/>
      <c r="P141" s="31"/>
      <c r="Q141" s="31"/>
      <c r="R141" s="31"/>
      <c r="S141" s="47">
        <f>(300*0.16+300)*E141</f>
        <v>5220</v>
      </c>
      <c r="T141" s="47">
        <f>(1000*0.16+1000)+4120*0.16+4120</f>
        <v>5939.2</v>
      </c>
      <c r="U141" s="48"/>
      <c r="V141" s="50"/>
      <c r="W141" s="50"/>
      <c r="X141" s="49"/>
      <c r="Y141" s="49"/>
      <c r="Z141" s="49">
        <v>6380</v>
      </c>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33">
        <f t="shared" si="1"/>
        <v>4779.2000000000007</v>
      </c>
      <c r="BA141" s="43" t="s">
        <v>2620</v>
      </c>
    </row>
    <row r="142" spans="1:53" ht="45" hidden="1" customHeight="1" x14ac:dyDescent="0.35">
      <c r="A142" s="26">
        <v>125</v>
      </c>
      <c r="B142" s="43" t="s">
        <v>1299</v>
      </c>
      <c r="C142" s="27"/>
      <c r="D142" s="300" t="s">
        <v>1524</v>
      </c>
      <c r="E142" s="95">
        <v>1</v>
      </c>
      <c r="F142" s="44" t="s">
        <v>30</v>
      </c>
      <c r="G142" s="234">
        <f>[1]DICIEMBRE!$BA$124</f>
        <v>0</v>
      </c>
      <c r="H142" s="31">
        <f>ENERO!BA128</f>
        <v>0</v>
      </c>
      <c r="I142" s="31">
        <f>FEBRERO!AX129</f>
        <v>0</v>
      </c>
      <c r="J142" s="32">
        <f>MARZO!BA137</f>
        <v>0</v>
      </c>
      <c r="K142" s="33"/>
      <c r="L142" s="32"/>
      <c r="M142" s="32"/>
      <c r="N142" s="32"/>
      <c r="O142" s="32"/>
      <c r="P142" s="33"/>
      <c r="Q142" s="31"/>
      <c r="R142" s="31"/>
      <c r="S142" s="47">
        <f>300*E142</f>
        <v>300</v>
      </c>
      <c r="T142" s="47"/>
      <c r="U142" s="48"/>
      <c r="V142" s="50"/>
      <c r="W142" s="50"/>
      <c r="X142" s="49"/>
      <c r="Y142" s="49"/>
      <c r="Z142" s="49"/>
      <c r="AA142" s="49"/>
      <c r="AB142" s="49"/>
      <c r="AC142" s="49"/>
      <c r="AD142" s="49"/>
      <c r="AE142" s="49"/>
      <c r="AF142" s="49"/>
      <c r="AG142" s="49"/>
      <c r="AH142" s="49"/>
      <c r="AI142" s="49"/>
      <c r="AJ142" s="49"/>
      <c r="AK142" s="49"/>
      <c r="AL142" s="49"/>
      <c r="AM142" s="49"/>
      <c r="AN142" s="49"/>
      <c r="AO142" s="49"/>
      <c r="AP142" s="49"/>
      <c r="AQ142" s="49"/>
      <c r="AR142" s="49">
        <v>300</v>
      </c>
      <c r="AS142" s="49"/>
      <c r="AT142" s="49"/>
      <c r="AU142" s="49"/>
      <c r="AV142" s="49"/>
      <c r="AW142" s="49"/>
      <c r="AX142" s="49"/>
      <c r="AY142" s="49"/>
      <c r="AZ142" s="33">
        <f t="shared" si="1"/>
        <v>0</v>
      </c>
      <c r="BA142" s="43"/>
    </row>
    <row r="143" spans="1:53" ht="45" hidden="1" customHeight="1" x14ac:dyDescent="0.35">
      <c r="A143" s="26">
        <v>126</v>
      </c>
      <c r="B143" s="43" t="s">
        <v>2810</v>
      </c>
      <c r="C143" s="27"/>
      <c r="D143" s="329" t="s">
        <v>2808</v>
      </c>
      <c r="E143" s="95">
        <v>1</v>
      </c>
      <c r="F143" s="44"/>
      <c r="G143" s="234"/>
      <c r="H143" s="31"/>
      <c r="I143" s="31"/>
      <c r="J143" s="32">
        <v>250</v>
      </c>
      <c r="K143" s="33"/>
      <c r="L143" s="32"/>
      <c r="M143" s="32"/>
      <c r="N143" s="32"/>
      <c r="O143" s="32"/>
      <c r="P143" s="33"/>
      <c r="Q143" s="31"/>
      <c r="R143" s="31"/>
      <c r="S143" s="47">
        <v>300</v>
      </c>
      <c r="T143" s="47">
        <v>1800</v>
      </c>
      <c r="U143" s="48"/>
      <c r="V143" s="50"/>
      <c r="W143" s="50"/>
      <c r="X143" s="49"/>
      <c r="Y143" s="49"/>
      <c r="Z143" s="49"/>
      <c r="AA143" s="49"/>
      <c r="AB143" s="49"/>
      <c r="AC143" s="49"/>
      <c r="AD143" s="49"/>
      <c r="AE143" s="49">
        <v>2350</v>
      </c>
      <c r="AF143" s="49"/>
      <c r="AG143" s="49"/>
      <c r="AH143" s="49"/>
      <c r="AI143" s="49"/>
      <c r="AJ143" s="49"/>
      <c r="AK143" s="49"/>
      <c r="AL143" s="49"/>
      <c r="AM143" s="49"/>
      <c r="AN143" s="49"/>
      <c r="AO143" s="49"/>
      <c r="AP143" s="49"/>
      <c r="AQ143" s="49"/>
      <c r="AR143" s="49"/>
      <c r="AS143" s="49"/>
      <c r="AT143" s="49"/>
      <c r="AU143" s="49"/>
      <c r="AV143" s="49"/>
      <c r="AW143" s="49"/>
      <c r="AX143" s="49"/>
      <c r="AY143" s="49"/>
      <c r="AZ143" s="33">
        <f t="shared" si="1"/>
        <v>0</v>
      </c>
      <c r="BA143" s="43" t="s">
        <v>2809</v>
      </c>
    </row>
    <row r="144" spans="1:53" ht="45" hidden="1" customHeight="1" x14ac:dyDescent="0.35">
      <c r="A144" s="26">
        <v>127</v>
      </c>
      <c r="B144" s="43" t="s">
        <v>1963</v>
      </c>
      <c r="C144" s="27"/>
      <c r="D144" s="300" t="s">
        <v>1964</v>
      </c>
      <c r="E144" s="95">
        <v>1</v>
      </c>
      <c r="F144" s="44"/>
      <c r="G144" s="112"/>
      <c r="H144" s="45">
        <f>ENERO!BA130</f>
        <v>0</v>
      </c>
      <c r="I144" s="31">
        <f>FEBRERO!AX131</f>
        <v>0</v>
      </c>
      <c r="J144" s="32">
        <f>MARZO!BA138</f>
        <v>0</v>
      </c>
      <c r="K144" s="33"/>
      <c r="L144" s="32"/>
      <c r="M144" s="32"/>
      <c r="N144" s="336"/>
      <c r="O144" s="33"/>
      <c r="P144" s="31"/>
      <c r="Q144" s="31"/>
      <c r="R144" s="31"/>
      <c r="S144" s="47">
        <f>350*E144</f>
        <v>350</v>
      </c>
      <c r="T144" s="47"/>
      <c r="U144" s="48"/>
      <c r="V144" s="50"/>
      <c r="W144" s="50"/>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v>350</v>
      </c>
      <c r="AU144" s="49"/>
      <c r="AV144" s="49"/>
      <c r="AW144" s="49"/>
      <c r="AX144" s="49"/>
      <c r="AY144" s="49"/>
      <c r="AZ144" s="33">
        <f t="shared" si="1"/>
        <v>0</v>
      </c>
      <c r="BA144" s="43"/>
    </row>
    <row r="145" spans="1:53" ht="45" hidden="1" customHeight="1" x14ac:dyDescent="0.35">
      <c r="A145" s="26">
        <v>128</v>
      </c>
      <c r="B145" s="43" t="s">
        <v>1663</v>
      </c>
      <c r="C145" s="27"/>
      <c r="D145" s="300" t="s">
        <v>1664</v>
      </c>
      <c r="E145" s="95">
        <v>3</v>
      </c>
      <c r="F145" s="44"/>
      <c r="G145" s="112">
        <f>[1]DICIEMBRE!$BA$127</f>
        <v>0</v>
      </c>
      <c r="H145" s="31">
        <f>ENERO!BA131</f>
        <v>-250</v>
      </c>
      <c r="I145" s="45">
        <f>FEBRERO!AX132</f>
        <v>-750</v>
      </c>
      <c r="J145" s="32">
        <f>MARZO!BA139</f>
        <v>0</v>
      </c>
      <c r="K145" s="33"/>
      <c r="L145" s="32"/>
      <c r="M145" s="32"/>
      <c r="N145" s="32"/>
      <c r="O145" s="32"/>
      <c r="P145" s="33"/>
      <c r="Q145" s="31"/>
      <c r="R145" s="31"/>
      <c r="S145" s="47">
        <f>250*E145</f>
        <v>750</v>
      </c>
      <c r="T145" s="47"/>
      <c r="U145" s="48"/>
      <c r="V145" s="50">
        <v>750</v>
      </c>
      <c r="W145" s="50"/>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33">
        <f t="shared" si="1"/>
        <v>0</v>
      </c>
      <c r="BA145" s="43"/>
    </row>
    <row r="146" spans="1:53" ht="45" hidden="1" customHeight="1" x14ac:dyDescent="0.35">
      <c r="A146" s="26">
        <v>129</v>
      </c>
      <c r="B146" s="43" t="s">
        <v>1571</v>
      </c>
      <c r="C146" s="27"/>
      <c r="D146" s="300" t="s">
        <v>1596</v>
      </c>
      <c r="E146" s="95"/>
      <c r="F146" s="44" t="s">
        <v>100</v>
      </c>
      <c r="G146" s="112">
        <f>[1]DICIEMBRE!$BA$129</f>
        <v>0</v>
      </c>
      <c r="H146" s="45">
        <f>ENERO!BA133</f>
        <v>0</v>
      </c>
      <c r="I146" s="31">
        <f>FEBRERO!AX134</f>
        <v>0</v>
      </c>
      <c r="J146" s="32">
        <f>MARZO!BA140</f>
        <v>0</v>
      </c>
      <c r="K146" s="33"/>
      <c r="L146" s="32"/>
      <c r="M146" s="32"/>
      <c r="N146" s="32"/>
      <c r="O146" s="32"/>
      <c r="P146" s="33"/>
      <c r="Q146" s="31"/>
      <c r="R146" s="31"/>
      <c r="S146" s="47">
        <f>150*E146</f>
        <v>0</v>
      </c>
      <c r="T146" s="47"/>
      <c r="U146" s="48"/>
      <c r="V146" s="50"/>
      <c r="W146" s="50"/>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33">
        <f t="shared" si="1"/>
        <v>0</v>
      </c>
      <c r="BA146" s="43" t="s">
        <v>1776</v>
      </c>
    </row>
    <row r="147" spans="1:53" ht="45" hidden="1" customHeight="1" x14ac:dyDescent="0.35">
      <c r="A147" s="26">
        <v>130</v>
      </c>
      <c r="B147" s="43" t="s">
        <v>1280</v>
      </c>
      <c r="C147" s="27"/>
      <c r="D147" s="298" t="s">
        <v>1525</v>
      </c>
      <c r="E147" s="95">
        <v>1</v>
      </c>
      <c r="F147" s="44" t="s">
        <v>30</v>
      </c>
      <c r="G147" s="234">
        <f>[1]DICIEMBRE!$BA$130</f>
        <v>0</v>
      </c>
      <c r="H147" s="31">
        <f>ENERO!BA134</f>
        <v>0</v>
      </c>
      <c r="I147" s="31">
        <f>FEBRERO!AX135</f>
        <v>0</v>
      </c>
      <c r="J147" s="32">
        <f>MARZO!BA141</f>
        <v>0</v>
      </c>
      <c r="K147" s="33"/>
      <c r="L147" s="32"/>
      <c r="M147" s="32"/>
      <c r="N147" s="32"/>
      <c r="O147" s="32"/>
      <c r="P147" s="31"/>
      <c r="Q147" s="31"/>
      <c r="R147" s="31"/>
      <c r="S147" s="47">
        <f>250*E147</f>
        <v>250</v>
      </c>
      <c r="T147" s="47"/>
      <c r="U147" s="48"/>
      <c r="V147" s="50"/>
      <c r="W147" s="50"/>
      <c r="X147" s="49"/>
      <c r="Y147" s="49"/>
      <c r="Z147" s="49"/>
      <c r="AA147" s="49"/>
      <c r="AB147" s="49">
        <v>250</v>
      </c>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33">
        <f t="shared" si="1"/>
        <v>0</v>
      </c>
      <c r="BA147" s="43"/>
    </row>
    <row r="148" spans="1:53" ht="45" hidden="1" customHeight="1" x14ac:dyDescent="0.35">
      <c r="A148" s="26">
        <v>131</v>
      </c>
      <c r="B148" s="43" t="s">
        <v>1240</v>
      </c>
      <c r="C148" s="27"/>
      <c r="D148" s="300" t="s">
        <v>1526</v>
      </c>
      <c r="E148" s="95">
        <v>3</v>
      </c>
      <c r="F148" s="44" t="s">
        <v>30</v>
      </c>
      <c r="G148" s="112">
        <f>[1]DICIEMBRE!$BA$131</f>
        <v>0</v>
      </c>
      <c r="H148" s="31">
        <f>ENERO!BA135</f>
        <v>0</v>
      </c>
      <c r="I148" s="45">
        <f>FEBRERO!AX136</f>
        <v>0</v>
      </c>
      <c r="J148" s="32">
        <f>MARZO!BA142</f>
        <v>0</v>
      </c>
      <c r="K148" s="33"/>
      <c r="L148" s="32"/>
      <c r="M148" s="336"/>
      <c r="N148" s="336"/>
      <c r="O148" s="33"/>
      <c r="P148" s="33"/>
      <c r="Q148" s="31"/>
      <c r="R148" s="31"/>
      <c r="S148" s="47">
        <f>250+900+900</f>
        <v>2050</v>
      </c>
      <c r="T148" s="47"/>
      <c r="U148" s="48"/>
      <c r="V148" s="50"/>
      <c r="W148" s="50"/>
      <c r="X148" s="49"/>
      <c r="Y148" s="49">
        <v>2050</v>
      </c>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33">
        <f t="shared" si="1"/>
        <v>0</v>
      </c>
      <c r="BA148" s="43"/>
    </row>
    <row r="149" spans="1:53" ht="45.75" hidden="1" customHeight="1" x14ac:dyDescent="0.35">
      <c r="A149" s="26">
        <v>132</v>
      </c>
      <c r="B149" s="43" t="s">
        <v>2069</v>
      </c>
      <c r="C149" s="27"/>
      <c r="D149" s="300" t="s">
        <v>2070</v>
      </c>
      <c r="E149" s="95">
        <v>1</v>
      </c>
      <c r="F149" s="44" t="s">
        <v>100</v>
      </c>
      <c r="G149" s="112"/>
      <c r="H149" s="31">
        <f>ENERO!BA136</f>
        <v>0</v>
      </c>
      <c r="I149" s="31">
        <f>FEBRERO!AX137</f>
        <v>0</v>
      </c>
      <c r="J149" s="32">
        <f>MARZO!BA143</f>
        <v>350</v>
      </c>
      <c r="K149" s="33"/>
      <c r="L149" s="32"/>
      <c r="M149" s="336"/>
      <c r="N149" s="336"/>
      <c r="O149" s="33"/>
      <c r="P149" s="33"/>
      <c r="Q149" s="31"/>
      <c r="R149" s="31"/>
      <c r="S149" s="47">
        <f>350*E149</f>
        <v>350</v>
      </c>
      <c r="T149" s="47"/>
      <c r="U149" s="48"/>
      <c r="V149" s="50"/>
      <c r="W149" s="50"/>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v>700</v>
      </c>
      <c r="AU149" s="49"/>
      <c r="AV149" s="49"/>
      <c r="AW149" s="49"/>
      <c r="AX149" s="49"/>
      <c r="AY149" s="49"/>
      <c r="AZ149" s="33">
        <f t="shared" si="1"/>
        <v>0</v>
      </c>
      <c r="BA149" s="43"/>
    </row>
    <row r="150" spans="1:53" ht="38.25" customHeight="1" x14ac:dyDescent="0.35">
      <c r="A150" s="26">
        <v>133</v>
      </c>
      <c r="B150" s="27" t="s">
        <v>98</v>
      </c>
      <c r="C150" s="28" t="s">
        <v>99</v>
      </c>
      <c r="D150" s="300" t="s">
        <v>1528</v>
      </c>
      <c r="E150" s="95">
        <v>2</v>
      </c>
      <c r="F150" s="44" t="s">
        <v>100</v>
      </c>
      <c r="G150" s="112">
        <f>[1]DICIEMBRE!$BA$135</f>
        <v>0</v>
      </c>
      <c r="H150" s="45">
        <f>ENERO!BA140</f>
        <v>600</v>
      </c>
      <c r="I150" s="31">
        <f>FEBRERO!AX139</f>
        <v>0</v>
      </c>
      <c r="J150" s="32">
        <f>MARZO!BA144</f>
        <v>600</v>
      </c>
      <c r="K150" s="32"/>
      <c r="L150" s="32"/>
      <c r="M150" s="32"/>
      <c r="N150" s="32"/>
      <c r="O150" s="32"/>
      <c r="P150" s="33"/>
      <c r="Q150" s="31"/>
      <c r="R150" s="31"/>
      <c r="S150" s="47">
        <f>300*E150</f>
        <v>600</v>
      </c>
      <c r="T150" s="47"/>
      <c r="U150" s="48"/>
      <c r="V150" s="49"/>
      <c r="W150" s="49"/>
      <c r="X150" s="49"/>
      <c r="Y150" s="49"/>
      <c r="Z150" s="49"/>
      <c r="AA150" s="49"/>
      <c r="AB150" s="49"/>
      <c r="AC150" s="50"/>
      <c r="AD150" s="49"/>
      <c r="AE150" s="49"/>
      <c r="AF150" s="49"/>
      <c r="AG150" s="49"/>
      <c r="AH150" s="51"/>
      <c r="AI150" s="49"/>
      <c r="AJ150" s="49"/>
      <c r="AK150" s="49"/>
      <c r="AL150" s="49"/>
      <c r="AM150" s="49"/>
      <c r="AN150" s="49"/>
      <c r="AO150" s="49"/>
      <c r="AP150" s="49"/>
      <c r="AQ150" s="49"/>
      <c r="AR150" s="49"/>
      <c r="AS150" s="49"/>
      <c r="AT150" s="49"/>
      <c r="AU150" s="49"/>
      <c r="AV150" s="49"/>
      <c r="AW150" s="49"/>
      <c r="AX150" s="49"/>
      <c r="AY150" s="49"/>
      <c r="AZ150" s="33">
        <f t="shared" si="1"/>
        <v>1200</v>
      </c>
      <c r="BA150" s="43"/>
    </row>
    <row r="151" spans="1:53" ht="57" hidden="1" customHeight="1" x14ac:dyDescent="0.35">
      <c r="A151" s="26">
        <v>134</v>
      </c>
      <c r="B151" s="43" t="s">
        <v>2775</v>
      </c>
      <c r="C151" s="28"/>
      <c r="D151" s="300" t="s">
        <v>2776</v>
      </c>
      <c r="E151" s="95">
        <v>3</v>
      </c>
      <c r="F151" s="44"/>
      <c r="G151" s="112"/>
      <c r="H151" s="45"/>
      <c r="I151" s="31"/>
      <c r="J151" s="32"/>
      <c r="K151" s="32"/>
      <c r="L151" s="32"/>
      <c r="M151" s="32"/>
      <c r="N151" s="32"/>
      <c r="O151" s="32"/>
      <c r="P151" s="33"/>
      <c r="Q151" s="31"/>
      <c r="R151" s="31"/>
      <c r="S151" s="47">
        <f>(300)*E151</f>
        <v>900</v>
      </c>
      <c r="T151" s="47">
        <f>(549)*3</f>
        <v>1647</v>
      </c>
      <c r="U151" s="48"/>
      <c r="V151" s="49"/>
      <c r="W151" s="49"/>
      <c r="X151" s="49"/>
      <c r="Y151" s="49"/>
      <c r="Z151" s="49"/>
      <c r="AA151" s="49"/>
      <c r="AB151" s="49"/>
      <c r="AC151" s="50"/>
      <c r="AD151" s="49">
        <v>2547</v>
      </c>
      <c r="AE151" s="49"/>
      <c r="AF151" s="49"/>
      <c r="AG151" s="49"/>
      <c r="AH151" s="51"/>
      <c r="AI151" s="49"/>
      <c r="AJ151" s="49"/>
      <c r="AK151" s="49"/>
      <c r="AL151" s="49"/>
      <c r="AM151" s="49"/>
      <c r="AN151" s="49"/>
      <c r="AO151" s="49"/>
      <c r="AP151" s="49"/>
      <c r="AQ151" s="49"/>
      <c r="AR151" s="49"/>
      <c r="AS151" s="49"/>
      <c r="AT151" s="49"/>
      <c r="AU151" s="49"/>
      <c r="AV151" s="49"/>
      <c r="AW151" s="49"/>
      <c r="AX151" s="49"/>
      <c r="AY151" s="49"/>
      <c r="AZ151" s="33">
        <f t="shared" ref="AZ151:AZ215" si="2">SUM(J151+S151+T151-U151-V151-W151-X151-Y151-Z151-AA151-AB151-AC151-AD151-AE151-AF151-AG151-AH151-AI151-AJ151-AK151-AL151-AM151-AN151-AO151-AP151-AQ151-AR151-AS151-AT151-AU151-AV151-AW151-AX151-AY151)</f>
        <v>0</v>
      </c>
      <c r="BA151" s="43" t="s">
        <v>2777</v>
      </c>
    </row>
    <row r="152" spans="1:53" ht="38.25" customHeight="1" x14ac:dyDescent="0.35">
      <c r="A152" s="26">
        <v>135</v>
      </c>
      <c r="B152" s="43" t="s">
        <v>1561</v>
      </c>
      <c r="C152" s="28"/>
      <c r="D152" s="300" t="s">
        <v>1562</v>
      </c>
      <c r="E152" s="95">
        <v>1</v>
      </c>
      <c r="F152" s="44" t="s">
        <v>30</v>
      </c>
      <c r="G152" s="234">
        <f>[1]DICIEMBRE!$BA$136</f>
        <v>-52</v>
      </c>
      <c r="H152" s="31">
        <f>ENERO!BA141</f>
        <v>-353</v>
      </c>
      <c r="I152" s="45">
        <f>FEBRERO!AX140</f>
        <v>-54</v>
      </c>
      <c r="J152" s="32">
        <f>MARZO!BA145</f>
        <v>245</v>
      </c>
      <c r="K152" s="32"/>
      <c r="L152" s="32"/>
      <c r="M152" s="32"/>
      <c r="N152" s="32"/>
      <c r="O152" s="32"/>
      <c r="P152" s="33"/>
      <c r="Q152" s="31"/>
      <c r="R152" s="31"/>
      <c r="S152" s="47">
        <f>299*E152</f>
        <v>299</v>
      </c>
      <c r="T152" s="47"/>
      <c r="U152" s="48"/>
      <c r="V152" s="49">
        <v>300</v>
      </c>
      <c r="W152" s="49"/>
      <c r="X152" s="49"/>
      <c r="Y152" s="49"/>
      <c r="Z152" s="49"/>
      <c r="AA152" s="49"/>
      <c r="AB152" s="49"/>
      <c r="AC152" s="50"/>
      <c r="AD152" s="49"/>
      <c r="AE152" s="49"/>
      <c r="AF152" s="49"/>
      <c r="AG152" s="49"/>
      <c r="AH152" s="51"/>
      <c r="AI152" s="49"/>
      <c r="AJ152" s="49"/>
      <c r="AK152" s="49"/>
      <c r="AL152" s="49"/>
      <c r="AM152" s="49"/>
      <c r="AN152" s="49"/>
      <c r="AO152" s="49"/>
      <c r="AP152" s="49"/>
      <c r="AQ152" s="49"/>
      <c r="AR152" s="49"/>
      <c r="AS152" s="49"/>
      <c r="AT152" s="49"/>
      <c r="AU152" s="49"/>
      <c r="AV152" s="49"/>
      <c r="AW152" s="49"/>
      <c r="AX152" s="49"/>
      <c r="AY152" s="49"/>
      <c r="AZ152" s="33">
        <f t="shared" si="2"/>
        <v>244</v>
      </c>
      <c r="BA152" s="43"/>
    </row>
    <row r="153" spans="1:53" ht="37.5" customHeight="1" x14ac:dyDescent="0.35">
      <c r="A153" s="26">
        <v>136</v>
      </c>
      <c r="B153" s="27" t="s">
        <v>101</v>
      </c>
      <c r="C153" s="28" t="s">
        <v>102</v>
      </c>
      <c r="D153" s="300" t="s">
        <v>1171</v>
      </c>
      <c r="E153" s="95">
        <v>1</v>
      </c>
      <c r="F153" s="44" t="s">
        <v>30</v>
      </c>
      <c r="G153" s="112">
        <f>[1]DICIEMBRE!$BA$137</f>
        <v>300</v>
      </c>
      <c r="H153" s="31">
        <f>ENERO!BA142</f>
        <v>0</v>
      </c>
      <c r="I153" s="31">
        <f>FEBRERO!AX141</f>
        <v>-300</v>
      </c>
      <c r="J153" s="32">
        <f>MARZO!BA146</f>
        <v>0</v>
      </c>
      <c r="K153" s="32"/>
      <c r="L153" s="32"/>
      <c r="M153" s="336"/>
      <c r="N153" s="336"/>
      <c r="O153" s="33"/>
      <c r="P153" s="33"/>
      <c r="Q153" s="31"/>
      <c r="R153" s="31"/>
      <c r="S153" s="47">
        <f>300*E153</f>
        <v>300</v>
      </c>
      <c r="T153" s="47"/>
      <c r="U153" s="48"/>
      <c r="V153" s="49"/>
      <c r="W153" s="49"/>
      <c r="X153" s="49"/>
      <c r="Y153" s="49"/>
      <c r="Z153" s="49"/>
      <c r="AA153" s="49"/>
      <c r="AB153" s="49"/>
      <c r="AC153" s="49"/>
      <c r="AD153" s="49"/>
      <c r="AE153" s="50"/>
      <c r="AF153" s="49"/>
      <c r="AG153" s="49"/>
      <c r="AH153" s="49"/>
      <c r="AI153" s="49"/>
      <c r="AJ153" s="49"/>
      <c r="AK153" s="49"/>
      <c r="AL153" s="49"/>
      <c r="AM153" s="49"/>
      <c r="AN153" s="49"/>
      <c r="AO153" s="49"/>
      <c r="AP153" s="49"/>
      <c r="AQ153" s="49"/>
      <c r="AR153" s="49"/>
      <c r="AS153" s="49"/>
      <c r="AT153" s="49"/>
      <c r="AU153" s="49"/>
      <c r="AV153" s="49"/>
      <c r="AW153" s="49"/>
      <c r="AX153" s="49"/>
      <c r="AY153" s="49"/>
      <c r="AZ153" s="33">
        <f t="shared" si="2"/>
        <v>300</v>
      </c>
      <c r="BA153" s="43"/>
    </row>
    <row r="154" spans="1:53" ht="46.5" hidden="1" customHeight="1" x14ac:dyDescent="0.35">
      <c r="A154" s="26">
        <v>137</v>
      </c>
      <c r="B154" s="43" t="s">
        <v>1389</v>
      </c>
      <c r="C154" s="28"/>
      <c r="D154" s="298" t="s">
        <v>1529</v>
      </c>
      <c r="E154" s="95">
        <v>1</v>
      </c>
      <c r="F154" s="44" t="s">
        <v>30</v>
      </c>
      <c r="G154" s="234">
        <f>[1]DICIEMBRE!$BA$138</f>
        <v>0</v>
      </c>
      <c r="H154" s="45">
        <f>ENERO!BA143</f>
        <v>0</v>
      </c>
      <c r="I154" s="31">
        <f>FEBRERO!AX142</f>
        <v>0</v>
      </c>
      <c r="J154" s="32">
        <f>MARZO!BA147</f>
        <v>-160</v>
      </c>
      <c r="K154" s="32"/>
      <c r="L154" s="32"/>
      <c r="M154" s="336"/>
      <c r="N154" s="336"/>
      <c r="O154" s="33"/>
      <c r="P154" s="31"/>
      <c r="Q154" s="31"/>
      <c r="R154" s="31"/>
      <c r="S154" s="47">
        <f>300*E154</f>
        <v>300</v>
      </c>
      <c r="T154" s="47"/>
      <c r="U154" s="48"/>
      <c r="V154" s="49"/>
      <c r="W154" s="49"/>
      <c r="X154" s="49"/>
      <c r="Y154" s="49"/>
      <c r="Z154" s="49"/>
      <c r="AA154" s="49"/>
      <c r="AB154" s="49"/>
      <c r="AC154" s="49"/>
      <c r="AD154" s="49"/>
      <c r="AE154" s="50"/>
      <c r="AF154" s="49"/>
      <c r="AG154" s="49"/>
      <c r="AH154" s="49"/>
      <c r="AI154" s="49"/>
      <c r="AJ154" s="49"/>
      <c r="AK154" s="49">
        <v>140</v>
      </c>
      <c r="AL154" s="49"/>
      <c r="AM154" s="49"/>
      <c r="AN154" s="49"/>
      <c r="AO154" s="49"/>
      <c r="AP154" s="49"/>
      <c r="AQ154" s="49"/>
      <c r="AR154" s="49"/>
      <c r="AS154" s="49"/>
      <c r="AT154" s="49"/>
      <c r="AU154" s="49"/>
      <c r="AV154" s="49"/>
      <c r="AW154" s="49"/>
      <c r="AX154" s="49"/>
      <c r="AY154" s="49"/>
      <c r="AZ154" s="33">
        <f t="shared" si="2"/>
        <v>0</v>
      </c>
      <c r="BA154" s="43" t="s">
        <v>2860</v>
      </c>
    </row>
    <row r="155" spans="1:53" ht="38.25" hidden="1" customHeight="1" x14ac:dyDescent="0.35">
      <c r="A155" s="26">
        <v>138</v>
      </c>
      <c r="B155" s="27" t="s">
        <v>103</v>
      </c>
      <c r="C155" s="28" t="s">
        <v>104</v>
      </c>
      <c r="D155" s="298" t="s">
        <v>1530</v>
      </c>
      <c r="E155" s="95">
        <v>1</v>
      </c>
      <c r="F155" s="44" t="s">
        <v>30</v>
      </c>
      <c r="G155" s="112">
        <f>[1]DICIEMBRE!$BA$139</f>
        <v>0</v>
      </c>
      <c r="H155" s="31">
        <f>ENERO!BA144</f>
        <v>-300</v>
      </c>
      <c r="I155" s="31">
        <f>FEBRERO!AX143</f>
        <v>-300</v>
      </c>
      <c r="J155" s="32">
        <f>MARZO!BA148</f>
        <v>0</v>
      </c>
      <c r="K155" s="33"/>
      <c r="L155" s="336"/>
      <c r="M155" s="32"/>
      <c r="N155" s="32"/>
      <c r="O155" s="32"/>
      <c r="P155" s="33"/>
      <c r="Q155" s="31"/>
      <c r="R155" s="31"/>
      <c r="S155" s="47">
        <f>300*E155</f>
        <v>300</v>
      </c>
      <c r="T155" s="47"/>
      <c r="U155" s="48"/>
      <c r="V155" s="49">
        <v>300</v>
      </c>
      <c r="W155" s="49"/>
      <c r="X155" s="49"/>
      <c r="Y155" s="49"/>
      <c r="Z155" s="49"/>
      <c r="AA155" s="49"/>
      <c r="AB155" s="50"/>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33">
        <f t="shared" si="2"/>
        <v>0</v>
      </c>
      <c r="BA155" s="43"/>
    </row>
    <row r="156" spans="1:53" ht="52.5" hidden="1" customHeight="1" x14ac:dyDescent="0.35">
      <c r="A156" s="26">
        <v>139</v>
      </c>
      <c r="B156" s="43" t="s">
        <v>1461</v>
      </c>
      <c r="C156" s="28"/>
      <c r="D156" s="300" t="s">
        <v>1462</v>
      </c>
      <c r="E156" s="95">
        <v>2</v>
      </c>
      <c r="F156" s="44" t="s">
        <v>30</v>
      </c>
      <c r="G156" s="234">
        <f>[1]DICIEMBRE!$BA$140</f>
        <v>0</v>
      </c>
      <c r="H156" s="31">
        <f>ENERO!BA145</f>
        <v>0</v>
      </c>
      <c r="I156" s="45">
        <f>FEBRERO!AX144</f>
        <v>0</v>
      </c>
      <c r="J156" s="32">
        <f>MARZO!BA149</f>
        <v>0</v>
      </c>
      <c r="K156" s="33"/>
      <c r="L156" s="336"/>
      <c r="M156" s="32"/>
      <c r="N156" s="32"/>
      <c r="O156" s="32"/>
      <c r="P156" s="33"/>
      <c r="Q156" s="31"/>
      <c r="R156" s="31"/>
      <c r="S156" s="47">
        <f>900*E156</f>
        <v>1800</v>
      </c>
      <c r="T156" s="47"/>
      <c r="U156" s="48"/>
      <c r="V156" s="49"/>
      <c r="W156" s="49"/>
      <c r="X156" s="49">
        <v>1800</v>
      </c>
      <c r="Y156" s="49"/>
      <c r="Z156" s="49"/>
      <c r="AA156" s="49"/>
      <c r="AB156" s="50"/>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33">
        <f t="shared" si="2"/>
        <v>0</v>
      </c>
      <c r="BA156" s="43"/>
    </row>
    <row r="157" spans="1:53" ht="45" hidden="1" customHeight="1" x14ac:dyDescent="0.35">
      <c r="A157" s="26">
        <v>140</v>
      </c>
      <c r="B157" s="43" t="s">
        <v>2063</v>
      </c>
      <c r="C157" s="28"/>
      <c r="D157" s="300" t="s">
        <v>1172</v>
      </c>
      <c r="E157" s="95">
        <v>6</v>
      </c>
      <c r="F157" s="44" t="s">
        <v>30</v>
      </c>
      <c r="G157" s="112">
        <f>[1]DICIEMBRE!$BA$141</f>
        <v>0</v>
      </c>
      <c r="H157" s="45">
        <f>ENERO!BA146</f>
        <v>0</v>
      </c>
      <c r="I157" s="31">
        <f>FEBRERO!AX145</f>
        <v>0</v>
      </c>
      <c r="J157" s="32">
        <f>MARZO!BA150</f>
        <v>0</v>
      </c>
      <c r="K157" s="32"/>
      <c r="L157" s="32"/>
      <c r="M157" s="336"/>
      <c r="N157" s="32"/>
      <c r="O157" s="32"/>
      <c r="P157" s="31"/>
      <c r="Q157" s="31"/>
      <c r="R157" s="31"/>
      <c r="S157" s="47">
        <f>250*E157</f>
        <v>1500</v>
      </c>
      <c r="T157" s="47"/>
      <c r="U157" s="48"/>
      <c r="V157" s="49"/>
      <c r="W157" s="49"/>
      <c r="X157" s="49"/>
      <c r="Y157" s="49">
        <v>1500</v>
      </c>
      <c r="Z157" s="49"/>
      <c r="AA157" s="49"/>
      <c r="AB157" s="50"/>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33">
        <f t="shared" si="2"/>
        <v>0</v>
      </c>
      <c r="BA157" s="43"/>
    </row>
    <row r="158" spans="1:53" ht="38.25" hidden="1" customHeight="1" x14ac:dyDescent="0.35">
      <c r="A158" s="26">
        <v>141</v>
      </c>
      <c r="B158" s="43" t="s">
        <v>1440</v>
      </c>
      <c r="C158" s="28"/>
      <c r="D158" s="298" t="s">
        <v>1531</v>
      </c>
      <c r="E158" s="95">
        <v>1</v>
      </c>
      <c r="F158" s="44" t="s">
        <v>30</v>
      </c>
      <c r="G158" s="234">
        <f>[1]DICIEMBRE!$BA$142</f>
        <v>0</v>
      </c>
      <c r="H158" s="31">
        <f>ENERO!BA147</f>
        <v>0</v>
      </c>
      <c r="I158" s="31">
        <f>FEBRERO!AX146</f>
        <v>0</v>
      </c>
      <c r="J158" s="32">
        <f>MARZO!BA151</f>
        <v>0</v>
      </c>
      <c r="K158" s="32"/>
      <c r="L158" s="32"/>
      <c r="M158" s="336"/>
      <c r="N158" s="32"/>
      <c r="O158" s="32"/>
      <c r="P158" s="31"/>
      <c r="Q158" s="31"/>
      <c r="R158" s="31"/>
      <c r="S158" s="47">
        <f>300*E158</f>
        <v>300</v>
      </c>
      <c r="T158" s="47"/>
      <c r="U158" s="48"/>
      <c r="V158" s="49"/>
      <c r="W158" s="49"/>
      <c r="X158" s="49"/>
      <c r="Y158" s="49"/>
      <c r="Z158" s="49"/>
      <c r="AA158" s="49"/>
      <c r="AB158" s="50"/>
      <c r="AC158" s="49"/>
      <c r="AD158" s="49"/>
      <c r="AE158" s="49">
        <v>300</v>
      </c>
      <c r="AF158" s="49"/>
      <c r="AG158" s="49"/>
      <c r="AH158" s="49"/>
      <c r="AI158" s="49"/>
      <c r="AJ158" s="49"/>
      <c r="AK158" s="49"/>
      <c r="AL158" s="49"/>
      <c r="AM158" s="49"/>
      <c r="AN158" s="49"/>
      <c r="AO158" s="49"/>
      <c r="AP158" s="49"/>
      <c r="AQ158" s="49"/>
      <c r="AR158" s="49"/>
      <c r="AS158" s="49"/>
      <c r="AT158" s="49"/>
      <c r="AU158" s="49"/>
      <c r="AV158" s="49"/>
      <c r="AW158" s="49"/>
      <c r="AX158" s="49"/>
      <c r="AY158" s="49"/>
      <c r="AZ158" s="33">
        <f t="shared" si="2"/>
        <v>0</v>
      </c>
      <c r="BA158" s="43"/>
    </row>
    <row r="159" spans="1:53" ht="38.25" hidden="1" customHeight="1" x14ac:dyDescent="0.35">
      <c r="A159" s="26">
        <v>142</v>
      </c>
      <c r="B159" s="43" t="s">
        <v>105</v>
      </c>
      <c r="C159" s="53" t="s">
        <v>106</v>
      </c>
      <c r="D159" s="298" t="s">
        <v>1533</v>
      </c>
      <c r="E159" s="96">
        <v>3</v>
      </c>
      <c r="F159" s="44" t="s">
        <v>30</v>
      </c>
      <c r="G159" s="112">
        <f>[1]DICIEMBRE!$BA$143</f>
        <v>0</v>
      </c>
      <c r="H159" s="31">
        <f>ENERO!BA148</f>
        <v>0</v>
      </c>
      <c r="I159" s="31">
        <f>FEBRERO!AX147</f>
        <v>0</v>
      </c>
      <c r="J159" s="32">
        <f>MARZO!BA152</f>
        <v>0</v>
      </c>
      <c r="K159" s="32"/>
      <c r="L159" s="32"/>
      <c r="M159" s="32"/>
      <c r="N159" s="336"/>
      <c r="O159" s="33"/>
      <c r="P159" s="33"/>
      <c r="Q159" s="31"/>
      <c r="R159" s="31"/>
      <c r="S159" s="47">
        <f>297*E159</f>
        <v>891</v>
      </c>
      <c r="T159" s="47"/>
      <c r="U159" s="48"/>
      <c r="V159" s="47"/>
      <c r="W159" s="75"/>
      <c r="X159" s="47">
        <v>891</v>
      </c>
      <c r="Y159" s="47"/>
      <c r="Z159" s="47"/>
      <c r="AA159" s="47"/>
      <c r="AB159" s="47"/>
      <c r="AC159" s="47"/>
      <c r="AD159" s="47"/>
      <c r="AE159" s="47"/>
      <c r="AF159" s="47"/>
      <c r="AG159" s="47"/>
      <c r="AH159" s="47"/>
      <c r="AI159" s="47"/>
      <c r="AJ159" s="47"/>
      <c r="AK159" s="66"/>
      <c r="AL159" s="47"/>
      <c r="AM159" s="47"/>
      <c r="AN159" s="47"/>
      <c r="AO159" s="47"/>
      <c r="AP159" s="47"/>
      <c r="AQ159" s="47"/>
      <c r="AR159" s="47"/>
      <c r="AS159" s="47"/>
      <c r="AT159" s="47"/>
      <c r="AU159" s="47"/>
      <c r="AV159" s="47"/>
      <c r="AW159" s="47"/>
      <c r="AX159" s="47"/>
      <c r="AY159" s="47"/>
      <c r="AZ159" s="33">
        <f t="shared" si="2"/>
        <v>0</v>
      </c>
      <c r="BA159" s="43"/>
    </row>
    <row r="160" spans="1:53" ht="60" hidden="1" customHeight="1" x14ac:dyDescent="0.35">
      <c r="A160" s="26">
        <v>143</v>
      </c>
      <c r="B160" s="27" t="s">
        <v>107</v>
      </c>
      <c r="C160" s="28" t="s">
        <v>108</v>
      </c>
      <c r="D160" s="298" t="s">
        <v>2026</v>
      </c>
      <c r="E160" s="96">
        <v>1</v>
      </c>
      <c r="F160" s="44" t="s">
        <v>30</v>
      </c>
      <c r="G160" s="234">
        <f>[1]DICIEMBRE!$BA$144</f>
        <v>0</v>
      </c>
      <c r="H160" s="45">
        <f>ENERO!BA149</f>
        <v>0</v>
      </c>
      <c r="I160" s="45">
        <f>FEBRERO!AX148</f>
        <v>0</v>
      </c>
      <c r="J160" s="32">
        <f>MARZO!BA153</f>
        <v>0</v>
      </c>
      <c r="K160" s="33"/>
      <c r="L160" s="336"/>
      <c r="M160" s="32"/>
      <c r="N160" s="32"/>
      <c r="O160" s="32"/>
      <c r="P160" s="31"/>
      <c r="Q160" s="31"/>
      <c r="R160" s="31"/>
      <c r="S160" s="47">
        <f>300*E160</f>
        <v>300</v>
      </c>
      <c r="T160" s="47"/>
      <c r="U160" s="48"/>
      <c r="V160" s="47"/>
      <c r="W160" s="47"/>
      <c r="X160" s="47"/>
      <c r="Y160" s="47"/>
      <c r="Z160" s="47"/>
      <c r="AA160" s="47"/>
      <c r="AB160" s="47"/>
      <c r="AC160" s="47"/>
      <c r="AD160" s="47"/>
      <c r="AE160" s="47"/>
      <c r="AF160" s="47"/>
      <c r="AG160" s="47"/>
      <c r="AH160" s="47"/>
      <c r="AI160" s="47"/>
      <c r="AJ160" s="47"/>
      <c r="AK160" s="66"/>
      <c r="AL160" s="47">
        <v>300</v>
      </c>
      <c r="AM160" s="47"/>
      <c r="AN160" s="47"/>
      <c r="AO160" s="47"/>
      <c r="AP160" s="47"/>
      <c r="AQ160" s="47"/>
      <c r="AR160" s="47"/>
      <c r="AS160" s="47"/>
      <c r="AT160" s="47"/>
      <c r="AU160" s="47"/>
      <c r="AV160" s="47"/>
      <c r="AW160" s="47"/>
      <c r="AX160" s="47"/>
      <c r="AY160" s="47"/>
      <c r="AZ160" s="33">
        <f t="shared" si="2"/>
        <v>0</v>
      </c>
      <c r="BA160" s="43"/>
    </row>
    <row r="161" spans="1:54" ht="39.75" customHeight="1" x14ac:dyDescent="0.35">
      <c r="A161" s="26">
        <v>144</v>
      </c>
      <c r="B161" s="43" t="s">
        <v>359</v>
      </c>
      <c r="C161" s="28" t="s">
        <v>383</v>
      </c>
      <c r="D161" s="300" t="s">
        <v>1534</v>
      </c>
      <c r="E161" s="96">
        <v>5</v>
      </c>
      <c r="F161" s="44" t="s">
        <v>30</v>
      </c>
      <c r="G161" s="112">
        <f>[1]DICIEMBRE!$BA$145</f>
        <v>0</v>
      </c>
      <c r="H161" s="31">
        <f>ENERO!BA150</f>
        <v>0</v>
      </c>
      <c r="I161" s="31">
        <f>FEBRERO!AX149</f>
        <v>0</v>
      </c>
      <c r="J161" s="32">
        <f>MARZO!BA154</f>
        <v>0</v>
      </c>
      <c r="K161" s="32"/>
      <c r="L161" s="32"/>
      <c r="M161" s="336"/>
      <c r="N161" s="32"/>
      <c r="O161" s="32"/>
      <c r="P161" s="33"/>
      <c r="Q161" s="31"/>
      <c r="R161" s="31"/>
      <c r="S161" s="47">
        <f>249*E161</f>
        <v>1245</v>
      </c>
      <c r="T161" s="47">
        <v>2200</v>
      </c>
      <c r="U161" s="48"/>
      <c r="V161" s="47"/>
      <c r="W161" s="47"/>
      <c r="X161" s="47"/>
      <c r="Y161" s="47"/>
      <c r="Z161" s="47"/>
      <c r="AA161" s="47"/>
      <c r="AB161" s="47"/>
      <c r="AC161" s="47"/>
      <c r="AD161" s="47"/>
      <c r="AE161" s="47"/>
      <c r="AF161" s="47"/>
      <c r="AG161" s="47"/>
      <c r="AH161" s="47"/>
      <c r="AI161" s="47"/>
      <c r="AJ161" s="47"/>
      <c r="AK161" s="66"/>
      <c r="AL161" s="47"/>
      <c r="AM161" s="47"/>
      <c r="AN161" s="47"/>
      <c r="AO161" s="47"/>
      <c r="AP161" s="47"/>
      <c r="AQ161" s="47"/>
      <c r="AR161" s="47"/>
      <c r="AS161" s="47"/>
      <c r="AT161" s="47"/>
      <c r="AU161" s="47"/>
      <c r="AV161" s="47"/>
      <c r="AW161" s="47"/>
      <c r="AX161" s="47"/>
      <c r="AY161" s="47"/>
      <c r="AZ161" s="33">
        <f t="shared" si="2"/>
        <v>3445</v>
      </c>
      <c r="BA161" s="43" t="s">
        <v>2635</v>
      </c>
    </row>
    <row r="162" spans="1:54" ht="60" hidden="1" customHeight="1" x14ac:dyDescent="0.35">
      <c r="A162" s="26">
        <v>145</v>
      </c>
      <c r="B162" s="43" t="s">
        <v>34</v>
      </c>
      <c r="C162" s="28" t="s">
        <v>382</v>
      </c>
      <c r="D162" s="330" t="s">
        <v>2196</v>
      </c>
      <c r="E162" s="95">
        <v>3</v>
      </c>
      <c r="F162" s="44" t="s">
        <v>30</v>
      </c>
      <c r="G162" s="234">
        <f>[1]DICIEMBRE!$BA$146</f>
        <v>-4.3999999998050043E-3</v>
      </c>
      <c r="H162" s="31">
        <f>ENERO!BA151</f>
        <v>269.99560000000019</v>
      </c>
      <c r="I162" s="31">
        <f>FEBRERO!AX150</f>
        <v>-4.3999999998050043E-3</v>
      </c>
      <c r="J162" s="32">
        <f>MARZO!BA155</f>
        <v>-4.3999999998050043E-3</v>
      </c>
      <c r="K162" s="32"/>
      <c r="L162" s="32"/>
      <c r="M162" s="32"/>
      <c r="N162" s="336"/>
      <c r="O162" s="33"/>
      <c r="P162" s="31"/>
      <c r="Q162" s="31"/>
      <c r="R162" s="31"/>
      <c r="S162" s="47">
        <f>(250*0.16+250)*E162</f>
        <v>870</v>
      </c>
      <c r="T162" s="47"/>
      <c r="U162" s="48"/>
      <c r="V162" s="49"/>
      <c r="W162" s="49">
        <v>870</v>
      </c>
      <c r="X162" s="49"/>
      <c r="Y162" s="49"/>
      <c r="Z162" s="49"/>
      <c r="AA162" s="49"/>
      <c r="AB162" s="50"/>
      <c r="AC162" s="51"/>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33">
        <f t="shared" si="2"/>
        <v>-4.3999999998050043E-3</v>
      </c>
      <c r="BA162" s="43"/>
    </row>
    <row r="163" spans="1:54" ht="60" hidden="1" customHeight="1" x14ac:dyDescent="0.35">
      <c r="A163" s="26">
        <v>146</v>
      </c>
      <c r="B163" s="43" t="s">
        <v>1625</v>
      </c>
      <c r="C163" s="28"/>
      <c r="D163" s="329" t="s">
        <v>1626</v>
      </c>
      <c r="E163" s="95">
        <v>1</v>
      </c>
      <c r="F163" s="44" t="s">
        <v>30</v>
      </c>
      <c r="G163" s="234">
        <f>[1]DICIEMBRE!$BA$148</f>
        <v>0</v>
      </c>
      <c r="H163" s="31">
        <f>ENERO!BA153</f>
        <v>-300</v>
      </c>
      <c r="I163" s="45">
        <f>FEBRERO!AX152</f>
        <v>-300</v>
      </c>
      <c r="J163" s="32">
        <f>MARZO!BA156</f>
        <v>0</v>
      </c>
      <c r="K163" s="32"/>
      <c r="L163" s="32"/>
      <c r="M163" s="32"/>
      <c r="N163" s="336"/>
      <c r="O163" s="33"/>
      <c r="P163" s="33"/>
      <c r="Q163" s="31"/>
      <c r="R163" s="31"/>
      <c r="S163" s="47">
        <f>300*E163</f>
        <v>300</v>
      </c>
      <c r="T163" s="47"/>
      <c r="U163" s="48"/>
      <c r="V163" s="49"/>
      <c r="W163" s="49"/>
      <c r="X163" s="49">
        <v>300</v>
      </c>
      <c r="Y163" s="49"/>
      <c r="Z163" s="49"/>
      <c r="AA163" s="49"/>
      <c r="AB163" s="50"/>
      <c r="AC163" s="51"/>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33">
        <f t="shared" si="2"/>
        <v>0</v>
      </c>
      <c r="BA163" s="43"/>
    </row>
    <row r="164" spans="1:54" ht="31.5" hidden="1" customHeight="1" x14ac:dyDescent="0.35">
      <c r="A164" s="26">
        <v>147</v>
      </c>
      <c r="B164" s="43" t="s">
        <v>110</v>
      </c>
      <c r="C164" s="28" t="s">
        <v>111</v>
      </c>
      <c r="D164" s="300" t="s">
        <v>1173</v>
      </c>
      <c r="E164" s="96">
        <v>1</v>
      </c>
      <c r="F164" s="44" t="s">
        <v>35</v>
      </c>
      <c r="G164" s="234">
        <f>[1]DICIEMBRE!$BA$150</f>
        <v>0</v>
      </c>
      <c r="H164" s="45">
        <f>ENERO!BA155</f>
        <v>0</v>
      </c>
      <c r="I164" s="31">
        <f>FEBRERO!AX154</f>
        <v>0</v>
      </c>
      <c r="J164" s="32">
        <f>MARZO!BA157</f>
        <v>0</v>
      </c>
      <c r="K164" s="32"/>
      <c r="L164" s="32"/>
      <c r="M164" s="32"/>
      <c r="N164" s="32"/>
      <c r="O164" s="32"/>
      <c r="P164" s="33"/>
      <c r="Q164" s="31"/>
      <c r="R164" s="31"/>
      <c r="S164" s="47">
        <f>280*E164</f>
        <v>280</v>
      </c>
      <c r="T164" s="47"/>
      <c r="U164" s="48"/>
      <c r="V164" s="47"/>
      <c r="W164" s="47"/>
      <c r="X164" s="47"/>
      <c r="Y164" s="47"/>
      <c r="Z164" s="47"/>
      <c r="AA164" s="47"/>
      <c r="AB164" s="47"/>
      <c r="AC164" s="47"/>
      <c r="AD164" s="47"/>
      <c r="AE164" s="47"/>
      <c r="AF164" s="47"/>
      <c r="AG164" s="47"/>
      <c r="AH164" s="47"/>
      <c r="AI164" s="47"/>
      <c r="AJ164" s="47"/>
      <c r="AK164" s="66">
        <v>280</v>
      </c>
      <c r="AL164" s="47"/>
      <c r="AM164" s="47"/>
      <c r="AN164" s="47"/>
      <c r="AO164" s="47"/>
      <c r="AP164" s="47"/>
      <c r="AQ164" s="47"/>
      <c r="AR164" s="47"/>
      <c r="AS164" s="47"/>
      <c r="AT164" s="47"/>
      <c r="AU164" s="47"/>
      <c r="AV164" s="47"/>
      <c r="AW164" s="47"/>
      <c r="AX164" s="47"/>
      <c r="AY164" s="47"/>
      <c r="AZ164" s="33">
        <f t="shared" si="2"/>
        <v>0</v>
      </c>
      <c r="BA164" s="43"/>
    </row>
    <row r="165" spans="1:54" ht="57" hidden="1" customHeight="1" x14ac:dyDescent="0.35">
      <c r="A165" s="26">
        <v>148</v>
      </c>
      <c r="B165" s="43" t="s">
        <v>1777</v>
      </c>
      <c r="C165" s="28"/>
      <c r="D165" s="300" t="s">
        <v>1699</v>
      </c>
      <c r="E165" s="96">
        <v>1</v>
      </c>
      <c r="F165" s="44" t="s">
        <v>30</v>
      </c>
      <c r="G165" s="112">
        <f>[1]DICIEMBRE!$BA$151</f>
        <v>0</v>
      </c>
      <c r="H165" s="31">
        <f>ENERO!BA156</f>
        <v>0</v>
      </c>
      <c r="I165" s="31">
        <f>FEBRERO!AX155</f>
        <v>0</v>
      </c>
      <c r="J165" s="32">
        <f>MARZO!BA158</f>
        <v>0</v>
      </c>
      <c r="K165" s="32"/>
      <c r="L165" s="32"/>
      <c r="M165" s="32"/>
      <c r="N165" s="32"/>
      <c r="O165" s="32"/>
      <c r="P165" s="33"/>
      <c r="Q165" s="31"/>
      <c r="R165" s="31"/>
      <c r="S165" s="47">
        <f>300*E165</f>
        <v>300</v>
      </c>
      <c r="T165" s="47"/>
      <c r="U165" s="48"/>
      <c r="V165" s="47"/>
      <c r="W165" s="47"/>
      <c r="X165" s="47"/>
      <c r="Y165" s="47">
        <v>300</v>
      </c>
      <c r="Z165" s="47"/>
      <c r="AA165" s="47"/>
      <c r="AB165" s="47"/>
      <c r="AC165" s="47"/>
      <c r="AD165" s="47"/>
      <c r="AE165" s="47"/>
      <c r="AF165" s="47"/>
      <c r="AG165" s="47"/>
      <c r="AH165" s="47"/>
      <c r="AI165" s="47"/>
      <c r="AJ165" s="47"/>
      <c r="AK165" s="66"/>
      <c r="AL165" s="47"/>
      <c r="AM165" s="47"/>
      <c r="AN165" s="47"/>
      <c r="AO165" s="47"/>
      <c r="AP165" s="47"/>
      <c r="AQ165" s="47"/>
      <c r="AR165" s="47"/>
      <c r="AS165" s="47"/>
      <c r="AT165" s="47"/>
      <c r="AU165" s="47"/>
      <c r="AV165" s="47"/>
      <c r="AW165" s="47"/>
      <c r="AX165" s="47"/>
      <c r="AY165" s="47"/>
      <c r="AZ165" s="33">
        <f t="shared" si="2"/>
        <v>0</v>
      </c>
      <c r="BA165" s="43"/>
    </row>
    <row r="166" spans="1:54" ht="47.25" hidden="1" customHeight="1" x14ac:dyDescent="0.35">
      <c r="A166" s="26">
        <v>149</v>
      </c>
      <c r="B166" s="53" t="s">
        <v>2203</v>
      </c>
      <c r="C166" s="43"/>
      <c r="D166" s="308" t="s">
        <v>2204</v>
      </c>
      <c r="E166" s="95"/>
      <c r="F166" s="44" t="s">
        <v>30</v>
      </c>
      <c r="G166" s="112"/>
      <c r="H166" s="45"/>
      <c r="I166" s="31">
        <f>FEBRERO!AX157</f>
        <v>-348</v>
      </c>
      <c r="J166" s="32">
        <f>MARZO!BA159</f>
        <v>0</v>
      </c>
      <c r="K166" s="32"/>
      <c r="L166" s="32"/>
      <c r="M166" s="336"/>
      <c r="N166" s="32"/>
      <c r="O166" s="32"/>
      <c r="P166" s="33"/>
      <c r="Q166" s="31"/>
      <c r="R166" s="31"/>
      <c r="S166" s="47"/>
      <c r="T166" s="47"/>
      <c r="U166" s="48"/>
      <c r="V166" s="47"/>
      <c r="W166" s="47"/>
      <c r="X166" s="47"/>
      <c r="Y166" s="47"/>
      <c r="Z166" s="47"/>
      <c r="AA166" s="47"/>
      <c r="AB166" s="47"/>
      <c r="AC166" s="47"/>
      <c r="AD166" s="47"/>
      <c r="AE166" s="47"/>
      <c r="AF166" s="47"/>
      <c r="AG166" s="47"/>
      <c r="AH166" s="47"/>
      <c r="AI166" s="47"/>
      <c r="AJ166" s="47"/>
      <c r="AK166" s="66"/>
      <c r="AL166" s="47"/>
      <c r="AM166" s="47"/>
      <c r="AN166" s="47"/>
      <c r="AO166" s="47"/>
      <c r="AP166" s="47"/>
      <c r="AQ166" s="47"/>
      <c r="AR166" s="47"/>
      <c r="AS166" s="47"/>
      <c r="AT166" s="47"/>
      <c r="AU166" s="47"/>
      <c r="AV166" s="47"/>
      <c r="AW166" s="47"/>
      <c r="AX166" s="47"/>
      <c r="AY166" s="47"/>
      <c r="AZ166" s="33">
        <f t="shared" si="2"/>
        <v>0</v>
      </c>
      <c r="BA166" s="43" t="s">
        <v>2705</v>
      </c>
    </row>
    <row r="167" spans="1:54" ht="40.5" hidden="1" customHeight="1" x14ac:dyDescent="0.35">
      <c r="A167" s="26">
        <v>150</v>
      </c>
      <c r="B167" s="43" t="s">
        <v>1397</v>
      </c>
      <c r="C167" s="43"/>
      <c r="D167" s="306" t="s">
        <v>1538</v>
      </c>
      <c r="E167" s="95">
        <v>1</v>
      </c>
      <c r="F167" s="44" t="s">
        <v>30</v>
      </c>
      <c r="G167" s="234">
        <f>[1]DICIEMBRE!$BA$154</f>
        <v>0</v>
      </c>
      <c r="H167" s="31">
        <f>ENERO!BA159</f>
        <v>0</v>
      </c>
      <c r="I167" s="31">
        <f>FEBRERO!AX158</f>
        <v>0</v>
      </c>
      <c r="J167" s="32">
        <f>MARZO!BA160</f>
        <v>0</v>
      </c>
      <c r="K167" s="32"/>
      <c r="L167" s="32"/>
      <c r="M167" s="336"/>
      <c r="N167" s="32"/>
      <c r="O167" s="32"/>
      <c r="P167" s="31"/>
      <c r="Q167" s="31"/>
      <c r="R167" s="31"/>
      <c r="S167" s="47">
        <f>300*E167</f>
        <v>300</v>
      </c>
      <c r="T167" s="47"/>
      <c r="U167" s="48"/>
      <c r="V167" s="47"/>
      <c r="W167" s="47"/>
      <c r="X167" s="47"/>
      <c r="Y167" s="47"/>
      <c r="Z167" s="47"/>
      <c r="AA167" s="47"/>
      <c r="AB167" s="47"/>
      <c r="AC167" s="47"/>
      <c r="AD167" s="47"/>
      <c r="AE167" s="47"/>
      <c r="AF167" s="47"/>
      <c r="AG167" s="47"/>
      <c r="AH167" s="47"/>
      <c r="AI167" s="47"/>
      <c r="AJ167" s="47"/>
      <c r="AK167" s="66"/>
      <c r="AL167" s="47"/>
      <c r="AM167" s="47"/>
      <c r="AN167" s="47"/>
      <c r="AO167" s="47"/>
      <c r="AP167" s="47"/>
      <c r="AQ167" s="47"/>
      <c r="AR167" s="47"/>
      <c r="AS167" s="47"/>
      <c r="AT167" s="47">
        <v>300</v>
      </c>
      <c r="AU167" s="47"/>
      <c r="AV167" s="47"/>
      <c r="AW167" s="47"/>
      <c r="AX167" s="47"/>
      <c r="AY167" s="47"/>
      <c r="AZ167" s="33">
        <f t="shared" si="2"/>
        <v>0</v>
      </c>
      <c r="BA167" s="43"/>
    </row>
    <row r="168" spans="1:54" ht="39" hidden="1" customHeight="1" x14ac:dyDescent="0.35">
      <c r="A168" s="26">
        <v>151</v>
      </c>
      <c r="B168" s="43" t="s">
        <v>951</v>
      </c>
      <c r="C168" s="28"/>
      <c r="D168" s="298"/>
      <c r="E168" s="95">
        <v>1</v>
      </c>
      <c r="F168" s="44" t="s">
        <v>30</v>
      </c>
      <c r="G168" s="112"/>
      <c r="H168" s="31">
        <f>ENERO!BA160</f>
        <v>0</v>
      </c>
      <c r="I168" s="31">
        <f>FEBRERO!AX159</f>
        <v>0</v>
      </c>
      <c r="J168" s="32"/>
      <c r="K168" s="32"/>
      <c r="L168" s="32"/>
      <c r="M168" s="32"/>
      <c r="N168" s="336"/>
      <c r="O168" s="33"/>
      <c r="P168" s="33"/>
      <c r="Q168" s="31"/>
      <c r="R168" s="31"/>
      <c r="S168" s="47"/>
      <c r="T168" s="47"/>
      <c r="U168" s="48"/>
      <c r="V168" s="49"/>
      <c r="W168" s="49"/>
      <c r="X168" s="49"/>
      <c r="Y168" s="49"/>
      <c r="Z168" s="49"/>
      <c r="AA168" s="49"/>
      <c r="AB168" s="50"/>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33">
        <f t="shared" si="2"/>
        <v>0</v>
      </c>
      <c r="BA168" s="43" t="s">
        <v>1348</v>
      </c>
      <c r="BB168" s="76"/>
    </row>
    <row r="169" spans="1:54" ht="60.75" customHeight="1" x14ac:dyDescent="0.35">
      <c r="A169" s="26">
        <v>152</v>
      </c>
      <c r="B169" s="43" t="s">
        <v>249</v>
      </c>
      <c r="C169" s="28" t="s">
        <v>113</v>
      </c>
      <c r="D169" s="298" t="s">
        <v>1174</v>
      </c>
      <c r="E169" s="95">
        <v>3</v>
      </c>
      <c r="F169" s="44" t="s">
        <v>30</v>
      </c>
      <c r="G169" s="112">
        <f>[1]DICIEMBRE!$BA$157</f>
        <v>13200</v>
      </c>
      <c r="H169" s="31">
        <f>ENERO!BA162</f>
        <v>13200</v>
      </c>
      <c r="I169" s="45">
        <f>FEBRERO!AX160</f>
        <v>12200</v>
      </c>
      <c r="J169" s="32">
        <f>MARZO!BA162</f>
        <v>12200</v>
      </c>
      <c r="K169" s="32"/>
      <c r="L169" s="32"/>
      <c r="M169" s="32"/>
      <c r="N169" s="32"/>
      <c r="O169" s="32"/>
      <c r="P169" s="33"/>
      <c r="Q169" s="31"/>
      <c r="R169" s="31"/>
      <c r="S169" s="47">
        <f>350*E169</f>
        <v>1050</v>
      </c>
      <c r="T169" s="47">
        <v>450</v>
      </c>
      <c r="U169" s="48"/>
      <c r="V169" s="49"/>
      <c r="W169" s="49"/>
      <c r="X169" s="49"/>
      <c r="Y169" s="49">
        <v>1000</v>
      </c>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33">
        <f t="shared" si="2"/>
        <v>12700</v>
      </c>
      <c r="BA169" s="43" t="s">
        <v>2622</v>
      </c>
    </row>
    <row r="170" spans="1:54" ht="60.75" hidden="1" customHeight="1" x14ac:dyDescent="0.35">
      <c r="A170" s="26">
        <v>153</v>
      </c>
      <c r="B170" s="43" t="s">
        <v>679</v>
      </c>
      <c r="C170" s="28"/>
      <c r="D170" s="298" t="s">
        <v>683</v>
      </c>
      <c r="E170" s="95">
        <v>6</v>
      </c>
      <c r="F170" s="44" t="s">
        <v>30</v>
      </c>
      <c r="G170" s="234">
        <f>[1]DICIEMBRE!$BA$158</f>
        <v>-1</v>
      </c>
      <c r="H170" s="31">
        <f>ENERO!BA163</f>
        <v>-1</v>
      </c>
      <c r="I170" s="31">
        <f>FEBRERO!AX161</f>
        <v>0</v>
      </c>
      <c r="J170" s="32">
        <f>MARZO!BA163</f>
        <v>0</v>
      </c>
      <c r="K170" s="32"/>
      <c r="L170" s="32"/>
      <c r="M170" s="336"/>
      <c r="N170" s="32"/>
      <c r="O170" s="32"/>
      <c r="P170" s="33"/>
      <c r="Q170" s="31"/>
      <c r="R170" s="31"/>
      <c r="S170" s="47">
        <f>250*E170</f>
        <v>1500</v>
      </c>
      <c r="T170" s="47">
        <v>500</v>
      </c>
      <c r="U170" s="48"/>
      <c r="V170" s="49"/>
      <c r="W170" s="49"/>
      <c r="X170" s="49"/>
      <c r="Y170" s="49"/>
      <c r="Z170" s="49"/>
      <c r="AA170" s="49"/>
      <c r="AB170" s="49">
        <v>2000</v>
      </c>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33">
        <f t="shared" si="2"/>
        <v>0</v>
      </c>
      <c r="BA170" s="43" t="s">
        <v>2619</v>
      </c>
    </row>
    <row r="171" spans="1:54" ht="60.75" hidden="1" customHeight="1" x14ac:dyDescent="0.35">
      <c r="A171" s="26">
        <v>154</v>
      </c>
      <c r="B171" s="43" t="s">
        <v>1367</v>
      </c>
      <c r="C171" s="28"/>
      <c r="D171" s="298" t="s">
        <v>1371</v>
      </c>
      <c r="E171" s="95">
        <v>1</v>
      </c>
      <c r="F171" s="44" t="s">
        <v>30</v>
      </c>
      <c r="G171" s="112">
        <f>[1]DICIEMBRE!$BA$159</f>
        <v>-111</v>
      </c>
      <c r="H171" s="45">
        <f>ENERO!BA164</f>
        <v>-111</v>
      </c>
      <c r="I171" s="31">
        <f>FEBRERO!AX162</f>
        <v>-111</v>
      </c>
      <c r="J171" s="32">
        <f>MARZO!BA164</f>
        <v>-111</v>
      </c>
      <c r="K171" s="32"/>
      <c r="L171" s="32"/>
      <c r="M171" s="336"/>
      <c r="N171" s="32"/>
      <c r="O171" s="32"/>
      <c r="P171" s="31"/>
      <c r="Q171" s="31"/>
      <c r="R171" s="31"/>
      <c r="S171" s="47">
        <f>300*E171</f>
        <v>300</v>
      </c>
      <c r="T171" s="47"/>
      <c r="U171" s="48"/>
      <c r="V171" s="49"/>
      <c r="W171" s="49"/>
      <c r="X171" s="49"/>
      <c r="Y171" s="49"/>
      <c r="Z171" s="49"/>
      <c r="AA171" s="49"/>
      <c r="AB171" s="49">
        <v>300</v>
      </c>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33">
        <f t="shared" si="2"/>
        <v>-111</v>
      </c>
      <c r="BA171" s="43"/>
    </row>
    <row r="172" spans="1:54" ht="38.25" hidden="1" customHeight="1" x14ac:dyDescent="0.35">
      <c r="A172" s="26">
        <v>155</v>
      </c>
      <c r="B172" s="43" t="s">
        <v>908</v>
      </c>
      <c r="C172" s="53"/>
      <c r="D172" s="298" t="s">
        <v>1175</v>
      </c>
      <c r="E172" s="95">
        <v>2</v>
      </c>
      <c r="F172" s="44" t="s">
        <v>30</v>
      </c>
      <c r="G172" s="112">
        <f>[1]DICIEMBRE!$BA$161</f>
        <v>0</v>
      </c>
      <c r="H172" s="31">
        <f>ENERO!BA165</f>
        <v>0</v>
      </c>
      <c r="I172" s="31">
        <f>FEBRERO!AX163</f>
        <v>0</v>
      </c>
      <c r="J172" s="32">
        <f>MARZO!BA165</f>
        <v>0</v>
      </c>
      <c r="K172" s="32"/>
      <c r="L172" s="32"/>
      <c r="M172" s="32"/>
      <c r="N172" s="32"/>
      <c r="O172" s="33"/>
      <c r="P172" s="31"/>
      <c r="Q172" s="31"/>
      <c r="R172" s="31"/>
      <c r="S172" s="47">
        <v>333</v>
      </c>
      <c r="T172" s="47"/>
      <c r="U172" s="48"/>
      <c r="V172" s="49"/>
      <c r="W172" s="49"/>
      <c r="X172" s="49"/>
      <c r="Y172" s="49"/>
      <c r="Z172" s="49"/>
      <c r="AA172" s="49"/>
      <c r="AB172" s="49"/>
      <c r="AC172" s="49"/>
      <c r="AD172" s="49"/>
      <c r="AE172" s="49"/>
      <c r="AF172" s="49"/>
      <c r="AG172" s="49">
        <v>333</v>
      </c>
      <c r="AH172" s="49"/>
      <c r="AI172" s="49"/>
      <c r="AJ172" s="49"/>
      <c r="AK172" s="63"/>
      <c r="AL172" s="49"/>
      <c r="AM172" s="49"/>
      <c r="AN172" s="49"/>
      <c r="AO172" s="49"/>
      <c r="AP172" s="49"/>
      <c r="AQ172" s="49"/>
      <c r="AR172" s="49"/>
      <c r="AS172" s="49"/>
      <c r="AT172" s="49"/>
      <c r="AU172" s="49"/>
      <c r="AV172" s="49"/>
      <c r="AW172" s="49"/>
      <c r="AX172" s="49"/>
      <c r="AY172" s="49"/>
      <c r="AZ172" s="33">
        <f t="shared" si="2"/>
        <v>0</v>
      </c>
      <c r="BA172" s="43" t="s">
        <v>2826</v>
      </c>
    </row>
    <row r="173" spans="1:54" ht="38.25" hidden="1" customHeight="1" x14ac:dyDescent="0.35">
      <c r="A173" s="26">
        <v>156</v>
      </c>
      <c r="B173" s="43" t="s">
        <v>1642</v>
      </c>
      <c r="C173" s="53"/>
      <c r="D173" s="298" t="s">
        <v>1643</v>
      </c>
      <c r="E173" s="95">
        <v>1</v>
      </c>
      <c r="F173" s="44"/>
      <c r="G173" s="234">
        <f>[1]DICIEMBRE!$BA$162</f>
        <v>0</v>
      </c>
      <c r="H173" s="31">
        <f>ENERO!BA166</f>
        <v>0</v>
      </c>
      <c r="I173" s="45">
        <f>FEBRERO!AX164</f>
        <v>0</v>
      </c>
      <c r="J173" s="32">
        <f>MARZO!BA166</f>
        <v>0</v>
      </c>
      <c r="K173" s="32"/>
      <c r="L173" s="32"/>
      <c r="M173" s="32"/>
      <c r="N173" s="32"/>
      <c r="O173" s="33"/>
      <c r="P173" s="31"/>
      <c r="Q173" s="31"/>
      <c r="R173" s="31"/>
      <c r="S173" s="47">
        <f>300*E173</f>
        <v>300</v>
      </c>
      <c r="T173" s="47"/>
      <c r="U173" s="48"/>
      <c r="V173" s="49"/>
      <c r="W173" s="49"/>
      <c r="X173" s="49"/>
      <c r="Y173" s="49"/>
      <c r="Z173" s="49"/>
      <c r="AA173" s="49"/>
      <c r="AB173" s="49">
        <v>300</v>
      </c>
      <c r="AC173" s="49"/>
      <c r="AD173" s="49"/>
      <c r="AE173" s="49"/>
      <c r="AF173" s="49"/>
      <c r="AG173" s="49"/>
      <c r="AH173" s="49"/>
      <c r="AI173" s="49"/>
      <c r="AJ173" s="49"/>
      <c r="AK173" s="63"/>
      <c r="AL173" s="49"/>
      <c r="AM173" s="49"/>
      <c r="AN173" s="49"/>
      <c r="AO173" s="49"/>
      <c r="AP173" s="49"/>
      <c r="AQ173" s="49"/>
      <c r="AR173" s="49"/>
      <c r="AS173" s="49"/>
      <c r="AT173" s="49"/>
      <c r="AU173" s="49"/>
      <c r="AV173" s="49"/>
      <c r="AW173" s="49"/>
      <c r="AX173" s="49"/>
      <c r="AY173" s="49"/>
      <c r="AZ173" s="33">
        <f t="shared" si="2"/>
        <v>0</v>
      </c>
      <c r="BA173" s="43"/>
    </row>
    <row r="174" spans="1:54" ht="38.25" hidden="1" customHeight="1" x14ac:dyDescent="0.35">
      <c r="A174" s="26">
        <v>157</v>
      </c>
      <c r="B174" s="43" t="s">
        <v>1485</v>
      </c>
      <c r="C174" s="53"/>
      <c r="D174" s="298" t="s">
        <v>1488</v>
      </c>
      <c r="E174" s="95">
        <v>1</v>
      </c>
      <c r="F174" s="44" t="s">
        <v>30</v>
      </c>
      <c r="G174" s="112">
        <f>[1]DICIEMBRE!$BA$163</f>
        <v>-1</v>
      </c>
      <c r="H174" s="45">
        <f>ENERO!BA167</f>
        <v>-250</v>
      </c>
      <c r="I174" s="31">
        <f>FEBRERO!AX165</f>
        <v>-1</v>
      </c>
      <c r="J174" s="32">
        <f>MARZO!BA167</f>
        <v>0</v>
      </c>
      <c r="K174" s="32"/>
      <c r="L174" s="32"/>
      <c r="M174" s="32"/>
      <c r="N174" s="32"/>
      <c r="O174" s="33"/>
      <c r="P174" s="31"/>
      <c r="Q174" s="31"/>
      <c r="R174" s="31"/>
      <c r="S174" s="47">
        <f>249*E174</f>
        <v>249</v>
      </c>
      <c r="T174" s="47"/>
      <c r="U174" s="48"/>
      <c r="V174" s="49">
        <v>240</v>
      </c>
      <c r="W174" s="49"/>
      <c r="X174" s="49"/>
      <c r="Y174" s="49"/>
      <c r="Z174" s="49"/>
      <c r="AA174" s="49"/>
      <c r="AB174" s="49"/>
      <c r="AC174" s="49"/>
      <c r="AD174" s="49"/>
      <c r="AE174" s="49"/>
      <c r="AF174" s="49"/>
      <c r="AG174" s="49"/>
      <c r="AH174" s="49"/>
      <c r="AI174" s="49"/>
      <c r="AJ174" s="49"/>
      <c r="AK174" s="63"/>
      <c r="AL174" s="49"/>
      <c r="AM174" s="49"/>
      <c r="AN174" s="49"/>
      <c r="AO174" s="49"/>
      <c r="AP174" s="49"/>
      <c r="AQ174" s="49"/>
      <c r="AR174" s="49"/>
      <c r="AS174" s="49"/>
      <c r="AT174" s="49"/>
      <c r="AU174" s="49"/>
      <c r="AV174" s="49"/>
      <c r="AW174" s="49"/>
      <c r="AX174" s="49"/>
      <c r="AY174" s="49"/>
      <c r="AZ174" s="33">
        <f t="shared" si="2"/>
        <v>9</v>
      </c>
      <c r="BA174" s="43"/>
    </row>
    <row r="175" spans="1:54" ht="54.75" hidden="1" customHeight="1" x14ac:dyDescent="0.35">
      <c r="A175" s="26">
        <v>158</v>
      </c>
      <c r="B175" s="43" t="s">
        <v>1906</v>
      </c>
      <c r="C175" s="53"/>
      <c r="D175" s="300" t="s">
        <v>1907</v>
      </c>
      <c r="E175" s="95">
        <v>1</v>
      </c>
      <c r="F175" s="44"/>
      <c r="G175" s="234"/>
      <c r="H175" s="31">
        <f>ENERO!BA169</f>
        <v>0</v>
      </c>
      <c r="I175" s="31">
        <f>FEBRERO!AX167</f>
        <v>0</v>
      </c>
      <c r="J175" s="32">
        <f>MARZO!BA168</f>
        <v>0</v>
      </c>
      <c r="K175" s="32"/>
      <c r="L175" s="32"/>
      <c r="M175" s="32"/>
      <c r="N175" s="32"/>
      <c r="O175" s="33"/>
      <c r="P175" s="31"/>
      <c r="Q175" s="31"/>
      <c r="R175" s="31"/>
      <c r="S175" s="47">
        <f>250*E175</f>
        <v>250</v>
      </c>
      <c r="T175" s="47"/>
      <c r="U175" s="48"/>
      <c r="V175" s="49"/>
      <c r="W175" s="49"/>
      <c r="X175" s="49"/>
      <c r="Y175" s="49"/>
      <c r="Z175" s="49"/>
      <c r="AA175" s="49"/>
      <c r="AB175" s="49"/>
      <c r="AC175" s="49"/>
      <c r="AD175" s="49"/>
      <c r="AE175" s="49">
        <v>250</v>
      </c>
      <c r="AF175" s="49"/>
      <c r="AG175" s="49"/>
      <c r="AH175" s="49"/>
      <c r="AI175" s="49"/>
      <c r="AJ175" s="49"/>
      <c r="AK175" s="63"/>
      <c r="AL175" s="49"/>
      <c r="AM175" s="49"/>
      <c r="AN175" s="49"/>
      <c r="AO175" s="49"/>
      <c r="AP175" s="49"/>
      <c r="AQ175" s="49"/>
      <c r="AR175" s="49"/>
      <c r="AS175" s="49"/>
      <c r="AT175" s="49"/>
      <c r="AU175" s="49"/>
      <c r="AV175" s="49"/>
      <c r="AW175" s="49"/>
      <c r="AX175" s="49"/>
      <c r="AY175" s="49"/>
      <c r="AZ175" s="33">
        <f t="shared" si="2"/>
        <v>0</v>
      </c>
      <c r="BA175" s="43"/>
    </row>
    <row r="176" spans="1:54" ht="53.25" hidden="1" customHeight="1" x14ac:dyDescent="0.35">
      <c r="A176" s="26">
        <v>159</v>
      </c>
      <c r="B176" s="27" t="s">
        <v>116</v>
      </c>
      <c r="C176" s="28" t="s">
        <v>117</v>
      </c>
      <c r="D176" s="298" t="s">
        <v>1176</v>
      </c>
      <c r="E176" s="95">
        <v>1</v>
      </c>
      <c r="F176" s="44" t="s">
        <v>30</v>
      </c>
      <c r="G176" s="112">
        <f>[1]DICIEMBRE!$BA$165</f>
        <v>0</v>
      </c>
      <c r="H176" s="45">
        <f>ENERO!BA170</f>
        <v>0</v>
      </c>
      <c r="I176" s="45">
        <f>FEBRERO!AX168</f>
        <v>0</v>
      </c>
      <c r="J176" s="32">
        <f>MARZO!BA169</f>
        <v>0</v>
      </c>
      <c r="K176" s="32"/>
      <c r="L176" s="336"/>
      <c r="M176" s="32"/>
      <c r="N176" s="32"/>
      <c r="O176" s="32"/>
      <c r="P176" s="31"/>
      <c r="Q176" s="31"/>
      <c r="R176" s="31"/>
      <c r="S176" s="47">
        <v>250</v>
      </c>
      <c r="T176" s="47"/>
      <c r="U176" s="48"/>
      <c r="V176" s="49"/>
      <c r="W176" s="49"/>
      <c r="X176" s="49"/>
      <c r="Y176" s="49"/>
      <c r="Z176" s="49"/>
      <c r="AA176" s="49"/>
      <c r="AB176" s="49"/>
      <c r="AC176" s="49"/>
      <c r="AD176" s="50"/>
      <c r="AE176" s="49"/>
      <c r="AF176" s="49"/>
      <c r="AG176" s="49"/>
      <c r="AH176" s="49"/>
      <c r="AI176" s="49"/>
      <c r="AJ176" s="49"/>
      <c r="AK176" s="49"/>
      <c r="AL176" s="49">
        <v>250</v>
      </c>
      <c r="AM176" s="49"/>
      <c r="AN176" s="49"/>
      <c r="AO176" s="49"/>
      <c r="AP176" s="49"/>
      <c r="AQ176" s="49"/>
      <c r="AR176" s="49"/>
      <c r="AS176" s="49"/>
      <c r="AT176" s="49"/>
      <c r="AU176" s="49"/>
      <c r="AV176" s="49"/>
      <c r="AW176" s="49"/>
      <c r="AX176" s="49"/>
      <c r="AY176" s="49"/>
      <c r="AZ176" s="33">
        <f t="shared" si="2"/>
        <v>0</v>
      </c>
      <c r="BA176" s="43"/>
    </row>
    <row r="177" spans="1:53" ht="53.25" hidden="1" customHeight="1" x14ac:dyDescent="0.35">
      <c r="A177" s="26">
        <v>160</v>
      </c>
      <c r="B177" s="43" t="s">
        <v>1584</v>
      </c>
      <c r="C177" s="28"/>
      <c r="D177" s="298" t="s">
        <v>1585</v>
      </c>
      <c r="E177" s="95">
        <v>1</v>
      </c>
      <c r="F177" s="44" t="s">
        <v>30</v>
      </c>
      <c r="G177" s="234">
        <f>[1]DICIEMBRE!$BA$166</f>
        <v>0</v>
      </c>
      <c r="H177" s="31">
        <f>ENERO!BA171</f>
        <v>0</v>
      </c>
      <c r="I177" s="31">
        <f>FEBRERO!AX169</f>
        <v>0</v>
      </c>
      <c r="J177" s="32">
        <f>MARZO!BA170</f>
        <v>0</v>
      </c>
      <c r="K177" s="32"/>
      <c r="L177" s="336"/>
      <c r="M177" s="32"/>
      <c r="N177" s="32"/>
      <c r="O177" s="32"/>
      <c r="P177" s="31"/>
      <c r="Q177" s="31"/>
      <c r="R177" s="31"/>
      <c r="S177" s="47">
        <f>300*E177</f>
        <v>300</v>
      </c>
      <c r="T177" s="47"/>
      <c r="U177" s="48"/>
      <c r="V177" s="49"/>
      <c r="W177" s="49"/>
      <c r="X177" s="49"/>
      <c r="Y177" s="49"/>
      <c r="Z177" s="49"/>
      <c r="AA177" s="49"/>
      <c r="AB177" s="49"/>
      <c r="AC177" s="49"/>
      <c r="AD177" s="50"/>
      <c r="AE177" s="49"/>
      <c r="AF177" s="49"/>
      <c r="AG177" s="49"/>
      <c r="AH177" s="49"/>
      <c r="AI177" s="49"/>
      <c r="AJ177" s="49">
        <v>300</v>
      </c>
      <c r="AK177" s="49"/>
      <c r="AL177" s="49"/>
      <c r="AM177" s="49"/>
      <c r="AN177" s="49"/>
      <c r="AO177" s="49"/>
      <c r="AP177" s="49"/>
      <c r="AQ177" s="49"/>
      <c r="AR177" s="49"/>
      <c r="AS177" s="49"/>
      <c r="AT177" s="49"/>
      <c r="AU177" s="49"/>
      <c r="AV177" s="49"/>
      <c r="AW177" s="49"/>
      <c r="AX177" s="49"/>
      <c r="AY177" s="49"/>
      <c r="AZ177" s="33">
        <f t="shared" si="2"/>
        <v>0</v>
      </c>
      <c r="BA177" s="43"/>
    </row>
    <row r="178" spans="1:53" ht="53.25" hidden="1" customHeight="1" x14ac:dyDescent="0.35">
      <c r="A178" s="26">
        <v>161</v>
      </c>
      <c r="B178" s="43" t="s">
        <v>457</v>
      </c>
      <c r="C178" s="28"/>
      <c r="D178" s="298" t="s">
        <v>1177</v>
      </c>
      <c r="E178" s="95">
        <v>2</v>
      </c>
      <c r="F178" s="44" t="s">
        <v>100</v>
      </c>
      <c r="G178" s="112">
        <f>[1]DICIEMBRE!$BA$167</f>
        <v>-250.25439999999981</v>
      </c>
      <c r="H178" s="31">
        <f>ENERO!BA172</f>
        <v>561.74560000000019</v>
      </c>
      <c r="I178" s="31">
        <f>FEBRERO!AX170</f>
        <v>-1894.2543999999998</v>
      </c>
      <c r="J178" s="32">
        <f>MARZO!BA171</f>
        <v>-1082.2543999999998</v>
      </c>
      <c r="K178" s="32"/>
      <c r="L178" s="32"/>
      <c r="M178" s="336"/>
      <c r="N178" s="32"/>
      <c r="O178" s="33"/>
      <c r="P178" s="33"/>
      <c r="Q178" s="31"/>
      <c r="R178" s="31"/>
      <c r="S178" s="47">
        <f>(350*0.16+350)*E178</f>
        <v>812</v>
      </c>
      <c r="T178" s="47"/>
      <c r="U178" s="48"/>
      <c r="V178" s="49"/>
      <c r="W178" s="49"/>
      <c r="X178" s="49"/>
      <c r="Y178" s="49"/>
      <c r="Z178" s="49"/>
      <c r="AA178" s="49"/>
      <c r="AB178" s="49"/>
      <c r="AC178" s="49"/>
      <c r="AD178" s="50"/>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33">
        <f t="shared" si="2"/>
        <v>-270.25439999999981</v>
      </c>
      <c r="BA178" s="43"/>
    </row>
    <row r="179" spans="1:53" ht="53.25" hidden="1" customHeight="1" x14ac:dyDescent="0.35">
      <c r="A179" s="26">
        <v>162</v>
      </c>
      <c r="B179" s="43" t="s">
        <v>288</v>
      </c>
      <c r="C179" s="28"/>
      <c r="D179" s="298" t="s">
        <v>188</v>
      </c>
      <c r="E179" s="95">
        <v>5</v>
      </c>
      <c r="F179" s="44" t="s">
        <v>30</v>
      </c>
      <c r="G179" s="112">
        <f>[1]DICIEMBRE!$BA$169</f>
        <v>-50</v>
      </c>
      <c r="H179" s="31">
        <f>ENERO!BA174</f>
        <v>-50</v>
      </c>
      <c r="I179" s="45">
        <f>FEBRERO!AX172</f>
        <v>-50</v>
      </c>
      <c r="J179" s="32">
        <f>MARZO!BA172</f>
        <v>-50</v>
      </c>
      <c r="K179" s="33"/>
      <c r="L179" s="32"/>
      <c r="M179" s="32"/>
      <c r="N179" s="336"/>
      <c r="O179" s="32"/>
      <c r="P179" s="31"/>
      <c r="Q179" s="31"/>
      <c r="R179" s="31"/>
      <c r="S179" s="47">
        <f>300*E179</f>
        <v>1500</v>
      </c>
      <c r="T179" s="47"/>
      <c r="U179" s="48"/>
      <c r="V179" s="49"/>
      <c r="W179" s="49"/>
      <c r="X179" s="49"/>
      <c r="Y179" s="49"/>
      <c r="Z179" s="49"/>
      <c r="AA179" s="49"/>
      <c r="AB179" s="49"/>
      <c r="AC179" s="49">
        <v>1500</v>
      </c>
      <c r="AD179" s="50"/>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33">
        <f t="shared" si="2"/>
        <v>-50</v>
      </c>
      <c r="BA179" s="43" t="s">
        <v>2792</v>
      </c>
    </row>
    <row r="180" spans="1:53" ht="53.25" hidden="1" customHeight="1" x14ac:dyDescent="0.35">
      <c r="A180" s="26">
        <v>163</v>
      </c>
      <c r="B180" s="43" t="s">
        <v>1356</v>
      </c>
      <c r="C180" s="28"/>
      <c r="D180" s="298" t="s">
        <v>1366</v>
      </c>
      <c r="E180" s="95">
        <v>1</v>
      </c>
      <c r="F180" s="44" t="s">
        <v>30</v>
      </c>
      <c r="G180" s="234">
        <f>[1]DICIEMBRE!$BA$170</f>
        <v>0</v>
      </c>
      <c r="H180" s="31">
        <f>ENERO!BA175</f>
        <v>0</v>
      </c>
      <c r="I180" s="31">
        <f>FEBRERO!AX173</f>
        <v>0</v>
      </c>
      <c r="J180" s="32">
        <f>MARZO!BA173</f>
        <v>0</v>
      </c>
      <c r="K180" s="33"/>
      <c r="L180" s="32"/>
      <c r="M180" s="32"/>
      <c r="N180" s="336"/>
      <c r="O180" s="32"/>
      <c r="P180" s="33"/>
      <c r="Q180" s="31"/>
      <c r="R180" s="31"/>
      <c r="S180" s="47">
        <f>250*E180</f>
        <v>250</v>
      </c>
      <c r="T180" s="47"/>
      <c r="U180" s="48"/>
      <c r="V180" s="49"/>
      <c r="W180" s="49"/>
      <c r="X180" s="49"/>
      <c r="Y180" s="49"/>
      <c r="Z180" s="49"/>
      <c r="AA180" s="49"/>
      <c r="AB180" s="49"/>
      <c r="AC180" s="49"/>
      <c r="AD180" s="50">
        <v>250</v>
      </c>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33">
        <f t="shared" si="2"/>
        <v>0</v>
      </c>
      <c r="BA180" s="43"/>
    </row>
    <row r="181" spans="1:53" ht="53.25" hidden="1" customHeight="1" x14ac:dyDescent="0.35">
      <c r="A181" s="26">
        <v>164</v>
      </c>
      <c r="B181" s="43" t="s">
        <v>1420</v>
      </c>
      <c r="C181" s="28"/>
      <c r="D181" s="298" t="s">
        <v>1421</v>
      </c>
      <c r="E181" s="95">
        <v>1</v>
      </c>
      <c r="F181" s="44" t="s">
        <v>30</v>
      </c>
      <c r="G181" s="234">
        <f>[1]DICIEMBRE!$BA$172</f>
        <v>0</v>
      </c>
      <c r="H181" s="31">
        <f>ENERO!BA177</f>
        <v>0</v>
      </c>
      <c r="I181" s="31">
        <f>FEBRERO!AX175</f>
        <v>0</v>
      </c>
      <c r="J181" s="32">
        <f>MARZO!BA174</f>
        <v>0</v>
      </c>
      <c r="K181" s="32"/>
      <c r="L181" s="336"/>
      <c r="M181" s="32"/>
      <c r="N181" s="32"/>
      <c r="O181" s="32"/>
      <c r="P181" s="33"/>
      <c r="Q181" s="31"/>
      <c r="R181" s="31"/>
      <c r="S181" s="47">
        <f>300*E181</f>
        <v>300</v>
      </c>
      <c r="T181" s="47"/>
      <c r="U181" s="48"/>
      <c r="V181" s="49"/>
      <c r="W181" s="49"/>
      <c r="X181" s="49"/>
      <c r="Y181" s="49"/>
      <c r="Z181" s="49"/>
      <c r="AA181" s="49"/>
      <c r="AB181" s="49"/>
      <c r="AC181" s="49"/>
      <c r="AD181" s="50"/>
      <c r="AE181" s="49"/>
      <c r="AF181" s="49">
        <v>300</v>
      </c>
      <c r="AG181" s="49"/>
      <c r="AH181" s="49"/>
      <c r="AI181" s="49"/>
      <c r="AJ181" s="49"/>
      <c r="AK181" s="49"/>
      <c r="AL181" s="49"/>
      <c r="AM181" s="49"/>
      <c r="AN181" s="49"/>
      <c r="AO181" s="49"/>
      <c r="AP181" s="49"/>
      <c r="AQ181" s="49"/>
      <c r="AR181" s="49"/>
      <c r="AS181" s="49"/>
      <c r="AT181" s="49"/>
      <c r="AU181" s="49"/>
      <c r="AV181" s="49"/>
      <c r="AW181" s="49"/>
      <c r="AX181" s="49"/>
      <c r="AY181" s="49"/>
      <c r="AZ181" s="33">
        <f t="shared" si="2"/>
        <v>0</v>
      </c>
      <c r="BA181" s="43"/>
    </row>
    <row r="182" spans="1:53" ht="64.5" hidden="1" customHeight="1" x14ac:dyDescent="0.35">
      <c r="A182" s="26">
        <v>165</v>
      </c>
      <c r="B182" s="43" t="s">
        <v>1658</v>
      </c>
      <c r="C182" s="53" t="s">
        <v>119</v>
      </c>
      <c r="D182" s="298" t="s">
        <v>1179</v>
      </c>
      <c r="E182" s="95">
        <v>2</v>
      </c>
      <c r="F182" s="44" t="s">
        <v>30</v>
      </c>
      <c r="G182" s="112">
        <f>[1]DICIEMBRE!$BA$173</f>
        <v>-3.3400000000001455</v>
      </c>
      <c r="H182" s="31">
        <f>ENERO!BA178</f>
        <v>-3.3400000000001455</v>
      </c>
      <c r="I182" s="45">
        <f>FEBRERO!AX176</f>
        <v>-1.7053025658242404E-13</v>
      </c>
      <c r="J182" s="32">
        <f>MARZO!BA175</f>
        <v>-1.7053025658242404E-13</v>
      </c>
      <c r="K182" s="32"/>
      <c r="L182" s="32"/>
      <c r="M182" s="336"/>
      <c r="N182" s="32"/>
      <c r="O182" s="33"/>
      <c r="P182" s="31"/>
      <c r="Q182" s="31"/>
      <c r="R182" s="31"/>
      <c r="S182" s="47">
        <f>250*E182</f>
        <v>500</v>
      </c>
      <c r="T182" s="47"/>
      <c r="U182" s="48"/>
      <c r="V182" s="49"/>
      <c r="W182" s="49"/>
      <c r="X182" s="49"/>
      <c r="Y182" s="49"/>
      <c r="Z182" s="49">
        <v>500</v>
      </c>
      <c r="AA182" s="49"/>
      <c r="AB182" s="49"/>
      <c r="AC182" s="49"/>
      <c r="AD182" s="49"/>
      <c r="AE182" s="49"/>
      <c r="AF182" s="50"/>
      <c r="AG182" s="49"/>
      <c r="AH182" s="49"/>
      <c r="AI182" s="49"/>
      <c r="AJ182" s="49"/>
      <c r="AK182" s="49"/>
      <c r="AL182" s="49"/>
      <c r="AM182" s="49"/>
      <c r="AN182" s="49"/>
      <c r="AO182" s="49"/>
      <c r="AP182" s="49"/>
      <c r="AQ182" s="49"/>
      <c r="AR182" s="49"/>
      <c r="AS182" s="49"/>
      <c r="AT182" s="49"/>
      <c r="AU182" s="49"/>
      <c r="AV182" s="49"/>
      <c r="AW182" s="49"/>
      <c r="AX182" s="49"/>
      <c r="AY182" s="49"/>
      <c r="AZ182" s="33">
        <f t="shared" si="2"/>
        <v>-1.7053025658242404E-13</v>
      </c>
      <c r="BA182" s="43"/>
    </row>
    <row r="183" spans="1:53" ht="45.75" hidden="1" customHeight="1" x14ac:dyDescent="0.35">
      <c r="A183" s="26">
        <v>166</v>
      </c>
      <c r="B183" s="43" t="s">
        <v>1242</v>
      </c>
      <c r="C183" s="53"/>
      <c r="D183" s="298" t="s">
        <v>1243</v>
      </c>
      <c r="E183" s="95"/>
      <c r="F183" s="44" t="s">
        <v>30</v>
      </c>
      <c r="G183" s="234">
        <f>[1]DICIEMBRE!$BA$174</f>
        <v>0</v>
      </c>
      <c r="H183" s="45">
        <f>ENERO!BA179</f>
        <v>0</v>
      </c>
      <c r="I183" s="31">
        <f>FEBRERO!AX177</f>
        <v>0</v>
      </c>
      <c r="J183" s="32"/>
      <c r="K183" s="33"/>
      <c r="L183" s="32"/>
      <c r="M183" s="32"/>
      <c r="N183" s="336"/>
      <c r="O183" s="32"/>
      <c r="P183" s="33"/>
      <c r="Q183" s="31"/>
      <c r="R183" s="31"/>
      <c r="S183" s="47"/>
      <c r="T183" s="47"/>
      <c r="U183" s="48"/>
      <c r="V183" s="49"/>
      <c r="W183" s="49"/>
      <c r="X183" s="49"/>
      <c r="Y183" s="49"/>
      <c r="Z183" s="49"/>
      <c r="AA183" s="49"/>
      <c r="AB183" s="49"/>
      <c r="AC183" s="49"/>
      <c r="AD183" s="49"/>
      <c r="AE183" s="49"/>
      <c r="AF183" s="50"/>
      <c r="AG183" s="49"/>
      <c r="AH183" s="49"/>
      <c r="AI183" s="49"/>
      <c r="AJ183" s="49"/>
      <c r="AK183" s="49"/>
      <c r="AL183" s="49"/>
      <c r="AM183" s="49"/>
      <c r="AN183" s="49"/>
      <c r="AO183" s="49"/>
      <c r="AP183" s="49"/>
      <c r="AQ183" s="49"/>
      <c r="AR183" s="49"/>
      <c r="AS183" s="49"/>
      <c r="AT183" s="49"/>
      <c r="AU183" s="49"/>
      <c r="AV183" s="49"/>
      <c r="AW183" s="49"/>
      <c r="AX183" s="49"/>
      <c r="AY183" s="49"/>
      <c r="AZ183" s="33">
        <f t="shared" si="2"/>
        <v>0</v>
      </c>
      <c r="BA183" s="43" t="s">
        <v>2636</v>
      </c>
    </row>
    <row r="184" spans="1:53" ht="45.75" hidden="1" customHeight="1" x14ac:dyDescent="0.35">
      <c r="A184" s="26">
        <v>167</v>
      </c>
      <c r="B184" s="43" t="s">
        <v>1289</v>
      </c>
      <c r="C184" s="53"/>
      <c r="D184" s="298" t="s">
        <v>1290</v>
      </c>
      <c r="E184" s="95">
        <v>1</v>
      </c>
      <c r="F184" s="44" t="s">
        <v>30</v>
      </c>
      <c r="G184" s="112">
        <f>[1]DICIEMBRE!$BA$175</f>
        <v>0</v>
      </c>
      <c r="H184" s="31">
        <f>ENERO!BA180</f>
        <v>0</v>
      </c>
      <c r="I184" s="31">
        <f>FEBRERO!AX178</f>
        <v>0</v>
      </c>
      <c r="J184" s="32">
        <f>MARZO!BA177</f>
        <v>0</v>
      </c>
      <c r="K184" s="33"/>
      <c r="L184" s="32"/>
      <c r="M184" s="32"/>
      <c r="N184" s="32"/>
      <c r="O184" s="32"/>
      <c r="P184" s="31"/>
      <c r="Q184" s="31"/>
      <c r="R184" s="31"/>
      <c r="S184" s="47">
        <f>250*E184</f>
        <v>250</v>
      </c>
      <c r="T184" s="47"/>
      <c r="U184" s="48"/>
      <c r="V184" s="49"/>
      <c r="W184" s="49"/>
      <c r="X184" s="49"/>
      <c r="Y184" s="49"/>
      <c r="Z184" s="49"/>
      <c r="AA184" s="49"/>
      <c r="AB184" s="49"/>
      <c r="AC184" s="49"/>
      <c r="AD184" s="49"/>
      <c r="AE184" s="49">
        <v>250</v>
      </c>
      <c r="AF184" s="50"/>
      <c r="AG184" s="49"/>
      <c r="AH184" s="49"/>
      <c r="AI184" s="49"/>
      <c r="AJ184" s="49"/>
      <c r="AK184" s="49"/>
      <c r="AL184" s="49"/>
      <c r="AM184" s="49"/>
      <c r="AN184" s="49"/>
      <c r="AO184" s="49"/>
      <c r="AP184" s="49"/>
      <c r="AQ184" s="49"/>
      <c r="AR184" s="49"/>
      <c r="AS184" s="49"/>
      <c r="AT184" s="49"/>
      <c r="AU184" s="49"/>
      <c r="AV184" s="49"/>
      <c r="AW184" s="49"/>
      <c r="AX184" s="49"/>
      <c r="AY184" s="49"/>
      <c r="AZ184" s="33">
        <f t="shared" si="2"/>
        <v>0</v>
      </c>
      <c r="BA184" s="43"/>
    </row>
    <row r="185" spans="1:53" ht="45.75" hidden="1" customHeight="1" x14ac:dyDescent="0.35">
      <c r="A185" s="26">
        <v>168</v>
      </c>
      <c r="B185" s="43" t="s">
        <v>953</v>
      </c>
      <c r="C185" s="43"/>
      <c r="D185" s="306" t="s">
        <v>959</v>
      </c>
      <c r="E185" s="95">
        <v>5</v>
      </c>
      <c r="F185" s="44" t="s">
        <v>30</v>
      </c>
      <c r="G185" s="234">
        <f>[1]DICIEMBRE!$BA$176</f>
        <v>0</v>
      </c>
      <c r="H185" s="31">
        <f>ENERO!BA181</f>
        <v>0</v>
      </c>
      <c r="I185" s="31">
        <f>FEBRERO!AX179</f>
        <v>0</v>
      </c>
      <c r="J185" s="32">
        <f>MARZO!BA178</f>
        <v>0</v>
      </c>
      <c r="K185" s="32"/>
      <c r="L185" s="336"/>
      <c r="M185" s="336"/>
      <c r="N185" s="32"/>
      <c r="O185" s="33"/>
      <c r="P185" s="33"/>
      <c r="Q185" s="31"/>
      <c r="R185" s="31"/>
      <c r="S185" s="47">
        <f>150*E185</f>
        <v>750</v>
      </c>
      <c r="T185" s="47"/>
      <c r="U185" s="48"/>
      <c r="V185" s="49"/>
      <c r="W185" s="49"/>
      <c r="X185" s="49"/>
      <c r="Y185" s="49"/>
      <c r="Z185" s="49"/>
      <c r="AA185" s="49"/>
      <c r="AB185" s="49"/>
      <c r="AC185" s="49"/>
      <c r="AD185" s="49">
        <v>750</v>
      </c>
      <c r="AE185" s="49"/>
      <c r="AF185" s="50"/>
      <c r="AG185" s="49"/>
      <c r="AH185" s="49"/>
      <c r="AI185" s="49"/>
      <c r="AJ185" s="49"/>
      <c r="AK185" s="49"/>
      <c r="AL185" s="49"/>
      <c r="AM185" s="49"/>
      <c r="AN185" s="49"/>
      <c r="AO185" s="49"/>
      <c r="AP185" s="49"/>
      <c r="AQ185" s="49"/>
      <c r="AR185" s="49"/>
      <c r="AS185" s="49"/>
      <c r="AT185" s="49"/>
      <c r="AU185" s="49"/>
      <c r="AV185" s="49"/>
      <c r="AW185" s="49"/>
      <c r="AX185" s="49"/>
      <c r="AY185" s="49"/>
      <c r="AZ185" s="33">
        <f t="shared" si="2"/>
        <v>0</v>
      </c>
      <c r="BA185" s="43" t="s">
        <v>2797</v>
      </c>
    </row>
    <row r="186" spans="1:53" ht="45.75" hidden="1" customHeight="1" x14ac:dyDescent="0.35">
      <c r="A186" s="26">
        <v>169</v>
      </c>
      <c r="B186" s="43" t="s">
        <v>1294</v>
      </c>
      <c r="C186" s="53"/>
      <c r="D186" s="298" t="s">
        <v>1295</v>
      </c>
      <c r="E186" s="95">
        <v>3</v>
      </c>
      <c r="F186" s="44" t="s">
        <v>30</v>
      </c>
      <c r="G186" s="112">
        <f>[1]DICIEMBRE!$BA$177</f>
        <v>250</v>
      </c>
      <c r="H186" s="45">
        <f>ENERO!BA182</f>
        <v>0</v>
      </c>
      <c r="I186" s="45">
        <f>FEBRERO!AX180</f>
        <v>0</v>
      </c>
      <c r="J186" s="32">
        <f>MARZO!BA179</f>
        <v>0</v>
      </c>
      <c r="K186" s="32"/>
      <c r="L186" s="32"/>
      <c r="M186" s="32"/>
      <c r="N186" s="336"/>
      <c r="O186" s="32"/>
      <c r="P186" s="31"/>
      <c r="Q186" s="31"/>
      <c r="R186" s="31"/>
      <c r="S186" s="47">
        <f>250*E186</f>
        <v>750</v>
      </c>
      <c r="T186" s="47"/>
      <c r="U186" s="48"/>
      <c r="V186" s="49"/>
      <c r="W186" s="49"/>
      <c r="X186" s="49"/>
      <c r="Y186" s="49"/>
      <c r="Z186" s="49"/>
      <c r="AA186" s="49"/>
      <c r="AB186" s="49"/>
      <c r="AC186" s="49"/>
      <c r="AD186" s="49"/>
      <c r="AE186" s="49"/>
      <c r="AF186" s="50"/>
      <c r="AG186" s="49"/>
      <c r="AH186" s="49"/>
      <c r="AI186" s="49"/>
      <c r="AJ186" s="49"/>
      <c r="AK186" s="49"/>
      <c r="AL186" s="49"/>
      <c r="AM186" s="49"/>
      <c r="AN186" s="49"/>
      <c r="AO186" s="49"/>
      <c r="AP186" s="49"/>
      <c r="AQ186" s="49"/>
      <c r="AR186" s="49"/>
      <c r="AS186" s="49"/>
      <c r="AT186" s="49">
        <v>750</v>
      </c>
      <c r="AU186" s="49"/>
      <c r="AV186" s="49"/>
      <c r="AW186" s="49"/>
      <c r="AX186" s="49"/>
      <c r="AY186" s="49"/>
      <c r="AZ186" s="33">
        <f t="shared" si="2"/>
        <v>0</v>
      </c>
      <c r="BA186" s="43"/>
    </row>
    <row r="187" spans="1:53" ht="45.75" hidden="1" customHeight="1" x14ac:dyDescent="0.35">
      <c r="A187" s="26">
        <v>170</v>
      </c>
      <c r="B187" s="43" t="s">
        <v>2811</v>
      </c>
      <c r="C187" s="53"/>
      <c r="D187" s="300" t="s">
        <v>2887</v>
      </c>
      <c r="E187" s="95">
        <v>2</v>
      </c>
      <c r="F187" s="44" t="s">
        <v>30</v>
      </c>
      <c r="G187" s="112"/>
      <c r="H187" s="45"/>
      <c r="I187" s="45"/>
      <c r="J187" s="32"/>
      <c r="K187" s="32"/>
      <c r="L187" s="32"/>
      <c r="M187" s="32"/>
      <c r="N187" s="336"/>
      <c r="O187" s="32"/>
      <c r="P187" s="31"/>
      <c r="Q187" s="31"/>
      <c r="R187" s="31"/>
      <c r="S187" s="47">
        <f>300*E187</f>
        <v>600</v>
      </c>
      <c r="T187" s="47">
        <f>550*2</f>
        <v>1100</v>
      </c>
      <c r="U187" s="48"/>
      <c r="V187" s="49"/>
      <c r="W187" s="49"/>
      <c r="X187" s="49"/>
      <c r="Y187" s="49"/>
      <c r="Z187" s="49"/>
      <c r="AA187" s="49"/>
      <c r="AB187" s="49"/>
      <c r="AC187" s="49"/>
      <c r="AD187" s="49"/>
      <c r="AE187" s="49"/>
      <c r="AF187" s="50">
        <v>850</v>
      </c>
      <c r="AG187" s="49"/>
      <c r="AH187" s="49"/>
      <c r="AI187" s="49"/>
      <c r="AJ187" s="49"/>
      <c r="AK187" s="49"/>
      <c r="AL187" s="49"/>
      <c r="AM187" s="49"/>
      <c r="AN187" s="49"/>
      <c r="AO187" s="49"/>
      <c r="AP187" s="49"/>
      <c r="AQ187" s="49"/>
      <c r="AR187" s="49">
        <v>850</v>
      </c>
      <c r="AS187" s="49"/>
      <c r="AT187" s="49"/>
      <c r="AU187" s="49"/>
      <c r="AV187" s="49"/>
      <c r="AW187" s="49"/>
      <c r="AX187" s="49"/>
      <c r="AY187" s="49"/>
      <c r="AZ187" s="33">
        <f t="shared" si="2"/>
        <v>0</v>
      </c>
      <c r="BA187" s="43" t="s">
        <v>2889</v>
      </c>
    </row>
    <row r="188" spans="1:53" ht="59.25" customHeight="1" x14ac:dyDescent="0.35">
      <c r="A188" s="26">
        <v>171</v>
      </c>
      <c r="B188" s="43" t="s">
        <v>1377</v>
      </c>
      <c r="C188" s="53"/>
      <c r="D188" s="298" t="s">
        <v>1379</v>
      </c>
      <c r="E188" s="95">
        <v>1</v>
      </c>
      <c r="F188" s="44" t="s">
        <v>30</v>
      </c>
      <c r="G188" s="234">
        <f>[1]DICIEMBRE!$BA$178</f>
        <v>348</v>
      </c>
      <c r="H188" s="31">
        <f>ENERO!BA183</f>
        <v>0</v>
      </c>
      <c r="I188" s="31">
        <f>FEBRERO!AX181</f>
        <v>-348</v>
      </c>
      <c r="J188" s="32">
        <f>MARZO!BA180</f>
        <v>0</v>
      </c>
      <c r="K188" s="32"/>
      <c r="L188" s="336"/>
      <c r="M188" s="32"/>
      <c r="N188" s="32"/>
      <c r="O188" s="32"/>
      <c r="P188" s="31"/>
      <c r="Q188" s="31"/>
      <c r="R188" s="31"/>
      <c r="S188" s="47">
        <f>(300*0.16+300)*E188</f>
        <v>348</v>
      </c>
      <c r="T188" s="47"/>
      <c r="U188" s="48"/>
      <c r="V188" s="49"/>
      <c r="W188" s="49"/>
      <c r="X188" s="49"/>
      <c r="Y188" s="49"/>
      <c r="Z188" s="49"/>
      <c r="AA188" s="49"/>
      <c r="AB188" s="49"/>
      <c r="AC188" s="49"/>
      <c r="AD188" s="49"/>
      <c r="AE188" s="49"/>
      <c r="AF188" s="50"/>
      <c r="AG188" s="49"/>
      <c r="AH188" s="49"/>
      <c r="AI188" s="49"/>
      <c r="AJ188" s="49"/>
      <c r="AK188" s="49"/>
      <c r="AL188" s="49"/>
      <c r="AM188" s="49"/>
      <c r="AN188" s="49"/>
      <c r="AO188" s="49"/>
      <c r="AP188" s="49"/>
      <c r="AQ188" s="49"/>
      <c r="AR188" s="49"/>
      <c r="AS188" s="49"/>
      <c r="AT188" s="49"/>
      <c r="AU188" s="49"/>
      <c r="AV188" s="49"/>
      <c r="AW188" s="49"/>
      <c r="AX188" s="49"/>
      <c r="AY188" s="49"/>
      <c r="AZ188" s="33">
        <f t="shared" si="2"/>
        <v>348</v>
      </c>
      <c r="BA188" s="43"/>
    </row>
    <row r="189" spans="1:53" ht="45.75" hidden="1" customHeight="1" x14ac:dyDescent="0.35">
      <c r="A189" s="26">
        <v>172</v>
      </c>
      <c r="B189" s="43" t="s">
        <v>1566</v>
      </c>
      <c r="C189" s="53"/>
      <c r="D189" s="298" t="s">
        <v>1567</v>
      </c>
      <c r="E189" s="95">
        <v>1</v>
      </c>
      <c r="F189" s="44" t="s">
        <v>30</v>
      </c>
      <c r="G189" s="234">
        <f>[1]DICIEMBRE!$BA$180</f>
        <v>0</v>
      </c>
      <c r="H189" s="45">
        <f>ENERO!BA185</f>
        <v>0</v>
      </c>
      <c r="I189" s="31">
        <f>FEBRERO!AX183</f>
        <v>300</v>
      </c>
      <c r="J189" s="32">
        <f>MARZO!BA181</f>
        <v>0</v>
      </c>
      <c r="K189" s="32"/>
      <c r="L189" s="336"/>
      <c r="M189" s="336"/>
      <c r="N189" s="32"/>
      <c r="O189" s="33"/>
      <c r="P189" s="33"/>
      <c r="Q189" s="31"/>
      <c r="R189" s="31"/>
      <c r="S189" s="47">
        <f>300*E189</f>
        <v>300</v>
      </c>
      <c r="T189" s="47"/>
      <c r="U189" s="48"/>
      <c r="V189" s="49"/>
      <c r="W189" s="49"/>
      <c r="X189" s="49"/>
      <c r="Y189" s="49"/>
      <c r="Z189" s="49"/>
      <c r="AA189" s="49"/>
      <c r="AB189" s="49">
        <v>300</v>
      </c>
      <c r="AC189" s="49"/>
      <c r="AD189" s="49"/>
      <c r="AE189" s="49"/>
      <c r="AF189" s="50"/>
      <c r="AG189" s="49"/>
      <c r="AH189" s="49"/>
      <c r="AI189" s="49"/>
      <c r="AJ189" s="49"/>
      <c r="AK189" s="49"/>
      <c r="AL189" s="49"/>
      <c r="AM189" s="49"/>
      <c r="AN189" s="49"/>
      <c r="AO189" s="49"/>
      <c r="AP189" s="49"/>
      <c r="AQ189" s="49"/>
      <c r="AR189" s="49"/>
      <c r="AS189" s="49"/>
      <c r="AT189" s="49"/>
      <c r="AU189" s="49"/>
      <c r="AV189" s="49"/>
      <c r="AW189" s="49"/>
      <c r="AX189" s="49"/>
      <c r="AY189" s="49"/>
      <c r="AZ189" s="33">
        <f t="shared" si="2"/>
        <v>0</v>
      </c>
      <c r="BA189" s="43"/>
    </row>
    <row r="190" spans="1:53" ht="45.75" hidden="1" customHeight="1" x14ac:dyDescent="0.35">
      <c r="A190" s="26">
        <v>173</v>
      </c>
      <c r="B190" s="43" t="s">
        <v>2042</v>
      </c>
      <c r="C190" s="53"/>
      <c r="D190" s="298" t="s">
        <v>1770</v>
      </c>
      <c r="E190" s="95">
        <v>1</v>
      </c>
      <c r="F190" s="44" t="s">
        <v>30</v>
      </c>
      <c r="G190" s="234"/>
      <c r="H190" s="31">
        <f>ENERO!BA186</f>
        <v>0</v>
      </c>
      <c r="I190" s="45">
        <f>FEBRERO!AX184</f>
        <v>0</v>
      </c>
      <c r="J190" s="32">
        <f>MARZO!BA182</f>
        <v>0</v>
      </c>
      <c r="K190" s="32"/>
      <c r="L190" s="336"/>
      <c r="M190" s="336"/>
      <c r="N190" s="32"/>
      <c r="O190" s="33"/>
      <c r="P190" s="33"/>
      <c r="Q190" s="31"/>
      <c r="R190" s="31"/>
      <c r="S190" s="47">
        <f>250*E190</f>
        <v>250</v>
      </c>
      <c r="T190" s="47"/>
      <c r="U190" s="48"/>
      <c r="V190" s="49"/>
      <c r="W190" s="49"/>
      <c r="X190" s="49"/>
      <c r="Y190" s="49"/>
      <c r="Z190" s="49"/>
      <c r="AA190" s="49"/>
      <c r="AB190" s="49"/>
      <c r="AC190" s="49"/>
      <c r="AD190" s="49"/>
      <c r="AE190" s="49">
        <v>250</v>
      </c>
      <c r="AF190" s="50"/>
      <c r="AG190" s="49"/>
      <c r="AH190" s="49"/>
      <c r="AI190" s="49"/>
      <c r="AJ190" s="49"/>
      <c r="AK190" s="49"/>
      <c r="AL190" s="49"/>
      <c r="AM190" s="49"/>
      <c r="AN190" s="49"/>
      <c r="AO190" s="49"/>
      <c r="AP190" s="49"/>
      <c r="AQ190" s="49"/>
      <c r="AR190" s="49"/>
      <c r="AS190" s="49"/>
      <c r="AT190" s="49"/>
      <c r="AU190" s="49"/>
      <c r="AV190" s="49"/>
      <c r="AW190" s="49"/>
      <c r="AX190" s="49"/>
      <c r="AY190" s="49"/>
      <c r="AZ190" s="33">
        <f t="shared" si="2"/>
        <v>0</v>
      </c>
      <c r="BA190" s="43"/>
    </row>
    <row r="191" spans="1:53" ht="48" hidden="1" customHeight="1" x14ac:dyDescent="0.35">
      <c r="A191" s="26">
        <v>174</v>
      </c>
      <c r="B191" s="27" t="s">
        <v>120</v>
      </c>
      <c r="C191" s="28" t="s">
        <v>121</v>
      </c>
      <c r="D191" s="298" t="s">
        <v>1180</v>
      </c>
      <c r="E191" s="95">
        <v>1</v>
      </c>
      <c r="F191" s="64" t="s">
        <v>30</v>
      </c>
      <c r="G191" s="112">
        <f>[1]DICIEMBRE!$BA$181</f>
        <v>0</v>
      </c>
      <c r="H191" s="31">
        <f>ENERO!BA187</f>
        <v>0</v>
      </c>
      <c r="I191" s="31">
        <f>FEBRERO!AX185</f>
        <v>0</v>
      </c>
      <c r="J191" s="32">
        <f>MARZO!BA183</f>
        <v>0</v>
      </c>
      <c r="K191" s="32"/>
      <c r="L191" s="32"/>
      <c r="M191" s="32"/>
      <c r="N191" s="336"/>
      <c r="O191" s="32"/>
      <c r="P191" s="31"/>
      <c r="Q191" s="31"/>
      <c r="R191" s="31"/>
      <c r="S191" s="49">
        <f>250*E191</f>
        <v>250</v>
      </c>
      <c r="T191" s="47"/>
      <c r="U191" s="77"/>
      <c r="V191" s="49"/>
      <c r="W191" s="49"/>
      <c r="X191" s="49"/>
      <c r="Y191" s="49"/>
      <c r="Z191" s="49"/>
      <c r="AA191" s="49"/>
      <c r="AB191" s="49"/>
      <c r="AC191" s="49">
        <v>250</v>
      </c>
      <c r="AD191" s="49"/>
      <c r="AE191" s="49"/>
      <c r="AF191" s="51"/>
      <c r="AG191" s="49"/>
      <c r="AH191" s="49"/>
      <c r="AI191" s="49"/>
      <c r="AJ191" s="49"/>
      <c r="AK191" s="68"/>
      <c r="AL191" s="49"/>
      <c r="AM191" s="49"/>
      <c r="AN191" s="49"/>
      <c r="AO191" s="49"/>
      <c r="AP191" s="49"/>
      <c r="AQ191" s="49"/>
      <c r="AR191" s="49"/>
      <c r="AS191" s="49"/>
      <c r="AT191" s="49"/>
      <c r="AU191" s="49"/>
      <c r="AV191" s="49"/>
      <c r="AW191" s="49"/>
      <c r="AX191" s="49"/>
      <c r="AY191" s="49"/>
      <c r="AZ191" s="33">
        <f t="shared" si="2"/>
        <v>0</v>
      </c>
      <c r="BA191" s="269" t="s">
        <v>2637</v>
      </c>
    </row>
    <row r="192" spans="1:53" ht="48" hidden="1" customHeight="1" x14ac:dyDescent="0.35">
      <c r="A192" s="26">
        <v>175</v>
      </c>
      <c r="B192" s="43" t="s">
        <v>1056</v>
      </c>
      <c r="C192" s="28"/>
      <c r="D192" s="298" t="s">
        <v>1181</v>
      </c>
      <c r="E192" s="95">
        <v>1</v>
      </c>
      <c r="F192" s="64" t="s">
        <v>30</v>
      </c>
      <c r="G192" s="234">
        <f>[1]DICIEMBRE!$BA$182</f>
        <v>0</v>
      </c>
      <c r="H192" s="45">
        <f>ENERO!BA188</f>
        <v>0</v>
      </c>
      <c r="I192" s="31">
        <f>FEBRERO!AX186</f>
        <v>0</v>
      </c>
      <c r="J192" s="32">
        <f>MARZO!BA184</f>
        <v>0</v>
      </c>
      <c r="K192" s="32"/>
      <c r="L192" s="32"/>
      <c r="M192" s="32"/>
      <c r="N192" s="32"/>
      <c r="O192" s="32"/>
      <c r="P192" s="33"/>
      <c r="Q192" s="31"/>
      <c r="R192" s="31"/>
      <c r="S192" s="49">
        <f>300*E192</f>
        <v>300</v>
      </c>
      <c r="T192" s="47"/>
      <c r="U192" s="77"/>
      <c r="V192" s="49"/>
      <c r="W192" s="49"/>
      <c r="X192" s="49"/>
      <c r="Y192" s="49"/>
      <c r="Z192" s="49"/>
      <c r="AA192" s="49"/>
      <c r="AB192" s="49"/>
      <c r="AC192" s="49"/>
      <c r="AD192" s="49"/>
      <c r="AE192" s="49">
        <v>300</v>
      </c>
      <c r="AF192" s="51"/>
      <c r="AG192" s="49"/>
      <c r="AH192" s="49"/>
      <c r="AI192" s="49"/>
      <c r="AJ192" s="49"/>
      <c r="AK192" s="68"/>
      <c r="AL192" s="49"/>
      <c r="AM192" s="49"/>
      <c r="AN192" s="49"/>
      <c r="AO192" s="49"/>
      <c r="AP192" s="49"/>
      <c r="AQ192" s="49"/>
      <c r="AR192" s="49"/>
      <c r="AS192" s="49"/>
      <c r="AT192" s="49"/>
      <c r="AU192" s="49"/>
      <c r="AV192" s="49"/>
      <c r="AW192" s="49"/>
      <c r="AX192" s="49"/>
      <c r="AY192" s="49"/>
      <c r="AZ192" s="33">
        <f t="shared" si="2"/>
        <v>0</v>
      </c>
      <c r="BA192" s="269"/>
    </row>
    <row r="193" spans="1:53" ht="48" hidden="1" customHeight="1" x14ac:dyDescent="0.35">
      <c r="A193" s="26">
        <v>176</v>
      </c>
      <c r="B193" s="43" t="s">
        <v>1609</v>
      </c>
      <c r="C193" s="28"/>
      <c r="D193" s="298" t="s">
        <v>1610</v>
      </c>
      <c r="E193" s="95">
        <v>3</v>
      </c>
      <c r="F193" s="64" t="s">
        <v>30</v>
      </c>
      <c r="G193" s="112">
        <f>[1]DICIEMBRE!$BA$183</f>
        <v>1.1368683772161603E-13</v>
      </c>
      <c r="H193" s="31">
        <f>ENERO!BA189</f>
        <v>0</v>
      </c>
      <c r="I193" s="31">
        <f>FEBRERO!AX187</f>
        <v>0</v>
      </c>
      <c r="J193" s="32">
        <f>MARZO!BA185</f>
        <v>0</v>
      </c>
      <c r="K193" s="32"/>
      <c r="L193" s="32"/>
      <c r="M193" s="32"/>
      <c r="N193" s="32"/>
      <c r="O193" s="32"/>
      <c r="P193" s="33"/>
      <c r="Q193" s="31"/>
      <c r="R193" s="31"/>
      <c r="S193" s="49">
        <f>(300*0.16+300)*E193</f>
        <v>1044</v>
      </c>
      <c r="T193" s="47"/>
      <c r="U193" s="77"/>
      <c r="V193" s="49"/>
      <c r="W193" s="49"/>
      <c r="X193" s="49"/>
      <c r="Y193" s="49"/>
      <c r="Z193" s="49"/>
      <c r="AA193" s="49"/>
      <c r="AB193" s="49"/>
      <c r="AC193" s="49"/>
      <c r="AD193" s="49"/>
      <c r="AE193" s="49"/>
      <c r="AF193" s="51">
        <v>1044</v>
      </c>
      <c r="AG193" s="49"/>
      <c r="AH193" s="49"/>
      <c r="AI193" s="49"/>
      <c r="AJ193" s="49"/>
      <c r="AK193" s="68"/>
      <c r="AL193" s="49"/>
      <c r="AM193" s="49"/>
      <c r="AN193" s="49"/>
      <c r="AO193" s="49"/>
      <c r="AP193" s="49"/>
      <c r="AQ193" s="49"/>
      <c r="AR193" s="49"/>
      <c r="AS193" s="49"/>
      <c r="AT193" s="49"/>
      <c r="AU193" s="49"/>
      <c r="AV193" s="49"/>
      <c r="AW193" s="49"/>
      <c r="AX193" s="49"/>
      <c r="AY193" s="49"/>
      <c r="AZ193" s="33">
        <f t="shared" si="2"/>
        <v>0</v>
      </c>
      <c r="BA193" s="269"/>
    </row>
    <row r="194" spans="1:53" ht="48" customHeight="1" x14ac:dyDescent="0.35">
      <c r="A194" s="26">
        <v>177</v>
      </c>
      <c r="B194" s="43" t="s">
        <v>945</v>
      </c>
      <c r="C194" s="28"/>
      <c r="D194" s="298" t="s">
        <v>1182</v>
      </c>
      <c r="E194" s="95">
        <v>1</v>
      </c>
      <c r="F194" s="64" t="s">
        <v>30</v>
      </c>
      <c r="G194" s="234">
        <f>[1]DICIEMBRE!$BA$184</f>
        <v>0</v>
      </c>
      <c r="H194" s="31">
        <f>ENERO!BA190</f>
        <v>299</v>
      </c>
      <c r="I194" s="45">
        <f>FEBRERO!AX188</f>
        <v>0</v>
      </c>
      <c r="J194" s="32">
        <f>MARZO!BA186</f>
        <v>0</v>
      </c>
      <c r="K194" s="33"/>
      <c r="L194" s="336"/>
      <c r="M194" s="336"/>
      <c r="N194" s="32"/>
      <c r="O194" s="33"/>
      <c r="P194" s="31"/>
      <c r="Q194" s="31"/>
      <c r="R194" s="31"/>
      <c r="S194" s="49">
        <f>299*E194</f>
        <v>299</v>
      </c>
      <c r="T194" s="47"/>
      <c r="U194" s="77"/>
      <c r="V194" s="49"/>
      <c r="W194" s="49"/>
      <c r="X194" s="49"/>
      <c r="Y194" s="49"/>
      <c r="Z194" s="49"/>
      <c r="AA194" s="49"/>
      <c r="AB194" s="49"/>
      <c r="AC194" s="49"/>
      <c r="AD194" s="49"/>
      <c r="AE194" s="49"/>
      <c r="AF194" s="51"/>
      <c r="AG194" s="49"/>
      <c r="AH194" s="49"/>
      <c r="AI194" s="49"/>
      <c r="AJ194" s="49"/>
      <c r="AK194" s="68"/>
      <c r="AL194" s="49"/>
      <c r="AM194" s="49"/>
      <c r="AN194" s="49"/>
      <c r="AO194" s="49"/>
      <c r="AP194" s="49"/>
      <c r="AQ194" s="49"/>
      <c r="AR194" s="49"/>
      <c r="AS194" s="49"/>
      <c r="AT194" s="49"/>
      <c r="AU194" s="49"/>
      <c r="AV194" s="49"/>
      <c r="AW194" s="49"/>
      <c r="AX194" s="49"/>
      <c r="AY194" s="49"/>
      <c r="AZ194" s="33">
        <f t="shared" si="2"/>
        <v>299</v>
      </c>
      <c r="BA194" s="269"/>
    </row>
    <row r="195" spans="1:53" ht="48" hidden="1" customHeight="1" x14ac:dyDescent="0.35">
      <c r="A195" s="26">
        <v>178</v>
      </c>
      <c r="B195" s="43" t="s">
        <v>1659</v>
      </c>
      <c r="C195" s="28"/>
      <c r="D195" s="298" t="s">
        <v>1600</v>
      </c>
      <c r="E195" s="95">
        <v>1</v>
      </c>
      <c r="F195" s="64"/>
      <c r="G195" s="112">
        <f>[1]DICIEMBRE!$BA$185</f>
        <v>0</v>
      </c>
      <c r="H195" s="45">
        <f>ENERO!BA191</f>
        <v>0</v>
      </c>
      <c r="I195" s="31">
        <f>FEBRERO!AX189</f>
        <v>0</v>
      </c>
      <c r="J195" s="32">
        <f>MARZO!BA187</f>
        <v>0</v>
      </c>
      <c r="K195" s="33"/>
      <c r="L195" s="336"/>
      <c r="M195" s="336"/>
      <c r="N195" s="32"/>
      <c r="O195" s="33"/>
      <c r="P195" s="31"/>
      <c r="Q195" s="31"/>
      <c r="R195" s="31"/>
      <c r="S195" s="49">
        <v>300</v>
      </c>
      <c r="T195" s="47"/>
      <c r="U195" s="77"/>
      <c r="V195" s="49"/>
      <c r="W195" s="49"/>
      <c r="X195" s="49"/>
      <c r="Y195" s="49">
        <v>300</v>
      </c>
      <c r="Z195" s="49"/>
      <c r="AA195" s="49"/>
      <c r="AB195" s="49"/>
      <c r="AC195" s="49"/>
      <c r="AD195" s="49"/>
      <c r="AE195" s="49"/>
      <c r="AF195" s="51"/>
      <c r="AG195" s="49"/>
      <c r="AH195" s="49"/>
      <c r="AI195" s="49"/>
      <c r="AJ195" s="49"/>
      <c r="AK195" s="68"/>
      <c r="AL195" s="49"/>
      <c r="AM195" s="49"/>
      <c r="AN195" s="49"/>
      <c r="AO195" s="49"/>
      <c r="AP195" s="49"/>
      <c r="AQ195" s="49"/>
      <c r="AR195" s="49"/>
      <c r="AS195" s="49"/>
      <c r="AT195" s="49"/>
      <c r="AU195" s="49"/>
      <c r="AV195" s="49"/>
      <c r="AW195" s="49"/>
      <c r="AX195" s="49"/>
      <c r="AY195" s="49"/>
      <c r="AZ195" s="33">
        <f t="shared" si="2"/>
        <v>0</v>
      </c>
      <c r="BA195" s="269"/>
    </row>
    <row r="196" spans="1:53" ht="47.25" hidden="1" customHeight="1" x14ac:dyDescent="0.35">
      <c r="A196" s="26">
        <v>179</v>
      </c>
      <c r="B196" s="43" t="s">
        <v>124</v>
      </c>
      <c r="C196" s="53" t="s">
        <v>125</v>
      </c>
      <c r="D196" s="298" t="s">
        <v>1183</v>
      </c>
      <c r="E196" s="95">
        <v>1</v>
      </c>
      <c r="F196" s="44" t="s">
        <v>30</v>
      </c>
      <c r="G196" s="234">
        <f>[1]DICIEMBRE!$BA$186</f>
        <v>0</v>
      </c>
      <c r="H196" s="31">
        <f>ENERO!BA192</f>
        <v>-350</v>
      </c>
      <c r="I196" s="31">
        <f>FEBRERO!AX190</f>
        <v>0</v>
      </c>
      <c r="J196" s="32">
        <f>MARZO!BA188</f>
        <v>0</v>
      </c>
      <c r="K196" s="32"/>
      <c r="L196" s="32"/>
      <c r="M196" s="32"/>
      <c r="N196" s="336"/>
      <c r="O196" s="32"/>
      <c r="P196" s="33"/>
      <c r="Q196" s="31"/>
      <c r="R196" s="31"/>
      <c r="S196" s="47">
        <v>350</v>
      </c>
      <c r="T196" s="47"/>
      <c r="U196" s="48"/>
      <c r="V196" s="49">
        <v>350</v>
      </c>
      <c r="W196" s="49"/>
      <c r="X196" s="49"/>
      <c r="Y196" s="49"/>
      <c r="Z196" s="49"/>
      <c r="AA196" s="49"/>
      <c r="AB196" s="49"/>
      <c r="AC196" s="49"/>
      <c r="AD196" s="49"/>
      <c r="AE196" s="49"/>
      <c r="AF196" s="49"/>
      <c r="AG196" s="49"/>
      <c r="AH196" s="49"/>
      <c r="AI196" s="49"/>
      <c r="AJ196" s="49"/>
      <c r="AK196" s="63"/>
      <c r="AL196" s="49"/>
      <c r="AM196" s="49"/>
      <c r="AN196" s="49"/>
      <c r="AO196" s="49"/>
      <c r="AP196" s="49"/>
      <c r="AQ196" s="49"/>
      <c r="AR196" s="49"/>
      <c r="AS196" s="49"/>
      <c r="AT196" s="49"/>
      <c r="AU196" s="49"/>
      <c r="AV196" s="49"/>
      <c r="AW196" s="49"/>
      <c r="AX196" s="49"/>
      <c r="AY196" s="49"/>
      <c r="AZ196" s="33">
        <f t="shared" si="2"/>
        <v>0</v>
      </c>
      <c r="BA196" s="43"/>
    </row>
    <row r="197" spans="1:53" ht="45.75" hidden="1" customHeight="1" x14ac:dyDescent="0.35">
      <c r="A197" s="26">
        <v>180</v>
      </c>
      <c r="B197" s="43" t="s">
        <v>1304</v>
      </c>
      <c r="C197" s="53"/>
      <c r="D197" s="298" t="s">
        <v>621</v>
      </c>
      <c r="E197" s="95">
        <v>2</v>
      </c>
      <c r="F197" s="44" t="s">
        <v>30</v>
      </c>
      <c r="G197" s="112">
        <f>[1]DICIEMBRE!$BA$187</f>
        <v>0</v>
      </c>
      <c r="H197" s="31">
        <f>ENERO!BA193</f>
        <v>0</v>
      </c>
      <c r="I197" s="31">
        <f>FEBRERO!AX191</f>
        <v>0</v>
      </c>
      <c r="J197" s="32">
        <f>MARZO!BA189</f>
        <v>0</v>
      </c>
      <c r="K197" s="33"/>
      <c r="L197" s="336"/>
      <c r="M197" s="32"/>
      <c r="N197" s="32"/>
      <c r="O197" s="32"/>
      <c r="P197" s="31"/>
      <c r="Q197" s="31"/>
      <c r="R197" s="31"/>
      <c r="S197" s="47">
        <f>249*E197</f>
        <v>498</v>
      </c>
      <c r="T197" s="47"/>
      <c r="U197" s="48"/>
      <c r="V197" s="49"/>
      <c r="W197" s="49"/>
      <c r="X197" s="49"/>
      <c r="Y197" s="49">
        <v>498</v>
      </c>
      <c r="Z197" s="49"/>
      <c r="AA197" s="49"/>
      <c r="AB197" s="49"/>
      <c r="AC197" s="49"/>
      <c r="AD197" s="49"/>
      <c r="AE197" s="49"/>
      <c r="AF197" s="50"/>
      <c r="AG197" s="49"/>
      <c r="AH197" s="49"/>
      <c r="AI197" s="49"/>
      <c r="AJ197" s="49"/>
      <c r="AK197" s="49"/>
      <c r="AL197" s="49"/>
      <c r="AM197" s="49"/>
      <c r="AN197" s="49"/>
      <c r="AO197" s="49"/>
      <c r="AP197" s="49"/>
      <c r="AQ197" s="49"/>
      <c r="AR197" s="49"/>
      <c r="AS197" s="49"/>
      <c r="AT197" s="49"/>
      <c r="AU197" s="49"/>
      <c r="AV197" s="49"/>
      <c r="AW197" s="49"/>
      <c r="AX197" s="49"/>
      <c r="AY197" s="49"/>
      <c r="AZ197" s="33">
        <f t="shared" si="2"/>
        <v>0</v>
      </c>
      <c r="BA197" s="43"/>
    </row>
    <row r="198" spans="1:53" ht="63.75" customHeight="1" x14ac:dyDescent="0.35">
      <c r="A198" s="26">
        <v>181</v>
      </c>
      <c r="B198" s="43" t="s">
        <v>1557</v>
      </c>
      <c r="C198" s="53"/>
      <c r="D198" s="300" t="s">
        <v>1558</v>
      </c>
      <c r="E198" s="95">
        <v>1</v>
      </c>
      <c r="F198" s="44" t="s">
        <v>30</v>
      </c>
      <c r="G198" s="112">
        <f>[1]DICIEMBRE!$BA$189</f>
        <v>0</v>
      </c>
      <c r="H198" s="31">
        <f>ENERO!BA195</f>
        <v>300</v>
      </c>
      <c r="I198" s="45">
        <f>FEBRERO!AX192</f>
        <v>0</v>
      </c>
      <c r="J198" s="32">
        <f>MARZO!BA190</f>
        <v>0</v>
      </c>
      <c r="K198" s="32"/>
      <c r="L198" s="32"/>
      <c r="M198" s="336"/>
      <c r="N198" s="32"/>
      <c r="O198" s="33"/>
      <c r="P198" s="33"/>
      <c r="Q198" s="31"/>
      <c r="R198" s="31"/>
      <c r="S198" s="47">
        <f>300*E198</f>
        <v>300</v>
      </c>
      <c r="T198" s="47"/>
      <c r="U198" s="48"/>
      <c r="V198" s="49"/>
      <c r="W198" s="49"/>
      <c r="X198" s="49"/>
      <c r="Y198" s="49"/>
      <c r="Z198" s="49"/>
      <c r="AA198" s="49"/>
      <c r="AB198" s="49"/>
      <c r="AC198" s="49"/>
      <c r="AD198" s="49"/>
      <c r="AE198" s="49"/>
      <c r="AF198" s="49"/>
      <c r="AG198" s="49"/>
      <c r="AH198" s="49"/>
      <c r="AI198" s="49"/>
      <c r="AJ198" s="49"/>
      <c r="AK198" s="63"/>
      <c r="AL198" s="49"/>
      <c r="AM198" s="49"/>
      <c r="AN198" s="49"/>
      <c r="AO198" s="49"/>
      <c r="AP198" s="49"/>
      <c r="AQ198" s="49"/>
      <c r="AR198" s="49"/>
      <c r="AS198" s="49"/>
      <c r="AT198" s="49"/>
      <c r="AU198" s="49"/>
      <c r="AV198" s="49"/>
      <c r="AW198" s="49"/>
      <c r="AX198" s="49"/>
      <c r="AY198" s="49"/>
      <c r="AZ198" s="33">
        <f t="shared" si="2"/>
        <v>300</v>
      </c>
      <c r="BA198" s="43"/>
    </row>
    <row r="199" spans="1:53" ht="63.75" hidden="1" customHeight="1" x14ac:dyDescent="0.35">
      <c r="A199" s="26">
        <v>182</v>
      </c>
      <c r="B199" s="43" t="s">
        <v>2433</v>
      </c>
      <c r="C199" s="53"/>
      <c r="D199" s="300" t="s">
        <v>2639</v>
      </c>
      <c r="E199" s="95">
        <v>1</v>
      </c>
      <c r="F199" s="44" t="s">
        <v>100</v>
      </c>
      <c r="G199" s="112"/>
      <c r="H199" s="31"/>
      <c r="I199" s="45"/>
      <c r="J199" s="32">
        <f>MARZO!BA191</f>
        <v>0</v>
      </c>
      <c r="K199" s="32"/>
      <c r="L199" s="32"/>
      <c r="M199" s="336"/>
      <c r="N199" s="32"/>
      <c r="O199" s="33"/>
      <c r="P199" s="33"/>
      <c r="Q199" s="31"/>
      <c r="R199" s="31"/>
      <c r="S199" s="47">
        <f>300</f>
        <v>300</v>
      </c>
      <c r="T199" s="47"/>
      <c r="U199" s="48"/>
      <c r="V199" s="49"/>
      <c r="W199" s="49"/>
      <c r="X199" s="49"/>
      <c r="Y199" s="49"/>
      <c r="Z199" s="49"/>
      <c r="AA199" s="49">
        <v>300</v>
      </c>
      <c r="AB199" s="49"/>
      <c r="AC199" s="49"/>
      <c r="AD199" s="49"/>
      <c r="AE199" s="49"/>
      <c r="AF199" s="49"/>
      <c r="AG199" s="49"/>
      <c r="AH199" s="49"/>
      <c r="AI199" s="49"/>
      <c r="AJ199" s="49"/>
      <c r="AK199" s="63"/>
      <c r="AL199" s="49"/>
      <c r="AM199" s="49"/>
      <c r="AN199" s="49"/>
      <c r="AO199" s="49"/>
      <c r="AP199" s="49"/>
      <c r="AQ199" s="49"/>
      <c r="AR199" s="49"/>
      <c r="AS199" s="49"/>
      <c r="AT199" s="49"/>
      <c r="AU199" s="49"/>
      <c r="AV199" s="49"/>
      <c r="AW199" s="49"/>
      <c r="AX199" s="49"/>
      <c r="AY199" s="49"/>
      <c r="AZ199" s="33">
        <f t="shared" si="2"/>
        <v>0</v>
      </c>
      <c r="BA199" s="43"/>
    </row>
    <row r="200" spans="1:53" ht="63.75" hidden="1" customHeight="1" x14ac:dyDescent="0.35">
      <c r="A200" s="26">
        <v>183</v>
      </c>
      <c r="B200" s="43" t="s">
        <v>2767</v>
      </c>
      <c r="C200" s="53"/>
      <c r="D200" s="300" t="s">
        <v>2944</v>
      </c>
      <c r="E200" s="95">
        <v>1</v>
      </c>
      <c r="F200" s="44"/>
      <c r="G200" s="112"/>
      <c r="H200" s="31"/>
      <c r="I200" s="45"/>
      <c r="J200" s="32"/>
      <c r="K200" s="32"/>
      <c r="L200" s="32"/>
      <c r="M200" s="336"/>
      <c r="N200" s="32"/>
      <c r="O200" s="33"/>
      <c r="P200" s="33"/>
      <c r="Q200" s="31"/>
      <c r="R200" s="31"/>
      <c r="S200" s="47">
        <f>300*E200</f>
        <v>300</v>
      </c>
      <c r="T200" s="47">
        <v>550</v>
      </c>
      <c r="U200" s="48"/>
      <c r="V200" s="49"/>
      <c r="W200" s="49"/>
      <c r="X200" s="49"/>
      <c r="Y200" s="49">
        <v>850</v>
      </c>
      <c r="Z200" s="49"/>
      <c r="AA200" s="49"/>
      <c r="AB200" s="49"/>
      <c r="AC200" s="49"/>
      <c r="AD200" s="49"/>
      <c r="AE200" s="49"/>
      <c r="AF200" s="49"/>
      <c r="AG200" s="49"/>
      <c r="AH200" s="49"/>
      <c r="AI200" s="49"/>
      <c r="AJ200" s="49"/>
      <c r="AK200" s="63"/>
      <c r="AL200" s="49"/>
      <c r="AM200" s="49"/>
      <c r="AN200" s="49"/>
      <c r="AO200" s="49"/>
      <c r="AP200" s="49"/>
      <c r="AQ200" s="49"/>
      <c r="AR200" s="49"/>
      <c r="AS200" s="49"/>
      <c r="AT200" s="49"/>
      <c r="AU200" s="49"/>
      <c r="AV200" s="49"/>
      <c r="AW200" s="49"/>
      <c r="AX200" s="49"/>
      <c r="AY200" s="49"/>
      <c r="AZ200" s="33">
        <f t="shared" si="2"/>
        <v>0</v>
      </c>
      <c r="BA200" s="43" t="s">
        <v>2768</v>
      </c>
    </row>
    <row r="201" spans="1:53" s="23" customFormat="1" ht="48.75" hidden="1" customHeight="1" x14ac:dyDescent="0.3">
      <c r="A201" s="26">
        <v>184</v>
      </c>
      <c r="B201" s="58" t="s">
        <v>1265</v>
      </c>
      <c r="C201" s="53"/>
      <c r="D201" s="314" t="s">
        <v>1266</v>
      </c>
      <c r="E201" s="97">
        <v>3</v>
      </c>
      <c r="F201" s="30" t="s">
        <v>30</v>
      </c>
      <c r="G201" s="234">
        <f>[1]DICIEMBRE!$BA$190</f>
        <v>0</v>
      </c>
      <c r="H201" s="31">
        <f>ENERO!BA196</f>
        <v>0</v>
      </c>
      <c r="I201" s="31">
        <f>FEBRERO!AX193</f>
        <v>0</v>
      </c>
      <c r="J201" s="32">
        <f>MARZO!BA192</f>
        <v>0</v>
      </c>
      <c r="K201" s="32"/>
      <c r="L201" s="336"/>
      <c r="M201" s="32"/>
      <c r="N201" s="336"/>
      <c r="O201" s="32"/>
      <c r="P201" s="33"/>
      <c r="Q201" s="31"/>
      <c r="R201" s="31"/>
      <c r="S201" s="59">
        <f>300*E201</f>
        <v>900</v>
      </c>
      <c r="T201" s="34"/>
      <c r="U201" s="34"/>
      <c r="V201" s="35"/>
      <c r="W201" s="35"/>
      <c r="X201" s="35">
        <v>900</v>
      </c>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3">
        <f t="shared" si="2"/>
        <v>0</v>
      </c>
      <c r="BA201" s="43"/>
    </row>
    <row r="202" spans="1:53" ht="47.25" hidden="1" customHeight="1" x14ac:dyDescent="0.35">
      <c r="A202" s="26">
        <v>185</v>
      </c>
      <c r="B202" s="43" t="s">
        <v>971</v>
      </c>
      <c r="C202" s="53"/>
      <c r="D202" s="298" t="s">
        <v>972</v>
      </c>
      <c r="E202" s="95">
        <v>1</v>
      </c>
      <c r="F202" s="44" t="s">
        <v>30</v>
      </c>
      <c r="G202" s="112">
        <f>[1]DICIEMBRE!$BA$191</f>
        <v>0</v>
      </c>
      <c r="H202" s="45">
        <f>ENERO!BA197</f>
        <v>-250</v>
      </c>
      <c r="I202" s="31">
        <f>FEBRERO!AX194</f>
        <v>0</v>
      </c>
      <c r="J202" s="32">
        <f>MARZO!BA193</f>
        <v>0</v>
      </c>
      <c r="K202" s="32"/>
      <c r="L202" s="32"/>
      <c r="M202" s="32"/>
      <c r="N202" s="336"/>
      <c r="O202" s="32"/>
      <c r="P202" s="31"/>
      <c r="Q202" s="31"/>
      <c r="R202" s="31"/>
      <c r="S202" s="47">
        <f>250*E202</f>
        <v>250</v>
      </c>
      <c r="T202" s="47"/>
      <c r="U202" s="48"/>
      <c r="V202" s="49"/>
      <c r="W202" s="49"/>
      <c r="X202" s="49"/>
      <c r="Y202" s="49"/>
      <c r="Z202" s="49"/>
      <c r="AA202" s="49"/>
      <c r="AB202" s="49">
        <v>250</v>
      </c>
      <c r="AC202" s="49"/>
      <c r="AD202" s="49"/>
      <c r="AE202" s="49"/>
      <c r="AF202" s="49"/>
      <c r="AG202" s="49"/>
      <c r="AH202" s="49"/>
      <c r="AI202" s="49"/>
      <c r="AJ202" s="49"/>
      <c r="AK202" s="63"/>
      <c r="AL202" s="49"/>
      <c r="AM202" s="49"/>
      <c r="AN202" s="49"/>
      <c r="AO202" s="49"/>
      <c r="AP202" s="49"/>
      <c r="AQ202" s="49"/>
      <c r="AR202" s="49"/>
      <c r="AS202" s="49"/>
      <c r="AT202" s="49"/>
      <c r="AU202" s="49"/>
      <c r="AV202" s="49"/>
      <c r="AW202" s="49"/>
      <c r="AX202" s="49"/>
      <c r="AY202" s="49"/>
      <c r="AZ202" s="33">
        <f t="shared" si="2"/>
        <v>0</v>
      </c>
      <c r="BA202" s="43"/>
    </row>
    <row r="203" spans="1:53" ht="45.75" customHeight="1" x14ac:dyDescent="0.35">
      <c r="A203" s="26">
        <v>186</v>
      </c>
      <c r="B203" s="43" t="s">
        <v>1040</v>
      </c>
      <c r="C203" s="53"/>
      <c r="D203" s="298" t="s">
        <v>1184</v>
      </c>
      <c r="E203" s="95">
        <v>6</v>
      </c>
      <c r="F203" s="44" t="s">
        <v>35</v>
      </c>
      <c r="G203" s="234">
        <f>[1]DICIEMBRE!$BA$192</f>
        <v>-2.2737367544323206E-13</v>
      </c>
      <c r="H203" s="31">
        <f>ENERO!BA198</f>
        <v>1749.9999999999998</v>
      </c>
      <c r="I203" s="31">
        <f>FEBRERO!AX195</f>
        <v>3250</v>
      </c>
      <c r="J203" s="32">
        <f>MARZO!BA194</f>
        <v>2250</v>
      </c>
      <c r="K203" s="32"/>
      <c r="L203" s="32"/>
      <c r="M203" s="336"/>
      <c r="N203" s="32"/>
      <c r="O203" s="33"/>
      <c r="P203" s="33"/>
      <c r="Q203" s="31"/>
      <c r="R203" s="31"/>
      <c r="S203" s="47">
        <f>250*E203</f>
        <v>1500</v>
      </c>
      <c r="T203" s="47"/>
      <c r="U203" s="48"/>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33">
        <f t="shared" si="2"/>
        <v>3750</v>
      </c>
      <c r="BA203" s="43"/>
    </row>
    <row r="204" spans="1:53" ht="66.75" hidden="1" customHeight="1" x14ac:dyDescent="0.35">
      <c r="A204" s="26">
        <v>187</v>
      </c>
      <c r="B204" s="43" t="s">
        <v>1357</v>
      </c>
      <c r="C204" s="53"/>
      <c r="D204" s="298" t="s">
        <v>1358</v>
      </c>
      <c r="E204" s="95">
        <v>1</v>
      </c>
      <c r="F204" s="44" t="s">
        <v>30</v>
      </c>
      <c r="G204" s="234">
        <f>[1]DICIEMBRE!$BA$194</f>
        <v>0</v>
      </c>
      <c r="H204" s="45">
        <f>ENERO!BA200</f>
        <v>0</v>
      </c>
      <c r="I204" s="45">
        <f>FEBRERO!AX196</f>
        <v>0</v>
      </c>
      <c r="J204" s="32">
        <f>MARZO!BA195</f>
        <v>0</v>
      </c>
      <c r="K204" s="32"/>
      <c r="L204" s="32"/>
      <c r="M204" s="32"/>
      <c r="N204" s="336"/>
      <c r="O204" s="32"/>
      <c r="P204" s="33"/>
      <c r="Q204" s="31"/>
      <c r="R204" s="31"/>
      <c r="S204" s="47">
        <f>280*E204</f>
        <v>280</v>
      </c>
      <c r="T204" s="47"/>
      <c r="U204" s="48"/>
      <c r="V204" s="50"/>
      <c r="W204" s="49"/>
      <c r="X204" s="49"/>
      <c r="Y204" s="49"/>
      <c r="Z204" s="49"/>
      <c r="AA204" s="49"/>
      <c r="AB204" s="49">
        <v>280</v>
      </c>
      <c r="AC204" s="49"/>
      <c r="AD204" s="49"/>
      <c r="AE204" s="49"/>
      <c r="AF204" s="49"/>
      <c r="AG204" s="49"/>
      <c r="AH204" s="50"/>
      <c r="AI204" s="49"/>
      <c r="AJ204" s="49"/>
      <c r="AK204" s="49"/>
      <c r="AL204" s="49"/>
      <c r="AM204" s="49"/>
      <c r="AN204" s="49"/>
      <c r="AO204" s="49"/>
      <c r="AP204" s="49"/>
      <c r="AQ204" s="49"/>
      <c r="AR204" s="49"/>
      <c r="AS204" s="49"/>
      <c r="AT204" s="49"/>
      <c r="AU204" s="49"/>
      <c r="AV204" s="49"/>
      <c r="AW204" s="49"/>
      <c r="AX204" s="49"/>
      <c r="AY204" s="49"/>
      <c r="AZ204" s="33">
        <f t="shared" si="2"/>
        <v>0</v>
      </c>
      <c r="BA204" s="43"/>
    </row>
    <row r="205" spans="1:53" ht="66.75" hidden="1" customHeight="1" x14ac:dyDescent="0.35">
      <c r="A205" s="26">
        <v>188</v>
      </c>
      <c r="B205" s="43" t="s">
        <v>618</v>
      </c>
      <c r="C205" s="53"/>
      <c r="D205" s="298" t="s">
        <v>1186</v>
      </c>
      <c r="E205" s="95">
        <v>3</v>
      </c>
      <c r="F205" s="44" t="s">
        <v>30</v>
      </c>
      <c r="G205" s="112">
        <f>[1]DICIEMBRE!$BA$195</f>
        <v>0</v>
      </c>
      <c r="H205" s="31">
        <f>ENERO!BA201</f>
        <v>0</v>
      </c>
      <c r="I205" s="31">
        <f>FEBRERO!AX197</f>
        <v>0</v>
      </c>
      <c r="J205" s="32">
        <f>MARZO!BA196</f>
        <v>0</v>
      </c>
      <c r="K205" s="32"/>
      <c r="L205" s="32"/>
      <c r="M205" s="336"/>
      <c r="N205" s="32"/>
      <c r="O205" s="33"/>
      <c r="P205" s="33"/>
      <c r="Q205" s="31"/>
      <c r="R205" s="31"/>
      <c r="S205" s="47">
        <f>300*E205</f>
        <v>900</v>
      </c>
      <c r="T205" s="47"/>
      <c r="U205" s="48"/>
      <c r="V205" s="50"/>
      <c r="W205" s="49"/>
      <c r="X205" s="49"/>
      <c r="Y205" s="49"/>
      <c r="Z205" s="49"/>
      <c r="AA205" s="49"/>
      <c r="AB205" s="49"/>
      <c r="AC205" s="49"/>
      <c r="AD205" s="49"/>
      <c r="AE205" s="49"/>
      <c r="AF205" s="49"/>
      <c r="AG205" s="49"/>
      <c r="AH205" s="50"/>
      <c r="AI205" s="49"/>
      <c r="AJ205" s="49">
        <v>900</v>
      </c>
      <c r="AK205" s="49"/>
      <c r="AL205" s="49"/>
      <c r="AM205" s="49"/>
      <c r="AN205" s="49"/>
      <c r="AO205" s="49"/>
      <c r="AP205" s="49"/>
      <c r="AQ205" s="49"/>
      <c r="AR205" s="49"/>
      <c r="AS205" s="49"/>
      <c r="AT205" s="49"/>
      <c r="AU205" s="49"/>
      <c r="AV205" s="49"/>
      <c r="AW205" s="49"/>
      <c r="AX205" s="49"/>
      <c r="AY205" s="49"/>
      <c r="AZ205" s="33">
        <f t="shared" si="2"/>
        <v>0</v>
      </c>
      <c r="BA205" s="43"/>
    </row>
    <row r="206" spans="1:53" ht="53.25" hidden="1" customHeight="1" x14ac:dyDescent="0.35">
      <c r="A206" s="26">
        <v>189</v>
      </c>
      <c r="B206" s="43" t="s">
        <v>131</v>
      </c>
      <c r="C206" s="28" t="s">
        <v>132</v>
      </c>
      <c r="D206" s="298" t="s">
        <v>1187</v>
      </c>
      <c r="E206" s="98">
        <v>160</v>
      </c>
      <c r="F206" s="44" t="s">
        <v>30</v>
      </c>
      <c r="G206" s="234">
        <f>[1]DICIEMBRE!$BA$196</f>
        <v>-900</v>
      </c>
      <c r="H206" s="31">
        <f>ENERO!BA202</f>
        <v>-30</v>
      </c>
      <c r="I206" s="31">
        <f>FEBRERO!AX198</f>
        <v>-960</v>
      </c>
      <c r="J206" s="32">
        <f>MARZO!BA197</f>
        <v>370</v>
      </c>
      <c r="K206" s="32"/>
      <c r="L206" s="32"/>
      <c r="M206" s="32"/>
      <c r="N206" s="336"/>
      <c r="O206" s="32"/>
      <c r="P206" s="31"/>
      <c r="Q206" s="31"/>
      <c r="R206" s="31"/>
      <c r="S206" s="49">
        <f>E206*120</f>
        <v>19200</v>
      </c>
      <c r="T206" s="47">
        <v>4000</v>
      </c>
      <c r="U206" s="77"/>
      <c r="V206" s="49"/>
      <c r="W206" s="49"/>
      <c r="X206" s="49"/>
      <c r="Y206" s="49"/>
      <c r="Z206" s="49"/>
      <c r="AA206" s="49"/>
      <c r="AB206" s="49"/>
      <c r="AC206" s="49"/>
      <c r="AD206" s="49"/>
      <c r="AE206" s="49"/>
      <c r="AF206" s="49"/>
      <c r="AG206" s="49"/>
      <c r="AH206" s="49"/>
      <c r="AI206" s="49"/>
      <c r="AJ206" s="49"/>
      <c r="AK206" s="63"/>
      <c r="AL206" s="49"/>
      <c r="AM206" s="49"/>
      <c r="AN206" s="49"/>
      <c r="AO206" s="49"/>
      <c r="AP206" s="49">
        <v>10000</v>
      </c>
      <c r="AQ206" s="49"/>
      <c r="AR206" s="49"/>
      <c r="AS206" s="49"/>
      <c r="AT206" s="49"/>
      <c r="AU206" s="49"/>
      <c r="AV206" s="49"/>
      <c r="AW206" s="49">
        <v>14000</v>
      </c>
      <c r="AX206" s="49"/>
      <c r="AY206" s="49"/>
      <c r="AZ206" s="33">
        <f>SUM(J206+S206+T206-U206-V206-W206-X206-Y206-Z206-AA206-AB206-AC206-AD206-AE206-AF206-AG206-AH206-AI206-AJ206-AK206-AL206-AM206-AN206-AO206-AP206-AQ206-AR206-AS206-AT206-AU206-AV206-AW206-AX206-AY206)</f>
        <v>-430</v>
      </c>
      <c r="BA206" s="43" t="s">
        <v>2839</v>
      </c>
    </row>
    <row r="207" spans="1:53" ht="46.5" hidden="1" customHeight="1" x14ac:dyDescent="0.35">
      <c r="A207" s="26">
        <v>190</v>
      </c>
      <c r="B207" s="27" t="s">
        <v>802</v>
      </c>
      <c r="C207" s="79" t="s">
        <v>134</v>
      </c>
      <c r="D207" s="298" t="s">
        <v>1188</v>
      </c>
      <c r="E207" s="98">
        <v>84</v>
      </c>
      <c r="F207" s="64" t="s">
        <v>30</v>
      </c>
      <c r="G207" s="112">
        <f>[1]DICIEMBRE!$BA$197</f>
        <v>0</v>
      </c>
      <c r="H207" s="45">
        <f>ENERO!BA203</f>
        <v>0</v>
      </c>
      <c r="I207" s="31">
        <f>FEBRERO!AX199</f>
        <v>0</v>
      </c>
      <c r="J207" s="32">
        <f>MARZO!BA198</f>
        <v>0</v>
      </c>
      <c r="K207" s="32"/>
      <c r="L207" s="32"/>
      <c r="M207" s="336"/>
      <c r="N207" s="32"/>
      <c r="O207" s="32"/>
      <c r="P207" s="33"/>
      <c r="Q207" s="31"/>
      <c r="R207" s="31"/>
      <c r="S207" s="49">
        <f>120*E207</f>
        <v>10080</v>
      </c>
      <c r="T207" s="47">
        <v>3900</v>
      </c>
      <c r="U207" s="48"/>
      <c r="V207" s="49"/>
      <c r="W207" s="49"/>
      <c r="X207" s="49"/>
      <c r="Y207" s="49"/>
      <c r="Z207" s="49"/>
      <c r="AA207" s="49"/>
      <c r="AB207" s="49"/>
      <c r="AC207" s="49"/>
      <c r="AD207" s="49"/>
      <c r="AE207" s="49"/>
      <c r="AF207" s="49"/>
      <c r="AG207" s="49"/>
      <c r="AH207" s="49"/>
      <c r="AI207" s="49"/>
      <c r="AJ207" s="49">
        <v>5000</v>
      </c>
      <c r="AK207" s="49">
        <v>5000</v>
      </c>
      <c r="AL207" s="49"/>
      <c r="AM207" s="50"/>
      <c r="AN207" s="49"/>
      <c r="AO207" s="49"/>
      <c r="AP207" s="49">
        <f>4000+980</f>
        <v>4980</v>
      </c>
      <c r="AQ207" s="49"/>
      <c r="AR207" s="49"/>
      <c r="AS207" s="49"/>
      <c r="AT207" s="49"/>
      <c r="AU207" s="49"/>
      <c r="AV207" s="49"/>
      <c r="AW207" s="49"/>
      <c r="AX207" s="49"/>
      <c r="AY207" s="49"/>
      <c r="AZ207" s="33">
        <f t="shared" si="2"/>
        <v>-1000</v>
      </c>
      <c r="BA207" s="269" t="s">
        <v>2840</v>
      </c>
    </row>
    <row r="208" spans="1:53" ht="64.5" hidden="1" customHeight="1" x14ac:dyDescent="0.35">
      <c r="A208" s="26">
        <v>191</v>
      </c>
      <c r="B208" s="43" t="s">
        <v>2854</v>
      </c>
      <c r="C208" s="409"/>
      <c r="D208" s="300" t="s">
        <v>3045</v>
      </c>
      <c r="E208" s="98">
        <v>1</v>
      </c>
      <c r="F208" s="64" t="s">
        <v>30</v>
      </c>
      <c r="G208" s="112"/>
      <c r="H208" s="45"/>
      <c r="I208" s="31"/>
      <c r="J208" s="32"/>
      <c r="K208" s="32"/>
      <c r="L208" s="32"/>
      <c r="M208" s="336"/>
      <c r="N208" s="32"/>
      <c r="O208" s="32"/>
      <c r="P208" s="33"/>
      <c r="Q208" s="31"/>
      <c r="R208" s="31"/>
      <c r="S208" s="49">
        <f>300*E208</f>
        <v>300</v>
      </c>
      <c r="T208" s="47">
        <v>550</v>
      </c>
      <c r="U208" s="48"/>
      <c r="V208" s="49"/>
      <c r="W208" s="49"/>
      <c r="X208" s="49"/>
      <c r="Y208" s="49"/>
      <c r="Z208" s="49"/>
      <c r="AA208" s="49"/>
      <c r="AB208" s="49"/>
      <c r="AC208" s="49"/>
      <c r="AD208" s="49"/>
      <c r="AE208" s="49"/>
      <c r="AF208" s="49"/>
      <c r="AG208" s="49"/>
      <c r="AH208" s="49"/>
      <c r="AI208" s="49"/>
      <c r="AJ208" s="49"/>
      <c r="AK208" s="49">
        <v>850</v>
      </c>
      <c r="AL208" s="49"/>
      <c r="AM208" s="50"/>
      <c r="AN208" s="49"/>
      <c r="AO208" s="49"/>
      <c r="AP208" s="49"/>
      <c r="AQ208" s="49"/>
      <c r="AR208" s="49"/>
      <c r="AS208" s="49"/>
      <c r="AT208" s="49"/>
      <c r="AU208" s="49"/>
      <c r="AV208" s="49"/>
      <c r="AW208" s="49"/>
      <c r="AX208" s="49"/>
      <c r="AY208" s="49"/>
      <c r="AZ208" s="33">
        <f t="shared" si="2"/>
        <v>0</v>
      </c>
      <c r="BA208" s="269" t="s">
        <v>2859</v>
      </c>
    </row>
    <row r="209" spans="1:54" ht="51" hidden="1" customHeight="1" x14ac:dyDescent="0.35">
      <c r="A209" s="26">
        <v>192</v>
      </c>
      <c r="B209" s="43" t="s">
        <v>2252</v>
      </c>
      <c r="C209" s="28"/>
      <c r="D209" s="300" t="s">
        <v>2249</v>
      </c>
      <c r="E209" s="98">
        <v>1</v>
      </c>
      <c r="F209" s="44" t="s">
        <v>30</v>
      </c>
      <c r="G209" s="234"/>
      <c r="H209" s="31"/>
      <c r="I209" s="45">
        <f>FEBRERO!AX200</f>
        <v>0</v>
      </c>
      <c r="J209" s="32">
        <f>MARZO!BA199</f>
        <v>0</v>
      </c>
      <c r="K209" s="32"/>
      <c r="L209" s="32"/>
      <c r="M209" s="336"/>
      <c r="N209" s="32"/>
      <c r="O209" s="32"/>
      <c r="P209" s="31"/>
      <c r="Q209" s="31"/>
      <c r="R209" s="31"/>
      <c r="S209" s="47">
        <f>300*E209</f>
        <v>300</v>
      </c>
      <c r="T209" s="47"/>
      <c r="U209" s="48"/>
      <c r="V209" s="49"/>
      <c r="W209" s="51"/>
      <c r="X209" s="49"/>
      <c r="Y209" s="50"/>
      <c r="Z209" s="49"/>
      <c r="AA209" s="49"/>
      <c r="AB209" s="49"/>
      <c r="AC209" s="49"/>
      <c r="AD209" s="49"/>
      <c r="AE209" s="49"/>
      <c r="AF209" s="49"/>
      <c r="AG209" s="49"/>
      <c r="AH209" s="49"/>
      <c r="AI209" s="49"/>
      <c r="AJ209" s="49"/>
      <c r="AK209" s="49"/>
      <c r="AL209" s="49"/>
      <c r="AM209" s="49"/>
      <c r="AN209" s="49"/>
      <c r="AO209" s="49"/>
      <c r="AP209" s="49"/>
      <c r="AQ209" s="49"/>
      <c r="AR209" s="49">
        <v>300</v>
      </c>
      <c r="AS209" s="49"/>
      <c r="AT209" s="49"/>
      <c r="AU209" s="49"/>
      <c r="AV209" s="49"/>
      <c r="AW209" s="49"/>
      <c r="AX209" s="49"/>
      <c r="AY209" s="49"/>
      <c r="AZ209" s="33">
        <f>SUM(J209+S209+T209-U209-V209-W209-X209-Y209-Z209-AA209-AB209-AC209-AD209-AE209-AF209-AG209-AH209-AI209-AJ209-AK209-AL209-AM209-AN209-AO209-AP209-AQ209-AR209-AS209-AT209-AU209-AV209-AW209-AX209-AY209)</f>
        <v>0</v>
      </c>
      <c r="BA209" s="43"/>
      <c r="BB209" s="76"/>
    </row>
    <row r="210" spans="1:54" ht="51" hidden="1" customHeight="1" x14ac:dyDescent="0.35">
      <c r="A210" s="26">
        <v>193</v>
      </c>
      <c r="B210" s="43" t="s">
        <v>2934</v>
      </c>
      <c r="C210" s="28"/>
      <c r="D210" s="300" t="s">
        <v>2935</v>
      </c>
      <c r="E210" s="98">
        <v>1</v>
      </c>
      <c r="F210" s="44" t="s">
        <v>30</v>
      </c>
      <c r="G210" s="234"/>
      <c r="H210" s="31"/>
      <c r="I210" s="45"/>
      <c r="J210" s="32"/>
      <c r="K210" s="32"/>
      <c r="L210" s="32"/>
      <c r="M210" s="336"/>
      <c r="N210" s="32"/>
      <c r="O210" s="32"/>
      <c r="P210" s="31"/>
      <c r="Q210" s="31"/>
      <c r="R210" s="31"/>
      <c r="S210" s="47">
        <f>300*E210</f>
        <v>300</v>
      </c>
      <c r="T210" s="47">
        <v>550</v>
      </c>
      <c r="U210" s="48"/>
      <c r="V210" s="49"/>
      <c r="W210" s="51"/>
      <c r="X210" s="49"/>
      <c r="Y210" s="50"/>
      <c r="Z210" s="49"/>
      <c r="AA210" s="49"/>
      <c r="AB210" s="49"/>
      <c r="AC210" s="49"/>
      <c r="AD210" s="49"/>
      <c r="AE210" s="49"/>
      <c r="AF210" s="49"/>
      <c r="AG210" s="49"/>
      <c r="AH210" s="49"/>
      <c r="AI210" s="49"/>
      <c r="AJ210" s="49"/>
      <c r="AK210" s="49"/>
      <c r="AL210" s="49"/>
      <c r="AM210" s="49"/>
      <c r="AN210" s="49"/>
      <c r="AO210" s="49"/>
      <c r="AP210" s="49"/>
      <c r="AQ210" s="49"/>
      <c r="AR210" s="49"/>
      <c r="AS210" s="49"/>
      <c r="AT210" s="49">
        <v>850</v>
      </c>
      <c r="AU210" s="49"/>
      <c r="AV210" s="49"/>
      <c r="AW210" s="49"/>
      <c r="AX210" s="49"/>
      <c r="AY210" s="49"/>
      <c r="AZ210" s="33">
        <f>SUM(J210+S210+T210-U210-V210-W210-X210-Y210-Z210-AA210-AB210-AC210-AD210-AE210-AF210-AG210-AH210-AI210-AJ210-AK210-AL210-AM210-AN210-AO210-AP210-AQ210-AR210-AS210-AT210-AU210-AV210-AW210-AX210-AY210)</f>
        <v>0</v>
      </c>
      <c r="BA210" s="43" t="s">
        <v>2936</v>
      </c>
      <c r="BB210" s="76"/>
    </row>
    <row r="211" spans="1:54" ht="30" hidden="1" customHeight="1" x14ac:dyDescent="0.35">
      <c r="A211" s="26">
        <v>194</v>
      </c>
      <c r="B211" s="27" t="s">
        <v>135</v>
      </c>
      <c r="C211" s="28" t="s">
        <v>136</v>
      </c>
      <c r="D211" s="298" t="s">
        <v>1189</v>
      </c>
      <c r="E211" s="98">
        <v>21</v>
      </c>
      <c r="F211" s="44" t="s">
        <v>30</v>
      </c>
      <c r="G211" s="234">
        <f>[1]DICIEMBRE!$BA$198</f>
        <v>600</v>
      </c>
      <c r="H211" s="31">
        <f>ENERO!BA204</f>
        <v>2000</v>
      </c>
      <c r="I211" s="31">
        <f>FEBRERO!AX201</f>
        <v>2800</v>
      </c>
      <c r="J211" s="32">
        <f>MARZO!BA200</f>
        <v>4700</v>
      </c>
      <c r="K211" s="32"/>
      <c r="L211" s="32"/>
      <c r="M211" s="336"/>
      <c r="N211" s="32"/>
      <c r="O211" s="32"/>
      <c r="P211" s="31"/>
      <c r="Q211" s="31"/>
      <c r="R211" s="31"/>
      <c r="S211" s="47">
        <f>100*E211</f>
        <v>2100</v>
      </c>
      <c r="T211" s="47">
        <v>2000</v>
      </c>
      <c r="U211" s="48"/>
      <c r="V211" s="49"/>
      <c r="W211" s="51"/>
      <c r="X211" s="49"/>
      <c r="Y211" s="50"/>
      <c r="Z211" s="49"/>
      <c r="AA211" s="49"/>
      <c r="AB211" s="49"/>
      <c r="AC211" s="49"/>
      <c r="AD211" s="49"/>
      <c r="AE211" s="49"/>
      <c r="AF211" s="49"/>
      <c r="AG211" s="49"/>
      <c r="AH211" s="49"/>
      <c r="AI211" s="49">
        <v>4500</v>
      </c>
      <c r="AJ211" s="49"/>
      <c r="AK211" s="49"/>
      <c r="AL211" s="49"/>
      <c r="AM211" s="49"/>
      <c r="AN211" s="49"/>
      <c r="AO211" s="49"/>
      <c r="AP211" s="49"/>
      <c r="AQ211" s="49"/>
      <c r="AR211" s="49"/>
      <c r="AS211" s="49">
        <v>4300</v>
      </c>
      <c r="AT211" s="49"/>
      <c r="AU211" s="49"/>
      <c r="AV211" s="49"/>
      <c r="AW211" s="49"/>
      <c r="AX211" s="49"/>
      <c r="AY211" s="49"/>
      <c r="AZ211" s="33">
        <f t="shared" si="2"/>
        <v>0</v>
      </c>
      <c r="BA211" s="43" t="s">
        <v>2635</v>
      </c>
      <c r="BB211" s="76"/>
    </row>
    <row r="212" spans="1:54" ht="37.5" hidden="1" customHeight="1" x14ac:dyDescent="0.35">
      <c r="A212" s="26">
        <v>195</v>
      </c>
      <c r="B212" s="27" t="s">
        <v>137</v>
      </c>
      <c r="C212" s="28" t="s">
        <v>138</v>
      </c>
      <c r="D212" s="298" t="s">
        <v>1190</v>
      </c>
      <c r="E212" s="98">
        <v>2</v>
      </c>
      <c r="F212" s="44" t="s">
        <v>30</v>
      </c>
      <c r="G212" s="112">
        <f>[1]DICIEMBRE!$BA$199</f>
        <v>0</v>
      </c>
      <c r="H212" s="31">
        <f>ENERO!BA205</f>
        <v>0</v>
      </c>
      <c r="I212" s="31">
        <f>FEBRERO!AX202</f>
        <v>0</v>
      </c>
      <c r="J212" s="32">
        <f>MARZO!BA201</f>
        <v>-500</v>
      </c>
      <c r="K212" s="32"/>
      <c r="L212" s="32"/>
      <c r="M212" s="32"/>
      <c r="N212" s="336"/>
      <c r="O212" s="33"/>
      <c r="P212" s="33"/>
      <c r="Q212" s="31"/>
      <c r="R212" s="31"/>
      <c r="S212" s="47">
        <v>500</v>
      </c>
      <c r="T212" s="47"/>
      <c r="U212" s="48"/>
      <c r="V212" s="49"/>
      <c r="W212" s="49"/>
      <c r="X212" s="49"/>
      <c r="Y212" s="49"/>
      <c r="Z212" s="49"/>
      <c r="AA212" s="49"/>
      <c r="AB212" s="49"/>
      <c r="AC212" s="49"/>
      <c r="AD212" s="50"/>
      <c r="AE212" s="49"/>
      <c r="AF212" s="49"/>
      <c r="AG212" s="49"/>
      <c r="AH212" s="49"/>
      <c r="AI212" s="49"/>
      <c r="AJ212" s="49"/>
      <c r="AK212" s="49"/>
      <c r="AL212" s="49"/>
      <c r="AM212" s="49"/>
      <c r="AN212" s="49"/>
      <c r="AO212" s="49"/>
      <c r="AP212" s="49"/>
      <c r="AQ212" s="49"/>
      <c r="AR212" s="49"/>
      <c r="AS212" s="49"/>
      <c r="AT212" s="49"/>
      <c r="AU212" s="49"/>
      <c r="AV212" s="49"/>
      <c r="AW212" s="49"/>
      <c r="AX212" s="49"/>
      <c r="AY212" s="49"/>
      <c r="AZ212" s="33">
        <f t="shared" si="2"/>
        <v>0</v>
      </c>
      <c r="BA212" s="43" t="s">
        <v>2523</v>
      </c>
    </row>
    <row r="213" spans="1:54" ht="78.75" hidden="1" customHeight="1" x14ac:dyDescent="0.35">
      <c r="A213" s="26">
        <v>196</v>
      </c>
      <c r="B213" s="43" t="s">
        <v>76</v>
      </c>
      <c r="C213" s="53" t="s">
        <v>77</v>
      </c>
      <c r="D213" s="298" t="s">
        <v>1191</v>
      </c>
      <c r="E213" s="98">
        <v>8</v>
      </c>
      <c r="F213" s="60" t="s">
        <v>35</v>
      </c>
      <c r="G213" s="234">
        <f>[1]DICIEMBRE!$BA$200</f>
        <v>-0.1000000000003638</v>
      </c>
      <c r="H213" s="45">
        <f>ENERO!BA206</f>
        <v>-0.1000000000003638</v>
      </c>
      <c r="I213" s="31">
        <f>FEBRERO!AX203</f>
        <v>0</v>
      </c>
      <c r="J213" s="32">
        <f>MARZO!BA202</f>
        <v>0</v>
      </c>
      <c r="K213" s="32"/>
      <c r="L213" s="32"/>
      <c r="M213" s="32"/>
      <c r="N213" s="32"/>
      <c r="O213" s="32"/>
      <c r="P213" s="31"/>
      <c r="Q213" s="31"/>
      <c r="R213" s="31"/>
      <c r="S213" s="66">
        <f>250*E213</f>
        <v>2000</v>
      </c>
      <c r="T213" s="66"/>
      <c r="U213" s="67"/>
      <c r="V213" s="68"/>
      <c r="W213" s="68"/>
      <c r="X213" s="68"/>
      <c r="Y213" s="68"/>
      <c r="Z213" s="68"/>
      <c r="AA213" s="68"/>
      <c r="AB213" s="68"/>
      <c r="AC213" s="68"/>
      <c r="AD213" s="68"/>
      <c r="AE213" s="63"/>
      <c r="AF213" s="68"/>
      <c r="AG213" s="68"/>
      <c r="AH213" s="68"/>
      <c r="AI213" s="68"/>
      <c r="AJ213" s="68"/>
      <c r="AK213" s="68"/>
      <c r="AL213" s="68"/>
      <c r="AM213" s="68"/>
      <c r="AN213" s="68"/>
      <c r="AO213" s="68"/>
      <c r="AP213" s="68"/>
      <c r="AQ213" s="68"/>
      <c r="AR213" s="68">
        <v>2000</v>
      </c>
      <c r="AS213" s="68"/>
      <c r="AT213" s="68"/>
      <c r="AU213" s="68"/>
      <c r="AV213" s="68"/>
      <c r="AW213" s="68"/>
      <c r="AX213" s="68"/>
      <c r="AY213" s="68"/>
      <c r="AZ213" s="33">
        <f t="shared" si="2"/>
        <v>0</v>
      </c>
      <c r="BA213" s="268"/>
    </row>
    <row r="214" spans="1:54" ht="39.75" customHeight="1" x14ac:dyDescent="0.35">
      <c r="A214" s="26">
        <v>197</v>
      </c>
      <c r="B214" s="43" t="s">
        <v>140</v>
      </c>
      <c r="C214" s="53" t="s">
        <v>141</v>
      </c>
      <c r="D214" s="298" t="s">
        <v>1192</v>
      </c>
      <c r="E214" s="98">
        <v>1</v>
      </c>
      <c r="F214" s="44" t="s">
        <v>35</v>
      </c>
      <c r="G214" s="112">
        <f>[1]DICIEMBRE!$BA$201</f>
        <v>0</v>
      </c>
      <c r="H214" s="31">
        <f>ENERO!BA207</f>
        <v>250</v>
      </c>
      <c r="I214" s="45">
        <f>FEBRERO!AX204</f>
        <v>500</v>
      </c>
      <c r="J214" s="32">
        <f>MARZO!BA203</f>
        <v>750</v>
      </c>
      <c r="K214" s="33"/>
      <c r="L214" s="336"/>
      <c r="M214" s="32"/>
      <c r="N214" s="336"/>
      <c r="O214" s="33"/>
      <c r="P214" s="31"/>
      <c r="Q214" s="31"/>
      <c r="R214" s="31"/>
      <c r="S214" s="66">
        <v>250</v>
      </c>
      <c r="T214" s="66"/>
      <c r="U214" s="67"/>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33">
        <f t="shared" si="2"/>
        <v>1000</v>
      </c>
      <c r="BA214" s="43"/>
    </row>
    <row r="215" spans="1:54" ht="54.75" hidden="1" customHeight="1" x14ac:dyDescent="0.35">
      <c r="A215" s="26">
        <v>198</v>
      </c>
      <c r="B215" s="43" t="s">
        <v>2242</v>
      </c>
      <c r="C215" s="53"/>
      <c r="D215" s="300" t="s">
        <v>2243</v>
      </c>
      <c r="E215" s="98">
        <v>3</v>
      </c>
      <c r="F215" s="44" t="s">
        <v>35</v>
      </c>
      <c r="G215" s="112"/>
      <c r="H215" s="31"/>
      <c r="I215" s="31">
        <f>FEBRERO!AX205</f>
        <v>0</v>
      </c>
      <c r="J215" s="32">
        <f>MARZO!BA204</f>
        <v>0</v>
      </c>
      <c r="K215" s="33"/>
      <c r="L215" s="336"/>
      <c r="M215" s="32"/>
      <c r="N215" s="336"/>
      <c r="O215" s="33"/>
      <c r="P215" s="31"/>
      <c r="Q215" s="31"/>
      <c r="R215" s="31"/>
      <c r="S215" s="66">
        <f>350*E215+650</f>
        <v>1700</v>
      </c>
      <c r="T215" s="66"/>
      <c r="U215" s="67"/>
      <c r="V215" s="63"/>
      <c r="W215" s="63">
        <v>1700</v>
      </c>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33">
        <f t="shared" si="2"/>
        <v>0</v>
      </c>
      <c r="BA215" s="43"/>
    </row>
    <row r="216" spans="1:54" ht="54.75" customHeight="1" x14ac:dyDescent="0.35">
      <c r="A216" s="26">
        <v>199</v>
      </c>
      <c r="B216" s="43" t="s">
        <v>2256</v>
      </c>
      <c r="C216" s="53"/>
      <c r="D216" s="300" t="s">
        <v>2260</v>
      </c>
      <c r="E216" s="98">
        <v>1</v>
      </c>
      <c r="F216" s="44" t="s">
        <v>30</v>
      </c>
      <c r="G216" s="112"/>
      <c r="H216" s="31"/>
      <c r="I216" s="31">
        <f>FEBRERO!AX206</f>
        <v>0</v>
      </c>
      <c r="J216" s="32">
        <f>MARZO!BA205</f>
        <v>0</v>
      </c>
      <c r="K216" s="33"/>
      <c r="L216" s="336"/>
      <c r="M216" s="32"/>
      <c r="N216" s="336"/>
      <c r="O216" s="33"/>
      <c r="P216" s="31"/>
      <c r="Q216" s="31"/>
      <c r="R216" s="31"/>
      <c r="S216" s="66">
        <f>299*E216</f>
        <v>299</v>
      </c>
      <c r="T216" s="66"/>
      <c r="U216" s="67"/>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33">
        <f t="shared" ref="AZ216:AZ231" si="3">SUM(J216+S216+T216-U216-V216-W216-X216-Y216-Z216-AA216-AB216-AC216-AD216-AE216-AF216-AG216-AH216-AI216-AJ216-AK216-AL216-AM216-AN216-AO216-AP216-AQ216-AR216-AS216-AT216-AU216-AV216-AW216-AX216-AY216)</f>
        <v>299</v>
      </c>
      <c r="BA216" s="43"/>
    </row>
    <row r="217" spans="1:54" ht="54.75" hidden="1" customHeight="1" x14ac:dyDescent="0.35">
      <c r="A217" s="26"/>
      <c r="B217" s="43" t="s">
        <v>3048</v>
      </c>
      <c r="C217" s="53"/>
      <c r="D217" s="300" t="s">
        <v>3049</v>
      </c>
      <c r="E217" s="98">
        <v>1</v>
      </c>
      <c r="F217" s="44" t="s">
        <v>30</v>
      </c>
      <c r="G217" s="112"/>
      <c r="H217" s="31"/>
      <c r="I217" s="31"/>
      <c r="J217" s="32"/>
      <c r="K217" s="33"/>
      <c r="L217" s="336"/>
      <c r="M217" s="32"/>
      <c r="N217" s="336"/>
      <c r="O217" s="33"/>
      <c r="P217" s="31"/>
      <c r="Q217" s="31"/>
      <c r="R217" s="31"/>
      <c r="S217" s="66">
        <f>250</f>
        <v>250</v>
      </c>
      <c r="T217" s="66">
        <v>1850</v>
      </c>
      <c r="U217" s="67"/>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v>2100</v>
      </c>
      <c r="AV217" s="63"/>
      <c r="AW217" s="63"/>
      <c r="AX217" s="63"/>
      <c r="AY217" s="63"/>
      <c r="AZ217" s="33">
        <f t="shared" si="3"/>
        <v>0</v>
      </c>
      <c r="BA217" s="43" t="s">
        <v>3050</v>
      </c>
    </row>
    <row r="218" spans="1:54" ht="54.75" hidden="1" customHeight="1" x14ac:dyDescent="0.35">
      <c r="A218" s="26">
        <v>200</v>
      </c>
      <c r="B218" s="43" t="s">
        <v>2298</v>
      </c>
      <c r="C218" s="53"/>
      <c r="D218" s="300" t="s">
        <v>2302</v>
      </c>
      <c r="E218" s="98">
        <v>1</v>
      </c>
      <c r="F218" s="44"/>
      <c r="G218" s="112"/>
      <c r="H218" s="31"/>
      <c r="I218" s="45">
        <f>FEBRERO!AX207</f>
        <v>0</v>
      </c>
      <c r="J218" s="32">
        <f>MARZO!BA206</f>
        <v>0</v>
      </c>
      <c r="K218" s="33"/>
      <c r="L218" s="336"/>
      <c r="M218" s="32"/>
      <c r="N218" s="336"/>
      <c r="O218" s="33"/>
      <c r="P218" s="31"/>
      <c r="Q218" s="31"/>
      <c r="R218" s="31"/>
      <c r="S218" s="66">
        <f>300*E218</f>
        <v>300</v>
      </c>
      <c r="T218" s="66"/>
      <c r="U218" s="67"/>
      <c r="V218" s="63"/>
      <c r="W218" s="63">
        <v>300</v>
      </c>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33">
        <f t="shared" si="3"/>
        <v>0</v>
      </c>
      <c r="BA218" s="43"/>
    </row>
    <row r="219" spans="1:54" ht="54.75" hidden="1" customHeight="1" x14ac:dyDescent="0.35">
      <c r="A219" s="26">
        <v>201</v>
      </c>
      <c r="B219" s="43" t="s">
        <v>2907</v>
      </c>
      <c r="C219" s="53"/>
      <c r="D219" s="300" t="s">
        <v>2909</v>
      </c>
      <c r="E219" s="98">
        <v>1</v>
      </c>
      <c r="F219" s="44" t="s">
        <v>30</v>
      </c>
      <c r="G219" s="112"/>
      <c r="H219" s="31"/>
      <c r="I219" s="45"/>
      <c r="J219" s="32"/>
      <c r="K219" s="33"/>
      <c r="L219" s="336"/>
      <c r="M219" s="32"/>
      <c r="N219" s="336"/>
      <c r="O219" s="33"/>
      <c r="P219" s="31"/>
      <c r="Q219" s="31"/>
      <c r="R219" s="31"/>
      <c r="S219" s="66">
        <v>300</v>
      </c>
      <c r="T219" s="66">
        <v>549</v>
      </c>
      <c r="U219" s="67"/>
      <c r="V219" s="63"/>
      <c r="W219" s="63"/>
      <c r="X219" s="63"/>
      <c r="Y219" s="63"/>
      <c r="Z219" s="63"/>
      <c r="AA219" s="63"/>
      <c r="AB219" s="63"/>
      <c r="AC219" s="63"/>
      <c r="AD219" s="63"/>
      <c r="AE219" s="63"/>
      <c r="AF219" s="63"/>
      <c r="AG219" s="63"/>
      <c r="AH219" s="63"/>
      <c r="AI219" s="63"/>
      <c r="AJ219" s="63"/>
      <c r="AK219" s="63"/>
      <c r="AL219" s="63"/>
      <c r="AM219" s="63"/>
      <c r="AN219" s="63"/>
      <c r="AO219" s="63"/>
      <c r="AP219" s="63"/>
      <c r="AQ219" s="63"/>
      <c r="AR219" s="63">
        <v>849</v>
      </c>
      <c r="AS219" s="63"/>
      <c r="AT219" s="63"/>
      <c r="AU219" s="63"/>
      <c r="AV219" s="63"/>
      <c r="AW219" s="63"/>
      <c r="AX219" s="63"/>
      <c r="AY219" s="63"/>
      <c r="AZ219" s="33">
        <f t="shared" si="3"/>
        <v>0</v>
      </c>
      <c r="BA219" s="43" t="s">
        <v>2910</v>
      </c>
    </row>
    <row r="220" spans="1:54" ht="62.25" hidden="1" customHeight="1" x14ac:dyDescent="0.35">
      <c r="A220" s="26">
        <v>202</v>
      </c>
      <c r="B220" s="43" t="s">
        <v>2526</v>
      </c>
      <c r="C220" s="53"/>
      <c r="D220" s="300" t="s">
        <v>2702</v>
      </c>
      <c r="E220" s="98">
        <v>2</v>
      </c>
      <c r="F220" s="44" t="s">
        <v>30</v>
      </c>
      <c r="G220" s="112"/>
      <c r="H220" s="31"/>
      <c r="I220" s="45"/>
      <c r="J220" s="32">
        <f>MARZO!BA207</f>
        <v>0</v>
      </c>
      <c r="K220" s="33"/>
      <c r="L220" s="336"/>
      <c r="M220" s="32"/>
      <c r="N220" s="336"/>
      <c r="O220" s="33"/>
      <c r="P220" s="31"/>
      <c r="Q220" s="31"/>
      <c r="R220" s="31"/>
      <c r="S220" s="66">
        <v>440</v>
      </c>
      <c r="T220" s="66"/>
      <c r="U220" s="67"/>
      <c r="V220" s="63"/>
      <c r="W220" s="63">
        <v>440</v>
      </c>
      <c r="X220" s="63"/>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33">
        <f t="shared" si="3"/>
        <v>0</v>
      </c>
      <c r="BA220" s="43" t="s">
        <v>2638</v>
      </c>
    </row>
    <row r="221" spans="1:54" ht="62.25" hidden="1" customHeight="1" x14ac:dyDescent="0.35">
      <c r="A221" s="26"/>
      <c r="B221" s="43" t="s">
        <v>3054</v>
      </c>
      <c r="C221" s="53"/>
      <c r="D221" s="300" t="s">
        <v>3057</v>
      </c>
      <c r="E221" s="99">
        <v>1</v>
      </c>
      <c r="F221" s="44" t="s">
        <v>30</v>
      </c>
      <c r="G221" s="112"/>
      <c r="H221" s="31"/>
      <c r="I221" s="45"/>
      <c r="J221" s="32"/>
      <c r="K221" s="33"/>
      <c r="L221" s="336"/>
      <c r="M221" s="32"/>
      <c r="N221" s="336"/>
      <c r="O221" s="33"/>
      <c r="P221" s="31"/>
      <c r="Q221" s="31"/>
      <c r="R221" s="31"/>
      <c r="S221" s="66">
        <v>300</v>
      </c>
      <c r="T221" s="66">
        <v>550</v>
      </c>
      <c r="U221" s="67"/>
      <c r="V221" s="63"/>
      <c r="W221" s="63"/>
      <c r="X221" s="63"/>
      <c r="Y221" s="63"/>
      <c r="Z221" s="63"/>
      <c r="AA221" s="63"/>
      <c r="AB221" s="63"/>
      <c r="AC221" s="63"/>
      <c r="AD221" s="63"/>
      <c r="AE221" s="63"/>
      <c r="AF221" s="63"/>
      <c r="AG221" s="63"/>
      <c r="AH221" s="63"/>
      <c r="AI221" s="63"/>
      <c r="AJ221" s="63"/>
      <c r="AK221" s="63"/>
      <c r="AL221" s="63"/>
      <c r="AM221" s="63"/>
      <c r="AN221" s="63"/>
      <c r="AO221" s="63"/>
      <c r="AP221" s="63"/>
      <c r="AQ221" s="63"/>
      <c r="AR221" s="63"/>
      <c r="AS221" s="63"/>
      <c r="AT221" s="63"/>
      <c r="AU221" s="63">
        <v>850</v>
      </c>
      <c r="AV221" s="63"/>
      <c r="AW221" s="63"/>
      <c r="AX221" s="63"/>
      <c r="AY221" s="63"/>
      <c r="AZ221" s="33">
        <f t="shared" si="3"/>
        <v>0</v>
      </c>
      <c r="BA221" s="43" t="s">
        <v>3055</v>
      </c>
    </row>
    <row r="222" spans="1:54" ht="57.75" hidden="1" customHeight="1" x14ac:dyDescent="0.35">
      <c r="A222" s="26">
        <v>203</v>
      </c>
      <c r="B222" s="27" t="s">
        <v>142</v>
      </c>
      <c r="C222" s="28" t="s">
        <v>143</v>
      </c>
      <c r="D222" s="417" t="s">
        <v>2943</v>
      </c>
      <c r="E222" s="99">
        <v>4</v>
      </c>
      <c r="F222" s="44" t="s">
        <v>35</v>
      </c>
      <c r="G222" s="234">
        <f>[1]DICIEMBRE!$BA$202</f>
        <v>-0.73000000000047294</v>
      </c>
      <c r="H222" s="31">
        <f>ENERO!BA208</f>
        <v>-0.73000000000047294</v>
      </c>
      <c r="I222" s="31">
        <f>FEBRERO!AX208</f>
        <v>-4.5474735088646412E-13</v>
      </c>
      <c r="J222" s="32">
        <f>MARZO!BA208</f>
        <v>-4.5474735088646412E-13</v>
      </c>
      <c r="K222" s="32"/>
      <c r="L222" s="32"/>
      <c r="M222" s="32"/>
      <c r="N222" s="32"/>
      <c r="O222" s="32"/>
      <c r="P222" s="33"/>
      <c r="Q222" s="31"/>
      <c r="R222" s="31"/>
      <c r="S222" s="47">
        <f>250*E222</f>
        <v>1000</v>
      </c>
      <c r="T222" s="47"/>
      <c r="U222" s="48"/>
      <c r="V222" s="49"/>
      <c r="W222" s="49"/>
      <c r="X222" s="50"/>
      <c r="Y222" s="49"/>
      <c r="Z222" s="49"/>
      <c r="AA222" s="49"/>
      <c r="AB222" s="50"/>
      <c r="AC222" s="49"/>
      <c r="AD222" s="49"/>
      <c r="AE222" s="49"/>
      <c r="AF222" s="50"/>
      <c r="AG222" s="49"/>
      <c r="AH222" s="49"/>
      <c r="AI222" s="50"/>
      <c r="AJ222" s="49"/>
      <c r="AK222" s="49"/>
      <c r="AL222" s="49"/>
      <c r="AM222" s="50">
        <v>1000</v>
      </c>
      <c r="AN222" s="49"/>
      <c r="AO222" s="49"/>
      <c r="AP222" s="50"/>
      <c r="AQ222" s="49"/>
      <c r="AR222" s="49"/>
      <c r="AS222" s="49"/>
      <c r="AT222" s="49"/>
      <c r="AU222" s="49"/>
      <c r="AV222" s="49"/>
      <c r="AW222" s="49"/>
      <c r="AX222" s="49"/>
      <c r="AY222" s="49"/>
      <c r="AZ222" s="33">
        <f t="shared" si="3"/>
        <v>-4.5474735088646412E-13</v>
      </c>
      <c r="BA222" s="43"/>
    </row>
    <row r="223" spans="1:54" ht="57.75" hidden="1" customHeight="1" x14ac:dyDescent="0.35">
      <c r="A223" s="26">
        <v>204</v>
      </c>
      <c r="B223" s="43" t="s">
        <v>2575</v>
      </c>
      <c r="C223" s="28"/>
      <c r="D223" s="300" t="s">
        <v>2576</v>
      </c>
      <c r="E223" s="98">
        <v>1</v>
      </c>
      <c r="F223" s="44" t="s">
        <v>30</v>
      </c>
      <c r="G223" s="234"/>
      <c r="H223" s="31"/>
      <c r="I223" s="31"/>
      <c r="J223" s="32">
        <f>MARZO!BA209</f>
        <v>-0.15999999999996817</v>
      </c>
      <c r="K223" s="32"/>
      <c r="L223" s="32"/>
      <c r="M223" s="32"/>
      <c r="N223" s="32"/>
      <c r="O223" s="32"/>
      <c r="P223" s="33"/>
      <c r="Q223" s="31"/>
      <c r="R223" s="31"/>
      <c r="S223" s="47">
        <f>160*0.16+160</f>
        <v>185.6</v>
      </c>
      <c r="T223" s="47"/>
      <c r="U223" s="48"/>
      <c r="V223" s="49"/>
      <c r="W223" s="49"/>
      <c r="X223" s="50"/>
      <c r="Y223" s="49"/>
      <c r="Z223" s="49"/>
      <c r="AA223" s="49"/>
      <c r="AB223" s="50"/>
      <c r="AC223" s="49"/>
      <c r="AD223" s="49"/>
      <c r="AE223" s="49"/>
      <c r="AF223" s="50">
        <v>185.44</v>
      </c>
      <c r="AG223" s="49"/>
      <c r="AH223" s="49"/>
      <c r="AI223" s="50"/>
      <c r="AJ223" s="49"/>
      <c r="AK223" s="49"/>
      <c r="AL223" s="49"/>
      <c r="AM223" s="50"/>
      <c r="AN223" s="49"/>
      <c r="AO223" s="49"/>
      <c r="AP223" s="50"/>
      <c r="AQ223" s="49"/>
      <c r="AR223" s="49"/>
      <c r="AS223" s="49"/>
      <c r="AT223" s="49"/>
      <c r="AU223" s="49"/>
      <c r="AV223" s="49"/>
      <c r="AW223" s="49"/>
      <c r="AX223" s="49"/>
      <c r="AY223" s="49"/>
      <c r="AZ223" s="33">
        <f t="shared" si="3"/>
        <v>2.8421709430404007E-14</v>
      </c>
      <c r="BA223" s="43" t="s">
        <v>2633</v>
      </c>
    </row>
    <row r="224" spans="1:54" s="5" customFormat="1" ht="49.5" hidden="1" customHeight="1" x14ac:dyDescent="0.35">
      <c r="A224" s="26">
        <v>205</v>
      </c>
      <c r="B224" s="43" t="s">
        <v>251</v>
      </c>
      <c r="C224" s="53" t="s">
        <v>1264</v>
      </c>
      <c r="D224" s="308" t="s">
        <v>1194</v>
      </c>
      <c r="E224" s="99">
        <v>1</v>
      </c>
      <c r="F224" s="44" t="s">
        <v>30</v>
      </c>
      <c r="G224" s="112">
        <f>[1]DICIEMBRE!$BA$203</f>
        <v>-3.3399999999999181</v>
      </c>
      <c r="H224" s="45">
        <f>ENERO!BA209</f>
        <v>-3.3399999999999181</v>
      </c>
      <c r="I224" s="45">
        <f>FEBRERO!AX209</f>
        <v>5.6843418860808015E-14</v>
      </c>
      <c r="J224" s="32">
        <f>MARZO!BA210</f>
        <v>5.6843418860808015E-14</v>
      </c>
      <c r="K224" s="32"/>
      <c r="L224" s="32"/>
      <c r="M224" s="336"/>
      <c r="N224" s="32"/>
      <c r="O224" s="32"/>
      <c r="P224" s="31"/>
      <c r="Q224" s="31"/>
      <c r="R224" s="31"/>
      <c r="S224" s="47">
        <f>250*E224</f>
        <v>250</v>
      </c>
      <c r="T224" s="310"/>
      <c r="U224" s="311"/>
      <c r="V224" s="86"/>
      <c r="W224" s="312"/>
      <c r="X224" s="86"/>
      <c r="Y224" s="86"/>
      <c r="Z224" s="86"/>
      <c r="AA224" s="312"/>
      <c r="AB224" s="86"/>
      <c r="AC224" s="86"/>
      <c r="AD224" s="86"/>
      <c r="AE224" s="312"/>
      <c r="AF224" s="86"/>
      <c r="AG224" s="86"/>
      <c r="AH224" s="312"/>
      <c r="AI224" s="313"/>
      <c r="AJ224" s="86"/>
      <c r="AK224" s="86"/>
      <c r="AL224" s="312"/>
      <c r="AM224" s="86"/>
      <c r="AN224" s="86"/>
      <c r="AO224" s="312"/>
      <c r="AP224" s="86"/>
      <c r="AQ224" s="86"/>
      <c r="AR224" s="86"/>
      <c r="AS224" s="86"/>
      <c r="AT224" s="86">
        <v>250</v>
      </c>
      <c r="AU224" s="86"/>
      <c r="AV224" s="86"/>
      <c r="AW224" s="86"/>
      <c r="AX224" s="86"/>
      <c r="AY224" s="86"/>
      <c r="AZ224" s="33">
        <f t="shared" si="3"/>
        <v>5.6843418860808015E-14</v>
      </c>
      <c r="BA224" s="43"/>
    </row>
    <row r="225" spans="1:53" ht="68.25" hidden="1" customHeight="1" x14ac:dyDescent="0.35">
      <c r="A225" s="26">
        <v>206</v>
      </c>
      <c r="B225" s="43" t="s">
        <v>144</v>
      </c>
      <c r="C225" s="43" t="s">
        <v>145</v>
      </c>
      <c r="D225" s="307" t="s">
        <v>1195</v>
      </c>
      <c r="E225" s="98">
        <v>14</v>
      </c>
      <c r="F225" s="44" t="s">
        <v>30</v>
      </c>
      <c r="G225" s="234">
        <f>[1]DICIEMBRE!$BA$204</f>
        <v>0</v>
      </c>
      <c r="H225" s="31">
        <f>ENERO!BA210</f>
        <v>0</v>
      </c>
      <c r="I225" s="31">
        <f>FEBRERO!AX210</f>
        <v>0</v>
      </c>
      <c r="J225" s="32">
        <f>MARZO!BA211</f>
        <v>0</v>
      </c>
      <c r="K225" s="33"/>
      <c r="L225" s="336"/>
      <c r="M225" s="32"/>
      <c r="N225" s="336"/>
      <c r="O225" s="33"/>
      <c r="P225" s="33"/>
      <c r="Q225" s="31"/>
      <c r="R225" s="31"/>
      <c r="S225" s="47">
        <f>300*E225</f>
        <v>4200</v>
      </c>
      <c r="T225" s="47"/>
      <c r="U225" s="48"/>
      <c r="V225" s="49"/>
      <c r="W225" s="49"/>
      <c r="X225" s="49"/>
      <c r="Y225" s="49"/>
      <c r="Z225" s="49"/>
      <c r="AA225" s="49"/>
      <c r="AB225" s="49"/>
      <c r="AC225" s="49"/>
      <c r="AD225" s="49"/>
      <c r="AE225" s="49"/>
      <c r="AF225" s="49"/>
      <c r="AG225" s="49"/>
      <c r="AH225" s="49"/>
      <c r="AI225" s="49">
        <v>4200</v>
      </c>
      <c r="AJ225" s="49"/>
      <c r="AK225" s="63"/>
      <c r="AL225" s="49"/>
      <c r="AM225" s="49"/>
      <c r="AN225" s="49"/>
      <c r="AO225" s="49"/>
      <c r="AP225" s="49"/>
      <c r="AQ225" s="49"/>
      <c r="AR225" s="49"/>
      <c r="AS225" s="49"/>
      <c r="AT225" s="49"/>
      <c r="AU225" s="49"/>
      <c r="AV225" s="49"/>
      <c r="AW225" s="49"/>
      <c r="AX225" s="49"/>
      <c r="AY225" s="49"/>
      <c r="AZ225" s="33">
        <f t="shared" si="3"/>
        <v>0</v>
      </c>
      <c r="BA225" s="43"/>
    </row>
    <row r="226" spans="1:53" ht="52.5" customHeight="1" x14ac:dyDescent="0.35">
      <c r="A226" s="26">
        <v>207</v>
      </c>
      <c r="B226" s="43" t="s">
        <v>413</v>
      </c>
      <c r="C226" s="43"/>
      <c r="D226" s="306" t="s">
        <v>418</v>
      </c>
      <c r="E226" s="98">
        <v>26</v>
      </c>
      <c r="F226" s="44"/>
      <c r="G226" s="234"/>
      <c r="H226" s="31"/>
      <c r="I226" s="31"/>
      <c r="J226" s="32"/>
      <c r="K226" s="33"/>
      <c r="L226" s="336"/>
      <c r="M226" s="32"/>
      <c r="N226" s="336"/>
      <c r="O226" s="33"/>
      <c r="P226" s="33"/>
      <c r="Q226" s="31"/>
      <c r="R226" s="31"/>
      <c r="S226" s="47">
        <f>(696*25)+554.86</f>
        <v>17954.86</v>
      </c>
      <c r="T226" s="47"/>
      <c r="U226" s="48"/>
      <c r="V226" s="49"/>
      <c r="W226" s="49"/>
      <c r="X226" s="49"/>
      <c r="Y226" s="49"/>
      <c r="Z226" s="49"/>
      <c r="AA226" s="49"/>
      <c r="AB226" s="49"/>
      <c r="AC226" s="49"/>
      <c r="AD226" s="49"/>
      <c r="AE226" s="49"/>
      <c r="AF226" s="49"/>
      <c r="AG226" s="49"/>
      <c r="AH226" s="49"/>
      <c r="AI226" s="49"/>
      <c r="AJ226" s="49"/>
      <c r="AK226" s="63"/>
      <c r="AL226" s="49"/>
      <c r="AM226" s="49"/>
      <c r="AN226" s="49"/>
      <c r="AO226" s="49"/>
      <c r="AP226" s="49"/>
      <c r="AQ226" s="49"/>
      <c r="AR226" s="49"/>
      <c r="AS226" s="49"/>
      <c r="AT226" s="49"/>
      <c r="AU226" s="49"/>
      <c r="AV226" s="49"/>
      <c r="AW226" s="49"/>
      <c r="AX226" s="49"/>
      <c r="AY226" s="49"/>
      <c r="AZ226" s="33">
        <f t="shared" si="3"/>
        <v>17954.86</v>
      </c>
      <c r="BA226" s="43" t="s">
        <v>2833</v>
      </c>
    </row>
    <row r="227" spans="1:53" ht="51.75" customHeight="1" x14ac:dyDescent="0.35">
      <c r="A227" s="26">
        <v>208</v>
      </c>
      <c r="B227" s="43" t="s">
        <v>369</v>
      </c>
      <c r="C227" s="43"/>
      <c r="D227" s="298" t="s">
        <v>2439</v>
      </c>
      <c r="E227" s="385"/>
      <c r="F227" s="44"/>
      <c r="G227" s="234"/>
      <c r="H227" s="31"/>
      <c r="I227" s="31"/>
      <c r="J227" s="32">
        <f>MARZO!BA214</f>
        <v>3000</v>
      </c>
      <c r="K227" s="33"/>
      <c r="L227" s="336"/>
      <c r="M227" s="32"/>
      <c r="N227" s="336"/>
      <c r="O227" s="33"/>
      <c r="P227" s="33"/>
      <c r="Q227" s="31"/>
      <c r="R227" s="31"/>
      <c r="S227" s="47"/>
      <c r="T227" s="47"/>
      <c r="U227" s="48"/>
      <c r="V227" s="49"/>
      <c r="W227" s="49"/>
      <c r="X227" s="49"/>
      <c r="Y227" s="49"/>
      <c r="Z227" s="49"/>
      <c r="AA227" s="49"/>
      <c r="AB227" s="49"/>
      <c r="AC227" s="49"/>
      <c r="AD227" s="49"/>
      <c r="AE227" s="49"/>
      <c r="AF227" s="49"/>
      <c r="AG227" s="49"/>
      <c r="AH227" s="49"/>
      <c r="AI227" s="49"/>
      <c r="AJ227" s="49"/>
      <c r="AK227" s="63"/>
      <c r="AL227" s="49"/>
      <c r="AM227" s="49"/>
      <c r="AN227" s="49"/>
      <c r="AO227" s="49"/>
      <c r="AP227" s="49"/>
      <c r="AQ227" s="49"/>
      <c r="AR227" s="49"/>
      <c r="AS227" s="49"/>
      <c r="AT227" s="49"/>
      <c r="AU227" s="49"/>
      <c r="AV227" s="49"/>
      <c r="AW227" s="49"/>
      <c r="AX227" s="49"/>
      <c r="AY227" s="49"/>
      <c r="AZ227" s="33">
        <f t="shared" si="3"/>
        <v>3000</v>
      </c>
      <c r="BA227" s="43"/>
    </row>
    <row r="228" spans="1:53" ht="49.5" hidden="1" customHeight="1" x14ac:dyDescent="0.35">
      <c r="A228" s="26">
        <v>209</v>
      </c>
      <c r="B228" s="43" t="s">
        <v>2756</v>
      </c>
      <c r="C228" s="43"/>
      <c r="D228" s="298" t="s">
        <v>2043</v>
      </c>
      <c r="E228" s="385">
        <v>1</v>
      </c>
      <c r="F228" s="44"/>
      <c r="G228" s="234"/>
      <c r="H228" s="31"/>
      <c r="I228" s="31"/>
      <c r="J228" s="32"/>
      <c r="K228" s="33"/>
      <c r="L228" s="336"/>
      <c r="M228" s="32"/>
      <c r="N228" s="336"/>
      <c r="O228" s="33"/>
      <c r="P228" s="33"/>
      <c r="Q228" s="31"/>
      <c r="R228" s="31"/>
      <c r="S228" s="47"/>
      <c r="T228" s="47">
        <v>800</v>
      </c>
      <c r="U228" s="48"/>
      <c r="V228" s="49"/>
      <c r="W228" s="49"/>
      <c r="X228" s="49">
        <v>800</v>
      </c>
      <c r="Y228" s="49"/>
      <c r="Z228" s="49"/>
      <c r="AA228" s="49"/>
      <c r="AB228" s="49"/>
      <c r="AC228" s="49"/>
      <c r="AD228" s="49"/>
      <c r="AE228" s="49"/>
      <c r="AF228" s="49"/>
      <c r="AG228" s="49"/>
      <c r="AH228" s="49"/>
      <c r="AI228" s="49"/>
      <c r="AJ228" s="49"/>
      <c r="AK228" s="63"/>
      <c r="AL228" s="49"/>
      <c r="AM228" s="49"/>
      <c r="AN228" s="49"/>
      <c r="AO228" s="49"/>
      <c r="AP228" s="49"/>
      <c r="AQ228" s="49"/>
      <c r="AR228" s="49"/>
      <c r="AS228" s="49"/>
      <c r="AT228" s="49"/>
      <c r="AU228" s="49"/>
      <c r="AV228" s="49"/>
      <c r="AW228" s="49"/>
      <c r="AX228" s="49"/>
      <c r="AY228" s="49"/>
      <c r="AZ228" s="33">
        <f t="shared" si="3"/>
        <v>0</v>
      </c>
      <c r="BA228" s="43" t="s">
        <v>2766</v>
      </c>
    </row>
    <row r="229" spans="1:53" ht="54.75" hidden="1" customHeight="1" x14ac:dyDescent="0.35">
      <c r="A229" s="26">
        <v>210</v>
      </c>
      <c r="B229" s="43" t="s">
        <v>2751</v>
      </c>
      <c r="C229" s="43"/>
      <c r="D229" s="298" t="s">
        <v>2043</v>
      </c>
      <c r="E229" s="385">
        <v>1</v>
      </c>
      <c r="F229" s="44"/>
      <c r="G229" s="234"/>
      <c r="H229" s="31"/>
      <c r="I229" s="31"/>
      <c r="J229" s="32"/>
      <c r="K229" s="33"/>
      <c r="L229" s="336"/>
      <c r="M229" s="32"/>
      <c r="N229" s="336"/>
      <c r="O229" s="33"/>
      <c r="P229" s="33"/>
      <c r="Q229" s="31"/>
      <c r="R229" s="31"/>
      <c r="S229" s="47"/>
      <c r="T229" s="47">
        <v>1800</v>
      </c>
      <c r="U229" s="48"/>
      <c r="V229" s="49">
        <v>1800</v>
      </c>
      <c r="W229" s="49"/>
      <c r="X229" s="49"/>
      <c r="Y229" s="49"/>
      <c r="Z229" s="49"/>
      <c r="AA229" s="49"/>
      <c r="AB229" s="49"/>
      <c r="AC229" s="49"/>
      <c r="AD229" s="49"/>
      <c r="AE229" s="49"/>
      <c r="AF229" s="49"/>
      <c r="AG229" s="49"/>
      <c r="AH229" s="49"/>
      <c r="AI229" s="49"/>
      <c r="AJ229" s="49"/>
      <c r="AK229" s="63"/>
      <c r="AL229" s="49"/>
      <c r="AM229" s="49"/>
      <c r="AN229" s="49"/>
      <c r="AO229" s="49"/>
      <c r="AP229" s="49"/>
      <c r="AQ229" s="49"/>
      <c r="AR229" s="49"/>
      <c r="AS229" s="49"/>
      <c r="AT229" s="49"/>
      <c r="AU229" s="49"/>
      <c r="AV229" s="49"/>
      <c r="AW229" s="49"/>
      <c r="AX229" s="49"/>
      <c r="AY229" s="49"/>
      <c r="AZ229" s="33">
        <f t="shared" si="3"/>
        <v>0</v>
      </c>
      <c r="BA229" s="43" t="s">
        <v>2773</v>
      </c>
    </row>
    <row r="230" spans="1:53" ht="54" hidden="1" customHeight="1" x14ac:dyDescent="0.35">
      <c r="A230" s="26">
        <v>211</v>
      </c>
      <c r="B230" s="43" t="s">
        <v>2827</v>
      </c>
      <c r="C230" s="43"/>
      <c r="D230" s="298" t="s">
        <v>2828</v>
      </c>
      <c r="E230" s="385"/>
      <c r="F230" s="44"/>
      <c r="G230" s="234"/>
      <c r="H230" s="31"/>
      <c r="I230" s="31"/>
      <c r="J230" s="32"/>
      <c r="K230" s="33"/>
      <c r="L230" s="336"/>
      <c r="M230" s="32"/>
      <c r="N230" s="336"/>
      <c r="O230" s="33"/>
      <c r="P230" s="33"/>
      <c r="Q230" s="31"/>
      <c r="R230" s="31"/>
      <c r="S230" s="47"/>
      <c r="T230" s="47">
        <f>650*2</f>
        <v>1300</v>
      </c>
      <c r="U230" s="48"/>
      <c r="V230" s="49"/>
      <c r="W230" s="49"/>
      <c r="X230" s="49"/>
      <c r="Y230" s="49"/>
      <c r="Z230" s="49"/>
      <c r="AA230" s="49"/>
      <c r="AB230" s="49"/>
      <c r="AC230" s="49"/>
      <c r="AD230" s="49"/>
      <c r="AE230" s="49"/>
      <c r="AF230" s="49">
        <v>1300</v>
      </c>
      <c r="AG230" s="49"/>
      <c r="AH230" s="49"/>
      <c r="AI230" s="49"/>
      <c r="AJ230" s="49"/>
      <c r="AK230" s="63"/>
      <c r="AL230" s="49"/>
      <c r="AM230" s="49"/>
      <c r="AN230" s="49"/>
      <c r="AO230" s="49"/>
      <c r="AP230" s="49"/>
      <c r="AQ230" s="49"/>
      <c r="AR230" s="49"/>
      <c r="AS230" s="49"/>
      <c r="AT230" s="49"/>
      <c r="AU230" s="49"/>
      <c r="AV230" s="49"/>
      <c r="AW230" s="49"/>
      <c r="AX230" s="49"/>
      <c r="AY230" s="49"/>
      <c r="AZ230" s="33">
        <f t="shared" si="3"/>
        <v>0</v>
      </c>
      <c r="BA230" s="43" t="s">
        <v>2829</v>
      </c>
    </row>
    <row r="231" spans="1:53" ht="45.75" customHeight="1" thickBot="1" x14ac:dyDescent="0.4">
      <c r="A231" s="26">
        <v>212</v>
      </c>
      <c r="B231" s="256" t="s">
        <v>146</v>
      </c>
      <c r="C231" s="53" t="s">
        <v>147</v>
      </c>
      <c r="D231" s="300" t="s">
        <v>1196</v>
      </c>
      <c r="E231" s="98">
        <v>2</v>
      </c>
      <c r="F231" s="64" t="s">
        <v>30</v>
      </c>
      <c r="G231" s="112">
        <f>[1]DICIEMBRE!$BA$209</f>
        <v>0</v>
      </c>
      <c r="H231" s="45">
        <f>ENERO!BA213</f>
        <v>200</v>
      </c>
      <c r="I231" s="31">
        <f>FEBRERO!AX212</f>
        <v>0</v>
      </c>
      <c r="J231" s="32">
        <f>MARZO!BA215</f>
        <v>300</v>
      </c>
      <c r="K231" s="33"/>
      <c r="L231" s="32"/>
      <c r="M231" s="32"/>
      <c r="N231" s="336"/>
      <c r="O231" s="32"/>
      <c r="P231" s="33"/>
      <c r="Q231" s="31"/>
      <c r="R231" s="31"/>
      <c r="S231" s="47">
        <f>100*E231</f>
        <v>200</v>
      </c>
      <c r="T231" s="61">
        <v>2500</v>
      </c>
      <c r="U231" s="72"/>
      <c r="V231" s="49"/>
      <c r="W231" s="49"/>
      <c r="X231" s="49"/>
      <c r="Y231" s="49"/>
      <c r="Z231" s="49"/>
      <c r="AA231" s="49"/>
      <c r="AB231" s="49"/>
      <c r="AC231" s="49"/>
      <c r="AD231" s="49"/>
      <c r="AE231" s="49"/>
      <c r="AF231" s="49"/>
      <c r="AG231" s="49"/>
      <c r="AH231" s="49"/>
      <c r="AI231" s="49">
        <v>2500</v>
      </c>
      <c r="AJ231" s="49"/>
      <c r="AK231" s="49"/>
      <c r="AL231" s="49"/>
      <c r="AM231" s="49"/>
      <c r="AN231" s="49"/>
      <c r="AO231" s="49"/>
      <c r="AP231" s="49"/>
      <c r="AQ231" s="49"/>
      <c r="AR231" s="49"/>
      <c r="AS231" s="49"/>
      <c r="AT231" s="49"/>
      <c r="AU231" s="49"/>
      <c r="AV231" s="49"/>
      <c r="AW231" s="49"/>
      <c r="AX231" s="49"/>
      <c r="AY231" s="49"/>
      <c r="AZ231" s="33">
        <f t="shared" si="3"/>
        <v>500</v>
      </c>
      <c r="BA231" s="269" t="s">
        <v>2841</v>
      </c>
    </row>
    <row r="232" spans="1:53" ht="48" hidden="1" customHeight="1" x14ac:dyDescent="0.35">
      <c r="A232" s="26">
        <v>213</v>
      </c>
      <c r="B232" s="256" t="s">
        <v>2853</v>
      </c>
      <c r="C232" s="53"/>
      <c r="D232" s="300" t="s">
        <v>2837</v>
      </c>
      <c r="E232" s="98">
        <v>1</v>
      </c>
      <c r="F232" s="64" t="s">
        <v>30</v>
      </c>
      <c r="G232" s="112"/>
      <c r="H232" s="45"/>
      <c r="I232" s="31"/>
      <c r="J232" s="32"/>
      <c r="K232" s="33"/>
      <c r="L232" s="32"/>
      <c r="M232" s="32"/>
      <c r="N232" s="336"/>
      <c r="O232" s="32"/>
      <c r="P232" s="33"/>
      <c r="Q232" s="31"/>
      <c r="R232" s="31"/>
      <c r="S232" s="47">
        <f>300*E232</f>
        <v>300</v>
      </c>
      <c r="T232" s="61">
        <v>550</v>
      </c>
      <c r="U232" s="72"/>
      <c r="V232" s="49"/>
      <c r="W232" s="49"/>
      <c r="X232" s="49"/>
      <c r="Y232" s="49"/>
      <c r="Z232" s="49"/>
      <c r="AA232" s="49"/>
      <c r="AB232" s="49"/>
      <c r="AC232" s="49"/>
      <c r="AD232" s="49"/>
      <c r="AE232" s="49"/>
      <c r="AF232" s="49"/>
      <c r="AG232" s="49"/>
      <c r="AH232" s="49"/>
      <c r="AI232" s="49">
        <v>850</v>
      </c>
      <c r="AJ232" s="49"/>
      <c r="AK232" s="49"/>
      <c r="AL232" s="49"/>
      <c r="AM232" s="49"/>
      <c r="AN232" s="49"/>
      <c r="AO232" s="49"/>
      <c r="AP232" s="49"/>
      <c r="AQ232" s="49"/>
      <c r="AR232" s="49"/>
      <c r="AS232" s="49"/>
      <c r="AT232" s="49"/>
      <c r="AU232" s="49"/>
      <c r="AV232" s="49"/>
      <c r="AW232" s="49"/>
      <c r="AX232" s="49"/>
      <c r="AY232" s="49"/>
      <c r="AZ232" s="33">
        <f>SUM(J232+S232+T232-U232-V232-W232-X232-Y232-Z232-AA232-AB232-AC232-AD232-AE232-AF232-AG232-AH232-AI232-AJ232-AK232-AL232-AM232-AN232-AO232-AP232-AQ232-AR232-AS232-AT232-AU232-AV232-AW232-AX232-AY232)</f>
        <v>0</v>
      </c>
      <c r="BA232" s="269" t="s">
        <v>2835</v>
      </c>
    </row>
    <row r="233" spans="1:53" ht="48" hidden="1" customHeight="1" x14ac:dyDescent="0.35">
      <c r="A233" s="26">
        <v>214</v>
      </c>
      <c r="B233" s="256" t="s">
        <v>2913</v>
      </c>
      <c r="C233" s="53"/>
      <c r="D233" s="300" t="s">
        <v>3046</v>
      </c>
      <c r="E233" s="98">
        <v>1</v>
      </c>
      <c r="F233" s="64" t="s">
        <v>30</v>
      </c>
      <c r="G233" s="112"/>
      <c r="H233" s="45"/>
      <c r="I233" s="31"/>
      <c r="J233" s="32"/>
      <c r="K233" s="33"/>
      <c r="L233" s="32"/>
      <c r="M233" s="32"/>
      <c r="N233" s="336"/>
      <c r="O233" s="32"/>
      <c r="P233" s="33"/>
      <c r="Q233" s="31"/>
      <c r="R233" s="31"/>
      <c r="S233" s="47">
        <f>300*E233</f>
        <v>300</v>
      </c>
      <c r="T233" s="61">
        <v>550</v>
      </c>
      <c r="U233" s="72"/>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v>850</v>
      </c>
      <c r="AS233" s="49"/>
      <c r="AT233" s="49"/>
      <c r="AU233" s="49"/>
      <c r="AV233" s="49"/>
      <c r="AW233" s="49"/>
      <c r="AX233" s="49"/>
      <c r="AY233" s="49"/>
      <c r="AZ233" s="33">
        <f>SUM(J233+S233+T233-U233-V233-W233-X233-Y233-Z233-AA233-AB233-AC233-AD233-AE233-AF233-AG233-AH233-AI233-AJ233-AK233-AL233-AM233-AN233-AO233-AP233-AQ233-AR233-AS233-AT233-AU233-AV233-AW233-AX233-AY233)</f>
        <v>0</v>
      </c>
      <c r="BA233" s="269" t="s">
        <v>2939</v>
      </c>
    </row>
    <row r="234" spans="1:53" ht="23.25" hidden="1" customHeight="1" thickBot="1" x14ac:dyDescent="0.4">
      <c r="A234" s="26"/>
      <c r="B234" s="80"/>
      <c r="C234" s="81"/>
      <c r="D234" s="82"/>
      <c r="E234" s="83">
        <f>SUM(E18:E233)</f>
        <v>2007</v>
      </c>
      <c r="F234" s="84"/>
      <c r="G234" s="85">
        <f>SUM(G18:G231)</f>
        <v>26129.563600000023</v>
      </c>
      <c r="H234" s="85">
        <f>SUM(H18:H231)</f>
        <v>39474.406000000032</v>
      </c>
      <c r="I234" s="46">
        <f>SUM(I18:I231)-H234</f>
        <v>-3120.3575999999957</v>
      </c>
      <c r="J234" s="46">
        <f>SUM(J18:J233)-H234-I234</f>
        <v>4085.4511999999813</v>
      </c>
      <c r="K234" s="46">
        <f t="shared" ref="K234:R234" si="4">SUM(K18:K231)</f>
        <v>0</v>
      </c>
      <c r="L234" s="46">
        <f t="shared" si="4"/>
        <v>0</v>
      </c>
      <c r="M234" s="46">
        <f t="shared" si="4"/>
        <v>0</v>
      </c>
      <c r="N234" s="46">
        <f t="shared" si="4"/>
        <v>0</v>
      </c>
      <c r="O234" s="46">
        <f t="shared" si="4"/>
        <v>0</v>
      </c>
      <c r="P234" s="46">
        <f t="shared" si="4"/>
        <v>0</v>
      </c>
      <c r="Q234" s="46">
        <f t="shared" si="4"/>
        <v>0</v>
      </c>
      <c r="R234" s="46">
        <f t="shared" si="4"/>
        <v>0</v>
      </c>
      <c r="S234" s="86">
        <f>SUM(S18:S233)</f>
        <v>397036.77199999994</v>
      </c>
      <c r="T234" s="86">
        <f>SUM(T18:T233)</f>
        <v>142941.71239999996</v>
      </c>
      <c r="U234" s="87">
        <f>-SUM(U18:U231)</f>
        <v>-1042.8400000000001</v>
      </c>
      <c r="V234" s="191">
        <f t="shared" ref="V234:AH234" si="5">SUM(V18:V231)</f>
        <v>3740</v>
      </c>
      <c r="W234" s="191">
        <f t="shared" si="5"/>
        <v>17357.599999999999</v>
      </c>
      <c r="X234" s="191">
        <f t="shared" si="5"/>
        <v>26832.95</v>
      </c>
      <c r="Y234" s="191">
        <f t="shared" si="5"/>
        <v>59787.239999999991</v>
      </c>
      <c r="Z234" s="191">
        <f t="shared" si="5"/>
        <v>8620</v>
      </c>
      <c r="AA234" s="191">
        <f t="shared" si="5"/>
        <v>1692</v>
      </c>
      <c r="AB234" s="191">
        <f t="shared" si="5"/>
        <v>23284</v>
      </c>
      <c r="AC234" s="191">
        <f t="shared" si="5"/>
        <v>10740</v>
      </c>
      <c r="AD234" s="191">
        <f t="shared" si="5"/>
        <v>32466.6</v>
      </c>
      <c r="AE234" s="191">
        <f t="shared" si="5"/>
        <v>13546.08</v>
      </c>
      <c r="AF234" s="191">
        <f t="shared" si="5"/>
        <v>11276.28</v>
      </c>
      <c r="AG234" s="191">
        <f t="shared" si="5"/>
        <v>9309.08</v>
      </c>
      <c r="AH234" s="191">
        <f t="shared" si="5"/>
        <v>0</v>
      </c>
      <c r="AI234" s="191">
        <f>SUM(AI18:AI232)</f>
        <v>14288.8</v>
      </c>
      <c r="AJ234" s="191">
        <f t="shared" ref="AJ234:AY234" si="6">SUM(AJ18:AJ232)</f>
        <v>70270.92</v>
      </c>
      <c r="AK234" s="191">
        <f t="shared" si="6"/>
        <v>13067.6</v>
      </c>
      <c r="AL234" s="191">
        <f t="shared" si="6"/>
        <v>550</v>
      </c>
      <c r="AM234" s="191">
        <f t="shared" si="6"/>
        <v>1000</v>
      </c>
      <c r="AN234" s="191">
        <f t="shared" si="6"/>
        <v>904.8</v>
      </c>
      <c r="AO234" s="191">
        <f t="shared" si="6"/>
        <v>0</v>
      </c>
      <c r="AP234" s="191">
        <f t="shared" si="6"/>
        <v>19257.23</v>
      </c>
      <c r="AQ234" s="191">
        <f t="shared" si="6"/>
        <v>6502.96</v>
      </c>
      <c r="AR234" s="191">
        <f>SUM(AR18:AR233)</f>
        <v>25346.92</v>
      </c>
      <c r="AS234" s="191">
        <f>SUM(AS18:AS233)</f>
        <v>41202.15</v>
      </c>
      <c r="AT234" s="191">
        <f t="shared" si="6"/>
        <v>26707.4</v>
      </c>
      <c r="AU234" s="191">
        <f t="shared" si="6"/>
        <v>8649.08</v>
      </c>
      <c r="AV234" s="191">
        <f t="shared" si="6"/>
        <v>0</v>
      </c>
      <c r="AW234" s="191">
        <f t="shared" si="6"/>
        <v>14638</v>
      </c>
      <c r="AX234" s="191">
        <f t="shared" si="6"/>
        <v>0</v>
      </c>
      <c r="AY234" s="191">
        <f t="shared" si="6"/>
        <v>0</v>
      </c>
      <c r="AZ234" s="396">
        <f>SUM(AZ18:AZ233)</f>
        <v>118337.45400000003</v>
      </c>
      <c r="BA234" s="272" t="s">
        <v>148</v>
      </c>
    </row>
    <row r="235" spans="1:53" ht="21.75" customHeight="1" thickBot="1" x14ac:dyDescent="0.4">
      <c r="B235" s="439" t="s">
        <v>2274</v>
      </c>
      <c r="C235" s="440"/>
      <c r="D235" s="441"/>
    </row>
    <row r="236" spans="1:53" x14ac:dyDescent="0.35">
      <c r="B236" s="381"/>
    </row>
    <row r="237" spans="1:53" s="23" customFormat="1" ht="52.5" customHeight="1" x14ac:dyDescent="0.3">
      <c r="A237" s="26">
        <v>1</v>
      </c>
      <c r="B237" s="43" t="s">
        <v>1720</v>
      </c>
      <c r="C237" s="28"/>
      <c r="D237" s="299" t="s">
        <v>1232</v>
      </c>
      <c r="E237" s="92">
        <v>1</v>
      </c>
      <c r="F237" s="30" t="s">
        <v>30</v>
      </c>
      <c r="G237" s="112">
        <f>[1]DICIEMBRE!$BA$91</f>
        <v>290</v>
      </c>
      <c r="H237" s="31">
        <f>ENERO!BA18</f>
        <v>580</v>
      </c>
      <c r="I237" s="31">
        <f>FEBRERO!AX18</f>
        <v>870</v>
      </c>
      <c r="J237" s="32">
        <f>MARZO!BA18</f>
        <v>1160</v>
      </c>
      <c r="K237" s="33"/>
      <c r="L237" s="32"/>
      <c r="M237" s="32"/>
      <c r="N237" s="336"/>
      <c r="O237" s="32"/>
      <c r="P237" s="33"/>
      <c r="Q237" s="31"/>
      <c r="R237" s="31"/>
      <c r="S237" s="59">
        <f>(250*0.16+250)*E237</f>
        <v>290</v>
      </c>
      <c r="T237" s="34"/>
      <c r="U237" s="34"/>
      <c r="V237" s="35"/>
      <c r="W237" s="35"/>
      <c r="X237" s="35"/>
      <c r="Y237" s="35"/>
      <c r="Z237" s="36"/>
      <c r="AA237" s="35"/>
      <c r="AB237" s="35"/>
      <c r="AC237" s="54"/>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3">
        <f>SUM(J237+S237+T237-U237-V237-W237-X237-Y237-Z237-AA237-AB237-AC237-AD237-AE237-AF237-AG237-AH237-AI237-AJ237-AK237-AL237-AM237-AN237-AO237-AP237-AQ237-AR237-AS237-AT237-AU237-AV237-AW237-AX237)</f>
        <v>1450</v>
      </c>
      <c r="BA237" s="43"/>
    </row>
    <row r="238" spans="1:53" ht="62.25" customHeight="1" x14ac:dyDescent="0.35">
      <c r="A238" s="26">
        <v>82</v>
      </c>
      <c r="B238" s="43" t="s">
        <v>1541</v>
      </c>
      <c r="C238" s="53"/>
      <c r="D238" s="300" t="s">
        <v>1495</v>
      </c>
      <c r="E238" s="94">
        <v>2</v>
      </c>
      <c r="F238" s="44" t="s">
        <v>30</v>
      </c>
      <c r="G238" s="112">
        <f>[1]DICIEMBRE!$BA$97</f>
        <v>2909.6628000000001</v>
      </c>
      <c r="H238" s="31">
        <f>ENERO!BA98</f>
        <v>3895.6628000000001</v>
      </c>
      <c r="I238" s="45">
        <f>FEBRERO!AX99</f>
        <v>3248.0028000000002</v>
      </c>
      <c r="J238" s="32">
        <f>MARZO!BA101</f>
        <v>3828.0028000000002</v>
      </c>
      <c r="K238" s="32"/>
      <c r="L238" s="32"/>
      <c r="M238" s="336"/>
      <c r="N238" s="32"/>
      <c r="O238" s="32"/>
      <c r="P238" s="33"/>
      <c r="Q238" s="31"/>
      <c r="R238" s="31"/>
      <c r="S238" s="47">
        <f>(250*0.16+250)*E238</f>
        <v>580</v>
      </c>
      <c r="T238" s="47"/>
      <c r="U238" s="48"/>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33">
        <f>SUM(J238+S238+T238-U238-V238-W238-X238-Y238-Z238-AA238-AB238-AC238-AD238-AE238-AF238-AG238-AH238-AI238-AJ238-AK238-AL238-AM238-AN238-AO238-AP238-AQ238-AR238-AS238-AT238-AU238-AV238-AW238-AX238)</f>
        <v>4408.0028000000002</v>
      </c>
      <c r="BA238" s="43"/>
    </row>
    <row r="239" spans="1:53" s="23" customFormat="1" ht="36" customHeight="1" x14ac:dyDescent="0.3">
      <c r="A239" s="26">
        <v>17</v>
      </c>
      <c r="B239" s="43" t="s">
        <v>1728</v>
      </c>
      <c r="C239" s="28"/>
      <c r="D239" s="298" t="s">
        <v>1215</v>
      </c>
      <c r="E239" s="92">
        <v>2</v>
      </c>
      <c r="F239" s="30"/>
      <c r="G239" s="112">
        <f>[1]DICIEMBRE!$BA$61</f>
        <v>2598.4</v>
      </c>
      <c r="H239" s="31">
        <f>ENERO!BA33</f>
        <v>2598.4</v>
      </c>
      <c r="I239" s="31">
        <f>FEBRERO!AX34</f>
        <v>2598.4</v>
      </c>
      <c r="J239" s="32"/>
      <c r="K239" s="33"/>
      <c r="L239" s="336"/>
      <c r="M239" s="32"/>
      <c r="N239" s="336"/>
      <c r="O239" s="32"/>
      <c r="P239" s="31"/>
      <c r="Q239" s="31"/>
      <c r="R239" s="31"/>
      <c r="S239" s="34"/>
      <c r="T239" s="34"/>
      <c r="U239" s="34"/>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3">
        <f>SUM(I239+S239+T239-U239-V239-W239-X239-Y239-Z239-AA239-AB239-AC239-AD239-AE239-AF239-AG239-AH239-AI239-AJ239-AK239-AL239-AM239-AN239-AO239-AP239-AQ239-AR239-AS239-AT239-AU239-AV239-AW239-AX239-AY239)</f>
        <v>2598.4</v>
      </c>
      <c r="BA239" s="43" t="s">
        <v>456</v>
      </c>
    </row>
    <row r="240" spans="1:53" ht="45" customHeight="1" x14ac:dyDescent="0.35">
      <c r="A240" s="26">
        <v>111</v>
      </c>
      <c r="B240" s="43" t="s">
        <v>1597</v>
      </c>
      <c r="C240" s="27"/>
      <c r="D240" s="300" t="s">
        <v>1598</v>
      </c>
      <c r="E240" s="95">
        <v>1</v>
      </c>
      <c r="F240" s="44"/>
      <c r="G240" s="234">
        <f>[1]DICIEMBRE!$BA$128</f>
        <v>348</v>
      </c>
      <c r="H240" s="31">
        <f>ENERO!BA132</f>
        <v>348</v>
      </c>
      <c r="I240" s="31">
        <f>FEBRERO!AX133</f>
        <v>696</v>
      </c>
      <c r="J240" s="32"/>
      <c r="K240" s="33"/>
      <c r="L240" s="32"/>
      <c r="M240" s="32"/>
      <c r="N240" s="32"/>
      <c r="O240" s="32"/>
      <c r="P240" s="33"/>
      <c r="Q240" s="31"/>
      <c r="R240" s="31"/>
      <c r="S240" s="47">
        <v>348</v>
      </c>
      <c r="T240" s="47"/>
      <c r="U240" s="48"/>
      <c r="V240" s="50"/>
      <c r="W240" s="50"/>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49"/>
      <c r="AU240" s="49"/>
      <c r="AV240" s="49"/>
      <c r="AW240" s="49"/>
      <c r="AX240" s="49"/>
      <c r="AY240" s="49"/>
      <c r="AZ240" s="33">
        <f>SUM(I240+S240+T240-U240-V240-W240-X240-Y240-Z240-AA240-AB240-AC240-AD240-AE240-AF240-AG240-AH240-AI240-AJ240-AK240-AL240-AM240-AN240-AO240-AP240-AQ240-AR240-AS240-AT240-AU240-AV240-AW240-AX240-AY240)</f>
        <v>1044</v>
      </c>
      <c r="BA240" s="43" t="s">
        <v>456</v>
      </c>
    </row>
    <row r="241" spans="1:53" ht="34.5" customHeight="1" x14ac:dyDescent="0.35">
      <c r="A241" s="26">
        <v>116</v>
      </c>
      <c r="B241" s="43" t="s">
        <v>513</v>
      </c>
      <c r="C241" s="28"/>
      <c r="D241" s="300" t="s">
        <v>1527</v>
      </c>
      <c r="E241" s="95">
        <v>1</v>
      </c>
      <c r="F241" s="44" t="s">
        <v>30</v>
      </c>
      <c r="G241" s="112">
        <f>[1]DICIEMBRE!$BA$133</f>
        <v>2250</v>
      </c>
      <c r="H241" s="31">
        <f>ENERO!BA138</f>
        <v>2250</v>
      </c>
      <c r="I241" s="31">
        <f>FEBRERO!AX138</f>
        <v>2250</v>
      </c>
      <c r="J241" s="32"/>
      <c r="K241" s="33"/>
      <c r="L241" s="32"/>
      <c r="M241" s="336"/>
      <c r="N241" s="336"/>
      <c r="O241" s="33"/>
      <c r="P241" s="31"/>
      <c r="Q241" s="31"/>
      <c r="R241" s="31"/>
      <c r="S241" s="47"/>
      <c r="T241" s="47"/>
      <c r="U241" s="48"/>
      <c r="V241" s="49"/>
      <c r="W241" s="49"/>
      <c r="X241" s="49"/>
      <c r="Y241" s="49"/>
      <c r="Z241" s="49"/>
      <c r="AA241" s="49"/>
      <c r="AB241" s="49"/>
      <c r="AC241" s="50"/>
      <c r="AD241" s="49"/>
      <c r="AE241" s="49"/>
      <c r="AF241" s="49"/>
      <c r="AG241" s="49"/>
      <c r="AH241" s="51"/>
      <c r="AI241" s="49"/>
      <c r="AJ241" s="49"/>
      <c r="AK241" s="49"/>
      <c r="AL241" s="49"/>
      <c r="AM241" s="49"/>
      <c r="AN241" s="49"/>
      <c r="AO241" s="49"/>
      <c r="AP241" s="49"/>
      <c r="AQ241" s="49"/>
      <c r="AR241" s="49"/>
      <c r="AS241" s="49"/>
      <c r="AT241" s="49"/>
      <c r="AU241" s="49"/>
      <c r="AV241" s="49"/>
      <c r="AW241" s="49"/>
      <c r="AX241" s="49"/>
      <c r="AY241" s="49"/>
      <c r="AZ241" s="33">
        <f>SUM(I241+S241+T241-U241-V241-W241-X241-Y241-Z241-AA241-AB241-AC241-AD241-AE241-AF241-AG241-AH241-AI241-AJ241-AK241-AL241-AM241-AN241-AO241-AP241-AQ241-AR241-AS241-AT241-AU241-AV241-AW241-AX241-AY241)</f>
        <v>2250</v>
      </c>
      <c r="BA241" s="43" t="s">
        <v>456</v>
      </c>
    </row>
    <row r="242" spans="1:53" ht="40.5" customHeight="1" x14ac:dyDescent="0.35">
      <c r="A242" s="26">
        <v>133</v>
      </c>
      <c r="B242" s="43" t="s">
        <v>1110</v>
      </c>
      <c r="C242" s="43"/>
      <c r="D242" s="308" t="s">
        <v>1537</v>
      </c>
      <c r="E242" s="95">
        <v>2</v>
      </c>
      <c r="F242" s="44" t="s">
        <v>30</v>
      </c>
      <c r="G242" s="112">
        <f>[1]DICIEMBRE!$BA$153</f>
        <v>696</v>
      </c>
      <c r="H242" s="45">
        <f>ENERO!BA158</f>
        <v>1392</v>
      </c>
      <c r="I242" s="45">
        <f>FEBRERO!AX156</f>
        <v>2088</v>
      </c>
      <c r="J242" s="32"/>
      <c r="K242" s="32"/>
      <c r="L242" s="32"/>
      <c r="M242" s="336"/>
      <c r="N242" s="32"/>
      <c r="O242" s="32"/>
      <c r="P242" s="33"/>
      <c r="Q242" s="31"/>
      <c r="R242" s="31"/>
      <c r="S242" s="47">
        <f>(300*0.16+300)*E242</f>
        <v>696</v>
      </c>
      <c r="T242" s="47"/>
      <c r="U242" s="48"/>
      <c r="V242" s="47"/>
      <c r="W242" s="47"/>
      <c r="X242" s="47"/>
      <c r="Y242" s="47"/>
      <c r="Z242" s="47"/>
      <c r="AA242" s="47"/>
      <c r="AB242" s="47"/>
      <c r="AC242" s="47"/>
      <c r="AD242" s="47"/>
      <c r="AE242" s="47"/>
      <c r="AF242" s="47"/>
      <c r="AG242" s="47"/>
      <c r="AH242" s="47"/>
      <c r="AI242" s="47"/>
      <c r="AJ242" s="47"/>
      <c r="AK242" s="66"/>
      <c r="AL242" s="47"/>
      <c r="AM242" s="47"/>
      <c r="AN242" s="47"/>
      <c r="AO242" s="47"/>
      <c r="AP242" s="47"/>
      <c r="AQ242" s="47"/>
      <c r="AR242" s="47"/>
      <c r="AS242" s="47"/>
      <c r="AT242" s="47"/>
      <c r="AU242" s="47"/>
      <c r="AV242" s="47"/>
      <c r="AW242" s="47"/>
      <c r="AX242" s="47"/>
      <c r="AY242" s="47"/>
      <c r="AZ242" s="33">
        <f>SUM(I242+S242+T242-U242-V242-W242-X242-Y242-Z242-AA242-AB242-AC242-AD242-AE242-AF242-AG242-AH242-AI242-AJ242-AK242-AL242-AM242-AN242-AO242-AP242-AQ242-AR242-AS242-AT242-AU242-AV242-AW242-AX242-AY242)</f>
        <v>2784</v>
      </c>
      <c r="BA242" s="43" t="s">
        <v>456</v>
      </c>
    </row>
    <row r="243" spans="1:53" ht="45.75" customHeight="1" x14ac:dyDescent="0.35">
      <c r="A243" s="26">
        <v>159</v>
      </c>
      <c r="B243" s="43" t="s">
        <v>1250</v>
      </c>
      <c r="C243" s="53"/>
      <c r="D243" s="298" t="s">
        <v>1251</v>
      </c>
      <c r="E243" s="95">
        <v>1</v>
      </c>
      <c r="F243" s="44" t="s">
        <v>35</v>
      </c>
      <c r="G243" s="112">
        <f>[1]DICIEMBRE!$BA$179</f>
        <v>2750</v>
      </c>
      <c r="H243" s="31">
        <f>ENERO!BA184</f>
        <v>3050</v>
      </c>
      <c r="I243" s="31">
        <f>FEBRERO!AX182</f>
        <v>3350</v>
      </c>
      <c r="J243" s="32"/>
      <c r="K243" s="32"/>
      <c r="L243" s="336"/>
      <c r="M243" s="336"/>
      <c r="N243" s="32"/>
      <c r="O243" s="33"/>
      <c r="P243" s="33"/>
      <c r="Q243" s="31"/>
      <c r="R243" s="31"/>
      <c r="S243" s="47">
        <f>300*E243</f>
        <v>300</v>
      </c>
      <c r="T243" s="47"/>
      <c r="U243" s="48"/>
      <c r="V243" s="49"/>
      <c r="W243" s="49"/>
      <c r="X243" s="49"/>
      <c r="Y243" s="49"/>
      <c r="Z243" s="49"/>
      <c r="AA243" s="49"/>
      <c r="AB243" s="49"/>
      <c r="AC243" s="49"/>
      <c r="AD243" s="49"/>
      <c r="AE243" s="49"/>
      <c r="AF243" s="50"/>
      <c r="AG243" s="49"/>
      <c r="AH243" s="49"/>
      <c r="AI243" s="49"/>
      <c r="AJ243" s="49"/>
      <c r="AK243" s="49"/>
      <c r="AL243" s="49"/>
      <c r="AM243" s="49"/>
      <c r="AN243" s="49"/>
      <c r="AO243" s="49"/>
      <c r="AP243" s="49"/>
      <c r="AQ243" s="49"/>
      <c r="AR243" s="49"/>
      <c r="AS243" s="49"/>
      <c r="AT243" s="49"/>
      <c r="AU243" s="49"/>
      <c r="AV243" s="49"/>
      <c r="AW243" s="49"/>
      <c r="AX243" s="49"/>
      <c r="AY243" s="49"/>
      <c r="AZ243" s="33">
        <f>SUM(I243+S243+T243-U243-V243-W243-X243-Y243-Z243-AA243-AB243-AC243-AD243-AE243-AF243-AG243-AH243-AI243-AJ243-AK243-AL243-AM243-AN243-AO243-AP243-AQ243-AR243-AS243-AT243-AU243-AV243-AW243-AX243-AY243)</f>
        <v>3650</v>
      </c>
      <c r="BA243" s="43" t="s">
        <v>456</v>
      </c>
    </row>
  </sheetData>
  <autoFilter ref="A16:BB235" xr:uid="{00000000-0009-0000-0000-000003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51">
      <filters blank="1">
        <filter val="$1,000.00"/>
        <filter val="$1,200.00"/>
        <filter val="$1,450.00"/>
        <filter val="$12,700.00"/>
        <filter val="$14,496.52"/>
        <filter val="$17,954.86"/>
        <filter val="$22,562.00"/>
        <filter val="$23,142.00"/>
        <filter val="$244.00"/>
        <filter val="$299.00"/>
        <filter val="$3,000.00"/>
        <filter val="$3,220.03"/>
        <filter val="$3,445.00"/>
        <filter val="$3,750.00"/>
        <filter val="$300.00"/>
        <filter val="$348.00"/>
        <filter val="$4,347.68"/>
        <filter val="$4,524.00"/>
        <filter val="$4,779.20"/>
        <filter val="$5,196.80"/>
        <filter val="$5,278.00"/>
        <filter val="$500.00"/>
        <filter val="$580.00"/>
        <filter val="$6,438.00"/>
      </filters>
    </filterColumn>
  </autoFilter>
  <mergeCells count="28">
    <mergeCell ref="E12:R12"/>
    <mergeCell ref="E2:R2"/>
    <mergeCell ref="E3:R3"/>
    <mergeCell ref="B4:D4"/>
    <mergeCell ref="E4:R4"/>
    <mergeCell ref="E5:R5"/>
    <mergeCell ref="E6:R6"/>
    <mergeCell ref="E7:R7"/>
    <mergeCell ref="E8:R8"/>
    <mergeCell ref="E9:R9"/>
    <mergeCell ref="E10:R10"/>
    <mergeCell ref="E11:R11"/>
    <mergeCell ref="BA16:BA17"/>
    <mergeCell ref="BB16:BB17"/>
    <mergeCell ref="E13:R13"/>
    <mergeCell ref="E14:R14"/>
    <mergeCell ref="A16:A17"/>
    <mergeCell ref="B16:B17"/>
    <mergeCell ref="C16:C17"/>
    <mergeCell ref="D16:D17"/>
    <mergeCell ref="E16:E17"/>
    <mergeCell ref="F16:F17"/>
    <mergeCell ref="G16:R16"/>
    <mergeCell ref="B235:D235"/>
    <mergeCell ref="S16:S17"/>
    <mergeCell ref="T16:T17"/>
    <mergeCell ref="U16:U17"/>
    <mergeCell ref="AZ16:AZ17"/>
  </mergeCells>
  <hyperlinks>
    <hyperlink ref="D84" r:id="rId1" display="facturacion@quitakilos.com     _x000a_" xr:uid="{00000000-0004-0000-0300-000000000000}"/>
    <hyperlink ref="D90" r:id="rId2" display="daniela.ochoa@seiarquitectos.com" xr:uid="{00000000-0004-0000-0300-000001000000}"/>
    <hyperlink ref="D99" r:id="rId3" display="ernesto.gomez@sanbox.com.mx" xr:uid="{00000000-0004-0000-0300-000002000000}"/>
    <hyperlink ref="D55" r:id="rId4" display="ernesto.gomez@sanbox.com.mx" xr:uid="{00000000-0004-0000-0300-000003000000}"/>
    <hyperlink ref="D105" r:id="rId5" display="apalomino@plasarlogistic.com" xr:uid="{00000000-0004-0000-0300-000004000000}"/>
  </hyperlinks>
  <pageMargins left="0.7" right="0.7" top="0.75" bottom="0.75" header="0.3" footer="0.3"/>
  <pageSetup orientation="portrait" r:id="rId6"/>
  <drawing r:id="rId7"/>
  <legacyDrawing r:id="rId8"/>
  <extLst>
    <ext xmlns:x14="http://schemas.microsoft.com/office/spreadsheetml/2009/9/main" uri="{78C0D931-6437-407d-A8EE-F0AAD7539E65}">
      <x14:conditionalFormattings>
        <x14:conditionalFormatting xmlns:xm="http://schemas.microsoft.com/office/excel/2006/main">
          <x14:cfRule type="containsText" priority="1" operator="containsText" id="{3B8BB728-FD4F-4A83-BD7F-E902538C5811}">
            <xm:f>NOT(ISERROR(SEARCH("-",P111)))</xm:f>
            <xm:f>"-"</xm:f>
            <x14:dxf>
              <font>
                <color rgb="FF9C6500"/>
              </font>
              <fill>
                <patternFill>
                  <bgColor rgb="FFFFEB9C"/>
                </patternFill>
              </fill>
            </x14:dxf>
          </x14:cfRule>
          <xm:sqref>P111:R111</xm:sqref>
        </x14:conditionalFormatting>
        <x14:conditionalFormatting xmlns:xm="http://schemas.microsoft.com/office/excel/2006/main">
          <x14:cfRule type="containsText" priority="3" operator="containsText" id="{8E2E87BC-09EC-47B1-AF35-812DE94EB551}">
            <xm:f>NOT(ISERROR(SEARCH("-",Q113)))</xm:f>
            <xm:f>"-"</xm:f>
            <x14:dxf>
              <font>
                <color rgb="FF9C6500"/>
              </font>
              <fill>
                <patternFill>
                  <bgColor rgb="FFFFEB9C"/>
                </patternFill>
              </fill>
            </x14:dxf>
          </x14:cfRule>
          <xm:sqref>Q113:Q120</xm:sqref>
        </x14:conditionalFormatting>
        <x14:conditionalFormatting xmlns:xm="http://schemas.microsoft.com/office/excel/2006/main">
          <x14:cfRule type="containsText" priority="2" operator="containsText" id="{9DCE6EDC-B049-457F-A71F-1B03FDD72523}">
            <xm:f>NOT(ISERROR(SEARCH("-",Q123)))</xm:f>
            <xm:f>"-"</xm:f>
            <x14:dxf>
              <font>
                <color rgb="FF9C6500"/>
              </font>
              <fill>
                <patternFill>
                  <bgColor rgb="FFFFEB9C"/>
                </patternFill>
              </fill>
            </x14:dxf>
          </x14:cfRule>
          <xm:sqref>Q123:Q127</xm:sqref>
        </x14:conditionalFormatting>
        <x14:conditionalFormatting xmlns:xm="http://schemas.microsoft.com/office/excel/2006/main">
          <x14:cfRule type="containsText" priority="4" operator="containsText" id="{FCA3B580-46EA-4171-A51D-0143AE219546}">
            <xm:f>NOT(ISERROR(SEARCH("-",P16)))</xm:f>
            <xm:f>"-"</xm:f>
            <x14:dxf>
              <font>
                <color rgb="FF9C6500"/>
              </font>
              <fill>
                <patternFill>
                  <bgColor rgb="FFFFEB9C"/>
                </patternFill>
              </fill>
            </x14:dxf>
          </x14:cfRule>
          <xm:sqref>AZ16:AZ234 P18 R18 Q19:Q20 P20 R20 P22:R24 Q25 P26 R26 Q27:Q28 P29:R29 P32:Q32 P33 Q34:R34 R35 P36:Q36 P37 P38:R38 Q39 R40 P41:Q42 P43:R44 P45 R45 P46:R46 Q48:R48 Q49:Q50 R51 Q52:R52 P53:Q53 Q54 Q55:R55 Q56 Q57:R58 P59 R59 P60:R60 Q61:Q62 Q64:R64 P65:Q65 P66:R66 P69:R69 Q70 P71 R71 P72:R72 P73:Q73 P74:R74 Q75:Q76 P77:P78 R78 Q79 P80 R80 P82:R83 Q84 Q85:R85 P86:P87 P88:R88 R89 Q90:R90 P91:R91 Q93 P94 R94 P95:R96 P97:Q98 Q102:R102 Q103:Q105 P107 R107 Q108:Q110 P110 R110 P113 R113 P125 R125 R128 Q129 P130:R135 P136 R136 Q136:Q139 P139 R139 P141 R141 Q141:Q143 P144 R144 Q145:Q146 P147 R147 Q148:Q149 R150:R151 Q152:Q153 R153 P154 R155 Q155:Q156 R157 P157:P158 Q158:Q159 R159 P160 R161 Q161:Q162 P162 Q164:Q167 P167 R167 Q169 R170 P171:Q171 P172:P177 R173 Q174:Q177 R175 R177 P179 Q179:Q182 R180:R181 P182 R183 P184 Q184:Q185 R185 P186:P187 P188:R188 R189:R190 Q189:Q191 P191 R192 R194 P194:P195 Q194:Q196 R196 P197 Q198:Q200 R201 P202 Q202:Q203 R203 Q204:R204 P206 R206 Q206:Q208 P209:Q211 R212 P213:Q213 P214:P221 R222:R223 Q222:Q224 P224 R225:R233 Q237 AZ237:AZ243 P239:Q239 Q240:R241 P241 Q242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234"/>
  <sheetViews>
    <sheetView zoomScale="68" zoomScaleNormal="68" workbookViewId="0">
      <pane xSplit="21" ySplit="17" topLeftCell="BA58" activePane="bottomRight" state="frozenSplit"/>
      <selection pane="topRight" activeCell="W1" sqref="W1"/>
      <selection pane="bottomLeft" activeCell="A19" sqref="A19"/>
      <selection pane="bottomRight" activeCell="B59" sqref="B59"/>
    </sheetView>
  </sheetViews>
  <sheetFormatPr baseColWidth="10" defaultColWidth="11.453125" defaultRowHeight="14.5" x14ac:dyDescent="0.35"/>
  <cols>
    <col min="1" max="1" width="5.453125" style="1" customWidth="1"/>
    <col min="2" max="2" width="28" style="91" customWidth="1"/>
    <col min="3" max="3" width="50.54296875" hidden="1" customWidth="1"/>
    <col min="4" max="4" width="34.81640625" style="161" customWidth="1"/>
    <col min="5" max="5" width="8.453125" customWidth="1"/>
    <col min="6" max="6" width="13.1796875" customWidth="1"/>
    <col min="7" max="7" width="13.7265625" hidden="1" customWidth="1"/>
    <col min="8" max="8" width="15" hidden="1" customWidth="1"/>
    <col min="9" max="9" width="18.81640625" hidden="1" customWidth="1"/>
    <col min="10" max="10" width="14.1796875" hidden="1" customWidth="1"/>
    <col min="11" max="11" width="15.453125" customWidth="1"/>
    <col min="12" max="12" width="15.26953125" hidden="1" customWidth="1"/>
    <col min="13" max="13" width="14.7265625" hidden="1" customWidth="1"/>
    <col min="14" max="14" width="14" hidden="1" customWidth="1"/>
    <col min="15" max="15" width="16.26953125" hidden="1" customWidth="1"/>
    <col min="16" max="16" width="17.453125" hidden="1" customWidth="1"/>
    <col min="17" max="18" width="13.81640625" hidden="1" customWidth="1"/>
    <col min="19" max="19" width="19" customWidth="1"/>
    <col min="20" max="20" width="15.26953125" customWidth="1"/>
    <col min="21" max="21" width="15.453125" customWidth="1"/>
    <col min="22" max="52" width="11.453125" customWidth="1"/>
    <col min="53" max="53" width="18.7265625" customWidth="1"/>
    <col min="54" max="54" width="34" style="163" customWidth="1"/>
    <col min="55" max="55" width="20.1796875" customWidth="1"/>
  </cols>
  <sheetData>
    <row r="1" spans="1:55" s="5" customFormat="1" ht="18" customHeight="1" x14ac:dyDescent="0.35">
      <c r="A1" s="1"/>
      <c r="C1" s="161"/>
      <c r="E1" s="337"/>
      <c r="F1" s="337"/>
      <c r="G1" s="337"/>
      <c r="H1" s="337"/>
      <c r="I1" s="337"/>
      <c r="J1" s="337"/>
      <c r="K1" s="337"/>
      <c r="L1" s="337"/>
      <c r="M1" s="337"/>
      <c r="N1" s="337"/>
      <c r="O1" s="337"/>
      <c r="P1" s="337"/>
      <c r="Q1" s="337"/>
      <c r="R1" s="337"/>
      <c r="BB1" s="166"/>
    </row>
    <row r="2" spans="1:55" s="5" customFormat="1" ht="15" customHeight="1" x14ac:dyDescent="0.4">
      <c r="A2" s="1"/>
      <c r="B2" s="2" t="s">
        <v>2547</v>
      </c>
      <c r="D2" s="3">
        <f>SUM(S2+S3+S4+S5+S6+S7+S8+S9+S10+S11+S12+S13+D5)</f>
        <v>483242.01079999999</v>
      </c>
      <c r="E2" s="434" t="s">
        <v>1703</v>
      </c>
      <c r="F2" s="434"/>
      <c r="G2" s="434"/>
      <c r="H2" s="434"/>
      <c r="I2" s="434"/>
      <c r="J2" s="434"/>
      <c r="K2" s="434"/>
      <c r="L2" s="434"/>
      <c r="M2" s="434"/>
      <c r="N2" s="434"/>
      <c r="O2" s="434"/>
      <c r="P2" s="434"/>
      <c r="Q2" s="434"/>
      <c r="R2" s="434"/>
      <c r="S2" s="4">
        <f>G225</f>
        <v>26129.561600000008</v>
      </c>
      <c r="BB2" s="166"/>
    </row>
    <row r="3" spans="1:55" s="5" customFormat="1" ht="15" customHeight="1" x14ac:dyDescent="0.4">
      <c r="A3" s="1"/>
      <c r="E3" s="433" t="s">
        <v>1704</v>
      </c>
      <c r="F3" s="433"/>
      <c r="G3" s="433"/>
      <c r="H3" s="433"/>
      <c r="I3" s="433"/>
      <c r="J3" s="433"/>
      <c r="K3" s="433"/>
      <c r="L3" s="433"/>
      <c r="M3" s="433"/>
      <c r="N3" s="433"/>
      <c r="O3" s="433"/>
      <c r="P3" s="433"/>
      <c r="Q3" s="433"/>
      <c r="R3" s="433"/>
      <c r="S3" s="4">
        <f>H225-S2</f>
        <v>13344.842400000016</v>
      </c>
      <c r="BB3" s="166"/>
    </row>
    <row r="4" spans="1:55" s="7" customFormat="1" ht="15" customHeight="1" x14ac:dyDescent="0.4">
      <c r="A4" s="6"/>
      <c r="B4" s="435" t="s">
        <v>2877</v>
      </c>
      <c r="C4" s="436"/>
      <c r="D4" s="437"/>
      <c r="E4" s="432" t="s">
        <v>1705</v>
      </c>
      <c r="F4" s="433"/>
      <c r="G4" s="433"/>
      <c r="H4" s="433"/>
      <c r="I4" s="433"/>
      <c r="J4" s="433"/>
      <c r="K4" s="433"/>
      <c r="L4" s="433"/>
      <c r="M4" s="433"/>
      <c r="N4" s="433"/>
      <c r="O4" s="433"/>
      <c r="P4" s="433"/>
      <c r="Q4" s="433"/>
      <c r="R4" s="433"/>
      <c r="S4" s="4">
        <f>I225</f>
        <v>-2772.357600000003</v>
      </c>
      <c r="W4" s="5"/>
      <c r="BB4" s="265"/>
    </row>
    <row r="5" spans="1:55" s="7" customFormat="1" ht="15" customHeight="1" x14ac:dyDescent="0.4">
      <c r="A5" s="6"/>
      <c r="B5" s="8" t="s">
        <v>2878</v>
      </c>
      <c r="C5" s="9"/>
      <c r="D5" s="10">
        <f>S225+T225+U225</f>
        <v>364904.56199999998</v>
      </c>
      <c r="E5" s="432" t="s">
        <v>1706</v>
      </c>
      <c r="F5" s="433"/>
      <c r="G5" s="433"/>
      <c r="H5" s="433"/>
      <c r="I5" s="433"/>
      <c r="J5" s="433"/>
      <c r="K5" s="433"/>
      <c r="L5" s="433"/>
      <c r="M5" s="433"/>
      <c r="N5" s="433"/>
      <c r="O5" s="433"/>
      <c r="P5" s="433"/>
      <c r="Q5" s="433"/>
      <c r="R5" s="433"/>
      <c r="S5" s="4">
        <f>J225</f>
        <v>-339.78200000002107</v>
      </c>
      <c r="W5" s="5"/>
      <c r="BB5" s="265"/>
    </row>
    <row r="6" spans="1:55" s="7" customFormat="1" ht="15" customHeight="1" x14ac:dyDescent="0.4">
      <c r="A6" s="6"/>
      <c r="B6" s="11" t="s">
        <v>2880</v>
      </c>
      <c r="C6" s="12"/>
      <c r="D6" s="13">
        <f>SUM(V225:AA225)</f>
        <v>0</v>
      </c>
      <c r="E6" s="432" t="s">
        <v>1707</v>
      </c>
      <c r="F6" s="433"/>
      <c r="G6" s="433"/>
      <c r="H6" s="433"/>
      <c r="I6" s="433"/>
      <c r="J6" s="433"/>
      <c r="K6" s="433"/>
      <c r="L6" s="433"/>
      <c r="M6" s="433"/>
      <c r="N6" s="433"/>
      <c r="O6" s="433"/>
      <c r="P6" s="433"/>
      <c r="Q6" s="433"/>
      <c r="R6" s="433"/>
      <c r="S6" s="4">
        <f>K225</f>
        <v>81975.184399999998</v>
      </c>
      <c r="T6"/>
      <c r="W6" s="5"/>
      <c r="BB6" s="265"/>
    </row>
    <row r="7" spans="1:55" s="7" customFormat="1" ht="15" customHeight="1" x14ac:dyDescent="0.4">
      <c r="A7" s="6"/>
      <c r="B7" s="11" t="s">
        <v>2881</v>
      </c>
      <c r="C7" s="12"/>
      <c r="D7" s="13">
        <f>SUM(AB225:AH225)</f>
        <v>0</v>
      </c>
      <c r="E7" s="432" t="s">
        <v>1708</v>
      </c>
      <c r="F7" s="433"/>
      <c r="G7" s="433"/>
      <c r="H7" s="433"/>
      <c r="I7" s="433"/>
      <c r="J7" s="433"/>
      <c r="K7" s="433"/>
      <c r="L7" s="433"/>
      <c r="M7" s="433"/>
      <c r="N7" s="433"/>
      <c r="O7" s="433"/>
      <c r="P7" s="433"/>
      <c r="Q7" s="433"/>
      <c r="R7" s="433"/>
      <c r="S7" s="4">
        <f>L225</f>
        <v>0</v>
      </c>
      <c r="W7" s="5"/>
      <c r="BB7" s="265"/>
    </row>
    <row r="8" spans="1:55" s="7" customFormat="1" ht="15" customHeight="1" x14ac:dyDescent="0.4">
      <c r="A8" s="6"/>
      <c r="B8" s="11" t="s">
        <v>2882</v>
      </c>
      <c r="C8" s="12"/>
      <c r="D8" s="13">
        <f>SUM(AI225:AO225)</f>
        <v>0</v>
      </c>
      <c r="E8" s="432" t="s">
        <v>1709</v>
      </c>
      <c r="F8" s="433"/>
      <c r="G8" s="433"/>
      <c r="H8" s="433"/>
      <c r="I8" s="433"/>
      <c r="J8" s="433"/>
      <c r="K8" s="433"/>
      <c r="L8" s="433"/>
      <c r="M8" s="433"/>
      <c r="N8" s="433"/>
      <c r="O8" s="433"/>
      <c r="P8" s="433"/>
      <c r="Q8" s="433"/>
      <c r="R8" s="433"/>
      <c r="S8" s="4">
        <f>M225</f>
        <v>0</v>
      </c>
      <c r="W8" s="5"/>
      <c r="BB8" s="265"/>
    </row>
    <row r="9" spans="1:55" s="7" customFormat="1" ht="15" customHeight="1" x14ac:dyDescent="0.4">
      <c r="A9" s="6"/>
      <c r="B9" s="11" t="s">
        <v>2883</v>
      </c>
      <c r="C9" s="12"/>
      <c r="D9" s="13">
        <f>SUM(AP225:AV225)</f>
        <v>0</v>
      </c>
      <c r="E9" s="432" t="s">
        <v>1710</v>
      </c>
      <c r="F9" s="433"/>
      <c r="G9" s="433"/>
      <c r="H9" s="433"/>
      <c r="I9" s="433"/>
      <c r="J9" s="433"/>
      <c r="K9" s="433"/>
      <c r="L9" s="433"/>
      <c r="M9" s="433"/>
      <c r="N9" s="433"/>
      <c r="O9" s="433"/>
      <c r="P9" s="433"/>
      <c r="Q9" s="433"/>
      <c r="R9" s="433"/>
      <c r="S9" s="4">
        <f>N225</f>
        <v>0</v>
      </c>
      <c r="Z9"/>
      <c r="BB9" s="265"/>
    </row>
    <row r="10" spans="1:55" s="7" customFormat="1" ht="15" customHeight="1" x14ac:dyDescent="0.4">
      <c r="A10" s="6"/>
      <c r="B10" s="11" t="s">
        <v>2884</v>
      </c>
      <c r="C10" s="12"/>
      <c r="D10" s="13">
        <f>SUM(AW225:AY225)</f>
        <v>0</v>
      </c>
      <c r="E10" s="432" t="s">
        <v>1711</v>
      </c>
      <c r="F10" s="433"/>
      <c r="G10" s="433"/>
      <c r="H10" s="433"/>
      <c r="I10" s="433"/>
      <c r="J10" s="433"/>
      <c r="K10" s="433"/>
      <c r="L10" s="433"/>
      <c r="M10" s="433"/>
      <c r="N10" s="433"/>
      <c r="O10" s="433"/>
      <c r="P10" s="433"/>
      <c r="Q10" s="433"/>
      <c r="R10" s="433"/>
      <c r="S10" s="4">
        <f>O225</f>
        <v>0</v>
      </c>
      <c r="BB10" s="265"/>
    </row>
    <row r="11" spans="1:55" s="7" customFormat="1" ht="15" customHeight="1" x14ac:dyDescent="0.4">
      <c r="A11" s="6"/>
      <c r="B11" s="18"/>
      <c r="C11" s="14"/>
      <c r="D11" s="343"/>
      <c r="E11" s="433" t="s">
        <v>1712</v>
      </c>
      <c r="F11" s="433"/>
      <c r="G11" s="433"/>
      <c r="H11" s="433"/>
      <c r="I11" s="433"/>
      <c r="J11" s="433"/>
      <c r="K11" s="433"/>
      <c r="L11" s="433"/>
      <c r="M11" s="433"/>
      <c r="N11" s="433"/>
      <c r="O11" s="433"/>
      <c r="P11" s="433"/>
      <c r="Q11" s="433"/>
      <c r="R11" s="433"/>
      <c r="S11" s="4">
        <f>P225</f>
        <v>0</v>
      </c>
      <c r="BB11" s="265"/>
    </row>
    <row r="12" spans="1:55" s="7" customFormat="1" ht="15" customHeight="1" x14ac:dyDescent="0.4">
      <c r="A12" s="6"/>
      <c r="B12" s="16"/>
      <c r="C12" s="14"/>
      <c r="D12" s="223"/>
      <c r="E12" s="433" t="s">
        <v>1713</v>
      </c>
      <c r="F12" s="433"/>
      <c r="G12" s="433"/>
      <c r="H12" s="433"/>
      <c r="I12" s="433"/>
      <c r="J12" s="433"/>
      <c r="K12" s="433"/>
      <c r="L12" s="433"/>
      <c r="M12" s="433"/>
      <c r="N12" s="433"/>
      <c r="O12" s="433"/>
      <c r="P12" s="433"/>
      <c r="Q12" s="433"/>
      <c r="R12" s="433"/>
      <c r="S12" s="4">
        <f>Q225</f>
        <v>0</v>
      </c>
      <c r="BB12" s="265"/>
    </row>
    <row r="13" spans="1:55" s="7" customFormat="1" ht="15" customHeight="1" x14ac:dyDescent="0.4">
      <c r="A13" s="6"/>
      <c r="B13" s="15" t="s">
        <v>0</v>
      </c>
      <c r="C13" s="16"/>
      <c r="D13" s="3">
        <f>SUM(D6:D11)</f>
        <v>0</v>
      </c>
      <c r="E13" s="423" t="s">
        <v>1714</v>
      </c>
      <c r="F13" s="423"/>
      <c r="G13" s="423"/>
      <c r="H13" s="423"/>
      <c r="I13" s="423"/>
      <c r="J13" s="423"/>
      <c r="K13" s="423"/>
      <c r="L13" s="423"/>
      <c r="M13" s="423"/>
      <c r="N13" s="423"/>
      <c r="O13" s="423"/>
      <c r="P13" s="423"/>
      <c r="Q13" s="423"/>
      <c r="R13" s="423"/>
      <c r="S13" s="4">
        <f>R225</f>
        <v>0</v>
      </c>
      <c r="BB13" s="265"/>
    </row>
    <row r="14" spans="1:55" s="7" customFormat="1" ht="15.75" customHeight="1" x14ac:dyDescent="0.4">
      <c r="A14" s="6"/>
      <c r="B14" s="17" t="s">
        <v>1</v>
      </c>
      <c r="C14" s="16"/>
      <c r="D14" s="3">
        <f>D2-D13</f>
        <v>483242.01079999999</v>
      </c>
      <c r="E14" s="423" t="s">
        <v>149</v>
      </c>
      <c r="F14" s="423"/>
      <c r="G14" s="423"/>
      <c r="H14" s="423"/>
      <c r="I14" s="423"/>
      <c r="J14" s="423"/>
      <c r="K14" s="423"/>
      <c r="L14" s="423"/>
      <c r="M14" s="423"/>
      <c r="N14" s="423"/>
      <c r="O14" s="423"/>
      <c r="P14" s="423"/>
      <c r="Q14" s="423"/>
      <c r="R14" s="423"/>
      <c r="S14" s="4">
        <f>SUM(S2:S13)</f>
        <v>118337.4488</v>
      </c>
      <c r="BB14" s="265"/>
    </row>
    <row r="15" spans="1:55" s="5" customFormat="1" ht="16.5" customHeight="1" x14ac:dyDescent="0.4">
      <c r="A15" s="1"/>
      <c r="B15" s="18"/>
      <c r="C15" s="14"/>
      <c r="D15" s="14"/>
      <c r="F15" s="19"/>
      <c r="G15" s="19"/>
      <c r="H15" s="19"/>
      <c r="I15" s="19"/>
      <c r="J15" s="19"/>
      <c r="K15" s="20"/>
      <c r="L15" s="19"/>
      <c r="M15" s="19"/>
      <c r="N15" s="19"/>
      <c r="O15" s="19"/>
      <c r="P15" s="19"/>
      <c r="Q15" s="19"/>
      <c r="R15" s="19"/>
      <c r="BB15" s="166"/>
    </row>
    <row r="16" spans="1:55" s="23" customFormat="1" ht="17.25" customHeight="1" x14ac:dyDescent="0.3">
      <c r="A16" s="424" t="s">
        <v>2</v>
      </c>
      <c r="B16" s="426" t="s">
        <v>3</v>
      </c>
      <c r="C16" s="426" t="s">
        <v>4</v>
      </c>
      <c r="D16" s="426" t="s">
        <v>5</v>
      </c>
      <c r="E16" s="427" t="s">
        <v>6</v>
      </c>
      <c r="F16" s="438" t="s">
        <v>7</v>
      </c>
      <c r="G16" s="428" t="s">
        <v>800</v>
      </c>
      <c r="H16" s="428"/>
      <c r="I16" s="428"/>
      <c r="J16" s="428"/>
      <c r="K16" s="428"/>
      <c r="L16" s="428"/>
      <c r="M16" s="428"/>
      <c r="N16" s="428"/>
      <c r="O16" s="428"/>
      <c r="P16" s="428"/>
      <c r="Q16" s="428"/>
      <c r="R16" s="428"/>
      <c r="S16" s="429" t="s">
        <v>2879</v>
      </c>
      <c r="T16" s="429" t="s">
        <v>8</v>
      </c>
      <c r="U16" s="429" t="s">
        <v>9</v>
      </c>
      <c r="V16" s="21">
        <v>1</v>
      </c>
      <c r="W16" s="21">
        <v>2</v>
      </c>
      <c r="X16" s="21">
        <v>3</v>
      </c>
      <c r="Y16" s="21">
        <v>4</v>
      </c>
      <c r="Z16" s="21">
        <v>5</v>
      </c>
      <c r="AA16" s="21">
        <v>6</v>
      </c>
      <c r="AB16" s="21">
        <v>7</v>
      </c>
      <c r="AC16" s="21">
        <v>8</v>
      </c>
      <c r="AD16" s="21">
        <v>9</v>
      </c>
      <c r="AE16" s="21">
        <v>10</v>
      </c>
      <c r="AF16" s="21">
        <v>11</v>
      </c>
      <c r="AG16" s="21">
        <v>12</v>
      </c>
      <c r="AH16" s="21">
        <v>13</v>
      </c>
      <c r="AI16" s="21">
        <v>14</v>
      </c>
      <c r="AJ16" s="21">
        <v>15</v>
      </c>
      <c r="AK16" s="22">
        <v>16</v>
      </c>
      <c r="AL16" s="21">
        <v>17</v>
      </c>
      <c r="AM16" s="21">
        <v>18</v>
      </c>
      <c r="AN16" s="21">
        <v>19</v>
      </c>
      <c r="AO16" s="21">
        <v>20</v>
      </c>
      <c r="AP16" s="21">
        <v>21</v>
      </c>
      <c r="AQ16" s="21">
        <v>22</v>
      </c>
      <c r="AR16" s="21">
        <v>23</v>
      </c>
      <c r="AS16" s="21">
        <v>24</v>
      </c>
      <c r="AT16" s="21">
        <v>25</v>
      </c>
      <c r="AU16" s="21">
        <v>26</v>
      </c>
      <c r="AV16" s="21">
        <v>27</v>
      </c>
      <c r="AW16" s="21">
        <v>28</v>
      </c>
      <c r="AX16" s="21">
        <v>29</v>
      </c>
      <c r="AY16" s="21">
        <v>30</v>
      </c>
      <c r="AZ16" s="21">
        <v>31</v>
      </c>
      <c r="BA16" s="430" t="s">
        <v>10</v>
      </c>
      <c r="BB16" s="431" t="s">
        <v>11</v>
      </c>
      <c r="BC16" s="422" t="s">
        <v>12</v>
      </c>
    </row>
    <row r="17" spans="1:55" s="23" customFormat="1" ht="17.25" customHeight="1" x14ac:dyDescent="0.3">
      <c r="A17" s="425"/>
      <c r="B17" s="426"/>
      <c r="C17" s="426"/>
      <c r="D17" s="426"/>
      <c r="E17" s="427"/>
      <c r="F17" s="438"/>
      <c r="G17" s="24">
        <v>2024</v>
      </c>
      <c r="H17" s="336" t="s">
        <v>13</v>
      </c>
      <c r="I17" s="336" t="s">
        <v>14</v>
      </c>
      <c r="J17" s="336" t="s">
        <v>15</v>
      </c>
      <c r="K17" s="336" t="s">
        <v>16</v>
      </c>
      <c r="L17" s="336" t="s">
        <v>17</v>
      </c>
      <c r="M17" s="336" t="s">
        <v>18</v>
      </c>
      <c r="N17" s="336" t="s">
        <v>19</v>
      </c>
      <c r="O17" s="336" t="s">
        <v>20</v>
      </c>
      <c r="P17" s="336" t="s">
        <v>21</v>
      </c>
      <c r="Q17" s="336" t="s">
        <v>22</v>
      </c>
      <c r="R17" s="336" t="s">
        <v>150</v>
      </c>
      <c r="S17" s="429"/>
      <c r="T17" s="429"/>
      <c r="U17" s="429"/>
      <c r="V17" s="25" t="s">
        <v>23</v>
      </c>
      <c r="W17" s="25" t="s">
        <v>24</v>
      </c>
      <c r="X17" s="25" t="s">
        <v>25</v>
      </c>
      <c r="Y17" s="25" t="s">
        <v>26</v>
      </c>
      <c r="Z17" s="25" t="s">
        <v>27</v>
      </c>
      <c r="AA17" s="25" t="s">
        <v>28</v>
      </c>
      <c r="AB17" s="25" t="s">
        <v>28</v>
      </c>
      <c r="AC17" s="25" t="s">
        <v>23</v>
      </c>
      <c r="AD17" s="25" t="s">
        <v>24</v>
      </c>
      <c r="AE17" s="25" t="s">
        <v>25</v>
      </c>
      <c r="AF17" s="25" t="s">
        <v>26</v>
      </c>
      <c r="AG17" s="25" t="s">
        <v>27</v>
      </c>
      <c r="AH17" s="25" t="s">
        <v>28</v>
      </c>
      <c r="AI17" s="25" t="s">
        <v>28</v>
      </c>
      <c r="AJ17" s="25" t="s">
        <v>23</v>
      </c>
      <c r="AK17" s="25" t="s">
        <v>24</v>
      </c>
      <c r="AL17" s="25" t="s">
        <v>25</v>
      </c>
      <c r="AM17" s="25" t="s">
        <v>26</v>
      </c>
      <c r="AN17" s="25" t="s">
        <v>27</v>
      </c>
      <c r="AO17" s="25" t="s">
        <v>28</v>
      </c>
      <c r="AP17" s="25" t="s">
        <v>28</v>
      </c>
      <c r="AQ17" s="25" t="s">
        <v>23</v>
      </c>
      <c r="AR17" s="25" t="s">
        <v>24</v>
      </c>
      <c r="AS17" s="25" t="s">
        <v>25</v>
      </c>
      <c r="AT17" s="25" t="s">
        <v>26</v>
      </c>
      <c r="AU17" s="25" t="s">
        <v>27</v>
      </c>
      <c r="AV17" s="25" t="s">
        <v>28</v>
      </c>
      <c r="AW17" s="25" t="s">
        <v>28</v>
      </c>
      <c r="AX17" s="25" t="s">
        <v>23</v>
      </c>
      <c r="AY17" s="25" t="s">
        <v>24</v>
      </c>
      <c r="AZ17" s="25" t="s">
        <v>25</v>
      </c>
      <c r="BA17" s="430"/>
      <c r="BB17" s="431"/>
      <c r="BC17" s="422"/>
    </row>
    <row r="18" spans="1:55" ht="93" customHeight="1" x14ac:dyDescent="0.35">
      <c r="A18" s="26">
        <v>1</v>
      </c>
      <c r="B18" s="27" t="s">
        <v>1721</v>
      </c>
      <c r="C18" s="28" t="s">
        <v>133</v>
      </c>
      <c r="D18" s="418" t="s">
        <v>2946</v>
      </c>
      <c r="E18" s="94">
        <v>18</v>
      </c>
      <c r="F18" s="60" t="s">
        <v>33</v>
      </c>
      <c r="G18" s="112">
        <f>[1]DICIEMBRE!$BA$21</f>
        <v>-0.39520000000266009</v>
      </c>
      <c r="H18" s="45">
        <f>ENERO!BA19</f>
        <v>-0.39520000000266009</v>
      </c>
      <c r="I18" s="45">
        <f>FEBRERO!AX19</f>
        <v>4.799999996976112E-3</v>
      </c>
      <c r="J18" s="32">
        <f>MARZO!BA19</f>
        <v>4.799999996976112E-3</v>
      </c>
      <c r="K18" s="33">
        <f>ABRIL!AZ18</f>
        <v>4.799999996976112E-3</v>
      </c>
      <c r="L18" s="336"/>
      <c r="M18" s="32"/>
      <c r="N18" s="32"/>
      <c r="O18" s="33"/>
      <c r="P18" s="31"/>
      <c r="Q18" s="31"/>
      <c r="R18" s="31"/>
      <c r="S18" s="47">
        <f>(300*0.16+300)*E18</f>
        <v>6264</v>
      </c>
      <c r="T18" s="47">
        <f>500*0.16+500</f>
        <v>580</v>
      </c>
      <c r="U18" s="48"/>
      <c r="V18" s="49"/>
      <c r="W18" s="49"/>
      <c r="X18" s="49"/>
      <c r="Y18" s="49"/>
      <c r="Z18" s="49"/>
      <c r="AA18" s="49"/>
      <c r="AB18" s="49"/>
      <c r="AC18" s="49"/>
      <c r="AD18" s="50"/>
      <c r="AE18" s="49"/>
      <c r="AF18" s="49"/>
      <c r="AG18" s="51"/>
      <c r="AH18" s="49"/>
      <c r="AI18" s="49"/>
      <c r="AJ18" s="49"/>
      <c r="AK18" s="49"/>
      <c r="AL18" s="49"/>
      <c r="AM18" s="49"/>
      <c r="AN18" s="49"/>
      <c r="AO18" s="49"/>
      <c r="AP18" s="49"/>
      <c r="AQ18" s="49"/>
      <c r="AR18" s="49"/>
      <c r="AS18" s="49"/>
      <c r="AT18" s="49"/>
      <c r="AU18" s="49"/>
      <c r="AV18" s="49"/>
      <c r="AW18" s="49"/>
      <c r="AX18" s="49"/>
      <c r="AY18" s="49"/>
      <c r="AZ18" s="49"/>
      <c r="BA18" s="33">
        <f>SUM(K18+S18+T18-U18-V18-W18-X18-Y18-Z18-AA18-AB18-AC18-AD18-AE18-AF18-AG18-AH18-AI18-AJ18-AK18-AL18-AM18-AN18-AO18-AP18-AQ18-AR18-AS18-AT18-AU18-AV18-AW18-AX18-AY18-AZ18)</f>
        <v>6844.004799999997</v>
      </c>
      <c r="BB18" s="268" t="s">
        <v>2894</v>
      </c>
    </row>
    <row r="19" spans="1:55" s="23" customFormat="1" ht="69" customHeight="1" x14ac:dyDescent="0.3">
      <c r="A19" s="26">
        <v>2</v>
      </c>
      <c r="B19" s="43" t="s">
        <v>1722</v>
      </c>
      <c r="C19" s="53" t="s">
        <v>52</v>
      </c>
      <c r="D19" s="300" t="s">
        <v>2947</v>
      </c>
      <c r="E19" s="92">
        <v>5</v>
      </c>
      <c r="F19" s="56" t="s">
        <v>30</v>
      </c>
      <c r="G19" s="112">
        <f>[1]DICIEMBRE!$BA$75</f>
        <v>3190.0027999999993</v>
      </c>
      <c r="H19" s="31">
        <f>ENERO!BA20</f>
        <v>2.7999999992971425E-3</v>
      </c>
      <c r="I19" s="31">
        <f>FEBRERO!AX20</f>
        <v>2.7999999992971425E-3</v>
      </c>
      <c r="J19" s="32">
        <f>MARZO!BA20</f>
        <v>2.7999999992971425E-3</v>
      </c>
      <c r="K19" s="33">
        <f>ABRIL!AZ19</f>
        <v>2.7999999992971425E-3</v>
      </c>
      <c r="L19" s="336"/>
      <c r="M19" s="32"/>
      <c r="N19" s="336"/>
      <c r="O19" s="32"/>
      <c r="P19" s="33"/>
      <c r="Q19" s="31"/>
      <c r="R19" s="31"/>
      <c r="S19" s="34">
        <f>(280*0.16+280)*E19</f>
        <v>1624</v>
      </c>
      <c r="T19" s="34"/>
      <c r="U19" s="34"/>
      <c r="V19" s="35"/>
      <c r="W19" s="35"/>
      <c r="X19" s="35"/>
      <c r="Y19" s="54"/>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3">
        <f>SUM(K19+S19+T19-U19-V19-W19-X19-Y19-Z19-AA19-AB19-AC19-AD19-AE19-AF19-AG19-AH19-AI19-AJ19-AK19-AL19-AM19-AN19-AO19-AP19-AQ19-AR19-AS19-AT19-AU19-AV19-AW19-AX19-AY19-AZ19)</f>
        <v>1624.0027999999993</v>
      </c>
      <c r="BB19" s="269"/>
    </row>
    <row r="20" spans="1:55" s="23" customFormat="1" ht="47.25" customHeight="1" x14ac:dyDescent="0.3">
      <c r="A20" s="26">
        <v>3</v>
      </c>
      <c r="B20" s="43" t="s">
        <v>375</v>
      </c>
      <c r="C20" s="28" t="s">
        <v>380</v>
      </c>
      <c r="D20" s="300" t="s">
        <v>2948</v>
      </c>
      <c r="E20" s="92">
        <v>4</v>
      </c>
      <c r="F20" s="30" t="s">
        <v>30</v>
      </c>
      <c r="G20" s="112">
        <f>[1]DICIEMBRE!$BA$23</f>
        <v>-3.1999999935123924E-3</v>
      </c>
      <c r="H20" s="31">
        <f>ENERO!BA21</f>
        <v>-3.1999999935123924E-3</v>
      </c>
      <c r="I20" s="31">
        <f>FEBRERO!AX21</f>
        <v>-3.1999999935123924E-3</v>
      </c>
      <c r="J20" s="32">
        <f>MARZO!BA21</f>
        <v>-3.1999999932850187E-3</v>
      </c>
      <c r="K20" s="32">
        <f>ABRIL!AZ20</f>
        <v>-3.199999993057645E-3</v>
      </c>
      <c r="L20" s="32"/>
      <c r="M20" s="32"/>
      <c r="N20" s="32"/>
      <c r="O20" s="32"/>
      <c r="P20" s="31"/>
      <c r="Q20" s="31"/>
      <c r="R20" s="31"/>
      <c r="S20" s="38">
        <f>(299*0.16+299)*E20</f>
        <v>1387.3600000000001</v>
      </c>
      <c r="T20" s="39"/>
      <c r="U20" s="39"/>
      <c r="V20" s="37"/>
      <c r="W20" s="37"/>
      <c r="X20" s="37"/>
      <c r="Y20" s="37"/>
      <c r="Z20" s="37"/>
      <c r="AA20" s="37"/>
      <c r="AB20" s="37"/>
      <c r="AC20" s="37"/>
      <c r="AD20" s="37"/>
      <c r="AE20" s="37"/>
      <c r="AF20" s="37"/>
      <c r="AG20" s="37"/>
      <c r="AH20" s="37"/>
      <c r="AI20" s="37"/>
      <c r="AJ20" s="37"/>
      <c r="AK20" s="35"/>
      <c r="AL20" s="37"/>
      <c r="AM20" s="37"/>
      <c r="AN20" s="37"/>
      <c r="AO20" s="37"/>
      <c r="AP20" s="37"/>
      <c r="AQ20" s="37"/>
      <c r="AR20" s="37"/>
      <c r="AS20" s="37"/>
      <c r="AT20" s="37"/>
      <c r="AU20" s="37"/>
      <c r="AV20" s="37"/>
      <c r="AW20" s="37"/>
      <c r="AX20" s="37"/>
      <c r="AY20" s="37"/>
      <c r="AZ20" s="37"/>
      <c r="BA20" s="33">
        <f>SUM(K20+S20+T20-U20-V20-W20-X20-Y20-Z20-AA20-AB20-AC20-AD20-AE20-AF20-AG20-AH20-AI20-AJ20-AK20-AL20-AM20-AN20-AO20-AP20-AQ20-AR20-AS20-AT20-AU20-AV20-AW20-AX20-AY20-AZ20)</f>
        <v>1387.3568000000071</v>
      </c>
      <c r="BB20" s="43"/>
    </row>
    <row r="21" spans="1:55" s="23" customFormat="1" ht="57.75" customHeight="1" x14ac:dyDescent="0.3">
      <c r="A21" s="26">
        <v>4</v>
      </c>
      <c r="B21" s="43" t="s">
        <v>750</v>
      </c>
      <c r="C21" s="28"/>
      <c r="D21" s="300" t="s">
        <v>2949</v>
      </c>
      <c r="E21" s="92">
        <v>10</v>
      </c>
      <c r="F21" s="30" t="s">
        <v>30</v>
      </c>
      <c r="G21" s="234">
        <f>[1]DICIEMBRE!$BA$24</f>
        <v>-0.39520000000266009</v>
      </c>
      <c r="H21" s="45">
        <f>ENERO!BA22</f>
        <v>-0.39520000000266009</v>
      </c>
      <c r="I21" s="31">
        <f>FEBRERO!AX22</f>
        <v>4.7999999974308594E-3</v>
      </c>
      <c r="J21" s="32">
        <f>MARZO!BA22</f>
        <v>4.7999999974308594E-3</v>
      </c>
      <c r="K21" s="33">
        <f>ABRIL!AZ21</f>
        <v>4.7999999974308594E-3</v>
      </c>
      <c r="L21" s="32"/>
      <c r="M21" s="32"/>
      <c r="N21" s="32"/>
      <c r="O21" s="33"/>
      <c r="P21" s="33"/>
      <c r="Q21" s="31"/>
      <c r="R21" s="31"/>
      <c r="S21" s="38">
        <f>(270*0.16+270)*E21</f>
        <v>3132</v>
      </c>
      <c r="T21" s="39"/>
      <c r="U21" s="39"/>
      <c r="V21" s="37"/>
      <c r="W21" s="37"/>
      <c r="X21" s="37"/>
      <c r="Y21" s="37"/>
      <c r="Z21" s="37"/>
      <c r="AA21" s="37"/>
      <c r="AB21" s="37"/>
      <c r="AC21" s="37"/>
      <c r="AD21" s="37"/>
      <c r="AE21" s="37"/>
      <c r="AF21" s="37"/>
      <c r="AG21" s="37"/>
      <c r="AH21" s="37"/>
      <c r="AI21" s="37"/>
      <c r="AJ21" s="37"/>
      <c r="AK21" s="35"/>
      <c r="AL21" s="37"/>
      <c r="AM21" s="37"/>
      <c r="AN21" s="37"/>
      <c r="AO21" s="37"/>
      <c r="AP21" s="37"/>
      <c r="AQ21" s="37"/>
      <c r="AR21" s="37"/>
      <c r="AS21" s="37"/>
      <c r="AT21" s="37"/>
      <c r="AU21" s="37"/>
      <c r="AV21" s="37"/>
      <c r="AW21" s="37"/>
      <c r="AX21" s="37"/>
      <c r="AY21" s="37"/>
      <c r="AZ21" s="37"/>
      <c r="BA21" s="33">
        <f t="shared" ref="BA21:BA83" si="0">SUM(K21+S21+T21-U21-V21-W21-X21-Y21-Z21-AA21-AB21-AC21-AD21-AE21-AF21-AG21-AH21-AI21-AJ21-AK21-AL21-AM21-AN21-AO21-AP21-AQ21-AR21-AS21-AT21-AU21-AV21-AW21-AX21-AY21-AZ21)</f>
        <v>3132.0047999999974</v>
      </c>
      <c r="BB21" s="43"/>
    </row>
    <row r="22" spans="1:55" s="23" customFormat="1" ht="55.5" customHeight="1" x14ac:dyDescent="0.3">
      <c r="A22" s="26">
        <v>5</v>
      </c>
      <c r="B22" s="43" t="s">
        <v>1723</v>
      </c>
      <c r="C22" s="53" t="s">
        <v>39</v>
      </c>
      <c r="D22" s="300" t="s">
        <v>2950</v>
      </c>
      <c r="E22" s="92">
        <v>2</v>
      </c>
      <c r="F22" s="30" t="s">
        <v>30</v>
      </c>
      <c r="G22" s="234">
        <f>[1]DICIEMBRE!$BA$48</f>
        <v>696</v>
      </c>
      <c r="H22" s="31">
        <f>ENERO!BA23</f>
        <v>696</v>
      </c>
      <c r="I22" s="45">
        <f>FEBRERO!AX23</f>
        <v>0</v>
      </c>
      <c r="J22" s="32">
        <f>MARZO!BA23</f>
        <v>0</v>
      </c>
      <c r="K22" s="33">
        <f>ABRIL!AZ22</f>
        <v>0</v>
      </c>
      <c r="L22" s="32"/>
      <c r="M22" s="32"/>
      <c r="N22" s="32"/>
      <c r="O22" s="33"/>
      <c r="P22" s="31"/>
      <c r="Q22" s="31"/>
      <c r="R22" s="31"/>
      <c r="S22" s="34">
        <f>(300*0.16+300)*1</f>
        <v>348</v>
      </c>
      <c r="T22" s="34"/>
      <c r="U22" s="34"/>
      <c r="V22" s="34"/>
      <c r="W22" s="34"/>
      <c r="X22" s="34"/>
      <c r="Y22" s="34"/>
      <c r="Z22" s="52"/>
      <c r="AA22" s="34"/>
      <c r="AB22" s="34"/>
      <c r="AC22" s="34"/>
      <c r="AD22" s="34"/>
      <c r="AE22" s="34"/>
      <c r="AF22" s="34"/>
      <c r="AG22" s="34"/>
      <c r="AH22" s="34"/>
      <c r="AI22" s="34"/>
      <c r="AJ22" s="34"/>
      <c r="AK22" s="38"/>
      <c r="AL22" s="34"/>
      <c r="AM22" s="34"/>
      <c r="AN22" s="34"/>
      <c r="AO22" s="34"/>
      <c r="AP22" s="34"/>
      <c r="AQ22" s="34"/>
      <c r="AR22" s="34"/>
      <c r="AS22" s="34"/>
      <c r="AT22" s="34"/>
      <c r="AU22" s="34"/>
      <c r="AV22" s="34"/>
      <c r="AW22" s="34"/>
      <c r="AX22" s="34"/>
      <c r="AY22" s="34"/>
      <c r="AZ22" s="34"/>
      <c r="BA22" s="33">
        <f t="shared" si="0"/>
        <v>348</v>
      </c>
      <c r="BB22" s="43" t="s">
        <v>1589</v>
      </c>
    </row>
    <row r="23" spans="1:55" s="23" customFormat="1" ht="72" customHeight="1" x14ac:dyDescent="0.3">
      <c r="A23" s="26">
        <v>6</v>
      </c>
      <c r="B23" s="43" t="s">
        <v>779</v>
      </c>
      <c r="C23" s="28"/>
      <c r="D23" s="300" t="s">
        <v>2951</v>
      </c>
      <c r="E23" s="92">
        <v>1</v>
      </c>
      <c r="F23" s="30" t="s">
        <v>30</v>
      </c>
      <c r="G23" s="112">
        <f>[1]DICIEMBRE!$BA$25</f>
        <v>0</v>
      </c>
      <c r="H23" s="31">
        <f>ENERO!BA24</f>
        <v>0</v>
      </c>
      <c r="I23" s="31">
        <f>FEBRERO!AX24</f>
        <v>0</v>
      </c>
      <c r="J23" s="32">
        <f>MARZO!BA24</f>
        <v>0</v>
      </c>
      <c r="K23" s="32">
        <f>ABRIL!AZ23</f>
        <v>0</v>
      </c>
      <c r="L23" s="336"/>
      <c r="M23" s="336"/>
      <c r="N23" s="336"/>
      <c r="O23" s="32"/>
      <c r="P23" s="31"/>
      <c r="Q23" s="31"/>
      <c r="R23" s="31"/>
      <c r="S23" s="38">
        <f>250*0.16+250</f>
        <v>290</v>
      </c>
      <c r="T23" s="39"/>
      <c r="U23" s="39"/>
      <c r="V23" s="37"/>
      <c r="W23" s="37"/>
      <c r="X23" s="37"/>
      <c r="Y23" s="37"/>
      <c r="Z23" s="37"/>
      <c r="AA23" s="37"/>
      <c r="AB23" s="37"/>
      <c r="AC23" s="37"/>
      <c r="AD23" s="37"/>
      <c r="AE23" s="37"/>
      <c r="AF23" s="37"/>
      <c r="AG23" s="37"/>
      <c r="AH23" s="37"/>
      <c r="AI23" s="37"/>
      <c r="AJ23" s="37"/>
      <c r="AK23" s="35"/>
      <c r="AL23" s="37"/>
      <c r="AM23" s="37"/>
      <c r="AN23" s="37"/>
      <c r="AO23" s="37"/>
      <c r="AP23" s="37"/>
      <c r="AQ23" s="37"/>
      <c r="AR23" s="37"/>
      <c r="AS23" s="37"/>
      <c r="AT23" s="37"/>
      <c r="AU23" s="37"/>
      <c r="AV23" s="37"/>
      <c r="AW23" s="37"/>
      <c r="AX23" s="37"/>
      <c r="AY23" s="37"/>
      <c r="AZ23" s="37"/>
      <c r="BA23" s="33">
        <f t="shared" si="0"/>
        <v>290</v>
      </c>
      <c r="BB23" s="43"/>
    </row>
    <row r="24" spans="1:55" s="23" customFormat="1" ht="51" customHeight="1" x14ac:dyDescent="0.3">
      <c r="A24" s="26">
        <v>7</v>
      </c>
      <c r="B24" s="43" t="s">
        <v>1724</v>
      </c>
      <c r="C24" s="28"/>
      <c r="D24" s="300" t="s">
        <v>2952</v>
      </c>
      <c r="E24" s="92">
        <v>5</v>
      </c>
      <c r="F24" s="30" t="s">
        <v>30</v>
      </c>
      <c r="G24" s="234">
        <f>[1]DICIEMBRE!$BA$64</f>
        <v>6.799999999202555E-3</v>
      </c>
      <c r="H24" s="45">
        <f>ENERO!BA25</f>
        <v>6.799999999202555E-3</v>
      </c>
      <c r="I24" s="31">
        <f>FEBRERO!AX25</f>
        <v>-3.20000000078835E-3</v>
      </c>
      <c r="J24" s="32">
        <f>MARZO!BA25</f>
        <v>-3.20000000078835E-3</v>
      </c>
      <c r="K24" s="33">
        <f>ABRIL!AZ24</f>
        <v>-3.20000000078835E-3</v>
      </c>
      <c r="L24" s="32"/>
      <c r="M24" s="32"/>
      <c r="N24" s="32"/>
      <c r="O24" s="33"/>
      <c r="P24" s="31"/>
      <c r="Q24" s="31"/>
      <c r="R24" s="31"/>
      <c r="S24" s="34">
        <f>(250*0.16+250)*E24</f>
        <v>1450</v>
      </c>
      <c r="T24" s="34"/>
      <c r="U24" s="34"/>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3">
        <f t="shared" si="0"/>
        <v>1449.9967999999992</v>
      </c>
      <c r="BB24" s="43"/>
    </row>
    <row r="25" spans="1:55" ht="60.75" customHeight="1" x14ac:dyDescent="0.35">
      <c r="A25" s="26">
        <v>8</v>
      </c>
      <c r="B25" s="43" t="s">
        <v>1582</v>
      </c>
      <c r="C25" s="27"/>
      <c r="D25" s="300" t="s">
        <v>1577</v>
      </c>
      <c r="E25" s="94">
        <v>1</v>
      </c>
      <c r="F25" s="44" t="s">
        <v>30</v>
      </c>
      <c r="G25" s="234">
        <f>[1]DICIEMBRE!$BA$134</f>
        <v>0</v>
      </c>
      <c r="H25" s="31">
        <f>ENERO!BA139</f>
        <v>48</v>
      </c>
      <c r="I25" s="31">
        <f>FEBRERO!AX26</f>
        <v>0</v>
      </c>
      <c r="J25" s="32">
        <f>MARZO!BA26</f>
        <v>0</v>
      </c>
      <c r="K25" s="33">
        <f>ABRIL!AZ25</f>
        <v>0</v>
      </c>
      <c r="L25" s="32"/>
      <c r="M25" s="336"/>
      <c r="N25" s="336"/>
      <c r="O25" s="32"/>
      <c r="P25" s="33"/>
      <c r="Q25" s="31"/>
      <c r="R25" s="31"/>
      <c r="S25" s="47">
        <f>(300*0.16+300)*E25</f>
        <v>348</v>
      </c>
      <c r="T25" s="47"/>
      <c r="U25" s="48"/>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33">
        <f t="shared" si="0"/>
        <v>348</v>
      </c>
      <c r="BB25" s="43"/>
    </row>
    <row r="26" spans="1:55" s="23" customFormat="1" ht="84" customHeight="1" x14ac:dyDescent="0.3">
      <c r="A26" s="26">
        <v>9</v>
      </c>
      <c r="B26" s="43" t="s">
        <v>783</v>
      </c>
      <c r="C26" s="28"/>
      <c r="D26" s="300" t="s">
        <v>2953</v>
      </c>
      <c r="E26" s="92">
        <v>4</v>
      </c>
      <c r="F26" s="30" t="s">
        <v>30</v>
      </c>
      <c r="G26" s="112">
        <f>[1]DICIEMBRE!$BA$27</f>
        <v>3.9999999989959178E-3</v>
      </c>
      <c r="H26" s="31">
        <f>ENERO!BA26</f>
        <v>3.9999999987685442E-3</v>
      </c>
      <c r="I26" s="45">
        <f>FEBRERO!AX27</f>
        <v>3.9999999985411705E-3</v>
      </c>
      <c r="J26" s="32">
        <f>MARZO!BA27</f>
        <v>3.9999999983137968E-3</v>
      </c>
      <c r="K26" s="32">
        <f>ABRIL!AZ26</f>
        <v>3.9999999980864231E-3</v>
      </c>
      <c r="L26" s="32"/>
      <c r="M26" s="32"/>
      <c r="N26" s="32"/>
      <c r="O26" s="33"/>
      <c r="P26" s="31"/>
      <c r="Q26" s="31"/>
      <c r="R26" s="31"/>
      <c r="S26" s="38">
        <f>(279*0.16+279)*E26</f>
        <v>1294.56</v>
      </c>
      <c r="T26" s="39">
        <f>500*0.16+500</f>
        <v>580</v>
      </c>
      <c r="U26" s="39"/>
      <c r="V26" s="37"/>
      <c r="W26" s="37"/>
      <c r="X26" s="37"/>
      <c r="Y26" s="37"/>
      <c r="Z26" s="37"/>
      <c r="AA26" s="37"/>
      <c r="AB26" s="37"/>
      <c r="AC26" s="37"/>
      <c r="AD26" s="37"/>
      <c r="AE26" s="37"/>
      <c r="AF26" s="37"/>
      <c r="AG26" s="37"/>
      <c r="AH26" s="37"/>
      <c r="AI26" s="37"/>
      <c r="AJ26" s="37"/>
      <c r="AK26" s="35"/>
      <c r="AL26" s="37"/>
      <c r="AM26" s="37"/>
      <c r="AN26" s="37"/>
      <c r="AO26" s="37"/>
      <c r="AP26" s="37"/>
      <c r="AQ26" s="37"/>
      <c r="AR26" s="37"/>
      <c r="AS26" s="37"/>
      <c r="AT26" s="37"/>
      <c r="AU26" s="37"/>
      <c r="AV26" s="37"/>
      <c r="AW26" s="37"/>
      <c r="AX26" s="37"/>
      <c r="AY26" s="37"/>
      <c r="AZ26" s="37"/>
      <c r="BA26" s="33">
        <f t="shared" si="0"/>
        <v>1874.563999999998</v>
      </c>
      <c r="BB26" s="43" t="s">
        <v>2891</v>
      </c>
    </row>
    <row r="27" spans="1:55" s="23" customFormat="1" ht="126.75" customHeight="1" x14ac:dyDescent="0.3">
      <c r="A27" s="26">
        <v>10</v>
      </c>
      <c r="B27" s="27" t="s">
        <v>31</v>
      </c>
      <c r="C27" s="28" t="s">
        <v>287</v>
      </c>
      <c r="D27" s="300" t="s">
        <v>2954</v>
      </c>
      <c r="E27" s="93">
        <v>5</v>
      </c>
      <c r="F27" s="40" t="s">
        <v>30</v>
      </c>
      <c r="G27" s="234">
        <f>[1]DICIEMBRE!$BA$28</f>
        <v>2.8000000004340109E-3</v>
      </c>
      <c r="H27" s="31">
        <f>ENERO!BA27</f>
        <v>2.8000000002066372E-3</v>
      </c>
      <c r="I27" s="31">
        <f>FEBRERO!AX28</f>
        <v>2.8000000002066372E-3</v>
      </c>
      <c r="J27" s="32">
        <f>MARZO!BA28</f>
        <v>2.8000000002066372E-3</v>
      </c>
      <c r="K27" s="33">
        <f>ABRIL!AZ27</f>
        <v>2.8000000002066372E-3</v>
      </c>
      <c r="L27" s="336"/>
      <c r="M27" s="336"/>
      <c r="N27" s="336"/>
      <c r="O27" s="32"/>
      <c r="P27" s="33"/>
      <c r="Q27" s="31"/>
      <c r="R27" s="31"/>
      <c r="S27" s="34">
        <f>(280*0.16+280)*E27</f>
        <v>1624</v>
      </c>
      <c r="T27" s="34"/>
      <c r="U27" s="34"/>
      <c r="V27" s="35"/>
      <c r="W27" s="35"/>
      <c r="X27" s="35"/>
      <c r="Y27" s="35"/>
      <c r="Z27" s="35"/>
      <c r="AA27" s="36"/>
      <c r="AB27" s="35"/>
      <c r="AC27" s="35"/>
      <c r="AD27" s="35"/>
      <c r="AE27" s="35"/>
      <c r="AF27" s="35"/>
      <c r="AG27" s="35"/>
      <c r="AH27" s="35"/>
      <c r="AI27" s="35"/>
      <c r="AJ27" s="35"/>
      <c r="AK27" s="37"/>
      <c r="AL27" s="35"/>
      <c r="AM27" s="35"/>
      <c r="AN27" s="35"/>
      <c r="AO27" s="35"/>
      <c r="AP27" s="35"/>
      <c r="AQ27" s="35"/>
      <c r="AR27" s="35"/>
      <c r="AS27" s="35"/>
      <c r="AT27" s="35"/>
      <c r="AU27" s="35"/>
      <c r="AV27" s="35"/>
      <c r="AW27" s="35"/>
      <c r="AX27" s="35"/>
      <c r="AY27" s="35"/>
      <c r="AZ27" s="35"/>
      <c r="BA27" s="33">
        <f t="shared" si="0"/>
        <v>1624.0028000000002</v>
      </c>
      <c r="BB27" s="267"/>
    </row>
    <row r="28" spans="1:55" s="23" customFormat="1" ht="71.25" customHeight="1" x14ac:dyDescent="0.3">
      <c r="A28" s="26">
        <v>11</v>
      </c>
      <c r="B28" s="43" t="s">
        <v>1725</v>
      </c>
      <c r="C28" s="28" t="s">
        <v>484</v>
      </c>
      <c r="D28" s="300" t="s">
        <v>2955</v>
      </c>
      <c r="E28" s="92">
        <v>4</v>
      </c>
      <c r="F28" s="30" t="s">
        <v>30</v>
      </c>
      <c r="G28" s="234">
        <f>[1]DICIEMBRE!$BA$20</f>
        <v>0</v>
      </c>
      <c r="H28" s="45">
        <f>ENERO!BA28</f>
        <v>0</v>
      </c>
      <c r="I28" s="31">
        <f>FEBRERO!AX29</f>
        <v>0</v>
      </c>
      <c r="J28" s="32">
        <f>MARZO!BA29</f>
        <v>0</v>
      </c>
      <c r="K28" s="33">
        <f>ABRIL!AZ28</f>
        <v>0</v>
      </c>
      <c r="L28" s="32"/>
      <c r="M28" s="32"/>
      <c r="N28" s="32"/>
      <c r="O28" s="32"/>
      <c r="P28" s="33"/>
      <c r="Q28" s="31"/>
      <c r="R28" s="31"/>
      <c r="S28" s="34">
        <f>(300*0.16+300)*E28</f>
        <v>1392</v>
      </c>
      <c r="T28" s="34"/>
      <c r="U28" s="34"/>
      <c r="V28" s="35"/>
      <c r="W28" s="35"/>
      <c r="X28" s="35"/>
      <c r="Y28" s="35"/>
      <c r="Z28" s="36"/>
      <c r="AA28" s="35"/>
      <c r="AB28" s="35"/>
      <c r="AC28" s="35"/>
      <c r="AD28" s="35"/>
      <c r="AE28" s="35"/>
      <c r="AF28" s="35"/>
      <c r="AG28" s="35"/>
      <c r="AH28" s="35"/>
      <c r="AI28" s="35"/>
      <c r="AJ28" s="35"/>
      <c r="AK28" s="37"/>
      <c r="AL28" s="35"/>
      <c r="AM28" s="35"/>
      <c r="AN28" s="35"/>
      <c r="AO28" s="35"/>
      <c r="AP28" s="35"/>
      <c r="AQ28" s="35"/>
      <c r="AR28" s="35"/>
      <c r="AS28" s="35"/>
      <c r="AT28" s="35"/>
      <c r="AU28" s="35"/>
      <c r="AV28" s="35"/>
      <c r="AW28" s="35"/>
      <c r="AX28" s="35"/>
      <c r="AY28" s="35"/>
      <c r="AZ28" s="35"/>
      <c r="BA28" s="33">
        <f t="shared" si="0"/>
        <v>1392</v>
      </c>
      <c r="BB28" s="43"/>
    </row>
    <row r="29" spans="1:55" s="23" customFormat="1" ht="51" customHeight="1" x14ac:dyDescent="0.3">
      <c r="A29" s="26">
        <v>12</v>
      </c>
      <c r="B29" s="43" t="s">
        <v>1352</v>
      </c>
      <c r="C29" s="28"/>
      <c r="D29" s="300" t="s">
        <v>2956</v>
      </c>
      <c r="E29" s="93">
        <v>5</v>
      </c>
      <c r="F29" s="30" t="s">
        <v>30</v>
      </c>
      <c r="G29" s="112">
        <f>[1]DICIEMBRE!$BA$31</f>
        <v>-3480</v>
      </c>
      <c r="H29" s="31">
        <f>ENERO!BA29</f>
        <v>-1740</v>
      </c>
      <c r="I29" s="31">
        <f>FEBRERO!AX30</f>
        <v>0</v>
      </c>
      <c r="J29" s="32">
        <f>MARZO!BA30</f>
        <v>-3480</v>
      </c>
      <c r="K29" s="32">
        <f>ABRIL!AZ29</f>
        <v>-1740</v>
      </c>
      <c r="L29" s="32"/>
      <c r="M29" s="32"/>
      <c r="N29" s="32"/>
      <c r="O29" s="33"/>
      <c r="P29" s="31"/>
      <c r="Q29" s="31"/>
      <c r="R29" s="31"/>
      <c r="S29" s="34">
        <f>(300*0.16+300)*E29</f>
        <v>1740</v>
      </c>
      <c r="T29" s="34"/>
      <c r="U29" s="34"/>
      <c r="V29" s="34"/>
      <c r="W29" s="34"/>
      <c r="X29" s="34"/>
      <c r="Y29" s="34"/>
      <c r="Z29" s="34"/>
      <c r="AA29" s="34"/>
      <c r="AB29" s="34"/>
      <c r="AC29" s="34"/>
      <c r="AD29" s="34"/>
      <c r="AE29" s="34"/>
      <c r="AF29" s="34"/>
      <c r="AG29" s="34"/>
      <c r="AH29" s="34"/>
      <c r="AI29" s="34"/>
      <c r="AJ29" s="34"/>
      <c r="AK29" s="38"/>
      <c r="AL29" s="34"/>
      <c r="AM29" s="34"/>
      <c r="AN29" s="34"/>
      <c r="AO29" s="34"/>
      <c r="AP29" s="34"/>
      <c r="AQ29" s="34"/>
      <c r="AR29" s="34"/>
      <c r="AS29" s="34"/>
      <c r="AT29" s="34"/>
      <c r="AU29" s="34"/>
      <c r="AV29" s="34"/>
      <c r="AW29" s="34"/>
      <c r="AX29" s="34"/>
      <c r="AY29" s="34"/>
      <c r="AZ29" s="34"/>
      <c r="BA29" s="33">
        <f t="shared" si="0"/>
        <v>0</v>
      </c>
      <c r="BB29" s="43" t="s">
        <v>2453</v>
      </c>
    </row>
    <row r="30" spans="1:55" s="23" customFormat="1" ht="69.75" customHeight="1" x14ac:dyDescent="0.3">
      <c r="A30" s="26">
        <v>13</v>
      </c>
      <c r="B30" s="43" t="s">
        <v>1726</v>
      </c>
      <c r="C30" s="334"/>
      <c r="D30" s="300" t="s">
        <v>2957</v>
      </c>
      <c r="E30" s="93">
        <v>5</v>
      </c>
      <c r="F30" s="30" t="s">
        <v>30</v>
      </c>
      <c r="G30" s="234">
        <f>[1]DICIEMBRE!$BA$18</f>
        <v>-128</v>
      </c>
      <c r="H30" s="31">
        <f>ENERO!BA30</f>
        <v>-128</v>
      </c>
      <c r="I30" s="45">
        <f>FEBRERO!AX31</f>
        <v>-128</v>
      </c>
      <c r="J30" s="32">
        <f>MARZO!BA31</f>
        <v>-128</v>
      </c>
      <c r="K30" s="33">
        <f>ABRIL!AZ30</f>
        <v>-128</v>
      </c>
      <c r="L30" s="336"/>
      <c r="M30" s="336"/>
      <c r="N30" s="336"/>
      <c r="O30" s="33"/>
      <c r="P30" s="33"/>
      <c r="Q30" s="31"/>
      <c r="R30" s="31"/>
      <c r="S30" s="34">
        <f>(350*0.16+350)*E30</f>
        <v>2030</v>
      </c>
      <c r="T30" s="335"/>
      <c r="U30" s="335"/>
      <c r="V30" s="25"/>
      <c r="X30" s="25"/>
      <c r="Y30" s="25"/>
      <c r="Z30" s="25"/>
      <c r="AA30" s="25"/>
      <c r="AB30" s="25"/>
      <c r="AC30" s="54"/>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33">
        <f t="shared" si="0"/>
        <v>1902</v>
      </c>
      <c r="BB30" s="266"/>
      <c r="BC30" s="333"/>
    </row>
    <row r="31" spans="1:55" s="23" customFormat="1" ht="52.5" customHeight="1" x14ac:dyDescent="0.3">
      <c r="A31" s="26">
        <v>14</v>
      </c>
      <c r="B31" s="43" t="s">
        <v>1727</v>
      </c>
      <c r="C31" s="53"/>
      <c r="D31" s="300" t="s">
        <v>2958</v>
      </c>
      <c r="E31" s="92">
        <v>6</v>
      </c>
      <c r="F31" s="56" t="s">
        <v>30</v>
      </c>
      <c r="G31" s="112">
        <f>[1]DICIEMBRE!$BA$77</f>
        <v>1.1999999996987754E-3</v>
      </c>
      <c r="H31" s="45">
        <f>ENERO!BA31</f>
        <v>1.1999999996987754E-3</v>
      </c>
      <c r="I31" s="31">
        <f>FEBRERO!AX32</f>
        <v>1.1999999996987754E-3</v>
      </c>
      <c r="J31" s="32">
        <f>MARZO!BA32</f>
        <v>1.1999999996987754E-3</v>
      </c>
      <c r="K31" s="33">
        <f>ABRIL!AZ31</f>
        <v>1.1999999996987754E-3</v>
      </c>
      <c r="L31" s="32"/>
      <c r="M31" s="32"/>
      <c r="N31" s="32"/>
      <c r="O31" s="33"/>
      <c r="P31" s="33"/>
      <c r="Q31" s="31"/>
      <c r="R31" s="31"/>
      <c r="S31" s="34">
        <f>(250*0.16+250)*5+(300*0.16+300)*1</f>
        <v>1798</v>
      </c>
      <c r="T31" s="34"/>
      <c r="U31" s="34"/>
      <c r="V31" s="35"/>
      <c r="W31" s="35"/>
      <c r="X31" s="35"/>
      <c r="Y31" s="54"/>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3">
        <f t="shared" si="0"/>
        <v>1798.0011999999997</v>
      </c>
      <c r="BB31" s="269" t="s">
        <v>2626</v>
      </c>
    </row>
    <row r="32" spans="1:55" s="23" customFormat="1" ht="60.75" customHeight="1" x14ac:dyDescent="0.3">
      <c r="A32" s="26">
        <v>15</v>
      </c>
      <c r="B32" s="43" t="s">
        <v>1632</v>
      </c>
      <c r="C32" s="28"/>
      <c r="D32" s="303" t="s">
        <v>1641</v>
      </c>
      <c r="E32" s="93">
        <v>6</v>
      </c>
      <c r="F32" s="30" t="s">
        <v>35</v>
      </c>
      <c r="G32" s="234">
        <f>[1]DICIEMBRE!$BA$32</f>
        <v>0</v>
      </c>
      <c r="H32" s="31">
        <f>ENERO!BA32</f>
        <v>-3.9999999999054126E-3</v>
      </c>
      <c r="I32" s="31">
        <f>FEBRERO!AX33</f>
        <v>-3.9999999999054126E-3</v>
      </c>
      <c r="J32" s="32">
        <f>MARZO!BA33</f>
        <v>-3.9999999999054126E-3</v>
      </c>
      <c r="K32" s="32">
        <f>ABRIL!AZ32</f>
        <v>-3.9999999999054126E-3</v>
      </c>
      <c r="L32" s="32"/>
      <c r="M32" s="32"/>
      <c r="N32" s="32"/>
      <c r="O32" s="33"/>
      <c r="P32" s="31"/>
      <c r="Q32" s="31"/>
      <c r="R32" s="31"/>
      <c r="S32" s="34">
        <f>(279*0.16+279)*E32</f>
        <v>1941.84</v>
      </c>
      <c r="T32" s="34"/>
      <c r="U32" s="34"/>
      <c r="V32" s="34"/>
      <c r="W32" s="34"/>
      <c r="X32" s="34"/>
      <c r="Y32" s="34"/>
      <c r="Z32" s="34"/>
      <c r="AA32" s="34"/>
      <c r="AB32" s="34"/>
      <c r="AC32" s="34"/>
      <c r="AD32" s="34"/>
      <c r="AE32" s="34"/>
      <c r="AF32" s="34"/>
      <c r="AG32" s="34"/>
      <c r="AH32" s="34"/>
      <c r="AI32" s="34"/>
      <c r="AJ32" s="34"/>
      <c r="AK32" s="38"/>
      <c r="AL32" s="34"/>
      <c r="AM32" s="34"/>
      <c r="AN32" s="34"/>
      <c r="AO32" s="34"/>
      <c r="AP32" s="34"/>
      <c r="AQ32" s="34"/>
      <c r="AR32" s="34"/>
      <c r="AS32" s="34"/>
      <c r="AT32" s="34"/>
      <c r="AU32" s="34"/>
      <c r="AV32" s="34"/>
      <c r="AW32" s="34"/>
      <c r="AX32" s="34"/>
      <c r="AY32" s="34"/>
      <c r="AZ32" s="34"/>
      <c r="BA32" s="33">
        <f t="shared" si="0"/>
        <v>1941.836</v>
      </c>
      <c r="BB32" s="43"/>
    </row>
    <row r="33" spans="1:54" s="23" customFormat="1" ht="83.25" customHeight="1" x14ac:dyDescent="0.3">
      <c r="A33" s="26">
        <v>16</v>
      </c>
      <c r="B33" s="43" t="s">
        <v>1729</v>
      </c>
      <c r="C33" s="53"/>
      <c r="D33" s="300" t="s">
        <v>1500</v>
      </c>
      <c r="E33" s="320">
        <v>9</v>
      </c>
      <c r="F33" s="41" t="s">
        <v>30</v>
      </c>
      <c r="G33" s="234">
        <f>[1]DICIEMBRE!$BA$34</f>
        <v>0</v>
      </c>
      <c r="H33" s="45">
        <f>ENERO!BA34</f>
        <v>0</v>
      </c>
      <c r="I33" s="45">
        <f>FEBRERO!AX35</f>
        <v>0</v>
      </c>
      <c r="J33" s="32">
        <f>MARZO!BA34</f>
        <v>-15660</v>
      </c>
      <c r="K33" s="33">
        <f>ABRIL!AZ33</f>
        <v>-12528</v>
      </c>
      <c r="L33" s="32"/>
      <c r="M33" s="32"/>
      <c r="N33" s="32"/>
      <c r="O33" s="32"/>
      <c r="P33" s="31"/>
      <c r="Q33" s="31"/>
      <c r="R33" s="31"/>
      <c r="S33" s="38">
        <f>(300*0.16+300)*E33</f>
        <v>3132</v>
      </c>
      <c r="T33" s="38"/>
      <c r="U33" s="35"/>
      <c r="V33" s="35"/>
      <c r="W33" s="35"/>
      <c r="X33" s="35"/>
      <c r="Y33" s="35"/>
      <c r="Z33" s="35"/>
      <c r="AA33" s="35"/>
      <c r="AB33" s="35"/>
      <c r="AC33" s="35"/>
      <c r="AD33" s="35"/>
      <c r="AE33" s="35"/>
      <c r="AF33" s="35"/>
      <c r="AG33" s="35"/>
      <c r="AH33" s="35"/>
      <c r="AI33" s="35"/>
      <c r="AJ33" s="35"/>
      <c r="AK33" s="42"/>
      <c r="AL33" s="35"/>
      <c r="AM33" s="35"/>
      <c r="AN33" s="35"/>
      <c r="AO33" s="35"/>
      <c r="AP33" s="35"/>
      <c r="AQ33" s="35"/>
      <c r="AR33" s="35"/>
      <c r="AS33" s="35"/>
      <c r="AT33" s="35"/>
      <c r="AU33" s="35"/>
      <c r="AV33" s="35"/>
      <c r="AW33" s="35"/>
      <c r="AX33" s="35"/>
      <c r="AY33" s="35"/>
      <c r="AZ33" s="35"/>
      <c r="BA33" s="33">
        <f t="shared" si="0"/>
        <v>-9396</v>
      </c>
      <c r="BB33" s="268" t="s">
        <v>2500</v>
      </c>
    </row>
    <row r="34" spans="1:54" ht="37.5" customHeight="1" x14ac:dyDescent="0.35">
      <c r="A34" s="26">
        <v>17</v>
      </c>
      <c r="B34" s="43" t="s">
        <v>1274</v>
      </c>
      <c r="C34" s="28"/>
      <c r="D34" s="300" t="s">
        <v>1070</v>
      </c>
      <c r="E34" s="94">
        <v>1</v>
      </c>
      <c r="F34" s="44" t="s">
        <v>30</v>
      </c>
      <c r="G34" s="112">
        <f>[1]DICIEMBRE!$BA$35</f>
        <v>0</v>
      </c>
      <c r="H34" s="31">
        <f>ENERO!BA35</f>
        <v>0</v>
      </c>
      <c r="I34" s="31">
        <f>FEBRERO!AX36</f>
        <v>0</v>
      </c>
      <c r="J34" s="32">
        <f>MARZO!BA35</f>
        <v>0</v>
      </c>
      <c r="K34" s="33">
        <f>ABRIL!AZ34</f>
        <v>0</v>
      </c>
      <c r="L34" s="32"/>
      <c r="M34" s="32"/>
      <c r="N34" s="32"/>
      <c r="O34" s="33"/>
      <c r="P34" s="33"/>
      <c r="Q34" s="31"/>
      <c r="R34" s="31"/>
      <c r="S34" s="47">
        <f>(250*0.16+250)*E34</f>
        <v>290</v>
      </c>
      <c r="T34" s="47"/>
      <c r="U34" s="48"/>
      <c r="V34" s="49"/>
      <c r="W34" s="49"/>
      <c r="X34" s="49"/>
      <c r="Y34" s="49"/>
      <c r="Z34" s="49"/>
      <c r="AA34" s="49"/>
      <c r="AB34" s="49"/>
      <c r="AC34" s="49"/>
      <c r="AD34" s="49"/>
      <c r="AE34" s="50"/>
      <c r="AF34" s="49"/>
      <c r="AG34" s="49"/>
      <c r="AH34" s="49"/>
      <c r="AI34" s="49"/>
      <c r="AJ34" s="49"/>
      <c r="AK34" s="49"/>
      <c r="AL34" s="49"/>
      <c r="AM34" s="49"/>
      <c r="AN34" s="49"/>
      <c r="AO34" s="49"/>
      <c r="AP34" s="49"/>
      <c r="AQ34" s="49"/>
      <c r="AR34" s="49"/>
      <c r="AS34" s="49"/>
      <c r="AT34" s="49"/>
      <c r="AU34" s="49"/>
      <c r="AV34" s="49"/>
      <c r="AW34" s="49"/>
      <c r="AX34" s="49"/>
      <c r="AY34" s="49"/>
      <c r="AZ34" s="49"/>
      <c r="BA34" s="33">
        <f t="shared" si="0"/>
        <v>290</v>
      </c>
      <c r="BB34" s="43"/>
    </row>
    <row r="35" spans="1:54" s="23" customFormat="1" ht="39.75" customHeight="1" x14ac:dyDescent="0.3">
      <c r="A35" s="26">
        <v>18</v>
      </c>
      <c r="B35" s="27" t="s">
        <v>36</v>
      </c>
      <c r="C35" s="28" t="s">
        <v>37</v>
      </c>
      <c r="D35" s="300" t="s">
        <v>2959</v>
      </c>
      <c r="E35" s="92">
        <v>3</v>
      </c>
      <c r="F35" s="30" t="s">
        <v>30</v>
      </c>
      <c r="G35" s="112">
        <f>[1]DICIEMBRE!$BA$37</f>
        <v>0</v>
      </c>
      <c r="H35" s="31">
        <f>ENERO!BA36</f>
        <v>0</v>
      </c>
      <c r="I35" s="31">
        <f>FEBRERO!AX37</f>
        <v>-4.3999999999755346E-3</v>
      </c>
      <c r="J35" s="32">
        <f>MARZO!BA36</f>
        <v>-4.400000000032378E-3</v>
      </c>
      <c r="K35" s="32">
        <f>ABRIL!AZ35</f>
        <v>1.2000000001535227E-3</v>
      </c>
      <c r="L35" s="336"/>
      <c r="M35" s="336"/>
      <c r="N35" s="32"/>
      <c r="O35" s="32"/>
      <c r="P35" s="33"/>
      <c r="Q35" s="31"/>
      <c r="R35" s="31"/>
      <c r="S35" s="34">
        <f>(250*0.16+250)*E35</f>
        <v>870</v>
      </c>
      <c r="T35" s="34"/>
      <c r="U35" s="34"/>
      <c r="V35" s="34"/>
      <c r="W35" s="34"/>
      <c r="X35" s="34"/>
      <c r="Y35" s="34"/>
      <c r="Z35" s="52"/>
      <c r="AA35" s="34"/>
      <c r="AB35" s="34"/>
      <c r="AC35" s="34"/>
      <c r="AD35" s="34"/>
      <c r="AE35" s="34"/>
      <c r="AF35" s="34"/>
      <c r="AG35" s="34"/>
      <c r="AH35" s="34"/>
      <c r="AI35" s="34"/>
      <c r="AJ35" s="34"/>
      <c r="AK35" s="38"/>
      <c r="AL35" s="34"/>
      <c r="AM35" s="34"/>
      <c r="AN35" s="34"/>
      <c r="AO35" s="34"/>
      <c r="AP35" s="34"/>
      <c r="AQ35" s="34"/>
      <c r="AR35" s="34"/>
      <c r="AS35" s="34"/>
      <c r="AT35" s="34"/>
      <c r="AU35" s="34"/>
      <c r="AV35" s="34"/>
      <c r="AW35" s="34"/>
      <c r="AX35" s="34"/>
      <c r="AY35" s="34"/>
      <c r="AZ35" s="34"/>
      <c r="BA35" s="33">
        <f t="shared" si="0"/>
        <v>870.00120000000015</v>
      </c>
      <c r="BB35" s="43" t="s">
        <v>2621</v>
      </c>
    </row>
    <row r="36" spans="1:54" s="23" customFormat="1" ht="140.25" customHeight="1" x14ac:dyDescent="0.3">
      <c r="A36" s="26">
        <v>19</v>
      </c>
      <c r="B36" s="27" t="s">
        <v>291</v>
      </c>
      <c r="C36" s="28" t="s">
        <v>292</v>
      </c>
      <c r="D36" s="300" t="s">
        <v>2960</v>
      </c>
      <c r="E36" s="92">
        <v>7</v>
      </c>
      <c r="F36" s="40" t="s">
        <v>30</v>
      </c>
      <c r="G36" s="234">
        <f>[1]DICIEMBRE!$BA$38</f>
        <v>-753.99240000000054</v>
      </c>
      <c r="H36" s="45">
        <f>ENERO!BA37</f>
        <v>-753.99240000000054</v>
      </c>
      <c r="I36" s="31">
        <f>FEBRERO!AX38</f>
        <v>-753.99240000000054</v>
      </c>
      <c r="J36" s="32">
        <f>MARZO!BA37</f>
        <v>-753.99240000000054</v>
      </c>
      <c r="K36" s="33">
        <f>ABRIL!AZ36</f>
        <v>-753.99240000000054</v>
      </c>
      <c r="L36" s="32"/>
      <c r="M36" s="32"/>
      <c r="N36" s="32"/>
      <c r="O36" s="33"/>
      <c r="P36" s="31"/>
      <c r="Q36" s="31"/>
      <c r="R36" s="31"/>
      <c r="S36" s="34">
        <f>(350*0.16+350)*E36</f>
        <v>2842</v>
      </c>
      <c r="T36" s="34"/>
      <c r="U36" s="34"/>
      <c r="V36" s="35"/>
      <c r="W36" s="54"/>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3">
        <f t="shared" si="0"/>
        <v>2088.0075999999995</v>
      </c>
      <c r="BB36" s="267"/>
    </row>
    <row r="37" spans="1:54" s="23" customFormat="1" ht="78" customHeight="1" x14ac:dyDescent="0.3">
      <c r="A37" s="26">
        <v>20</v>
      </c>
      <c r="B37" s="43" t="s">
        <v>1730</v>
      </c>
      <c r="C37" s="27"/>
      <c r="D37" s="300" t="s">
        <v>2961</v>
      </c>
      <c r="E37" s="92">
        <v>4</v>
      </c>
      <c r="F37" s="30" t="s">
        <v>30</v>
      </c>
      <c r="G37" s="112">
        <f>[1]DICIEMBRE!$BA$59</f>
        <v>6.8212102632969618E-13</v>
      </c>
      <c r="H37" s="31">
        <f>ENERO!BA38</f>
        <v>9.0949470177292824E-13</v>
      </c>
      <c r="I37" s="45">
        <f>FEBRERO!AX39</f>
        <v>1.1368683772161603E-12</v>
      </c>
      <c r="J37" s="32">
        <f>MARZO!BA38</f>
        <v>1.3642420526593924E-12</v>
      </c>
      <c r="K37" s="33">
        <f>ABRIL!AZ37</f>
        <v>1.5916157281026244E-12</v>
      </c>
      <c r="L37" s="32"/>
      <c r="M37" s="336"/>
      <c r="N37" s="32"/>
      <c r="O37" s="32"/>
      <c r="P37" s="31"/>
      <c r="Q37" s="31"/>
      <c r="R37" s="31"/>
      <c r="S37" s="34">
        <f>(249*0.16+249)*E37</f>
        <v>1155.3600000000001</v>
      </c>
      <c r="T37" s="35"/>
      <c r="U37" s="35"/>
      <c r="V37" s="35"/>
      <c r="W37" s="35"/>
      <c r="X37" s="35"/>
      <c r="Y37" s="35"/>
      <c r="Z37" s="35"/>
      <c r="AA37" s="35"/>
      <c r="AB37" s="35"/>
      <c r="AC37" s="35"/>
      <c r="AD37" s="35"/>
      <c r="AE37" s="35"/>
      <c r="AF37" s="35"/>
      <c r="AG37" s="35"/>
      <c r="AH37" s="35"/>
      <c r="AI37" s="35"/>
      <c r="AJ37" s="35"/>
      <c r="AK37" s="42"/>
      <c r="AL37" s="35"/>
      <c r="AM37" s="35"/>
      <c r="AN37" s="35"/>
      <c r="AO37" s="35"/>
      <c r="AP37" s="35"/>
      <c r="AQ37" s="35"/>
      <c r="AR37" s="35"/>
      <c r="AS37" s="35"/>
      <c r="AT37" s="35"/>
      <c r="AU37" s="35"/>
      <c r="AV37" s="35"/>
      <c r="AW37" s="35"/>
      <c r="AX37" s="35"/>
      <c r="AY37" s="35"/>
      <c r="AZ37" s="35"/>
      <c r="BA37" s="33">
        <f t="shared" si="0"/>
        <v>1155.3600000000017</v>
      </c>
      <c r="BB37" s="43"/>
    </row>
    <row r="38" spans="1:54" s="23" customFormat="1" ht="60.75" customHeight="1" x14ac:dyDescent="0.3">
      <c r="A38" s="26">
        <v>21</v>
      </c>
      <c r="B38" s="43" t="s">
        <v>1446</v>
      </c>
      <c r="C38" s="53"/>
      <c r="D38" s="300" t="s">
        <v>2962</v>
      </c>
      <c r="E38" s="94">
        <v>2</v>
      </c>
      <c r="F38" s="44" t="s">
        <v>30</v>
      </c>
      <c r="G38" s="112">
        <f>[1]DICIEMBRE!$BA$41</f>
        <v>0</v>
      </c>
      <c r="H38" s="31">
        <f>ENERO!BA39</f>
        <v>0</v>
      </c>
      <c r="I38" s="31">
        <f>FEBRERO!AX40</f>
        <v>0</v>
      </c>
      <c r="J38" s="32">
        <f>MARZO!BA39</f>
        <v>0</v>
      </c>
      <c r="K38" s="32">
        <f>ABRIL!AZ38</f>
        <v>0</v>
      </c>
      <c r="L38" s="32"/>
      <c r="M38" s="336"/>
      <c r="N38" s="32"/>
      <c r="O38" s="33"/>
      <c r="P38" s="31"/>
      <c r="Q38" s="31"/>
      <c r="R38" s="31"/>
      <c r="S38" s="47">
        <f>(300*0.16+300)*2</f>
        <v>696</v>
      </c>
      <c r="T38" s="34"/>
      <c r="U38" s="34"/>
      <c r="V38" s="34"/>
      <c r="W38" s="34"/>
      <c r="X38" s="34"/>
      <c r="Y38" s="34"/>
      <c r="Z38" s="52"/>
      <c r="AA38" s="34"/>
      <c r="AB38" s="34"/>
      <c r="AC38" s="34"/>
      <c r="AD38" s="34"/>
      <c r="AE38" s="34"/>
      <c r="AF38" s="34"/>
      <c r="AG38" s="34"/>
      <c r="AH38" s="34"/>
      <c r="AI38" s="34"/>
      <c r="AJ38" s="34"/>
      <c r="AK38" s="38"/>
      <c r="AL38" s="34"/>
      <c r="AM38" s="34"/>
      <c r="AN38" s="34"/>
      <c r="AO38" s="34"/>
      <c r="AP38" s="34"/>
      <c r="AQ38" s="34"/>
      <c r="AR38" s="34"/>
      <c r="AS38" s="34"/>
      <c r="AT38" s="34"/>
      <c r="AU38" s="34"/>
      <c r="AV38" s="34"/>
      <c r="AW38" s="34"/>
      <c r="AX38" s="34"/>
      <c r="AY38" s="34"/>
      <c r="AZ38" s="34"/>
      <c r="BA38" s="33">
        <f t="shared" si="0"/>
        <v>696</v>
      </c>
      <c r="BB38" s="43" t="s">
        <v>1588</v>
      </c>
    </row>
    <row r="39" spans="1:54" s="23" customFormat="1" ht="72" customHeight="1" x14ac:dyDescent="0.3">
      <c r="A39" s="26">
        <v>22</v>
      </c>
      <c r="B39" s="43" t="s">
        <v>960</v>
      </c>
      <c r="C39" s="43" t="s">
        <v>252</v>
      </c>
      <c r="D39" s="300" t="s">
        <v>2963</v>
      </c>
      <c r="E39" s="92">
        <v>674</v>
      </c>
      <c r="F39" s="30" t="s">
        <v>30</v>
      </c>
      <c r="G39" s="234">
        <f>[1]DICIEMBRE!$BA$42</f>
        <v>3220.0259999999871</v>
      </c>
      <c r="H39" s="45">
        <f>ENERO!BA40</f>
        <v>3220.0259999999835</v>
      </c>
      <c r="I39" s="31">
        <f>FEBRERO!AX41</f>
        <v>3220.0279999999766</v>
      </c>
      <c r="J39" s="32">
        <f>MARZO!BA40</f>
        <v>3220.0299999999697</v>
      </c>
      <c r="K39" s="33">
        <f>ABRIL!AZ39</f>
        <v>3220.0319999999629</v>
      </c>
      <c r="L39" s="32"/>
      <c r="M39" s="32"/>
      <c r="N39" s="32"/>
      <c r="O39" s="33"/>
      <c r="P39" s="33"/>
      <c r="Q39" s="31"/>
      <c r="R39" s="31"/>
      <c r="S39" s="34">
        <f>(38.8*0.16+38.8)*E39</f>
        <v>30335.391999999996</v>
      </c>
      <c r="T39" s="34"/>
      <c r="U39" s="34"/>
      <c r="V39" s="34"/>
      <c r="W39" s="34"/>
      <c r="X39" s="34"/>
      <c r="Y39" s="34"/>
      <c r="Z39" s="52"/>
      <c r="AA39" s="34"/>
      <c r="AB39" s="34"/>
      <c r="AC39" s="34"/>
      <c r="AD39" s="34"/>
      <c r="AE39" s="34"/>
      <c r="AF39" s="34"/>
      <c r="AG39" s="34"/>
      <c r="AH39" s="34"/>
      <c r="AI39" s="34"/>
      <c r="AJ39" s="34"/>
      <c r="AK39" s="38"/>
      <c r="AL39" s="34"/>
      <c r="AM39" s="34"/>
      <c r="AN39" s="34"/>
      <c r="AO39" s="34"/>
      <c r="AP39" s="34"/>
      <c r="AQ39" s="34"/>
      <c r="AR39" s="34"/>
      <c r="AS39" s="34"/>
      <c r="AT39" s="34"/>
      <c r="AU39" s="34"/>
      <c r="AV39" s="34"/>
      <c r="AW39" s="34"/>
      <c r="AX39" s="34"/>
      <c r="AY39" s="34"/>
      <c r="AZ39" s="34"/>
      <c r="BA39" s="33">
        <f t="shared" si="0"/>
        <v>33555.423999999955</v>
      </c>
      <c r="BB39" s="43"/>
    </row>
    <row r="40" spans="1:54" s="23" customFormat="1" ht="72" customHeight="1" x14ac:dyDescent="0.3">
      <c r="A40" s="26">
        <v>23</v>
      </c>
      <c r="B40" s="43" t="s">
        <v>1453</v>
      </c>
      <c r="C40" s="43"/>
      <c r="D40" s="300" t="s">
        <v>2964</v>
      </c>
      <c r="E40" s="92">
        <v>1</v>
      </c>
      <c r="F40" s="30" t="s">
        <v>30</v>
      </c>
      <c r="G40" s="112">
        <f>[1]DICIEMBRE!$BA$43</f>
        <v>348</v>
      </c>
      <c r="H40" s="31">
        <f>ENERO!BA41</f>
        <v>0</v>
      </c>
      <c r="I40" s="31">
        <f>FEBRERO!AX42</f>
        <v>0</v>
      </c>
      <c r="J40" s="32">
        <f>MARZO!BA41</f>
        <v>0</v>
      </c>
      <c r="K40" s="33">
        <f>ABRIL!AZ40</f>
        <v>0</v>
      </c>
      <c r="L40" s="32"/>
      <c r="M40" s="32"/>
      <c r="N40" s="32"/>
      <c r="O40" s="33"/>
      <c r="P40" s="33"/>
      <c r="Q40" s="31"/>
      <c r="R40" s="31"/>
      <c r="S40" s="34">
        <f>(300*0.16+300)*E40</f>
        <v>348</v>
      </c>
      <c r="T40" s="34"/>
      <c r="U40" s="34"/>
      <c r="V40" s="34"/>
      <c r="W40" s="34"/>
      <c r="X40" s="34"/>
      <c r="Y40" s="34"/>
      <c r="Z40" s="52"/>
      <c r="AA40" s="34"/>
      <c r="AB40" s="34"/>
      <c r="AC40" s="34"/>
      <c r="AD40" s="34"/>
      <c r="AE40" s="34"/>
      <c r="AF40" s="34"/>
      <c r="AG40" s="34"/>
      <c r="AH40" s="34"/>
      <c r="AI40" s="34"/>
      <c r="AJ40" s="34"/>
      <c r="AK40" s="38"/>
      <c r="AL40" s="34"/>
      <c r="AM40" s="34"/>
      <c r="AN40" s="34"/>
      <c r="AO40" s="34"/>
      <c r="AP40" s="34"/>
      <c r="AQ40" s="34"/>
      <c r="AR40" s="34"/>
      <c r="AS40" s="34"/>
      <c r="AT40" s="34"/>
      <c r="AU40" s="34"/>
      <c r="AV40" s="34"/>
      <c r="AW40" s="34"/>
      <c r="AX40" s="34"/>
      <c r="AY40" s="34"/>
      <c r="AZ40" s="34"/>
      <c r="BA40" s="33">
        <f t="shared" si="0"/>
        <v>348</v>
      </c>
      <c r="BB40" s="43"/>
    </row>
    <row r="41" spans="1:54" s="23" customFormat="1" ht="69" customHeight="1" x14ac:dyDescent="0.3">
      <c r="A41" s="26">
        <v>24</v>
      </c>
      <c r="B41" s="43" t="s">
        <v>428</v>
      </c>
      <c r="C41" s="28" t="s">
        <v>429</v>
      </c>
      <c r="D41" s="300" t="s">
        <v>2965</v>
      </c>
      <c r="E41" s="92">
        <v>7</v>
      </c>
      <c r="F41" s="30" t="s">
        <v>30</v>
      </c>
      <c r="G41" s="234">
        <f>[1]DICIEMBRE!$BA$44</f>
        <v>2598.3956000000003</v>
      </c>
      <c r="H41" s="31">
        <f>ENERO!BA42</f>
        <v>5486.7956000000004</v>
      </c>
      <c r="I41" s="45">
        <f>FEBRERO!AX43</f>
        <v>8085.1956000000009</v>
      </c>
      <c r="J41" s="32">
        <f>MARZO!BA42</f>
        <v>10683.595600000001</v>
      </c>
      <c r="K41" s="32">
        <f>ABRIL!AZ41</f>
        <v>5196.7956000000004</v>
      </c>
      <c r="L41" s="32"/>
      <c r="M41" s="32"/>
      <c r="N41" s="336"/>
      <c r="O41" s="32"/>
      <c r="P41" s="31"/>
      <c r="Q41" s="31"/>
      <c r="R41" s="31"/>
      <c r="S41" s="34">
        <f>(320*0.16+320)*E41</f>
        <v>2598.4</v>
      </c>
      <c r="T41" s="34"/>
      <c r="U41" s="34"/>
      <c r="V41" s="34"/>
      <c r="W41" s="34"/>
      <c r="X41" s="34"/>
      <c r="Y41" s="34"/>
      <c r="Z41" s="52"/>
      <c r="AA41" s="34"/>
      <c r="AB41" s="34"/>
      <c r="AC41" s="34"/>
      <c r="AD41" s="34"/>
      <c r="AE41" s="34"/>
      <c r="AF41" s="34"/>
      <c r="AG41" s="34"/>
      <c r="AH41" s="34"/>
      <c r="AI41" s="34"/>
      <c r="AJ41" s="34"/>
      <c r="AK41" s="38"/>
      <c r="AL41" s="34"/>
      <c r="AM41" s="34"/>
      <c r="AN41" s="34"/>
      <c r="AO41" s="34"/>
      <c r="AP41" s="34"/>
      <c r="AQ41" s="34"/>
      <c r="AR41" s="34"/>
      <c r="AS41" s="34"/>
      <c r="AT41" s="34"/>
      <c r="AU41" s="34"/>
      <c r="AV41" s="34"/>
      <c r="AW41" s="34"/>
      <c r="AX41" s="34"/>
      <c r="AY41" s="34"/>
      <c r="AZ41" s="34"/>
      <c r="BA41" s="33">
        <f>SUM(K41+S41+T41-U41-V41-W41-X41-Y41-Z41-AA41-AB41-AC41-AD41-AE41-AF41-AG41-AH41-AI41-AJ41-AK41-AL41-AM41-AN41-AO41-AP41-AQ41-AR41-AS41-AT41-AU41-AV41-AW41-AX41-AY41-AZ41)</f>
        <v>7795.1956000000009</v>
      </c>
      <c r="BB41" s="43"/>
    </row>
    <row r="42" spans="1:54" s="23" customFormat="1" ht="49.5" customHeight="1" x14ac:dyDescent="0.3">
      <c r="A42" s="26">
        <v>25</v>
      </c>
      <c r="B42" s="43" t="s">
        <v>1685</v>
      </c>
      <c r="C42" s="28"/>
      <c r="D42" s="300" t="s">
        <v>1686</v>
      </c>
      <c r="E42" s="92">
        <v>6</v>
      </c>
      <c r="F42" s="30"/>
      <c r="G42" s="112">
        <f>[1]DICIEMBRE!$BA$45</f>
        <v>0</v>
      </c>
      <c r="H42" s="45">
        <f>ENERO!BA43</f>
        <v>1.2000000001535227E-3</v>
      </c>
      <c r="I42" s="31">
        <f>FEBRERO!AX44</f>
        <v>-3.9999999989959178E-4</v>
      </c>
      <c r="J42" s="32">
        <f>MARZO!BA43</f>
        <v>-3.9999999989959178E-4</v>
      </c>
      <c r="K42" s="33">
        <f>ABRIL!AZ42</f>
        <v>-4.0000000080908649E-4</v>
      </c>
      <c r="L42" s="32"/>
      <c r="M42" s="32"/>
      <c r="N42" s="336"/>
      <c r="O42" s="32"/>
      <c r="P42" s="31"/>
      <c r="Q42" s="31"/>
      <c r="R42" s="31"/>
      <c r="S42" s="34">
        <f>(290*0.16+290)*E42</f>
        <v>2018.3999999999999</v>
      </c>
      <c r="T42" s="34"/>
      <c r="U42" s="34"/>
      <c r="V42" s="34"/>
      <c r="W42" s="34"/>
      <c r="X42" s="34"/>
      <c r="Y42" s="34"/>
      <c r="Z42" s="52"/>
      <c r="AA42" s="34"/>
      <c r="AB42" s="34"/>
      <c r="AC42" s="34"/>
      <c r="AD42" s="34"/>
      <c r="AE42" s="34"/>
      <c r="AF42" s="34"/>
      <c r="AG42" s="34"/>
      <c r="AH42" s="34"/>
      <c r="AI42" s="34"/>
      <c r="AJ42" s="34"/>
      <c r="AK42" s="38"/>
      <c r="AL42" s="34"/>
      <c r="AM42" s="34"/>
      <c r="AN42" s="34"/>
      <c r="AO42" s="34"/>
      <c r="AP42" s="34"/>
      <c r="AQ42" s="34"/>
      <c r="AR42" s="34"/>
      <c r="AS42" s="34"/>
      <c r="AT42" s="34"/>
      <c r="AU42" s="34"/>
      <c r="AV42" s="34"/>
      <c r="AW42" s="34"/>
      <c r="AX42" s="34"/>
      <c r="AY42" s="34"/>
      <c r="AZ42" s="34"/>
      <c r="BA42" s="33">
        <f t="shared" si="0"/>
        <v>2018.3995999999991</v>
      </c>
      <c r="BB42" s="43" t="s">
        <v>2618</v>
      </c>
    </row>
    <row r="43" spans="1:54" s="23" customFormat="1" ht="54.75" customHeight="1" x14ac:dyDescent="0.3">
      <c r="A43" s="26">
        <v>26</v>
      </c>
      <c r="B43" s="43" t="s">
        <v>1493</v>
      </c>
      <c r="C43" s="28"/>
      <c r="D43" s="300" t="s">
        <v>2966</v>
      </c>
      <c r="E43" s="92">
        <v>18</v>
      </c>
      <c r="F43" s="30" t="s">
        <v>30</v>
      </c>
      <c r="G43" s="234">
        <f>[1]DICIEMBRE!$BA$46</f>
        <v>9.0949470177292824E-13</v>
      </c>
      <c r="H43" s="31">
        <f>ENERO!BA44</f>
        <v>9.0949470177292824E-13</v>
      </c>
      <c r="I43" s="31">
        <f>FEBRERO!AX45</f>
        <v>2.0000000004074536E-3</v>
      </c>
      <c r="J43" s="32">
        <f>MARZO!BA44</f>
        <v>2.0000000004074536E-3</v>
      </c>
      <c r="K43" s="33">
        <f>ABRIL!AZ43</f>
        <v>2.0000000004074536E-3</v>
      </c>
      <c r="L43" s="32"/>
      <c r="M43" s="32"/>
      <c r="N43" s="336"/>
      <c r="O43" s="32"/>
      <c r="P43" s="31"/>
      <c r="Q43" s="31"/>
      <c r="R43" s="31"/>
      <c r="S43" s="34">
        <f>(300*0.16+300)*E43</f>
        <v>6264</v>
      </c>
      <c r="T43" s="34"/>
      <c r="U43" s="34"/>
      <c r="V43" s="34"/>
      <c r="W43" s="34"/>
      <c r="X43" s="34"/>
      <c r="Y43" s="34"/>
      <c r="Z43" s="52"/>
      <c r="AA43" s="34"/>
      <c r="AB43" s="34"/>
      <c r="AC43" s="34"/>
      <c r="AD43" s="34"/>
      <c r="AE43" s="34"/>
      <c r="AF43" s="34"/>
      <c r="AG43" s="34"/>
      <c r="AH43" s="34"/>
      <c r="AI43" s="34"/>
      <c r="AJ43" s="34"/>
      <c r="AK43" s="38"/>
      <c r="AL43" s="34"/>
      <c r="AM43" s="34"/>
      <c r="AN43" s="34"/>
      <c r="AO43" s="34"/>
      <c r="AP43" s="34"/>
      <c r="AQ43" s="34"/>
      <c r="AR43" s="34"/>
      <c r="AS43" s="34"/>
      <c r="AT43" s="34"/>
      <c r="AU43" s="34"/>
      <c r="AV43" s="34"/>
      <c r="AW43" s="34"/>
      <c r="AX43" s="34"/>
      <c r="AY43" s="34"/>
      <c r="AZ43" s="34"/>
      <c r="BA43" s="33">
        <f t="shared" si="0"/>
        <v>6264.0020000000004</v>
      </c>
      <c r="BB43" s="43"/>
    </row>
    <row r="44" spans="1:54" s="23" customFormat="1" ht="69.75" customHeight="1" x14ac:dyDescent="0.3">
      <c r="A44" s="26">
        <v>27</v>
      </c>
      <c r="B44" s="43" t="s">
        <v>1936</v>
      </c>
      <c r="C44" s="28"/>
      <c r="D44" s="300" t="s">
        <v>1960</v>
      </c>
      <c r="E44" s="92">
        <v>22</v>
      </c>
      <c r="F44" s="30" t="s">
        <v>30</v>
      </c>
      <c r="G44" s="234"/>
      <c r="H44" s="31">
        <f>ENERO!BA45</f>
        <v>9604.7999999999993</v>
      </c>
      <c r="I44" s="31">
        <f>FEBRERO!AX46</f>
        <v>1380.8639999999996</v>
      </c>
      <c r="J44" s="32">
        <f>MARZO!BA45</f>
        <v>3.9999999989959178E-3</v>
      </c>
      <c r="K44" s="32">
        <f>ABRIL!AZ44</f>
        <v>14496.523999999999</v>
      </c>
      <c r="L44" s="32"/>
      <c r="M44" s="32"/>
      <c r="N44" s="336"/>
      <c r="O44" s="32"/>
      <c r="P44" s="31"/>
      <c r="Q44" s="31"/>
      <c r="R44" s="31"/>
      <c r="S44" s="34">
        <f>(279*0.16+279)*E44</f>
        <v>7120.08</v>
      </c>
      <c r="T44" s="34"/>
      <c r="U44" s="34"/>
      <c r="V44" s="34"/>
      <c r="W44" s="34"/>
      <c r="X44" s="34"/>
      <c r="Y44" s="34"/>
      <c r="Z44" s="52"/>
      <c r="AA44" s="34"/>
      <c r="AB44" s="34"/>
      <c r="AC44" s="34"/>
      <c r="AD44" s="34"/>
      <c r="AE44" s="34"/>
      <c r="AF44" s="34"/>
      <c r="AG44" s="34"/>
      <c r="AH44" s="34"/>
      <c r="AI44" s="34"/>
      <c r="AJ44" s="34"/>
      <c r="AK44" s="38"/>
      <c r="AL44" s="34"/>
      <c r="AM44" s="34"/>
      <c r="AN44" s="34"/>
      <c r="AO44" s="34"/>
      <c r="AP44" s="34"/>
      <c r="AQ44" s="34"/>
      <c r="AR44" s="34"/>
      <c r="AS44" s="34"/>
      <c r="AT44" s="34"/>
      <c r="AU44" s="34"/>
      <c r="AV44" s="34"/>
      <c r="AW44" s="34"/>
      <c r="AX44" s="34"/>
      <c r="AY44" s="34"/>
      <c r="AZ44" s="34"/>
      <c r="BA44" s="33">
        <f t="shared" si="0"/>
        <v>21616.603999999999</v>
      </c>
      <c r="BB44" s="43"/>
    </row>
    <row r="45" spans="1:54" s="23" customFormat="1" ht="61.5" customHeight="1" x14ac:dyDescent="0.3">
      <c r="A45" s="26">
        <v>28</v>
      </c>
      <c r="B45" s="27" t="s">
        <v>42</v>
      </c>
      <c r="C45" s="28" t="s">
        <v>253</v>
      </c>
      <c r="D45" s="300" t="s">
        <v>2967</v>
      </c>
      <c r="E45" s="92">
        <v>14</v>
      </c>
      <c r="F45" s="40" t="s">
        <v>30</v>
      </c>
      <c r="G45" s="234">
        <f>[1]DICIEMBRE!$BA$50</f>
        <v>-3.9999999899009708E-4</v>
      </c>
      <c r="H45" s="45">
        <f>ENERO!BA46</f>
        <v>-3.9999999899009708E-4</v>
      </c>
      <c r="I45" s="45">
        <f>FEBRERO!AX47</f>
        <v>-3.9999999899009708E-4</v>
      </c>
      <c r="J45" s="32">
        <f>MARZO!BA46</f>
        <v>-3.9999999899009708E-4</v>
      </c>
      <c r="K45" s="33">
        <f>ABRIL!AZ45</f>
        <v>-3.9999999899009708E-4</v>
      </c>
      <c r="L45" s="336"/>
      <c r="M45" s="336"/>
      <c r="N45" s="32"/>
      <c r="O45" s="32"/>
      <c r="P45" s="31"/>
      <c r="Q45" s="31"/>
      <c r="R45" s="31"/>
      <c r="S45" s="34">
        <f>(250*0.16+250)*E45</f>
        <v>4060</v>
      </c>
      <c r="T45" s="34"/>
      <c r="U45" s="34"/>
      <c r="V45" s="35"/>
      <c r="W45" s="54"/>
      <c r="X45" s="35"/>
      <c r="Y45" s="35"/>
      <c r="Z45" s="35"/>
      <c r="AA45" s="35"/>
      <c r="AB45" s="35"/>
      <c r="AC45" s="35"/>
      <c r="AD45" s="35"/>
      <c r="AE45" s="35"/>
      <c r="AF45" s="35"/>
      <c r="AG45" s="35"/>
      <c r="AH45" s="35"/>
      <c r="AI45" s="36"/>
      <c r="AJ45" s="35"/>
      <c r="AK45" s="35"/>
      <c r="AL45" s="35"/>
      <c r="AM45" s="35"/>
      <c r="AN45" s="35"/>
      <c r="AO45" s="35"/>
      <c r="AP45" s="35"/>
      <c r="AQ45" s="35"/>
      <c r="AR45" s="35"/>
      <c r="AS45" s="35"/>
      <c r="AT45" s="35"/>
      <c r="AU45" s="35"/>
      <c r="AV45" s="35"/>
      <c r="AW45" s="35"/>
      <c r="AX45" s="35"/>
      <c r="AY45" s="35"/>
      <c r="AZ45" s="35"/>
      <c r="BA45" s="33">
        <f t="shared" si="0"/>
        <v>4059.999600000001</v>
      </c>
      <c r="BB45" s="267"/>
    </row>
    <row r="46" spans="1:54" s="23" customFormat="1" ht="66" customHeight="1" x14ac:dyDescent="0.3">
      <c r="A46" s="26">
        <v>29</v>
      </c>
      <c r="B46" s="27" t="s">
        <v>2322</v>
      </c>
      <c r="C46" s="28" t="s">
        <v>44</v>
      </c>
      <c r="D46" s="300" t="s">
        <v>2968</v>
      </c>
      <c r="E46" s="92">
        <v>1</v>
      </c>
      <c r="F46" s="30" t="s">
        <v>30</v>
      </c>
      <c r="G46" s="234">
        <f>[1]DICIEMBRE!$BA$52</f>
        <v>0</v>
      </c>
      <c r="H46" s="31">
        <f>ENERO!BA47</f>
        <v>0</v>
      </c>
      <c r="I46" s="31">
        <f>FEBRERO!AX48</f>
        <v>0</v>
      </c>
      <c r="J46" s="32">
        <f>MARZO!BA47</f>
        <v>0</v>
      </c>
      <c r="K46" s="33">
        <f>ABRIL!AZ46</f>
        <v>348</v>
      </c>
      <c r="L46" s="32"/>
      <c r="M46" s="32"/>
      <c r="N46" s="336"/>
      <c r="O46" s="32"/>
      <c r="P46" s="31"/>
      <c r="Q46" s="31"/>
      <c r="R46" s="31"/>
      <c r="S46" s="34">
        <v>348</v>
      </c>
      <c r="T46" s="35"/>
      <c r="U46" s="35"/>
      <c r="V46" s="35"/>
      <c r="W46" s="35"/>
      <c r="X46" s="35"/>
      <c r="Y46" s="35"/>
      <c r="Z46" s="35"/>
      <c r="AA46" s="35"/>
      <c r="AB46" s="35"/>
      <c r="AC46" s="35"/>
      <c r="AD46" s="35"/>
      <c r="AE46" s="35"/>
      <c r="AF46" s="35"/>
      <c r="AG46" s="35"/>
      <c r="AH46" s="35"/>
      <c r="AI46" s="35"/>
      <c r="AJ46" s="35"/>
      <c r="AK46" s="42"/>
      <c r="AL46" s="35"/>
      <c r="AM46" s="35"/>
      <c r="AN46" s="35"/>
      <c r="AO46" s="35"/>
      <c r="AP46" s="35"/>
      <c r="AQ46" s="35"/>
      <c r="AR46" s="35"/>
      <c r="AS46" s="35"/>
      <c r="AT46" s="35"/>
      <c r="AU46" s="35"/>
      <c r="AV46" s="35"/>
      <c r="AW46" s="35"/>
      <c r="AX46" s="35"/>
      <c r="AY46" s="35"/>
      <c r="AZ46" s="35"/>
      <c r="BA46" s="33">
        <f t="shared" si="0"/>
        <v>696</v>
      </c>
      <c r="BB46" s="43"/>
    </row>
    <row r="47" spans="1:54" s="23" customFormat="1" ht="57" customHeight="1" x14ac:dyDescent="0.3">
      <c r="A47" s="26">
        <v>30</v>
      </c>
      <c r="B47" s="27" t="s">
        <v>45</v>
      </c>
      <c r="C47" s="27" t="s">
        <v>46</v>
      </c>
      <c r="D47" s="300" t="s">
        <v>2968</v>
      </c>
      <c r="E47" s="92">
        <v>2</v>
      </c>
      <c r="F47" s="30" t="s">
        <v>30</v>
      </c>
      <c r="G47" s="112">
        <f>[1]DICIEMBRE!$BA$53</f>
        <v>0</v>
      </c>
      <c r="H47" s="31">
        <f>ENERO!BA48</f>
        <v>0</v>
      </c>
      <c r="I47" s="31">
        <f>FEBRERO!AX49</f>
        <v>0</v>
      </c>
      <c r="J47" s="32">
        <f>MARZO!BA48</f>
        <v>0</v>
      </c>
      <c r="K47" s="32">
        <f>ABRIL!AZ47</f>
        <v>0</v>
      </c>
      <c r="L47" s="336"/>
      <c r="M47" s="336"/>
      <c r="N47" s="32"/>
      <c r="O47" s="32"/>
      <c r="P47" s="33"/>
      <c r="Q47" s="31"/>
      <c r="R47" s="31"/>
      <c r="S47" s="34">
        <v>696</v>
      </c>
      <c r="T47" s="35"/>
      <c r="U47" s="35"/>
      <c r="V47" s="35"/>
      <c r="W47" s="35"/>
      <c r="X47" s="35"/>
      <c r="Y47" s="35"/>
      <c r="Z47" s="35"/>
      <c r="AA47" s="35"/>
      <c r="AB47" s="35"/>
      <c r="AC47" s="35"/>
      <c r="AD47" s="35"/>
      <c r="AE47" s="35"/>
      <c r="AF47" s="35"/>
      <c r="AG47" s="35"/>
      <c r="AH47" s="35"/>
      <c r="AI47" s="35"/>
      <c r="AJ47" s="35"/>
      <c r="AK47" s="42"/>
      <c r="AL47" s="35"/>
      <c r="AM47" s="35"/>
      <c r="AN47" s="35"/>
      <c r="AO47" s="35"/>
      <c r="AP47" s="35"/>
      <c r="AQ47" s="35"/>
      <c r="AR47" s="35"/>
      <c r="AS47" s="35"/>
      <c r="AT47" s="35"/>
      <c r="AU47" s="35"/>
      <c r="AV47" s="35"/>
      <c r="AW47" s="35"/>
      <c r="AX47" s="35"/>
      <c r="AY47" s="35"/>
      <c r="AZ47" s="35"/>
      <c r="BA47" s="33">
        <f t="shared" si="0"/>
        <v>696</v>
      </c>
      <c r="BB47" s="43"/>
    </row>
    <row r="48" spans="1:54" s="23" customFormat="1" ht="65.25" customHeight="1" x14ac:dyDescent="0.3">
      <c r="A48" s="26">
        <v>31</v>
      </c>
      <c r="B48" s="43" t="s">
        <v>1458</v>
      </c>
      <c r="C48" s="27"/>
      <c r="D48" s="300" t="s">
        <v>2969</v>
      </c>
      <c r="E48" s="92">
        <v>3</v>
      </c>
      <c r="F48" s="30" t="s">
        <v>30</v>
      </c>
      <c r="G48" s="234">
        <f>[1]DICIEMBRE!$BA$54</f>
        <v>0</v>
      </c>
      <c r="H48" s="45">
        <f>ENERO!BA49</f>
        <v>0</v>
      </c>
      <c r="I48" s="31">
        <f>FEBRERO!AX50</f>
        <v>0</v>
      </c>
      <c r="J48" s="32">
        <f>MARZO!BA49</f>
        <v>0</v>
      </c>
      <c r="K48" s="33">
        <f>ABRIL!AZ48</f>
        <v>0</v>
      </c>
      <c r="L48" s="336"/>
      <c r="M48" s="336"/>
      <c r="N48" s="32"/>
      <c r="O48" s="32"/>
      <c r="P48" s="33"/>
      <c r="Q48" s="31"/>
      <c r="R48" s="31"/>
      <c r="S48" s="34">
        <f>(300*0.16+300)*E48</f>
        <v>1044</v>
      </c>
      <c r="T48" s="35"/>
      <c r="U48" s="35"/>
      <c r="V48" s="35"/>
      <c r="W48" s="35"/>
      <c r="X48" s="35"/>
      <c r="Y48" s="35"/>
      <c r="Z48" s="35"/>
      <c r="AA48" s="35"/>
      <c r="AB48" s="35"/>
      <c r="AC48" s="35"/>
      <c r="AD48" s="35"/>
      <c r="AE48" s="35"/>
      <c r="AF48" s="35"/>
      <c r="AG48" s="35"/>
      <c r="AH48" s="35"/>
      <c r="AI48" s="35"/>
      <c r="AJ48" s="35"/>
      <c r="AK48" s="42"/>
      <c r="AL48" s="35"/>
      <c r="AM48" s="35"/>
      <c r="AN48" s="35"/>
      <c r="AO48" s="35"/>
      <c r="AP48" s="35"/>
      <c r="AQ48" s="35"/>
      <c r="AR48" s="35"/>
      <c r="AS48" s="35"/>
      <c r="AT48" s="35"/>
      <c r="AU48" s="35"/>
      <c r="AV48" s="35"/>
      <c r="AW48" s="35"/>
      <c r="AX48" s="35"/>
      <c r="AY48" s="35"/>
      <c r="AZ48" s="35"/>
      <c r="BA48" s="33">
        <f t="shared" si="0"/>
        <v>1044</v>
      </c>
      <c r="BB48" s="43"/>
    </row>
    <row r="49" spans="1:54" s="23" customFormat="1" ht="71.25" customHeight="1" x14ac:dyDescent="0.3">
      <c r="A49" s="26">
        <v>32</v>
      </c>
      <c r="B49" s="27" t="s">
        <v>40</v>
      </c>
      <c r="C49" s="28" t="s">
        <v>41</v>
      </c>
      <c r="D49" s="300" t="s">
        <v>2970</v>
      </c>
      <c r="E49" s="92">
        <v>3</v>
      </c>
      <c r="F49" s="30" t="s">
        <v>30</v>
      </c>
      <c r="G49" s="112">
        <f>[1]DICIEMBRE!$BA$49</f>
        <v>0</v>
      </c>
      <c r="H49" s="31">
        <f>ENERO!BA50</f>
        <v>0</v>
      </c>
      <c r="I49" s="45">
        <f>FEBRERO!AX51</f>
        <v>0</v>
      </c>
      <c r="J49" s="32">
        <f>MARZO!BA50</f>
        <v>0</v>
      </c>
      <c r="K49" s="33">
        <f>ABRIL!AZ49</f>
        <v>0</v>
      </c>
      <c r="L49" s="32"/>
      <c r="M49" s="32"/>
      <c r="N49" s="336"/>
      <c r="O49" s="32"/>
      <c r="P49" s="33"/>
      <c r="Q49" s="31"/>
      <c r="R49" s="31"/>
      <c r="S49" s="34">
        <f>(300*0.16+300)*E49</f>
        <v>1044</v>
      </c>
      <c r="T49" s="34"/>
      <c r="U49" s="34"/>
      <c r="V49" s="34"/>
      <c r="W49" s="34"/>
      <c r="X49" s="34"/>
      <c r="Y49" s="34"/>
      <c r="Z49" s="52"/>
      <c r="AA49" s="34"/>
      <c r="AB49" s="34"/>
      <c r="AC49" s="34"/>
      <c r="AD49" s="34"/>
      <c r="AE49" s="34"/>
      <c r="AF49" s="34"/>
      <c r="AG49" s="34"/>
      <c r="AH49" s="34"/>
      <c r="AI49" s="34"/>
      <c r="AJ49" s="34"/>
      <c r="AK49" s="38"/>
      <c r="AL49" s="34"/>
      <c r="AM49" s="34"/>
      <c r="AN49" s="34"/>
      <c r="AO49" s="34"/>
      <c r="AP49" s="34"/>
      <c r="AQ49" s="34"/>
      <c r="AR49" s="34"/>
      <c r="AS49" s="34"/>
      <c r="AT49" s="34"/>
      <c r="AU49" s="34"/>
      <c r="AV49" s="34"/>
      <c r="AW49" s="34"/>
      <c r="AX49" s="34"/>
      <c r="AY49" s="34"/>
      <c r="AZ49" s="34"/>
      <c r="BA49" s="33">
        <f t="shared" si="0"/>
        <v>1044</v>
      </c>
      <c r="BB49" s="43"/>
    </row>
    <row r="50" spans="1:54" s="23" customFormat="1" ht="71.25" customHeight="1" x14ac:dyDescent="0.3">
      <c r="A50" s="26">
        <v>33</v>
      </c>
      <c r="B50" s="43" t="s">
        <v>2458</v>
      </c>
      <c r="C50" s="28"/>
      <c r="D50" s="300" t="s">
        <v>2457</v>
      </c>
      <c r="E50" s="93">
        <v>1</v>
      </c>
      <c r="F50" s="40" t="s">
        <v>30</v>
      </c>
      <c r="G50" s="112"/>
      <c r="H50" s="31"/>
      <c r="I50" s="45"/>
      <c r="J50" s="32">
        <f>MARZO!BA51</f>
        <v>0</v>
      </c>
      <c r="K50" s="32">
        <f>ABRIL!AZ50</f>
        <v>0</v>
      </c>
      <c r="L50" s="32"/>
      <c r="M50" s="32"/>
      <c r="N50" s="336"/>
      <c r="O50" s="32"/>
      <c r="P50" s="33"/>
      <c r="Q50" s="31"/>
      <c r="R50" s="31"/>
      <c r="S50" s="34">
        <f>(250*0.16+250)*E50</f>
        <v>290</v>
      </c>
      <c r="T50" s="34"/>
      <c r="U50" s="34"/>
      <c r="V50" s="34"/>
      <c r="W50" s="34"/>
      <c r="X50" s="34"/>
      <c r="Y50" s="34"/>
      <c r="Z50" s="52"/>
      <c r="AA50" s="34"/>
      <c r="AB50" s="34"/>
      <c r="AC50" s="34"/>
      <c r="AD50" s="34"/>
      <c r="AE50" s="34"/>
      <c r="AF50" s="34"/>
      <c r="AG50" s="34"/>
      <c r="AH50" s="34"/>
      <c r="AI50" s="34"/>
      <c r="AJ50" s="34"/>
      <c r="AK50" s="38"/>
      <c r="AL50" s="34"/>
      <c r="AM50" s="34"/>
      <c r="AN50" s="34"/>
      <c r="AO50" s="34"/>
      <c r="AP50" s="34"/>
      <c r="AQ50" s="34"/>
      <c r="AR50" s="34"/>
      <c r="AS50" s="34"/>
      <c r="AT50" s="34"/>
      <c r="AU50" s="34"/>
      <c r="AV50" s="34"/>
      <c r="AW50" s="34"/>
      <c r="AX50" s="34"/>
      <c r="AY50" s="34"/>
      <c r="AZ50" s="34"/>
      <c r="BA50" s="33">
        <f t="shared" si="0"/>
        <v>290</v>
      </c>
      <c r="BB50" s="43"/>
    </row>
    <row r="51" spans="1:54" s="23" customFormat="1" ht="78" customHeight="1" x14ac:dyDescent="0.3">
      <c r="A51" s="26">
        <v>34</v>
      </c>
      <c r="B51" s="43" t="s">
        <v>780</v>
      </c>
      <c r="C51" s="27"/>
      <c r="D51" s="300" t="s">
        <v>2971</v>
      </c>
      <c r="E51" s="92">
        <v>4</v>
      </c>
      <c r="F51" s="30" t="s">
        <v>30</v>
      </c>
      <c r="G51" s="234">
        <f>[1]DICIEMBRE!$BA$56</f>
        <v>0</v>
      </c>
      <c r="H51" s="31">
        <f>ENERO!BA51</f>
        <v>0</v>
      </c>
      <c r="I51" s="31">
        <f>FEBRERO!AX52</f>
        <v>0</v>
      </c>
      <c r="J51" s="32">
        <f>MARZO!BA52</f>
        <v>0</v>
      </c>
      <c r="K51" s="33">
        <f>ABRIL!AZ51</f>
        <v>0</v>
      </c>
      <c r="L51" s="32"/>
      <c r="M51" s="32"/>
      <c r="N51" s="336"/>
      <c r="O51" s="32"/>
      <c r="P51" s="33"/>
      <c r="Q51" s="31"/>
      <c r="R51" s="31"/>
      <c r="S51" s="34">
        <f>(300*0.16+300)*E51</f>
        <v>1392</v>
      </c>
      <c r="T51" s="35"/>
      <c r="U51" s="35"/>
      <c r="V51" s="35"/>
      <c r="W51" s="35"/>
      <c r="X51" s="35"/>
      <c r="Y51" s="35"/>
      <c r="Z51" s="35"/>
      <c r="AA51" s="35"/>
      <c r="AB51" s="35"/>
      <c r="AC51" s="35"/>
      <c r="AD51" s="35"/>
      <c r="AE51" s="35"/>
      <c r="AF51" s="35"/>
      <c r="AG51" s="35"/>
      <c r="AH51" s="35"/>
      <c r="AI51" s="35"/>
      <c r="AJ51" s="35"/>
      <c r="AK51" s="42"/>
      <c r="AL51" s="35"/>
      <c r="AM51" s="35"/>
      <c r="AN51" s="35"/>
      <c r="AO51" s="35"/>
      <c r="AP51" s="35"/>
      <c r="AQ51" s="35"/>
      <c r="AR51" s="35"/>
      <c r="AS51" s="35"/>
      <c r="AT51" s="35"/>
      <c r="AU51" s="35"/>
      <c r="AV51" s="35"/>
      <c r="AW51" s="35"/>
      <c r="AX51" s="35"/>
      <c r="AY51" s="35"/>
      <c r="AZ51" s="35"/>
      <c r="BA51" s="33">
        <f t="shared" si="0"/>
        <v>1392</v>
      </c>
      <c r="BB51" s="43"/>
    </row>
    <row r="52" spans="1:54" s="23" customFormat="1" ht="54.75" customHeight="1" x14ac:dyDescent="0.3">
      <c r="A52" s="26">
        <v>35</v>
      </c>
      <c r="B52" s="43" t="s">
        <v>1731</v>
      </c>
      <c r="C52" s="28" t="s">
        <v>558</v>
      </c>
      <c r="D52" s="300" t="s">
        <v>2972</v>
      </c>
      <c r="E52" s="92">
        <v>3</v>
      </c>
      <c r="F52" s="30" t="s">
        <v>30</v>
      </c>
      <c r="G52" s="112">
        <f>[1]DICIEMBRE!$BA$39</f>
        <v>9.0949470177292824E-13</v>
      </c>
      <c r="H52" s="45">
        <f>ENERO!BA52</f>
        <v>9.0949470177292824E-13</v>
      </c>
      <c r="I52" s="31">
        <f>FEBRERO!AX53</f>
        <v>9.0949470177292824E-13</v>
      </c>
      <c r="J52" s="32">
        <f>MARZO!BA53</f>
        <v>9.0949470177292824E-13</v>
      </c>
      <c r="K52" s="33">
        <f>ABRIL!AZ52</f>
        <v>9.0949470177292824E-13</v>
      </c>
      <c r="L52" s="32"/>
      <c r="M52" s="32"/>
      <c r="N52" s="336"/>
      <c r="O52" s="32"/>
      <c r="P52" s="33"/>
      <c r="Q52" s="31"/>
      <c r="R52" s="31"/>
      <c r="S52" s="34">
        <f>(250*0.16+250)*E52</f>
        <v>870</v>
      </c>
      <c r="T52" s="34"/>
      <c r="U52" s="34"/>
      <c r="V52" s="34"/>
      <c r="W52" s="34"/>
      <c r="X52" s="34"/>
      <c r="Y52" s="34"/>
      <c r="Z52" s="52"/>
      <c r="AA52" s="34"/>
      <c r="AB52" s="34"/>
      <c r="AC52" s="34"/>
      <c r="AD52" s="34"/>
      <c r="AE52" s="34"/>
      <c r="AF52" s="34"/>
      <c r="AG52" s="34"/>
      <c r="AH52" s="34"/>
      <c r="AI52" s="34"/>
      <c r="AJ52" s="34"/>
      <c r="AK52" s="38"/>
      <c r="AL52" s="34"/>
      <c r="AM52" s="34"/>
      <c r="AN52" s="34"/>
      <c r="AO52" s="34"/>
      <c r="AP52" s="34"/>
      <c r="AQ52" s="34"/>
      <c r="AR52" s="34"/>
      <c r="AS52" s="34"/>
      <c r="AT52" s="34"/>
      <c r="AU52" s="34"/>
      <c r="AV52" s="34"/>
      <c r="AW52" s="34"/>
      <c r="AX52" s="34"/>
      <c r="AY52" s="34"/>
      <c r="AZ52" s="34"/>
      <c r="BA52" s="33">
        <f t="shared" si="0"/>
        <v>870.00000000000091</v>
      </c>
      <c r="BB52" s="43"/>
    </row>
    <row r="53" spans="1:54" s="23" customFormat="1" ht="42.75" customHeight="1" x14ac:dyDescent="0.3">
      <c r="A53" s="26">
        <v>36</v>
      </c>
      <c r="B53" s="43" t="s">
        <v>1733</v>
      </c>
      <c r="C53" s="28" t="s">
        <v>559</v>
      </c>
      <c r="D53" s="300" t="s">
        <v>2973</v>
      </c>
      <c r="E53" s="92">
        <v>1</v>
      </c>
      <c r="F53" s="30" t="s">
        <v>30</v>
      </c>
      <c r="G53" s="112">
        <f>[1]DICIEMBRE!$BA$67</f>
        <v>0</v>
      </c>
      <c r="H53" s="31">
        <f>ENERO!BA53</f>
        <v>0</v>
      </c>
      <c r="I53" s="31">
        <f>FEBRERO!AX54</f>
        <v>0</v>
      </c>
      <c r="J53" s="32">
        <f>MARZO!BA54</f>
        <v>0</v>
      </c>
      <c r="K53" s="32">
        <f>ABRIL!AZ53</f>
        <v>0</v>
      </c>
      <c r="L53" s="32"/>
      <c r="M53" s="336"/>
      <c r="N53" s="32"/>
      <c r="O53" s="32"/>
      <c r="P53" s="31"/>
      <c r="Q53" s="31"/>
      <c r="R53" s="31"/>
      <c r="S53" s="34">
        <f>(300*0.16+300)*E53</f>
        <v>348</v>
      </c>
      <c r="T53" s="34"/>
      <c r="U53" s="34"/>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3">
        <f t="shared" si="0"/>
        <v>348</v>
      </c>
      <c r="BB53" s="43"/>
    </row>
    <row r="54" spans="1:54" s="23" customFormat="1" ht="67.5" customHeight="1" x14ac:dyDescent="0.3">
      <c r="A54" s="26">
        <v>37</v>
      </c>
      <c r="B54" s="43" t="s">
        <v>1734</v>
      </c>
      <c r="C54" s="28" t="s">
        <v>246</v>
      </c>
      <c r="D54" s="300" t="s">
        <v>2974</v>
      </c>
      <c r="E54" s="92">
        <v>4</v>
      </c>
      <c r="F54" s="30" t="s">
        <v>30</v>
      </c>
      <c r="G54" s="234">
        <f>[1]DICIEMBRE!$BA$26</f>
        <v>3.2000000055631972E-3</v>
      </c>
      <c r="H54" s="31">
        <f>ENERO!BA54</f>
        <v>3.2000000057905709E-3</v>
      </c>
      <c r="I54" s="45">
        <f>FEBRERO!AX55</f>
        <v>3.2000000060179445E-3</v>
      </c>
      <c r="J54" s="32">
        <f>MARZO!BA55</f>
        <v>3.2000000062453182E-3</v>
      </c>
      <c r="K54" s="33">
        <f>ABRIL!AZ54</f>
        <v>3.2000000064726919E-3</v>
      </c>
      <c r="L54" s="32"/>
      <c r="M54" s="32"/>
      <c r="N54" s="32"/>
      <c r="O54" s="32"/>
      <c r="P54" s="33"/>
      <c r="Q54" s="31"/>
      <c r="R54" s="31"/>
      <c r="S54" s="38">
        <f>(349*0.16+349)*E54</f>
        <v>1619.3600000000001</v>
      </c>
      <c r="T54" s="39"/>
      <c r="U54" s="39"/>
      <c r="V54" s="37"/>
      <c r="W54" s="37"/>
      <c r="X54" s="37"/>
      <c r="Y54" s="37"/>
      <c r="Z54" s="37"/>
      <c r="AA54" s="37"/>
      <c r="AB54" s="37"/>
      <c r="AC54" s="37"/>
      <c r="AD54" s="37"/>
      <c r="AE54" s="37"/>
      <c r="AF54" s="37"/>
      <c r="AG54" s="37"/>
      <c r="AH54" s="37"/>
      <c r="AI54" s="37"/>
      <c r="AJ54" s="37"/>
      <c r="AK54" s="35"/>
      <c r="AL54" s="37"/>
      <c r="AM54" s="37"/>
      <c r="AN54" s="37"/>
      <c r="AO54" s="37"/>
      <c r="AP54" s="37"/>
      <c r="AQ54" s="37"/>
      <c r="AR54" s="37"/>
      <c r="AS54" s="37"/>
      <c r="AT54" s="37"/>
      <c r="AU54" s="37"/>
      <c r="AV54" s="37"/>
      <c r="AW54" s="37"/>
      <c r="AX54" s="37"/>
      <c r="AY54" s="37"/>
      <c r="AZ54" s="37"/>
      <c r="BA54" s="33">
        <f t="shared" si="0"/>
        <v>1619.3632000000066</v>
      </c>
      <c r="BB54" s="43"/>
    </row>
    <row r="55" spans="1:54" s="23" customFormat="1" ht="59.25" customHeight="1" x14ac:dyDescent="0.3">
      <c r="A55" s="26">
        <v>38</v>
      </c>
      <c r="B55" s="43" t="s">
        <v>1415</v>
      </c>
      <c r="C55" s="27"/>
      <c r="D55" s="419" t="s">
        <v>2975</v>
      </c>
      <c r="E55" s="92">
        <v>14</v>
      </c>
      <c r="F55" s="30" t="s">
        <v>30</v>
      </c>
      <c r="G55" s="234">
        <f>[1]DICIEMBRE!$BA$58</f>
        <v>1525.006400000002</v>
      </c>
      <c r="H55" s="45">
        <f>ENERO!BA55</f>
        <v>-3.5999999979594577E-3</v>
      </c>
      <c r="I55" s="31">
        <f>FEBRERO!AX56</f>
        <v>-3.5999999981868314E-3</v>
      </c>
      <c r="J55" s="32">
        <f>MARZO!BA56</f>
        <v>-3.5999999981868314E-3</v>
      </c>
      <c r="K55" s="33">
        <f>ABRIL!AZ55</f>
        <v>-3.5999999981868314E-3</v>
      </c>
      <c r="L55" s="32"/>
      <c r="M55" s="32"/>
      <c r="N55" s="336"/>
      <c r="O55" s="32"/>
      <c r="P55" s="33"/>
      <c r="Q55" s="31"/>
      <c r="R55" s="31"/>
      <c r="S55" s="34">
        <f>(250*0.16+250)*E55</f>
        <v>4060</v>
      </c>
      <c r="T55" s="35"/>
      <c r="U55" s="35"/>
      <c r="V55" s="35"/>
      <c r="W55" s="35"/>
      <c r="X55" s="35"/>
      <c r="Y55" s="35"/>
      <c r="Z55" s="35"/>
      <c r="AA55" s="35"/>
      <c r="AB55" s="35"/>
      <c r="AC55" s="35"/>
      <c r="AD55" s="35"/>
      <c r="AE55" s="35"/>
      <c r="AF55" s="35"/>
      <c r="AG55" s="35"/>
      <c r="AH55" s="35"/>
      <c r="AI55" s="35"/>
      <c r="AJ55" s="35"/>
      <c r="AK55" s="42"/>
      <c r="AL55" s="35"/>
      <c r="AM55" s="35"/>
      <c r="AN55" s="35"/>
      <c r="AO55" s="35"/>
      <c r="AP55" s="35"/>
      <c r="AQ55" s="35"/>
      <c r="AR55" s="35"/>
      <c r="AS55" s="35"/>
      <c r="AT55" s="35"/>
      <c r="AU55" s="35"/>
      <c r="AV55" s="35"/>
      <c r="AW55" s="35"/>
      <c r="AX55" s="35"/>
      <c r="AY55" s="35"/>
      <c r="AZ55" s="35"/>
      <c r="BA55" s="33">
        <f t="shared" si="0"/>
        <v>4059.9964000000018</v>
      </c>
      <c r="BB55" s="43"/>
    </row>
    <row r="56" spans="1:54" s="23" customFormat="1" ht="68.25" customHeight="1" x14ac:dyDescent="0.3">
      <c r="A56" s="26">
        <v>39</v>
      </c>
      <c r="B56" s="27" t="s">
        <v>1735</v>
      </c>
      <c r="C56" s="28" t="s">
        <v>123</v>
      </c>
      <c r="D56" s="300" t="s">
        <v>2976</v>
      </c>
      <c r="E56" s="94">
        <v>8</v>
      </c>
      <c r="F56" s="44" t="s">
        <v>30</v>
      </c>
      <c r="G56" s="112">
        <f>[1]DICIEMBRE!$BA$85</f>
        <v>4.7999999987951014E-3</v>
      </c>
      <c r="H56" s="31">
        <f>ENERO!BA56</f>
        <v>4.7999999987951014E-3</v>
      </c>
      <c r="I56" s="31">
        <f>FEBRERO!AX57</f>
        <v>4.7999999983403541E-3</v>
      </c>
      <c r="J56" s="32">
        <f>MARZO!BA57</f>
        <v>4.799999996976112E-3</v>
      </c>
      <c r="K56" s="32">
        <f>ABRIL!AZ56</f>
        <v>4.799999996976112E-3</v>
      </c>
      <c r="L56" s="32"/>
      <c r="M56" s="32"/>
      <c r="N56" s="336"/>
      <c r="O56" s="32"/>
      <c r="P56" s="33"/>
      <c r="Q56" s="31"/>
      <c r="R56" s="31"/>
      <c r="S56" s="47">
        <f>(220*0.16+220)*E56</f>
        <v>2041.6</v>
      </c>
      <c r="T56" s="75"/>
      <c r="U56" s="78"/>
      <c r="V56" s="35"/>
      <c r="W56" s="35"/>
      <c r="X56" s="35"/>
      <c r="Y56" s="35"/>
      <c r="Z56" s="36"/>
      <c r="AA56" s="35"/>
      <c r="AB56" s="35"/>
      <c r="AC56" s="54"/>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3">
        <f t="shared" si="0"/>
        <v>2041.6047999999969</v>
      </c>
      <c r="BB56" s="43"/>
    </row>
    <row r="57" spans="1:54" s="23" customFormat="1" ht="54.75" customHeight="1" x14ac:dyDescent="0.3">
      <c r="A57" s="26">
        <v>40</v>
      </c>
      <c r="B57" s="27" t="s">
        <v>48</v>
      </c>
      <c r="C57" s="28" t="s">
        <v>49</v>
      </c>
      <c r="D57" s="300" t="s">
        <v>2977</v>
      </c>
      <c r="E57" s="92">
        <v>4</v>
      </c>
      <c r="F57" s="30" t="s">
        <v>30</v>
      </c>
      <c r="G57" s="234">
        <f>[1]DICIEMBRE!$BA$60</f>
        <v>-4.7999999997045961E-3</v>
      </c>
      <c r="H57" s="31">
        <f>ENERO!BA57</f>
        <v>-4.7999999997045961E-3</v>
      </c>
      <c r="I57" s="31">
        <f>FEBRERO!AX58</f>
        <v>-4.7999999997045961E-3</v>
      </c>
      <c r="J57" s="32">
        <f>MARZO!BA58</f>
        <v>-4.7999999997045961E-3</v>
      </c>
      <c r="K57" s="33">
        <f>ABRIL!AZ57</f>
        <v>-4.7999999997045961E-3</v>
      </c>
      <c r="L57" s="32"/>
      <c r="M57" s="32"/>
      <c r="N57" s="32"/>
      <c r="O57" s="33"/>
      <c r="P57" s="33"/>
      <c r="Q57" s="31"/>
      <c r="R57" s="31"/>
      <c r="S57" s="34">
        <f>(330*0.16+330)*E57</f>
        <v>1531.2</v>
      </c>
      <c r="T57" s="34"/>
      <c r="U57" s="34"/>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3">
        <f t="shared" si="0"/>
        <v>1531.1952000000003</v>
      </c>
      <c r="BB57" s="43"/>
    </row>
    <row r="58" spans="1:54" s="23" customFormat="1" ht="54.75" customHeight="1" x14ac:dyDescent="0.3">
      <c r="A58" s="26">
        <v>41</v>
      </c>
      <c r="B58" s="43" t="s">
        <v>2443</v>
      </c>
      <c r="C58" s="28"/>
      <c r="D58" s="300" t="s">
        <v>2445</v>
      </c>
      <c r="E58" s="92">
        <v>1</v>
      </c>
      <c r="F58" s="30" t="s">
        <v>30</v>
      </c>
      <c r="G58" s="234"/>
      <c r="H58" s="31"/>
      <c r="I58" s="31"/>
      <c r="J58" s="32">
        <f>MARZO!BA59</f>
        <v>0</v>
      </c>
      <c r="K58" s="33">
        <f>ABRIL!AZ58</f>
        <v>2.2737367544323206E-13</v>
      </c>
      <c r="L58" s="32"/>
      <c r="M58" s="32"/>
      <c r="N58" s="32"/>
      <c r="O58" s="33"/>
      <c r="P58" s="33"/>
      <c r="Q58" s="31"/>
      <c r="R58" s="31"/>
      <c r="S58" s="34">
        <f>(799*0.16+799)*E58</f>
        <v>926.84</v>
      </c>
      <c r="T58" s="34"/>
      <c r="U58" s="34"/>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3">
        <f t="shared" si="0"/>
        <v>926.84000000000026</v>
      </c>
      <c r="BB58" s="43" t="s">
        <v>2895</v>
      </c>
    </row>
    <row r="59" spans="1:54" s="23" customFormat="1" ht="66.75" customHeight="1" x14ac:dyDescent="0.3">
      <c r="A59" s="26">
        <v>42</v>
      </c>
      <c r="B59" s="43" t="s">
        <v>1736</v>
      </c>
      <c r="C59" s="28"/>
      <c r="D59" s="303" t="s">
        <v>1031</v>
      </c>
      <c r="E59" s="92">
        <v>1</v>
      </c>
      <c r="F59" s="40" t="s">
        <v>30</v>
      </c>
      <c r="G59" s="234">
        <f>[1]DICIEMBRE!$BA$100</f>
        <v>0</v>
      </c>
      <c r="H59" s="45">
        <f>ENERO!BA58</f>
        <v>0</v>
      </c>
      <c r="I59" s="45">
        <f>FEBRERO!AX59</f>
        <v>0</v>
      </c>
      <c r="J59" s="32">
        <f>MARZO!BA60</f>
        <v>0</v>
      </c>
      <c r="K59" s="32">
        <f>ABRIL!AZ59</f>
        <v>348</v>
      </c>
      <c r="L59" s="32"/>
      <c r="M59" s="32"/>
      <c r="N59" s="32"/>
      <c r="O59" s="32"/>
      <c r="P59" s="31"/>
      <c r="Q59" s="31"/>
      <c r="R59" s="31"/>
      <c r="S59" s="34">
        <f>300*0.16+300</f>
        <v>348</v>
      </c>
      <c r="T59" s="34"/>
      <c r="U59" s="34"/>
      <c r="V59" s="35"/>
      <c r="W59" s="54"/>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3">
        <f t="shared" si="0"/>
        <v>696</v>
      </c>
      <c r="BB59" s="267"/>
    </row>
    <row r="60" spans="1:54" ht="43.5" customHeight="1" x14ac:dyDescent="0.35">
      <c r="A60" s="26">
        <v>43</v>
      </c>
      <c r="B60" s="43" t="s">
        <v>1737</v>
      </c>
      <c r="C60" s="53" t="s">
        <v>128</v>
      </c>
      <c r="D60" s="300" t="s">
        <v>2978</v>
      </c>
      <c r="E60" s="94">
        <v>4</v>
      </c>
      <c r="F60" s="44" t="s">
        <v>30</v>
      </c>
      <c r="G60" s="234">
        <f>[1]DICIEMBRE!$BA$98</f>
        <v>-6</v>
      </c>
      <c r="H60" s="31">
        <f>ENERO!BA59</f>
        <v>-6</v>
      </c>
      <c r="I60" s="31">
        <f>FEBRERO!AX60</f>
        <v>0</v>
      </c>
      <c r="J60" s="32">
        <f>MARZO!BA61</f>
        <v>0</v>
      </c>
      <c r="K60" s="33">
        <f>ABRIL!AZ60</f>
        <v>0</v>
      </c>
      <c r="L60" s="336"/>
      <c r="M60" s="32"/>
      <c r="N60" s="336"/>
      <c r="O60" s="32"/>
      <c r="P60" s="31"/>
      <c r="Q60" s="31"/>
      <c r="R60" s="31"/>
      <c r="S60" s="47">
        <f>(300*0.16+300)*E60</f>
        <v>1392</v>
      </c>
      <c r="T60" s="47"/>
      <c r="U60" s="48"/>
      <c r="V60" s="49"/>
      <c r="W60" s="49"/>
      <c r="X60" s="49"/>
      <c r="Y60" s="49"/>
      <c r="Z60" s="49"/>
      <c r="AA60" s="49"/>
      <c r="AB60" s="49"/>
      <c r="AC60" s="69"/>
      <c r="AD60" s="49"/>
      <c r="AE60" s="50"/>
      <c r="AF60" s="49"/>
      <c r="AG60" s="49"/>
      <c r="AH60" s="49"/>
      <c r="AI60" s="49"/>
      <c r="AJ60" s="49"/>
      <c r="AK60" s="49"/>
      <c r="AL60" s="49"/>
      <c r="AM60" s="49"/>
      <c r="AN60" s="49"/>
      <c r="AO60" s="49"/>
      <c r="AP60" s="49"/>
      <c r="AQ60" s="49"/>
      <c r="AR60" s="49"/>
      <c r="AS60" s="49"/>
      <c r="AT60" s="49"/>
      <c r="AU60" s="49"/>
      <c r="AV60" s="49"/>
      <c r="AW60" s="49"/>
      <c r="AX60" s="49"/>
      <c r="AY60" s="49"/>
      <c r="AZ60" s="49"/>
      <c r="BA60" s="33">
        <f t="shared" si="0"/>
        <v>1392</v>
      </c>
      <c r="BB60" s="43"/>
    </row>
    <row r="61" spans="1:54" s="23" customFormat="1" ht="46.5" customHeight="1" x14ac:dyDescent="0.3">
      <c r="A61" s="26">
        <v>44</v>
      </c>
      <c r="B61" s="43" t="s">
        <v>1306</v>
      </c>
      <c r="C61" s="28"/>
      <c r="D61" s="300" t="s">
        <v>2979</v>
      </c>
      <c r="E61" s="92">
        <v>2</v>
      </c>
      <c r="F61" s="30" t="s">
        <v>30</v>
      </c>
      <c r="G61" s="112">
        <f>[1]DICIEMBRE!$BA$63</f>
        <v>2.2737367544323206E-13</v>
      </c>
      <c r="H61" s="31">
        <f>ENERO!BA60</f>
        <v>2.2737367544323206E-13</v>
      </c>
      <c r="I61" s="31">
        <f>FEBRERO!AX61</f>
        <v>2.2737367544323206E-13</v>
      </c>
      <c r="J61" s="32">
        <f>MARZO!BA62</f>
        <v>2.2737367544323206E-13</v>
      </c>
      <c r="K61" s="33">
        <f>ABRIL!AZ61</f>
        <v>2.2737367544323206E-13</v>
      </c>
      <c r="L61" s="32"/>
      <c r="M61" s="336"/>
      <c r="N61" s="32"/>
      <c r="O61" s="32"/>
      <c r="P61" s="33"/>
      <c r="Q61" s="31"/>
      <c r="R61" s="31"/>
      <c r="S61" s="34">
        <f>(330*0.16+330)*E61</f>
        <v>765.6</v>
      </c>
      <c r="T61" s="34"/>
      <c r="U61" s="34"/>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3">
        <f t="shared" si="0"/>
        <v>765.60000000000025</v>
      </c>
      <c r="BB61" s="43"/>
    </row>
    <row r="62" spans="1:54" s="23" customFormat="1" ht="69" customHeight="1" x14ac:dyDescent="0.3">
      <c r="A62" s="26">
        <v>45</v>
      </c>
      <c r="B62" s="43" t="s">
        <v>1739</v>
      </c>
      <c r="C62" s="28" t="s">
        <v>61</v>
      </c>
      <c r="D62" s="302" t="s">
        <v>2980</v>
      </c>
      <c r="E62" s="92">
        <v>14</v>
      </c>
      <c r="F62" s="40" t="s">
        <v>30</v>
      </c>
      <c r="G62" s="112">
        <f>[1]DICIEMBRE!$BA$99</f>
        <v>4.0000000171858119E-3</v>
      </c>
      <c r="H62" s="45">
        <f>ENERO!BA61</f>
        <v>4693.3640000000178</v>
      </c>
      <c r="I62" s="31">
        <f>FEBRERO!AX62</f>
        <v>4.0000000190048013E-3</v>
      </c>
      <c r="J62" s="32">
        <f>MARZO!BA63</f>
        <v>4693.3640000000196</v>
      </c>
      <c r="K62" s="32">
        <f>ABRIL!AZ62</f>
        <v>4.0000000208237907E-3</v>
      </c>
      <c r="L62" s="32"/>
      <c r="M62" s="336"/>
      <c r="N62" s="32"/>
      <c r="O62" s="33"/>
      <c r="P62" s="33"/>
      <c r="Q62" s="31"/>
      <c r="R62" s="31"/>
      <c r="S62" s="34">
        <f>(289*0.16+289)*E62</f>
        <v>4693.3600000000006</v>
      </c>
      <c r="T62" s="34"/>
      <c r="U62" s="34"/>
      <c r="V62" s="35"/>
      <c r="W62" s="54"/>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3">
        <f t="shared" si="0"/>
        <v>4693.3640000000214</v>
      </c>
      <c r="BB62" s="267"/>
    </row>
    <row r="63" spans="1:54" s="23" customFormat="1" ht="51" customHeight="1" x14ac:dyDescent="0.3">
      <c r="A63" s="26">
        <v>46</v>
      </c>
      <c r="B63" s="43" t="s">
        <v>713</v>
      </c>
      <c r="C63" s="28"/>
      <c r="D63" s="300" t="s">
        <v>2981</v>
      </c>
      <c r="E63" s="92">
        <v>4</v>
      </c>
      <c r="F63" s="30" t="s">
        <v>30</v>
      </c>
      <c r="G63" s="112">
        <f>[1]DICIEMBRE!$BA$65</f>
        <v>-3.9999999989959178E-4</v>
      </c>
      <c r="H63" s="31">
        <f>ENERO!BA63</f>
        <v>-3.9999999989959178E-4</v>
      </c>
      <c r="I63" s="45">
        <f>FEBRERO!AX63</f>
        <v>-3.9999999989959178E-4</v>
      </c>
      <c r="J63" s="32">
        <f>MARZO!BA64</f>
        <v>-3.9999999989959178E-4</v>
      </c>
      <c r="K63" s="33">
        <f>ABRIL!AZ63</f>
        <v>-3.9999999989959178E-4</v>
      </c>
      <c r="L63" s="336"/>
      <c r="M63" s="32"/>
      <c r="N63" s="336"/>
      <c r="O63" s="32"/>
      <c r="P63" s="33"/>
      <c r="Q63" s="31"/>
      <c r="R63" s="31"/>
      <c r="S63" s="34">
        <f>(300*0.16+300)*E63</f>
        <v>1392</v>
      </c>
      <c r="T63" s="34"/>
      <c r="U63" s="34"/>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3">
        <f t="shared" si="0"/>
        <v>1391.9996000000001</v>
      </c>
      <c r="BB63" s="43"/>
    </row>
    <row r="64" spans="1:54" s="23" customFormat="1" ht="42" customHeight="1" x14ac:dyDescent="0.3">
      <c r="A64" s="26">
        <v>47</v>
      </c>
      <c r="B64" s="43" t="s">
        <v>1551</v>
      </c>
      <c r="C64" s="28"/>
      <c r="D64" s="300" t="s">
        <v>1552</v>
      </c>
      <c r="E64" s="92">
        <v>1</v>
      </c>
      <c r="F64" s="30" t="s">
        <v>30</v>
      </c>
      <c r="G64" s="234">
        <f>[1]DICIEMBRE!$BA$66</f>
        <v>0</v>
      </c>
      <c r="H64" s="45">
        <f>ENERO!BA64</f>
        <v>0</v>
      </c>
      <c r="I64" s="31">
        <f>FEBRERO!AX64</f>
        <v>0</v>
      </c>
      <c r="J64" s="32">
        <f>MARZO!BA65</f>
        <v>0</v>
      </c>
      <c r="K64" s="33">
        <f>ABRIL!AZ64</f>
        <v>0</v>
      </c>
      <c r="L64" s="336"/>
      <c r="M64" s="32"/>
      <c r="N64" s="336"/>
      <c r="O64" s="32"/>
      <c r="P64" s="33"/>
      <c r="Q64" s="31"/>
      <c r="R64" s="31"/>
      <c r="S64" s="34">
        <f>(200*0.16+200)*E64</f>
        <v>232</v>
      </c>
      <c r="T64" s="34"/>
      <c r="U64" s="34"/>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3">
        <f t="shared" si="0"/>
        <v>232</v>
      </c>
      <c r="BB64" s="43"/>
    </row>
    <row r="65" spans="1:54" s="23" customFormat="1" ht="50.25" customHeight="1" x14ac:dyDescent="0.3">
      <c r="A65" s="26">
        <v>48</v>
      </c>
      <c r="B65" s="43" t="s">
        <v>693</v>
      </c>
      <c r="C65" s="28"/>
      <c r="D65" s="300" t="s">
        <v>1662</v>
      </c>
      <c r="E65" s="92">
        <v>1</v>
      </c>
      <c r="F65" s="30" t="s">
        <v>30</v>
      </c>
      <c r="G65" s="234">
        <f>[1]DICIEMBRE!$BA$68</f>
        <v>0</v>
      </c>
      <c r="H65" s="31">
        <f>ENERO!BA65</f>
        <v>0</v>
      </c>
      <c r="I65" s="31">
        <f>FEBRERO!AX65</f>
        <v>0</v>
      </c>
      <c r="J65" s="32">
        <f>MARZO!BA66</f>
        <v>0</v>
      </c>
      <c r="K65" s="32">
        <f>ABRIL!AZ65</f>
        <v>0</v>
      </c>
      <c r="L65" s="32"/>
      <c r="M65" s="336"/>
      <c r="N65" s="32"/>
      <c r="O65" s="32"/>
      <c r="P65" s="31"/>
      <c r="Q65" s="31"/>
      <c r="R65" s="31"/>
      <c r="S65" s="34">
        <f>(300*0.16+300)*E65</f>
        <v>348</v>
      </c>
      <c r="T65" s="34"/>
      <c r="U65" s="34"/>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3">
        <f t="shared" si="0"/>
        <v>348</v>
      </c>
      <c r="BB65" s="43"/>
    </row>
    <row r="66" spans="1:54" s="23" customFormat="1" ht="65.25" customHeight="1" x14ac:dyDescent="0.3">
      <c r="A66" s="26">
        <v>49</v>
      </c>
      <c r="B66" s="43" t="s">
        <v>1621</v>
      </c>
      <c r="C66" s="28"/>
      <c r="D66" s="300" t="s">
        <v>1622</v>
      </c>
      <c r="E66" s="92">
        <v>1</v>
      </c>
      <c r="F66" s="30" t="s">
        <v>30</v>
      </c>
      <c r="G66" s="112">
        <f>[1]DICIEMBRE!$BA$69</f>
        <v>0</v>
      </c>
      <c r="H66" s="31">
        <f>ENERO!BA66</f>
        <v>0</v>
      </c>
      <c r="I66" s="31">
        <f>FEBRERO!AX66</f>
        <v>0</v>
      </c>
      <c r="J66" s="32">
        <f>MARZO!BA67</f>
        <v>0</v>
      </c>
      <c r="K66" s="33">
        <f>ABRIL!AZ66</f>
        <v>0</v>
      </c>
      <c r="L66" s="32"/>
      <c r="M66" s="336"/>
      <c r="N66" s="32"/>
      <c r="O66" s="32"/>
      <c r="P66" s="31"/>
      <c r="Q66" s="31"/>
      <c r="R66" s="31"/>
      <c r="S66" s="34">
        <f>(250*0.16+250)*E66</f>
        <v>290</v>
      </c>
      <c r="T66" s="34"/>
      <c r="U66" s="34"/>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3">
        <f t="shared" si="0"/>
        <v>290</v>
      </c>
      <c r="BB66" s="43"/>
    </row>
    <row r="67" spans="1:54" s="23" customFormat="1" ht="52.5" customHeight="1" x14ac:dyDescent="0.3">
      <c r="A67" s="26">
        <v>50</v>
      </c>
      <c r="B67" s="43" t="s">
        <v>1676</v>
      </c>
      <c r="C67" s="28"/>
      <c r="D67" s="341" t="s">
        <v>1677</v>
      </c>
      <c r="E67" s="92">
        <v>5</v>
      </c>
      <c r="F67" s="30" t="s">
        <v>30</v>
      </c>
      <c r="G67" s="112">
        <f>[1]DICIEMBRE!$BA$71</f>
        <v>0</v>
      </c>
      <c r="H67" s="31">
        <f>ENERO!BA68</f>
        <v>0</v>
      </c>
      <c r="I67" s="31">
        <f>FEBRERO!AX68</f>
        <v>0</v>
      </c>
      <c r="J67" s="32">
        <f>MARZO!BA69</f>
        <v>0</v>
      </c>
      <c r="K67" s="32">
        <f>ABRIL!AZ68</f>
        <v>0</v>
      </c>
      <c r="L67" s="32"/>
      <c r="M67" s="32"/>
      <c r="N67" s="32"/>
      <c r="O67" s="33"/>
      <c r="P67" s="33"/>
      <c r="Q67" s="31"/>
      <c r="R67" s="31"/>
      <c r="S67" s="34">
        <f>(300*0.16+300)*E67</f>
        <v>1740</v>
      </c>
      <c r="T67" s="34"/>
      <c r="U67" s="34"/>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3">
        <f t="shared" si="0"/>
        <v>1740</v>
      </c>
      <c r="BB67" s="43" t="s">
        <v>2780</v>
      </c>
    </row>
    <row r="68" spans="1:54" s="23" customFormat="1" ht="71.25" customHeight="1" x14ac:dyDescent="0.3">
      <c r="A68" s="26">
        <v>51</v>
      </c>
      <c r="B68" s="43" t="s">
        <v>496</v>
      </c>
      <c r="C68" s="28" t="s">
        <v>561</v>
      </c>
      <c r="D68" s="300" t="s">
        <v>2982</v>
      </c>
      <c r="E68" s="92">
        <v>2</v>
      </c>
      <c r="F68" s="30" t="s">
        <v>30</v>
      </c>
      <c r="G68" s="234">
        <f>[1]DICIEMBRE!$BA$72</f>
        <v>-7.9999999981055225E-3</v>
      </c>
      <c r="H68" s="31">
        <f>ENERO!BA69</f>
        <v>-7.9999999979918357E-3</v>
      </c>
      <c r="I68" s="31">
        <f>FEBRERO!AX69</f>
        <v>2.0000000021127562E-3</v>
      </c>
      <c r="J68" s="32">
        <f>MARZO!BA70</f>
        <v>2.000000002226443E-3</v>
      </c>
      <c r="K68" s="33">
        <f>ABRIL!AZ69</f>
        <v>2.0000000023401299E-3</v>
      </c>
      <c r="L68" s="336"/>
      <c r="M68" s="32"/>
      <c r="N68" s="336"/>
      <c r="O68" s="32"/>
      <c r="P68" s="31"/>
      <c r="Q68" s="31"/>
      <c r="R68" s="31"/>
      <c r="S68" s="34">
        <f>(249*0.16+249)*E68</f>
        <v>577.68000000000006</v>
      </c>
      <c r="T68" s="34"/>
      <c r="U68" s="34"/>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3">
        <f t="shared" si="0"/>
        <v>577.6820000000024</v>
      </c>
      <c r="BB68" s="43"/>
    </row>
    <row r="69" spans="1:54" s="23" customFormat="1" ht="48" customHeight="1" x14ac:dyDescent="0.3">
      <c r="A69" s="26">
        <v>52</v>
      </c>
      <c r="B69" s="43" t="s">
        <v>323</v>
      </c>
      <c r="C69" s="28" t="s">
        <v>324</v>
      </c>
      <c r="D69" s="300" t="s">
        <v>2983</v>
      </c>
      <c r="E69" s="92">
        <v>1</v>
      </c>
      <c r="F69" s="30" t="s">
        <v>30</v>
      </c>
      <c r="G69" s="112">
        <f>[1]DICIEMBRE!$BA$73</f>
        <v>-866.51999999999782</v>
      </c>
      <c r="H69" s="45">
        <f>ENERO!BA70</f>
        <v>-577.67999999999779</v>
      </c>
      <c r="I69" s="31">
        <f>FEBRERO!AX70</f>
        <v>-288.83999999999776</v>
      </c>
      <c r="J69" s="32">
        <f>MARZO!BA71</f>
        <v>2.2737367544323206E-12</v>
      </c>
      <c r="K69" s="33">
        <f>ABRIL!AZ70</f>
        <v>-1444.1999999999975</v>
      </c>
      <c r="L69" s="32"/>
      <c r="M69" s="336"/>
      <c r="N69" s="32"/>
      <c r="O69" s="32"/>
      <c r="P69" s="33"/>
      <c r="Q69" s="31"/>
      <c r="R69" s="31"/>
      <c r="S69" s="34">
        <f>(249*0.16+249)*E69</f>
        <v>288.84000000000003</v>
      </c>
      <c r="T69" s="34"/>
      <c r="U69" s="34"/>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3">
        <f t="shared" si="0"/>
        <v>-1155.3599999999974</v>
      </c>
      <c r="BB69" s="43" t="s">
        <v>2628</v>
      </c>
    </row>
    <row r="70" spans="1:54" s="23" customFormat="1" ht="51.75" customHeight="1" x14ac:dyDescent="0.3">
      <c r="A70" s="26">
        <v>53</v>
      </c>
      <c r="B70" s="27" t="s">
        <v>50</v>
      </c>
      <c r="C70" s="28" t="s">
        <v>51</v>
      </c>
      <c r="D70" s="300" t="s">
        <v>2984</v>
      </c>
      <c r="E70" s="92">
        <v>1</v>
      </c>
      <c r="F70" s="56" t="s">
        <v>30</v>
      </c>
      <c r="G70" s="234">
        <f>[1]DICIEMBRE!$BA$74</f>
        <v>0</v>
      </c>
      <c r="H70" s="31">
        <f>ENERO!BA71</f>
        <v>0</v>
      </c>
      <c r="I70" s="45">
        <f>FEBRERO!AX71</f>
        <v>0</v>
      </c>
      <c r="J70" s="32">
        <f>MARZO!BA72</f>
        <v>0</v>
      </c>
      <c r="K70" s="32">
        <f>ABRIL!AZ71</f>
        <v>0</v>
      </c>
      <c r="L70" s="32"/>
      <c r="M70" s="32"/>
      <c r="N70" s="32"/>
      <c r="O70" s="33"/>
      <c r="P70" s="31"/>
      <c r="Q70" s="31"/>
      <c r="R70" s="31"/>
      <c r="S70" s="34">
        <v>348</v>
      </c>
      <c r="T70" s="34"/>
      <c r="U70" s="34"/>
      <c r="V70" s="35"/>
      <c r="W70" s="35"/>
      <c r="X70" s="35"/>
      <c r="Y70" s="35"/>
      <c r="Z70" s="35"/>
      <c r="AA70" s="35"/>
      <c r="AB70" s="35"/>
      <c r="AC70" s="35"/>
      <c r="AD70" s="35"/>
      <c r="AE70" s="35"/>
      <c r="AF70" s="35"/>
      <c r="AG70" s="35"/>
      <c r="AH70" s="35"/>
      <c r="AI70" s="35"/>
      <c r="AJ70" s="35"/>
      <c r="AK70" s="35"/>
      <c r="AL70" s="35"/>
      <c r="AM70" s="35"/>
      <c r="AN70" s="35"/>
      <c r="AO70" s="35"/>
      <c r="AP70" s="35"/>
      <c r="AQ70" s="54"/>
      <c r="AR70" s="35"/>
      <c r="AS70" s="35"/>
      <c r="AT70" s="35"/>
      <c r="AU70" s="35"/>
      <c r="AV70" s="35"/>
      <c r="AW70" s="35"/>
      <c r="AX70" s="35"/>
      <c r="AY70" s="35"/>
      <c r="AZ70" s="35"/>
      <c r="BA70" s="33">
        <f t="shared" si="0"/>
        <v>348</v>
      </c>
      <c r="BB70" s="269"/>
    </row>
    <row r="71" spans="1:54" s="23" customFormat="1" ht="54.75" customHeight="1" x14ac:dyDescent="0.3">
      <c r="A71" s="26">
        <v>54</v>
      </c>
      <c r="B71" s="43" t="s">
        <v>53</v>
      </c>
      <c r="C71" s="53" t="s">
        <v>54</v>
      </c>
      <c r="D71" s="300" t="s">
        <v>2985</v>
      </c>
      <c r="E71" s="92">
        <v>1</v>
      </c>
      <c r="F71" s="56" t="s">
        <v>30</v>
      </c>
      <c r="G71" s="234">
        <f>[1]DICIEMBRE!$BA$76</f>
        <v>0</v>
      </c>
      <c r="H71" s="31">
        <f>ENERO!BA72</f>
        <v>0</v>
      </c>
      <c r="I71" s="31">
        <f>FEBRERO!AX72</f>
        <v>0</v>
      </c>
      <c r="J71" s="32">
        <f>MARZO!BA73</f>
        <v>0</v>
      </c>
      <c r="K71" s="33">
        <f>ABRIL!AZ72</f>
        <v>0</v>
      </c>
      <c r="L71" s="32"/>
      <c r="M71" s="336"/>
      <c r="N71" s="32"/>
      <c r="O71" s="32"/>
      <c r="P71" s="31"/>
      <c r="Q71" s="31"/>
      <c r="R71" s="31"/>
      <c r="S71" s="34">
        <f>(300*0.16+300)*E71</f>
        <v>348</v>
      </c>
      <c r="T71" s="34"/>
      <c r="U71" s="34"/>
      <c r="V71" s="35"/>
      <c r="W71" s="35"/>
      <c r="X71" s="35"/>
      <c r="Y71" s="54"/>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3">
        <f t="shared" si="0"/>
        <v>348</v>
      </c>
      <c r="BB71" s="269"/>
    </row>
    <row r="72" spans="1:54" s="23" customFormat="1" ht="62.25" customHeight="1" x14ac:dyDescent="0.3">
      <c r="A72" s="26">
        <v>55</v>
      </c>
      <c r="B72" s="43" t="s">
        <v>1741</v>
      </c>
      <c r="C72" s="28"/>
      <c r="D72" s="300" t="s">
        <v>2986</v>
      </c>
      <c r="E72" s="92">
        <v>11</v>
      </c>
      <c r="F72" s="41" t="s">
        <v>30</v>
      </c>
      <c r="G72" s="234">
        <f>[1]DICIEMBRE!$BA$36</f>
        <v>1.2000000006082701E-3</v>
      </c>
      <c r="H72" s="45">
        <f>ENERO!BA73</f>
        <v>-7.5999999990017386E-3</v>
      </c>
      <c r="I72" s="31">
        <f>FEBRERO!AX73</f>
        <v>2.4000000012165401E-3</v>
      </c>
      <c r="J72" s="32">
        <f>MARZO!BA74</f>
        <v>2.4000000012165401E-3</v>
      </c>
      <c r="K72" s="33">
        <f>ABRIL!AZ73</f>
        <v>2.4000000012165401E-3</v>
      </c>
      <c r="L72" s="32"/>
      <c r="M72" s="32"/>
      <c r="N72" s="336"/>
      <c r="O72" s="32"/>
      <c r="P72" s="31"/>
      <c r="Q72" s="31"/>
      <c r="R72" s="31"/>
      <c r="S72" s="38">
        <f>(250*0.16+250)*E72</f>
        <v>3190</v>
      </c>
      <c r="T72" s="38"/>
      <c r="U72" s="35"/>
      <c r="V72" s="35"/>
      <c r="W72" s="35"/>
      <c r="X72" s="35"/>
      <c r="Y72" s="35"/>
      <c r="Z72" s="35"/>
      <c r="AA72" s="35"/>
      <c r="AB72" s="35"/>
      <c r="AC72" s="35"/>
      <c r="AD72" s="35"/>
      <c r="AE72" s="35"/>
      <c r="AF72" s="35"/>
      <c r="AG72" s="35"/>
      <c r="AH72" s="35"/>
      <c r="AI72" s="35"/>
      <c r="AJ72" s="35"/>
      <c r="AK72" s="42"/>
      <c r="AL72" s="35"/>
      <c r="AM72" s="35"/>
      <c r="AN72" s="35"/>
      <c r="AO72" s="35"/>
      <c r="AP72" s="35"/>
      <c r="AQ72" s="35"/>
      <c r="AR72" s="35"/>
      <c r="AS72" s="35"/>
      <c r="AT72" s="35"/>
      <c r="AU72" s="35"/>
      <c r="AV72" s="35"/>
      <c r="AW72" s="35"/>
      <c r="AX72" s="35"/>
      <c r="AY72" s="35"/>
      <c r="AZ72" s="35"/>
      <c r="BA72" s="33">
        <f t="shared" si="0"/>
        <v>3190.0024000000012</v>
      </c>
      <c r="BB72" s="268"/>
    </row>
    <row r="73" spans="1:54" s="23" customFormat="1" ht="37.5" customHeight="1" x14ac:dyDescent="0.3">
      <c r="A73" s="26">
        <v>56</v>
      </c>
      <c r="B73" s="43" t="s">
        <v>1450</v>
      </c>
      <c r="C73" s="53"/>
      <c r="D73" s="300" t="s">
        <v>595</v>
      </c>
      <c r="E73" s="94">
        <v>3</v>
      </c>
      <c r="F73" s="44" t="s">
        <v>30</v>
      </c>
      <c r="G73" s="234">
        <f>[1]DICIEMBRE!$BA$78</f>
        <v>1.1999999996987754E-3</v>
      </c>
      <c r="H73" s="31">
        <f>ENERO!BA74</f>
        <v>1.1999999996987754E-3</v>
      </c>
      <c r="I73" s="31">
        <f>FEBRERO!AX74</f>
        <v>1.1999999996987754E-3</v>
      </c>
      <c r="J73" s="32">
        <f>MARZO!BA75</f>
        <v>1.1999999996987754E-3</v>
      </c>
      <c r="K73" s="32">
        <f>ABRIL!AZ74</f>
        <v>1.1999999996987754E-3</v>
      </c>
      <c r="L73" s="336"/>
      <c r="M73" s="32"/>
      <c r="N73" s="336"/>
      <c r="O73" s="32"/>
      <c r="P73" s="31"/>
      <c r="Q73" s="31"/>
      <c r="R73" s="31"/>
      <c r="S73" s="47">
        <f>(250*0.16+250)*E73</f>
        <v>870</v>
      </c>
      <c r="T73" s="34"/>
      <c r="U73" s="34"/>
      <c r="V73" s="35"/>
      <c r="W73" s="35"/>
      <c r="X73" s="35"/>
      <c r="Y73" s="54"/>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3">
        <f t="shared" si="0"/>
        <v>870.0011999999997</v>
      </c>
      <c r="BB73" s="269"/>
    </row>
    <row r="74" spans="1:54" s="23" customFormat="1" ht="57" customHeight="1" x14ac:dyDescent="0.3">
      <c r="A74" s="26">
        <v>57</v>
      </c>
      <c r="B74" s="43" t="s">
        <v>1742</v>
      </c>
      <c r="C74" s="28"/>
      <c r="D74" s="300" t="s">
        <v>2987</v>
      </c>
      <c r="E74" s="92">
        <v>5</v>
      </c>
      <c r="F74" s="40" t="s">
        <v>30</v>
      </c>
      <c r="G74" s="112">
        <f>[1]DICIEMBRE!$BA$51</f>
        <v>0</v>
      </c>
      <c r="H74" s="31">
        <f>ENERO!BA75</f>
        <v>0</v>
      </c>
      <c r="I74" s="45">
        <f>FEBRERO!AX75</f>
        <v>0</v>
      </c>
      <c r="J74" s="32">
        <f>MARZO!BA76</f>
        <v>0</v>
      </c>
      <c r="K74" s="33">
        <f>ABRIL!AZ75</f>
        <v>0</v>
      </c>
      <c r="L74" s="32"/>
      <c r="M74" s="32"/>
      <c r="N74" s="32"/>
      <c r="O74" s="33"/>
      <c r="P74" s="33"/>
      <c r="Q74" s="31"/>
      <c r="R74" s="31"/>
      <c r="S74" s="34">
        <f>(300*0.16+300)*E74</f>
        <v>1740</v>
      </c>
      <c r="T74" s="34"/>
      <c r="U74" s="34"/>
      <c r="V74" s="35"/>
      <c r="W74" s="54"/>
      <c r="X74" s="35"/>
      <c r="Y74" s="35"/>
      <c r="Z74" s="35"/>
      <c r="AA74" s="35"/>
      <c r="AB74" s="35"/>
      <c r="AC74" s="35"/>
      <c r="AD74" s="35"/>
      <c r="AE74" s="35"/>
      <c r="AF74" s="35"/>
      <c r="AG74" s="35"/>
      <c r="AH74" s="35"/>
      <c r="AI74" s="36"/>
      <c r="AJ74" s="35"/>
      <c r="AK74" s="35"/>
      <c r="AL74" s="35"/>
      <c r="AM74" s="35"/>
      <c r="AN74" s="35"/>
      <c r="AO74" s="35"/>
      <c r="AP74" s="35"/>
      <c r="AQ74" s="35"/>
      <c r="AR74" s="35"/>
      <c r="AS74" s="35"/>
      <c r="AT74" s="35"/>
      <c r="AU74" s="35"/>
      <c r="AV74" s="35"/>
      <c r="AW74" s="35"/>
      <c r="AX74" s="35"/>
      <c r="AY74" s="35"/>
      <c r="AZ74" s="35"/>
      <c r="BA74" s="33">
        <f t="shared" si="0"/>
        <v>1740</v>
      </c>
      <c r="BB74" s="267"/>
    </row>
    <row r="75" spans="1:54" s="23" customFormat="1" ht="90" customHeight="1" x14ac:dyDescent="0.3">
      <c r="A75" s="26">
        <v>58</v>
      </c>
      <c r="B75" s="43" t="s">
        <v>1743</v>
      </c>
      <c r="C75" s="28"/>
      <c r="D75" s="300" t="s">
        <v>2988</v>
      </c>
      <c r="E75" s="92">
        <v>15</v>
      </c>
      <c r="F75" s="30" t="s">
        <v>30</v>
      </c>
      <c r="G75" s="234">
        <f>[1]DICIEMBRE!$BA$22</f>
        <v>-1.8189894035458565E-12</v>
      </c>
      <c r="H75" s="45">
        <f>ENERO!BA76</f>
        <v>-2.000000002226443E-3</v>
      </c>
      <c r="I75" s="31">
        <f>FEBRERO!AX76</f>
        <v>-2.000000002226443E-3</v>
      </c>
      <c r="J75" s="32">
        <f>MARZO!BA77</f>
        <v>-2.0000000031359377E-3</v>
      </c>
      <c r="K75" s="33">
        <f>ABRIL!AZ76</f>
        <v>-2.0000000040454324E-3</v>
      </c>
      <c r="L75" s="336"/>
      <c r="M75" s="336"/>
      <c r="N75" s="336"/>
      <c r="O75" s="32"/>
      <c r="P75" s="33"/>
      <c r="Q75" s="31"/>
      <c r="R75" s="31"/>
      <c r="S75" s="34">
        <f>(279*0.16+279)*E75</f>
        <v>4854.5999999999995</v>
      </c>
      <c r="T75" s="34"/>
      <c r="U75" s="34"/>
      <c r="V75" s="35"/>
      <c r="W75" s="35"/>
      <c r="X75" s="35"/>
      <c r="Y75" s="35"/>
      <c r="Z75" s="36"/>
      <c r="AA75" s="35"/>
      <c r="AB75" s="35"/>
      <c r="AC75" s="35"/>
      <c r="AD75" s="35"/>
      <c r="AE75" s="35"/>
      <c r="AF75" s="35"/>
      <c r="AG75" s="35"/>
      <c r="AH75" s="35"/>
      <c r="AI75" s="35"/>
      <c r="AJ75" s="35"/>
      <c r="AK75" s="37"/>
      <c r="AL75" s="35"/>
      <c r="AM75" s="35"/>
      <c r="AN75" s="35"/>
      <c r="AO75" s="35"/>
      <c r="AP75" s="35"/>
      <c r="AQ75" s="35"/>
      <c r="AR75" s="35"/>
      <c r="AS75" s="35"/>
      <c r="AT75" s="35"/>
      <c r="AU75" s="35"/>
      <c r="AV75" s="35"/>
      <c r="AW75" s="35"/>
      <c r="AX75" s="35"/>
      <c r="AY75" s="35"/>
      <c r="AZ75" s="35"/>
      <c r="BA75" s="33">
        <f t="shared" si="0"/>
        <v>4854.5979999999954</v>
      </c>
      <c r="BB75" s="43"/>
    </row>
    <row r="76" spans="1:54" s="23" customFormat="1" ht="86.25" customHeight="1" x14ac:dyDescent="0.3">
      <c r="A76" s="26">
        <v>59</v>
      </c>
      <c r="B76" s="43" t="s">
        <v>1744</v>
      </c>
      <c r="C76" s="28"/>
      <c r="D76" s="300" t="s">
        <v>2989</v>
      </c>
      <c r="E76" s="92">
        <v>8</v>
      </c>
      <c r="F76" s="30" t="s">
        <v>30</v>
      </c>
      <c r="G76" s="234">
        <f>[1]DICIEMBRE!$BA$40</f>
        <v>4.0000000035433914E-4</v>
      </c>
      <c r="H76" s="31">
        <f>ENERO!BA77</f>
        <v>4.0000000035433914E-4</v>
      </c>
      <c r="I76" s="31">
        <f>FEBRERO!AX77</f>
        <v>4.0000000035433914E-4</v>
      </c>
      <c r="J76" s="32">
        <f>MARZO!BA78</f>
        <v>4.0000000035433914E-4</v>
      </c>
      <c r="K76" s="32">
        <f>ABRIL!AZ77</f>
        <v>4.0000000035433914E-4</v>
      </c>
      <c r="L76" s="336"/>
      <c r="M76" s="336"/>
      <c r="N76" s="32"/>
      <c r="O76" s="32"/>
      <c r="P76" s="31"/>
      <c r="Q76" s="31"/>
      <c r="R76" s="31"/>
      <c r="S76" s="34">
        <f>(269*0.16+269)*E76</f>
        <v>2496.3200000000002</v>
      </c>
      <c r="T76" s="34"/>
      <c r="U76" s="34"/>
      <c r="V76" s="34"/>
      <c r="W76" s="34"/>
      <c r="X76" s="34"/>
      <c r="Y76" s="34"/>
      <c r="Z76" s="52"/>
      <c r="AA76" s="34"/>
      <c r="AB76" s="34"/>
      <c r="AC76" s="34"/>
      <c r="AD76" s="34"/>
      <c r="AE76" s="34"/>
      <c r="AF76" s="34"/>
      <c r="AG76" s="34"/>
      <c r="AH76" s="34"/>
      <c r="AI76" s="34"/>
      <c r="AJ76" s="34"/>
      <c r="AK76" s="38"/>
      <c r="AL76" s="34"/>
      <c r="AM76" s="34"/>
      <c r="AN76" s="34"/>
      <c r="AO76" s="34"/>
      <c r="AP76" s="34"/>
      <c r="AQ76" s="34"/>
      <c r="AR76" s="34"/>
      <c r="AS76" s="34"/>
      <c r="AT76" s="34"/>
      <c r="AU76" s="34"/>
      <c r="AV76" s="34"/>
      <c r="AW76" s="34"/>
      <c r="AX76" s="34"/>
      <c r="AY76" s="34"/>
      <c r="AZ76" s="34"/>
      <c r="BA76" s="33">
        <f t="shared" si="0"/>
        <v>2496.3204000000005</v>
      </c>
      <c r="BB76" s="43"/>
    </row>
    <row r="77" spans="1:54" s="23" customFormat="1" ht="69.75" customHeight="1" x14ac:dyDescent="0.3">
      <c r="A77" s="26">
        <v>60</v>
      </c>
      <c r="B77" s="43" t="s">
        <v>1745</v>
      </c>
      <c r="C77" s="53" t="s">
        <v>55</v>
      </c>
      <c r="D77" s="300" t="s">
        <v>2990</v>
      </c>
      <c r="E77" s="92">
        <v>17</v>
      </c>
      <c r="F77" s="56" t="s">
        <v>30</v>
      </c>
      <c r="G77" s="234"/>
      <c r="H77" s="31">
        <f>ENERO!BA78</f>
        <v>0</v>
      </c>
      <c r="I77" s="31">
        <f>FEBRERO!AX78</f>
        <v>-2.4000000003070454E-3</v>
      </c>
      <c r="J77" s="32">
        <f>MARZO!BA79</f>
        <v>-2.4000000003070454E-3</v>
      </c>
      <c r="K77" s="33">
        <f>ABRIL!AZ78</f>
        <v>-2.4000000003070454E-3</v>
      </c>
      <c r="L77" s="32"/>
      <c r="M77" s="32"/>
      <c r="N77" s="32"/>
      <c r="O77" s="33"/>
      <c r="P77" s="31"/>
      <c r="Q77" s="31"/>
      <c r="R77" s="31"/>
      <c r="S77" s="34">
        <f>(289*0.16+289)*E77</f>
        <v>5699.08</v>
      </c>
      <c r="T77" s="34"/>
      <c r="U77" s="34"/>
      <c r="V77" s="35"/>
      <c r="W77" s="35"/>
      <c r="X77" s="35"/>
      <c r="Y77" s="35"/>
      <c r="Z77" s="36"/>
      <c r="AA77" s="54"/>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3">
        <f t="shared" si="0"/>
        <v>5699.0775999999996</v>
      </c>
      <c r="BB77" s="269"/>
    </row>
    <row r="78" spans="1:54" s="23" customFormat="1" ht="126" customHeight="1" x14ac:dyDescent="0.3">
      <c r="A78" s="26">
        <v>61</v>
      </c>
      <c r="B78" s="55" t="s">
        <v>56</v>
      </c>
      <c r="C78" s="28" t="s">
        <v>57</v>
      </c>
      <c r="D78" s="300" t="s">
        <v>2991</v>
      </c>
      <c r="E78" s="92">
        <v>16</v>
      </c>
      <c r="F78" s="57" t="s">
        <v>33</v>
      </c>
      <c r="G78" s="112">
        <f>[1]DICIEMBRE!$BA$81</f>
        <v>-1.1999999987892807E-3</v>
      </c>
      <c r="H78" s="45">
        <f>ENERO!BA79</f>
        <v>-1.1999999987892807E-3</v>
      </c>
      <c r="I78" s="45">
        <f>FEBRERO!AX79</f>
        <v>-1.1999999987892807E-3</v>
      </c>
      <c r="J78" s="32">
        <f>MARZO!BA80</f>
        <v>-1.1999999987892807E-3</v>
      </c>
      <c r="K78" s="33">
        <f>ABRIL!AZ79</f>
        <v>6437.9988000000012</v>
      </c>
      <c r="L78" s="336"/>
      <c r="M78" s="32"/>
      <c r="N78" s="336"/>
      <c r="O78" s="32"/>
      <c r="P78" s="33"/>
      <c r="Q78" s="31"/>
      <c r="R78" s="31"/>
      <c r="S78" s="34">
        <f>(5250+300)*0.16+5250+300</f>
        <v>6438</v>
      </c>
      <c r="T78" s="34"/>
      <c r="U78" s="34"/>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3">
        <f t="shared" si="0"/>
        <v>12875.998800000001</v>
      </c>
      <c r="BB78" s="270"/>
    </row>
    <row r="79" spans="1:54" ht="77.25" customHeight="1" x14ac:dyDescent="0.35">
      <c r="A79" s="26">
        <v>62</v>
      </c>
      <c r="B79" s="43" t="s">
        <v>2187</v>
      </c>
      <c r="C79" s="28"/>
      <c r="D79" s="300" t="s">
        <v>2992</v>
      </c>
      <c r="E79" s="94">
        <v>5</v>
      </c>
      <c r="F79" s="62" t="s">
        <v>30</v>
      </c>
      <c r="G79" s="112">
        <f>[1]DICIEMBRE!$BA$119</f>
        <v>-1.999999999998181E-2</v>
      </c>
      <c r="H79" s="31">
        <f>ENERO!BA123</f>
        <v>-1.999999999998181E-2</v>
      </c>
      <c r="I79" s="31">
        <f>FEBRERO!AX80</f>
        <v>0</v>
      </c>
      <c r="J79" s="32">
        <f>MARZO!BA81</f>
        <v>0</v>
      </c>
      <c r="K79" s="32">
        <f>ABRIL!AZ80</f>
        <v>0</v>
      </c>
      <c r="L79" s="336"/>
      <c r="M79" s="336"/>
      <c r="N79" s="32"/>
      <c r="O79" s="32"/>
      <c r="P79" s="31"/>
      <c r="Q79" s="31"/>
      <c r="R79" s="31"/>
      <c r="S79" s="47">
        <f>(300*0.16+300)*E79</f>
        <v>1740</v>
      </c>
      <c r="T79" s="47"/>
      <c r="U79" s="48"/>
      <c r="V79" s="49"/>
      <c r="W79" s="50"/>
      <c r="X79" s="49"/>
      <c r="Y79" s="49"/>
      <c r="Z79" s="49"/>
      <c r="AA79" s="49"/>
      <c r="AB79" s="70"/>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33">
        <f t="shared" si="0"/>
        <v>1740</v>
      </c>
      <c r="BB79" s="267"/>
    </row>
    <row r="80" spans="1:54" s="23" customFormat="1" ht="54.75" customHeight="1" x14ac:dyDescent="0.3">
      <c r="A80" s="26">
        <v>63</v>
      </c>
      <c r="B80" s="43" t="s">
        <v>1437</v>
      </c>
      <c r="C80" s="28"/>
      <c r="D80" s="300" t="s">
        <v>2993</v>
      </c>
      <c r="E80" s="92">
        <v>3</v>
      </c>
      <c r="F80" s="30" t="s">
        <v>30</v>
      </c>
      <c r="G80" s="112">
        <f>[1]DICIEMBRE!$BA$83</f>
        <v>0</v>
      </c>
      <c r="H80" s="31">
        <f>ENERO!BA80</f>
        <v>0</v>
      </c>
      <c r="I80" s="31">
        <f>FEBRERO!AX81</f>
        <v>0</v>
      </c>
      <c r="J80" s="32">
        <f>MARZO!BA82</f>
        <v>0</v>
      </c>
      <c r="K80" s="33">
        <f>ABRIL!AZ81</f>
        <v>0</v>
      </c>
      <c r="L80" s="32"/>
      <c r="M80" s="336"/>
      <c r="N80" s="32"/>
      <c r="O80" s="32"/>
      <c r="P80" s="33"/>
      <c r="Q80" s="31"/>
      <c r="R80" s="31"/>
      <c r="S80" s="59">
        <f>(300*0.16+300)*E80</f>
        <v>1044</v>
      </c>
      <c r="T80" s="34"/>
      <c r="U80" s="34"/>
      <c r="V80" s="35"/>
      <c r="W80" s="35"/>
      <c r="X80" s="35"/>
      <c r="Y80" s="35"/>
      <c r="Z80" s="36"/>
      <c r="AA80" s="35"/>
      <c r="AB80" s="35"/>
      <c r="AC80" s="54"/>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3">
        <f t="shared" si="0"/>
        <v>1044</v>
      </c>
      <c r="BB80" s="43" t="s">
        <v>2624</v>
      </c>
    </row>
    <row r="81" spans="1:54" s="23" customFormat="1" ht="66" customHeight="1" x14ac:dyDescent="0.3">
      <c r="A81" s="26">
        <v>64</v>
      </c>
      <c r="B81" s="27" t="s">
        <v>1746</v>
      </c>
      <c r="C81" s="28" t="s">
        <v>59</v>
      </c>
      <c r="D81" s="300" t="s">
        <v>2994</v>
      </c>
      <c r="E81" s="92">
        <v>8</v>
      </c>
      <c r="F81" s="30" t="s">
        <v>30</v>
      </c>
      <c r="G81" s="234">
        <f>[1]DICIEMBRE!$BA$82</f>
        <v>2784.0048000000006</v>
      </c>
      <c r="H81" s="31">
        <f>ENERO!BA81</f>
        <v>4.8000000006140908E-3</v>
      </c>
      <c r="I81" s="31">
        <f>FEBRERO!AX82</f>
        <v>4.8000000006140908E-3</v>
      </c>
      <c r="J81" s="32">
        <f>MARZO!BA83</f>
        <v>4.8000000006140908E-3</v>
      </c>
      <c r="K81" s="33">
        <f>ABRIL!AZ82</f>
        <v>4.8000000006140908E-3</v>
      </c>
      <c r="L81" s="32"/>
      <c r="M81" s="336"/>
      <c r="N81" s="32"/>
      <c r="O81" s="32"/>
      <c r="P81" s="31"/>
      <c r="Q81" s="31"/>
      <c r="R81" s="31"/>
      <c r="S81" s="59">
        <f>(300*0.16+300)*E81</f>
        <v>2784</v>
      </c>
      <c r="T81" s="34"/>
      <c r="U81" s="34"/>
      <c r="V81" s="35"/>
      <c r="W81" s="35"/>
      <c r="X81" s="35"/>
      <c r="Y81" s="35"/>
      <c r="Z81" s="36"/>
      <c r="AA81" s="35"/>
      <c r="AB81" s="35"/>
      <c r="AC81" s="54"/>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3">
        <f t="shared" si="0"/>
        <v>2784.0048000000006</v>
      </c>
      <c r="BB81" s="43"/>
    </row>
    <row r="82" spans="1:54" s="23" customFormat="1" ht="49.5" customHeight="1" x14ac:dyDescent="0.3">
      <c r="A82" s="26">
        <v>65</v>
      </c>
      <c r="B82" s="43" t="s">
        <v>1071</v>
      </c>
      <c r="C82" s="28"/>
      <c r="D82" s="300" t="s">
        <v>2995</v>
      </c>
      <c r="E82" s="92">
        <v>4</v>
      </c>
      <c r="F82" s="30" t="s">
        <v>30</v>
      </c>
      <c r="G82" s="234">
        <f>[1]DICIEMBRE!$BA$84</f>
        <v>0</v>
      </c>
      <c r="H82" s="45">
        <f>ENERO!BA82</f>
        <v>0</v>
      </c>
      <c r="I82" s="45">
        <f>FEBRERO!AX83</f>
        <v>0</v>
      </c>
      <c r="J82" s="32">
        <f>MARZO!BA84</f>
        <v>0</v>
      </c>
      <c r="K82" s="32">
        <f>ABRIL!AZ83</f>
        <v>0</v>
      </c>
      <c r="L82" s="32"/>
      <c r="M82" s="32"/>
      <c r="N82" s="32"/>
      <c r="O82" s="33"/>
      <c r="P82" s="31"/>
      <c r="Q82" s="31"/>
      <c r="R82" s="31"/>
      <c r="S82" s="59">
        <f>(220*0.16+220)*E82</f>
        <v>1020.8</v>
      </c>
      <c r="T82" s="34"/>
      <c r="U82" s="34"/>
      <c r="V82" s="35"/>
      <c r="W82" s="35"/>
      <c r="X82" s="35"/>
      <c r="Y82" s="35"/>
      <c r="Z82" s="36"/>
      <c r="AA82" s="35"/>
      <c r="AB82" s="35"/>
      <c r="AC82" s="54"/>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3">
        <f t="shared" si="0"/>
        <v>1020.8</v>
      </c>
      <c r="BB82" s="43"/>
    </row>
    <row r="83" spans="1:54" s="23" customFormat="1" ht="68.25" customHeight="1" x14ac:dyDescent="0.3">
      <c r="A83" s="26">
        <v>66</v>
      </c>
      <c r="B83" s="43" t="s">
        <v>688</v>
      </c>
      <c r="C83" s="28"/>
      <c r="D83" s="318" t="s">
        <v>2996</v>
      </c>
      <c r="E83" s="92">
        <v>3</v>
      </c>
      <c r="F83" s="30" t="s">
        <v>30</v>
      </c>
      <c r="G83" s="112">
        <f>[1]DICIEMBRE!$BA$87</f>
        <v>-4.400000000032378E-3</v>
      </c>
      <c r="H83" s="31">
        <f>ENERO!BA84</f>
        <v>-4.400000000032378E-3</v>
      </c>
      <c r="I83" s="31">
        <f>FEBRERO!AX84</f>
        <v>-4.400000000032378E-3</v>
      </c>
      <c r="J83" s="32">
        <f>MARZO!BA85</f>
        <v>-4.400000000032378E-3</v>
      </c>
      <c r="K83" s="33">
        <f>ABRIL!AZ84</f>
        <v>-4.400000000032378E-3</v>
      </c>
      <c r="L83" s="336"/>
      <c r="M83" s="336"/>
      <c r="N83" s="32"/>
      <c r="O83" s="33"/>
      <c r="P83" s="33"/>
      <c r="Q83" s="31"/>
      <c r="R83" s="31"/>
      <c r="S83" s="59">
        <f>(250*0.16+250)*E83</f>
        <v>870</v>
      </c>
      <c r="T83" s="34"/>
      <c r="U83" s="34"/>
      <c r="V83" s="35"/>
      <c r="W83" s="35"/>
      <c r="X83" s="35"/>
      <c r="Y83" s="35"/>
      <c r="Z83" s="36"/>
      <c r="AA83" s="35"/>
      <c r="AB83" s="35"/>
      <c r="AC83" s="54"/>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3">
        <f t="shared" si="0"/>
        <v>869.99559999999997</v>
      </c>
      <c r="BB83" s="43"/>
    </row>
    <row r="84" spans="1:54" s="23" customFormat="1" ht="50.25" customHeight="1" x14ac:dyDescent="0.3">
      <c r="A84" s="26">
        <v>67</v>
      </c>
      <c r="B84" s="43" t="s">
        <v>1543</v>
      </c>
      <c r="C84" s="28"/>
      <c r="D84" s="318" t="s">
        <v>2997</v>
      </c>
      <c r="E84" s="92">
        <v>5</v>
      </c>
      <c r="F84" s="30" t="s">
        <v>30</v>
      </c>
      <c r="G84" s="234">
        <f>[1]DICIEMBRE!$BA$88</f>
        <v>4.5474735088646412E-13</v>
      </c>
      <c r="H84" s="45">
        <f>ENERO!BA85</f>
        <v>4.5474735088646412E-13</v>
      </c>
      <c r="I84" s="31">
        <f>FEBRERO!AX85</f>
        <v>4.5474735088646412E-13</v>
      </c>
      <c r="J84" s="32">
        <f>MARZO!BA86</f>
        <v>4.5474735088646412E-13</v>
      </c>
      <c r="K84" s="33">
        <f>ABRIL!AZ85</f>
        <v>4.5474735088646412E-13</v>
      </c>
      <c r="L84" s="336"/>
      <c r="M84" s="336"/>
      <c r="N84" s="32"/>
      <c r="O84" s="33"/>
      <c r="P84" s="33"/>
      <c r="Q84" s="31"/>
      <c r="R84" s="31"/>
      <c r="S84" s="59">
        <f>(300*0.16+300)*E84</f>
        <v>1740</v>
      </c>
      <c r="T84" s="34"/>
      <c r="U84" s="34"/>
      <c r="V84" s="35"/>
      <c r="W84" s="35"/>
      <c r="X84" s="35"/>
      <c r="Y84" s="35"/>
      <c r="Z84" s="36"/>
      <c r="AA84" s="35"/>
      <c r="AB84" s="35"/>
      <c r="AC84" s="54"/>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3">
        <f t="shared" ref="BA84:BA144" si="1">SUM(K84+S84+T84-U84-V84-W84-X84-Y84-Z84-AA84-AB84-AC84-AD84-AE84-AF84-AG84-AH84-AI84-AJ84-AK84-AL84-AM84-AN84-AO84-AP84-AQ84-AR84-AS84-AT84-AU84-AV84-AW84-AX84-AY84-AZ84)</f>
        <v>1740.0000000000005</v>
      </c>
      <c r="BB84" s="43"/>
    </row>
    <row r="85" spans="1:54" s="23" customFormat="1" ht="68.25" customHeight="1" x14ac:dyDescent="0.3">
      <c r="A85" s="26">
        <v>68</v>
      </c>
      <c r="B85" s="43" t="s">
        <v>869</v>
      </c>
      <c r="C85" s="28"/>
      <c r="D85" s="318" t="s">
        <v>2998</v>
      </c>
      <c r="E85" s="92">
        <v>5</v>
      </c>
      <c r="F85" s="30" t="s">
        <v>30</v>
      </c>
      <c r="G85" s="112">
        <f>[1]DICIEMBRE!$BA$89</f>
        <v>0</v>
      </c>
      <c r="H85" s="31">
        <f>ENERO!BA86</f>
        <v>0</v>
      </c>
      <c r="I85" s="31">
        <f>FEBRERO!AX86</f>
        <v>0</v>
      </c>
      <c r="J85" s="32">
        <f>MARZO!BA87</f>
        <v>0</v>
      </c>
      <c r="K85" s="32">
        <f>ABRIL!AZ86</f>
        <v>0</v>
      </c>
      <c r="L85" s="32"/>
      <c r="M85" s="32"/>
      <c r="N85" s="32"/>
      <c r="O85" s="32"/>
      <c r="P85" s="31"/>
      <c r="Q85" s="31"/>
      <c r="R85" s="31"/>
      <c r="S85" s="59">
        <f>(300*0.16+300)*E85</f>
        <v>1740</v>
      </c>
      <c r="T85" s="34"/>
      <c r="U85" s="34"/>
      <c r="V85" s="35"/>
      <c r="W85" s="35"/>
      <c r="X85" s="35"/>
      <c r="Y85" s="35"/>
      <c r="Z85" s="36"/>
      <c r="AA85" s="35"/>
      <c r="AB85" s="35"/>
      <c r="AC85" s="54"/>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3">
        <f t="shared" si="1"/>
        <v>1740</v>
      </c>
      <c r="BB85" s="43" t="s">
        <v>2781</v>
      </c>
    </row>
    <row r="86" spans="1:54" s="23" customFormat="1" ht="75.75" customHeight="1" x14ac:dyDescent="0.3">
      <c r="A86" s="26">
        <v>69</v>
      </c>
      <c r="B86" s="43" t="s">
        <v>2377</v>
      </c>
      <c r="C86" s="28"/>
      <c r="D86" s="330" t="s">
        <v>2999</v>
      </c>
      <c r="E86" s="94">
        <v>1</v>
      </c>
      <c r="F86" s="44" t="s">
        <v>30</v>
      </c>
      <c r="G86" s="112"/>
      <c r="H86" s="31"/>
      <c r="I86" s="31"/>
      <c r="J86" s="32">
        <f>MARZO!BA88</f>
        <v>0</v>
      </c>
      <c r="K86" s="33">
        <f>ABRIL!AZ87</f>
        <v>0</v>
      </c>
      <c r="L86" s="32"/>
      <c r="M86" s="32"/>
      <c r="N86" s="32"/>
      <c r="O86" s="32"/>
      <c r="P86" s="31"/>
      <c r="Q86" s="31"/>
      <c r="R86" s="31"/>
      <c r="S86" s="59">
        <f>(300*0.16+300)*E86</f>
        <v>348</v>
      </c>
      <c r="T86" s="34"/>
      <c r="U86" s="34"/>
      <c r="V86" s="35"/>
      <c r="W86" s="35"/>
      <c r="X86" s="35"/>
      <c r="Y86" s="35"/>
      <c r="Z86" s="36"/>
      <c r="AA86" s="35"/>
      <c r="AB86" s="35"/>
      <c r="AC86" s="54"/>
      <c r="AD86" s="35"/>
      <c r="AE86" s="35"/>
      <c r="AF86" s="35"/>
      <c r="AG86" s="35"/>
      <c r="AH86" s="35"/>
      <c r="AI86" s="35"/>
      <c r="AJ86" s="35"/>
      <c r="AK86" s="35"/>
      <c r="AL86" s="35"/>
      <c r="AM86" s="35"/>
      <c r="AN86" s="35"/>
      <c r="AO86" s="35"/>
      <c r="AP86" s="35"/>
      <c r="AQ86" s="35"/>
      <c r="AR86" s="35"/>
      <c r="AS86" s="35"/>
      <c r="AT86" s="35"/>
      <c r="AU86" s="35"/>
      <c r="AV86" s="35"/>
      <c r="AW86" s="35"/>
      <c r="AX86" s="35"/>
      <c r="AY86" s="35"/>
      <c r="AZ86" s="35"/>
      <c r="BA86" s="33">
        <f t="shared" si="1"/>
        <v>348</v>
      </c>
      <c r="BB86" s="43"/>
    </row>
    <row r="87" spans="1:54" s="23" customFormat="1" ht="49.5" customHeight="1" x14ac:dyDescent="0.3">
      <c r="A87" s="26">
        <v>70</v>
      </c>
      <c r="B87" s="43" t="s">
        <v>1471</v>
      </c>
      <c r="C87" s="28"/>
      <c r="D87" s="318" t="s">
        <v>1477</v>
      </c>
      <c r="E87" s="92">
        <v>9</v>
      </c>
      <c r="F87" s="30" t="s">
        <v>30</v>
      </c>
      <c r="G87" s="234">
        <f>[1]DICIEMBRE!$BA$90</f>
        <v>0</v>
      </c>
      <c r="H87" s="31">
        <f>ENERO!BA87</f>
        <v>0</v>
      </c>
      <c r="I87" s="45">
        <f>FEBRERO!AX87</f>
        <v>0</v>
      </c>
      <c r="J87" s="32">
        <f>MARZO!BA89</f>
        <v>0</v>
      </c>
      <c r="K87" s="33">
        <f>ABRIL!AZ88</f>
        <v>0</v>
      </c>
      <c r="L87" s="32"/>
      <c r="M87" s="32"/>
      <c r="N87" s="32"/>
      <c r="O87" s="32"/>
      <c r="P87" s="31"/>
      <c r="Q87" s="31"/>
      <c r="R87" s="31"/>
      <c r="S87" s="59">
        <f>(300*0.16+300)*E87</f>
        <v>3132</v>
      </c>
      <c r="T87" s="34">
        <f>769*0.16+769</f>
        <v>892.04</v>
      </c>
      <c r="U87" s="34"/>
      <c r="V87" s="35"/>
      <c r="W87" s="35"/>
      <c r="X87" s="35"/>
      <c r="Y87" s="35"/>
      <c r="Z87" s="36"/>
      <c r="AA87" s="35"/>
      <c r="AB87" s="35"/>
      <c r="AC87" s="54"/>
      <c r="AD87" s="35"/>
      <c r="AE87" s="35"/>
      <c r="AF87" s="35"/>
      <c r="AG87" s="35"/>
      <c r="AH87" s="35"/>
      <c r="AI87" s="35"/>
      <c r="AJ87" s="35"/>
      <c r="AK87" s="35"/>
      <c r="AL87" s="35"/>
      <c r="AM87" s="35"/>
      <c r="AN87" s="35"/>
      <c r="AO87" s="35"/>
      <c r="AP87" s="35"/>
      <c r="AQ87" s="35"/>
      <c r="AR87" s="35"/>
      <c r="AS87" s="35"/>
      <c r="AT87" s="35"/>
      <c r="AU87" s="35"/>
      <c r="AV87" s="35"/>
      <c r="AW87" s="35"/>
      <c r="AX87" s="35"/>
      <c r="AY87" s="35"/>
      <c r="AZ87" s="35"/>
      <c r="BA87" s="33">
        <f t="shared" si="1"/>
        <v>4024.04</v>
      </c>
      <c r="BB87" s="43" t="s">
        <v>2893</v>
      </c>
    </row>
    <row r="88" spans="1:54" s="23" customFormat="1" ht="45" customHeight="1" x14ac:dyDescent="0.3">
      <c r="A88" s="26">
        <v>71</v>
      </c>
      <c r="B88" s="43" t="s">
        <v>1467</v>
      </c>
      <c r="C88" s="28"/>
      <c r="D88" s="308" t="s">
        <v>1654</v>
      </c>
      <c r="E88" s="92">
        <v>3</v>
      </c>
      <c r="F88" s="30" t="s">
        <v>30</v>
      </c>
      <c r="G88" s="234">
        <f>[1]DICIEMBRE!$BA$92</f>
        <v>0</v>
      </c>
      <c r="H88" s="45">
        <f>ENERO!BA88</f>
        <v>0</v>
      </c>
      <c r="I88" s="31">
        <f>FEBRERO!AX88</f>
        <v>0</v>
      </c>
      <c r="J88" s="32">
        <f>MARZO!BA90</f>
        <v>0</v>
      </c>
      <c r="K88" s="32">
        <f>ABRIL!AZ89</f>
        <v>0</v>
      </c>
      <c r="L88" s="32"/>
      <c r="M88" s="32"/>
      <c r="N88" s="336"/>
      <c r="O88" s="32"/>
      <c r="P88" s="33"/>
      <c r="Q88" s="31"/>
      <c r="R88" s="31"/>
      <c r="S88" s="59">
        <f>(300*0.16+300)*E88</f>
        <v>1044</v>
      </c>
      <c r="T88" s="34"/>
      <c r="U88" s="34"/>
      <c r="V88" s="35"/>
      <c r="W88" s="35"/>
      <c r="X88" s="35"/>
      <c r="Y88" s="35"/>
      <c r="Z88" s="36"/>
      <c r="AA88" s="35"/>
      <c r="AB88" s="35"/>
      <c r="AC88" s="54"/>
      <c r="AD88" s="35"/>
      <c r="AE88" s="35"/>
      <c r="AF88" s="35"/>
      <c r="AG88" s="35"/>
      <c r="AH88" s="35"/>
      <c r="AI88" s="35"/>
      <c r="AJ88" s="35"/>
      <c r="AK88" s="35"/>
      <c r="AL88" s="35"/>
      <c r="AM88" s="35"/>
      <c r="AN88" s="35"/>
      <c r="AO88" s="35"/>
      <c r="AP88" s="35"/>
      <c r="AQ88" s="35"/>
      <c r="AR88" s="35"/>
      <c r="AS88" s="35"/>
      <c r="AT88" s="35"/>
      <c r="AU88" s="35"/>
      <c r="AV88" s="35"/>
      <c r="AW88" s="35"/>
      <c r="AX88" s="35"/>
      <c r="AY88" s="35"/>
      <c r="AZ88" s="35"/>
      <c r="BA88" s="33">
        <f t="shared" si="1"/>
        <v>1044</v>
      </c>
      <c r="BB88" s="43"/>
    </row>
    <row r="89" spans="1:54" s="23" customFormat="1" ht="92.25" customHeight="1" x14ac:dyDescent="0.3">
      <c r="A89" s="26">
        <v>72</v>
      </c>
      <c r="B89" s="43" t="s">
        <v>1747</v>
      </c>
      <c r="C89" s="28"/>
      <c r="D89" s="318" t="s">
        <v>3000</v>
      </c>
      <c r="E89" s="93">
        <v>2</v>
      </c>
      <c r="F89" s="30" t="s">
        <v>30</v>
      </c>
      <c r="G89" s="112">
        <f>[1]DICIEMBRE!$BA$33</f>
        <v>1.2000000001535227E-3</v>
      </c>
      <c r="H89" s="31">
        <f>ENERO!BA89</f>
        <v>1.2000000001535227E-3</v>
      </c>
      <c r="I89" s="31">
        <f>FEBRERO!AX89</f>
        <v>1.2000000001535227E-3</v>
      </c>
      <c r="J89" s="32">
        <f>MARZO!BA91</f>
        <v>580.00120000000015</v>
      </c>
      <c r="K89" s="33">
        <f>ABRIL!AZ90</f>
        <v>580.00120000000015</v>
      </c>
      <c r="L89" s="336"/>
      <c r="M89" s="336"/>
      <c r="N89" s="336"/>
      <c r="O89" s="32"/>
      <c r="P89" s="33"/>
      <c r="Q89" s="31"/>
      <c r="R89" s="31"/>
      <c r="S89" s="34">
        <f>(250*0.16+250)*E89</f>
        <v>580</v>
      </c>
      <c r="T89" s="34"/>
      <c r="U89" s="34"/>
      <c r="V89" s="34"/>
      <c r="W89" s="34"/>
      <c r="X89" s="34"/>
      <c r="Y89" s="34"/>
      <c r="Z89" s="34"/>
      <c r="AA89" s="34"/>
      <c r="AB89" s="34"/>
      <c r="AC89" s="34"/>
      <c r="AD89" s="34"/>
      <c r="AE89" s="34"/>
      <c r="AF89" s="34"/>
      <c r="AG89" s="34"/>
      <c r="AH89" s="34"/>
      <c r="AI89" s="34"/>
      <c r="AJ89" s="34"/>
      <c r="AK89" s="38"/>
      <c r="AL89" s="34"/>
      <c r="AM89" s="34"/>
      <c r="AN89" s="34"/>
      <c r="AO89" s="34"/>
      <c r="AP89" s="34"/>
      <c r="AQ89" s="34"/>
      <c r="AR89" s="34"/>
      <c r="AS89" s="34"/>
      <c r="AT89" s="34"/>
      <c r="AU89" s="34"/>
      <c r="AV89" s="34"/>
      <c r="AW89" s="34"/>
      <c r="AX89" s="34"/>
      <c r="AY89" s="34"/>
      <c r="AZ89" s="34"/>
      <c r="BA89" s="33">
        <f t="shared" si="1"/>
        <v>1160.0012000000002</v>
      </c>
      <c r="BB89" s="43" t="s">
        <v>2807</v>
      </c>
    </row>
    <row r="90" spans="1:54" s="23" customFormat="1" ht="80.25" customHeight="1" x14ac:dyDescent="0.3">
      <c r="A90" s="26">
        <v>73</v>
      </c>
      <c r="B90" s="43" t="s">
        <v>1748</v>
      </c>
      <c r="C90" s="28"/>
      <c r="D90" s="300" t="s">
        <v>3001</v>
      </c>
      <c r="E90" s="92">
        <v>5</v>
      </c>
      <c r="F90" s="40" t="s">
        <v>30</v>
      </c>
      <c r="G90" s="112">
        <f>[1]DICIEMBRE!$BA$29</f>
        <v>2900</v>
      </c>
      <c r="H90" s="31">
        <f>ENERO!BA90</f>
        <v>4350</v>
      </c>
      <c r="I90" s="45">
        <f>FEBRERO!AX91</f>
        <v>0</v>
      </c>
      <c r="J90" s="32">
        <f>MARZO!BA93</f>
        <v>0</v>
      </c>
      <c r="K90" s="33">
        <f>ABRIL!AZ91</f>
        <v>1450</v>
      </c>
      <c r="L90" s="32"/>
      <c r="M90" s="32"/>
      <c r="N90" s="32"/>
      <c r="O90" s="32"/>
      <c r="P90" s="31"/>
      <c r="Q90" s="31"/>
      <c r="R90" s="31"/>
      <c r="S90" s="34">
        <f>(250*0.16+250)*E90</f>
        <v>1450</v>
      </c>
      <c r="T90" s="34"/>
      <c r="U90" s="34"/>
      <c r="V90" s="35"/>
      <c r="W90" s="54"/>
      <c r="X90" s="35"/>
      <c r="Y90" s="35"/>
      <c r="Z90" s="35"/>
      <c r="AA90" s="35"/>
      <c r="AB90" s="35"/>
      <c r="AC90" s="35"/>
      <c r="AD90" s="35"/>
      <c r="AE90" s="35"/>
      <c r="AF90" s="35"/>
      <c r="AG90" s="35"/>
      <c r="AH90" s="35"/>
      <c r="AI90" s="36"/>
      <c r="AJ90" s="35"/>
      <c r="AK90" s="35"/>
      <c r="AL90" s="35"/>
      <c r="AM90" s="35"/>
      <c r="AN90" s="35"/>
      <c r="AO90" s="35"/>
      <c r="AP90" s="35"/>
      <c r="AQ90" s="35"/>
      <c r="AR90" s="35"/>
      <c r="AS90" s="35"/>
      <c r="AT90" s="35"/>
      <c r="AU90" s="35"/>
      <c r="AV90" s="35"/>
      <c r="AW90" s="35"/>
      <c r="AX90" s="35"/>
      <c r="AY90" s="35"/>
      <c r="AZ90" s="35"/>
      <c r="BA90" s="33">
        <f t="shared" si="1"/>
        <v>2900</v>
      </c>
      <c r="BB90" s="267" t="s">
        <v>796</v>
      </c>
    </row>
    <row r="91" spans="1:54" s="23" customFormat="1" ht="92.25" customHeight="1" x14ac:dyDescent="0.3">
      <c r="A91" s="26">
        <v>74</v>
      </c>
      <c r="B91" s="43" t="s">
        <v>1749</v>
      </c>
      <c r="C91" s="28" t="s">
        <v>32</v>
      </c>
      <c r="D91" s="300" t="s">
        <v>3002</v>
      </c>
      <c r="E91" s="93">
        <v>13</v>
      </c>
      <c r="F91" s="30" t="s">
        <v>30</v>
      </c>
      <c r="G91" s="234">
        <f>[1]DICIEMBRE!$BA$30</f>
        <v>0</v>
      </c>
      <c r="H91" s="45">
        <f>ENERO!BA91</f>
        <v>0</v>
      </c>
      <c r="I91" s="31">
        <f>FEBRERO!AX92</f>
        <v>0</v>
      </c>
      <c r="J91" s="32">
        <f>MARZO!BA94</f>
        <v>-9.0949470177292824E-13</v>
      </c>
      <c r="K91" s="32">
        <f>ABRIL!AZ92</f>
        <v>-9.0949470177292824E-13</v>
      </c>
      <c r="L91" s="32"/>
      <c r="M91" s="32"/>
      <c r="N91" s="32"/>
      <c r="O91" s="33"/>
      <c r="P91" s="33"/>
      <c r="Q91" s="31"/>
      <c r="R91" s="31"/>
      <c r="S91" s="34">
        <f>(250*0.16+250)*E91</f>
        <v>3770</v>
      </c>
      <c r="T91" s="34"/>
      <c r="U91" s="34"/>
      <c r="V91" s="34"/>
      <c r="W91" s="34"/>
      <c r="X91" s="34"/>
      <c r="Y91" s="34"/>
      <c r="Z91" s="34"/>
      <c r="AA91" s="34"/>
      <c r="AB91" s="34"/>
      <c r="AC91" s="34"/>
      <c r="AD91" s="34"/>
      <c r="AE91" s="34"/>
      <c r="AF91" s="34"/>
      <c r="AG91" s="34"/>
      <c r="AH91" s="34"/>
      <c r="AI91" s="34"/>
      <c r="AJ91" s="34"/>
      <c r="AK91" s="38"/>
      <c r="AL91" s="34"/>
      <c r="AM91" s="34"/>
      <c r="AN91" s="34"/>
      <c r="AO91" s="34"/>
      <c r="AP91" s="34"/>
      <c r="AQ91" s="34"/>
      <c r="AR91" s="34"/>
      <c r="AS91" s="34"/>
      <c r="AT91" s="34"/>
      <c r="AU91" s="34"/>
      <c r="AV91" s="34"/>
      <c r="AW91" s="34"/>
      <c r="AX91" s="34"/>
      <c r="AY91" s="34"/>
      <c r="AZ91" s="34"/>
      <c r="BA91" s="33">
        <f t="shared" si="1"/>
        <v>3769.9999999999991</v>
      </c>
      <c r="BB91" s="43"/>
    </row>
    <row r="92" spans="1:54" s="23" customFormat="1" ht="65.25" customHeight="1" x14ac:dyDescent="0.3">
      <c r="A92" s="26">
        <v>75</v>
      </c>
      <c r="B92" s="43" t="s">
        <v>409</v>
      </c>
      <c r="C92" s="28" t="s">
        <v>412</v>
      </c>
      <c r="D92" s="300" t="s">
        <v>3003</v>
      </c>
      <c r="E92" s="92">
        <v>4</v>
      </c>
      <c r="F92" s="40" t="s">
        <v>30</v>
      </c>
      <c r="G92" s="112">
        <f>[1]DICIEMBRE!$BA$93</f>
        <v>-8.4799999995084363E-2</v>
      </c>
      <c r="H92" s="31">
        <f>ENERO!BA92</f>
        <v>-8.4799999995084363E-2</v>
      </c>
      <c r="I92" s="31">
        <f>FEBRERO!AX93</f>
        <v>-4.7999999951571226E-3</v>
      </c>
      <c r="J92" s="32">
        <f>MARZO!BA95</f>
        <v>-4.7999999951571226E-3</v>
      </c>
      <c r="K92" s="33">
        <f>ABRIL!AZ93</f>
        <v>-4.7999999951571226E-3</v>
      </c>
      <c r="L92" s="32"/>
      <c r="M92" s="336"/>
      <c r="N92" s="32"/>
      <c r="O92" s="33"/>
      <c r="P92" s="33"/>
      <c r="Q92" s="31"/>
      <c r="R92" s="31"/>
      <c r="S92" s="34">
        <f>(350*0.16+350)*E92</f>
        <v>1624</v>
      </c>
      <c r="T92" s="34"/>
      <c r="U92" s="34"/>
      <c r="V92" s="35"/>
      <c r="W92" s="54"/>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c r="AV92" s="35"/>
      <c r="AW92" s="35"/>
      <c r="AX92" s="35"/>
      <c r="AY92" s="35"/>
      <c r="AZ92" s="35"/>
      <c r="BA92" s="33">
        <f t="shared" si="1"/>
        <v>1623.9952000000048</v>
      </c>
      <c r="BB92" s="267"/>
    </row>
    <row r="93" spans="1:54" s="23" customFormat="1" ht="81" customHeight="1" x14ac:dyDescent="0.3">
      <c r="A93" s="26">
        <v>76</v>
      </c>
      <c r="B93" s="43" t="s">
        <v>410</v>
      </c>
      <c r="C93" s="28" t="s">
        <v>411</v>
      </c>
      <c r="D93" s="300" t="s">
        <v>3003</v>
      </c>
      <c r="E93" s="92">
        <v>8</v>
      </c>
      <c r="F93" s="40" t="s">
        <v>30</v>
      </c>
      <c r="G93" s="234">
        <f>[1]DICIEMBRE!$BA$94</f>
        <v>-8.7999999996100087E-3</v>
      </c>
      <c r="H93" s="31">
        <f>ENERO!BA93</f>
        <v>-8.7999999996100087E-3</v>
      </c>
      <c r="I93" s="31">
        <f>FEBRERO!AX94</f>
        <v>1.2000000006082701E-3</v>
      </c>
      <c r="J93" s="32">
        <f>MARZO!BA96</f>
        <v>1.2000000006082701E-3</v>
      </c>
      <c r="K93" s="33">
        <f>ABRIL!AZ94</f>
        <v>1.2000000006082701E-3</v>
      </c>
      <c r="L93" s="32"/>
      <c r="M93" s="32"/>
      <c r="N93" s="32"/>
      <c r="O93" s="32"/>
      <c r="P93" s="31"/>
      <c r="Q93" s="31"/>
      <c r="R93" s="31"/>
      <c r="S93" s="34">
        <f>(350*0.16+350)*E93</f>
        <v>3248</v>
      </c>
      <c r="T93" s="34"/>
      <c r="U93" s="34"/>
      <c r="V93" s="35"/>
      <c r="W93" s="54"/>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c r="AV93" s="35"/>
      <c r="AW93" s="35"/>
      <c r="AX93" s="35"/>
      <c r="AY93" s="35"/>
      <c r="AZ93" s="35"/>
      <c r="BA93" s="33">
        <f t="shared" si="1"/>
        <v>3248.0012000000006</v>
      </c>
      <c r="BB93" s="267"/>
    </row>
    <row r="94" spans="1:54" s="23" customFormat="1" ht="90" customHeight="1" x14ac:dyDescent="0.3">
      <c r="A94" s="26">
        <v>77</v>
      </c>
      <c r="B94" s="43" t="s">
        <v>1751</v>
      </c>
      <c r="C94" s="28" t="s">
        <v>29</v>
      </c>
      <c r="D94" s="300" t="s">
        <v>3004</v>
      </c>
      <c r="E94" s="92">
        <v>6</v>
      </c>
      <c r="F94" s="30" t="s">
        <v>30</v>
      </c>
      <c r="G94" s="112">
        <f>[1]DICIEMBRE!$BA$19</f>
        <v>0</v>
      </c>
      <c r="H94" s="45">
        <f>ENERO!BA94</f>
        <v>0</v>
      </c>
      <c r="I94" s="45">
        <f>FEBRERO!AX95</f>
        <v>0</v>
      </c>
      <c r="J94" s="32">
        <f>MARZO!BA97</f>
        <v>0</v>
      </c>
      <c r="K94" s="32">
        <f>ABRIL!AZ95</f>
        <v>0</v>
      </c>
      <c r="L94" s="32"/>
      <c r="M94" s="32"/>
      <c r="N94" s="32"/>
      <c r="O94" s="32"/>
      <c r="P94" s="31"/>
      <c r="Q94" s="31"/>
      <c r="R94" s="31"/>
      <c r="S94" s="34">
        <f>350*E94*0.16+350*E94</f>
        <v>2436</v>
      </c>
      <c r="T94" s="34"/>
      <c r="U94" s="34"/>
      <c r="V94" s="35"/>
      <c r="W94" s="35"/>
      <c r="X94" s="35"/>
      <c r="Y94" s="35"/>
      <c r="Z94" s="36"/>
      <c r="AA94" s="35"/>
      <c r="AB94" s="35"/>
      <c r="AC94" s="35"/>
      <c r="AD94" s="35"/>
      <c r="AE94" s="35"/>
      <c r="AF94" s="35"/>
      <c r="AG94" s="35"/>
      <c r="AH94" s="35"/>
      <c r="AI94" s="35"/>
      <c r="AJ94" s="35"/>
      <c r="AK94" s="37"/>
      <c r="AL94" s="35"/>
      <c r="AM94" s="35"/>
      <c r="AN94" s="35"/>
      <c r="AO94" s="35"/>
      <c r="AP94" s="35"/>
      <c r="AQ94" s="35"/>
      <c r="AR94" s="35"/>
      <c r="AS94" s="35"/>
      <c r="AT94" s="35"/>
      <c r="AU94" s="35"/>
      <c r="AV94" s="35"/>
      <c r="AW94" s="35"/>
      <c r="AX94" s="35"/>
      <c r="AY94" s="35"/>
      <c r="AZ94" s="35"/>
      <c r="BA94" s="33">
        <f t="shared" si="1"/>
        <v>2436</v>
      </c>
      <c r="BB94" s="43"/>
    </row>
    <row r="95" spans="1:54" s="23" customFormat="1" ht="54.75" customHeight="1" x14ac:dyDescent="0.3">
      <c r="A95" s="26">
        <v>78</v>
      </c>
      <c r="B95" s="348" t="s">
        <v>1904</v>
      </c>
      <c r="C95" s="28"/>
      <c r="D95" s="300" t="s">
        <v>1905</v>
      </c>
      <c r="E95" s="92">
        <v>2</v>
      </c>
      <c r="F95" s="30"/>
      <c r="G95" s="112"/>
      <c r="H95" s="31">
        <f>ENERO!BA95</f>
        <v>0</v>
      </c>
      <c r="I95" s="31">
        <f>FEBRERO!AX96</f>
        <v>5.6843418860808015E-14</v>
      </c>
      <c r="J95" s="32">
        <f>MARZO!BA98</f>
        <v>4.5474735088646412E-13</v>
      </c>
      <c r="K95" s="33">
        <f>ABRIL!AZ96</f>
        <v>5.6843418860808015E-13</v>
      </c>
      <c r="L95" s="32"/>
      <c r="M95" s="32"/>
      <c r="N95" s="32"/>
      <c r="O95" s="32"/>
      <c r="P95" s="31"/>
      <c r="Q95" s="31"/>
      <c r="R95" s="31"/>
      <c r="S95" s="34">
        <f>(249*0.16+249)*E95</f>
        <v>577.68000000000006</v>
      </c>
      <c r="T95" s="34"/>
      <c r="U95" s="34"/>
      <c r="V95" s="35"/>
      <c r="W95" s="35"/>
      <c r="X95" s="35"/>
      <c r="Y95" s="35"/>
      <c r="Z95" s="36"/>
      <c r="AA95" s="35"/>
      <c r="AB95" s="35"/>
      <c r="AC95" s="35"/>
      <c r="AD95" s="35"/>
      <c r="AE95" s="35"/>
      <c r="AF95" s="35"/>
      <c r="AG95" s="35"/>
      <c r="AH95" s="35"/>
      <c r="AI95" s="35"/>
      <c r="AJ95" s="35"/>
      <c r="AK95" s="37"/>
      <c r="AL95" s="35"/>
      <c r="AM95" s="35"/>
      <c r="AN95" s="35"/>
      <c r="AO95" s="35"/>
      <c r="AP95" s="35"/>
      <c r="AQ95" s="35"/>
      <c r="AR95" s="35"/>
      <c r="AS95" s="35"/>
      <c r="AT95" s="35"/>
      <c r="AU95" s="35"/>
      <c r="AV95" s="35"/>
      <c r="AW95" s="35"/>
      <c r="AX95" s="35"/>
      <c r="AY95" s="35"/>
      <c r="AZ95" s="35"/>
      <c r="BA95" s="33">
        <f t="shared" si="1"/>
        <v>577.68000000000063</v>
      </c>
      <c r="BB95" s="43"/>
    </row>
    <row r="96" spans="1:54" s="23" customFormat="1" ht="81" customHeight="1" x14ac:dyDescent="0.3">
      <c r="A96" s="26">
        <v>79</v>
      </c>
      <c r="B96" s="43" t="s">
        <v>1548</v>
      </c>
      <c r="C96" s="28"/>
      <c r="D96" s="300" t="s">
        <v>3005</v>
      </c>
      <c r="E96" s="92">
        <v>9</v>
      </c>
      <c r="F96" s="40" t="s">
        <v>30</v>
      </c>
      <c r="G96" s="112">
        <f>[1]DICIEMBRE!$BA$95</f>
        <v>4.5474735088646412E-13</v>
      </c>
      <c r="H96" s="31">
        <f>ENERO!BA96</f>
        <v>4.5474735088646412E-13</v>
      </c>
      <c r="I96" s="31">
        <f>FEBRERO!AX97</f>
        <v>4.5474735088646412E-13</v>
      </c>
      <c r="J96" s="32">
        <f>MARZO!BA99</f>
        <v>4.5474735088646412E-13</v>
      </c>
      <c r="K96" s="33">
        <f>ABRIL!AZ97</f>
        <v>4.5474735088646412E-13</v>
      </c>
      <c r="L96" s="32"/>
      <c r="M96" s="32"/>
      <c r="N96" s="32"/>
      <c r="O96" s="32"/>
      <c r="P96" s="31"/>
      <c r="Q96" s="31"/>
      <c r="R96" s="31"/>
      <c r="S96" s="34">
        <f>(300*0.16+300)*E96</f>
        <v>3132</v>
      </c>
      <c r="T96" s="34"/>
      <c r="U96" s="34"/>
      <c r="V96" s="35"/>
      <c r="W96" s="54"/>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c r="AV96" s="35"/>
      <c r="AW96" s="35"/>
      <c r="AX96" s="35"/>
      <c r="AY96" s="35"/>
      <c r="AZ96" s="35"/>
      <c r="BA96" s="33">
        <f t="shared" si="1"/>
        <v>3132.0000000000005</v>
      </c>
      <c r="BB96" s="267"/>
    </row>
    <row r="97" spans="1:55" s="23" customFormat="1" ht="78" customHeight="1" x14ac:dyDescent="0.3">
      <c r="A97" s="26">
        <v>80</v>
      </c>
      <c r="B97" s="43" t="s">
        <v>1752</v>
      </c>
      <c r="C97" s="27" t="s">
        <v>381</v>
      </c>
      <c r="D97" s="300" t="s">
        <v>3006</v>
      </c>
      <c r="E97" s="92">
        <v>13</v>
      </c>
      <c r="F97" s="30" t="s">
        <v>30</v>
      </c>
      <c r="G97" s="112">
        <f>[1]DICIEMBRE!$BA$55</f>
        <v>-3.9999999989959178E-4</v>
      </c>
      <c r="H97" s="45">
        <f>ENERO!BA97</f>
        <v>-3.9999999989959178E-4</v>
      </c>
      <c r="I97" s="31">
        <f>FEBRERO!AX98</f>
        <v>-3.9999999989959178E-4</v>
      </c>
      <c r="J97" s="32">
        <f>MARZO!BA100</f>
        <v>-3.9999999989959178E-4</v>
      </c>
      <c r="K97" s="32">
        <f>ABRIL!AZ98</f>
        <v>-3.9999999989959178E-4</v>
      </c>
      <c r="L97" s="32"/>
      <c r="M97" s="32"/>
      <c r="N97" s="32"/>
      <c r="O97" s="33"/>
      <c r="P97" s="31"/>
      <c r="Q97" s="31"/>
      <c r="R97" s="31"/>
      <c r="S97" s="34">
        <f>(300*0.16+300)*E97</f>
        <v>4524</v>
      </c>
      <c r="T97" s="35"/>
      <c r="U97" s="35"/>
      <c r="V97" s="35"/>
      <c r="W97" s="35"/>
      <c r="X97" s="35"/>
      <c r="Y97" s="35"/>
      <c r="Z97" s="35"/>
      <c r="AA97" s="35"/>
      <c r="AB97" s="35"/>
      <c r="AC97" s="35"/>
      <c r="AD97" s="35"/>
      <c r="AE97" s="35"/>
      <c r="AF97" s="35"/>
      <c r="AG97" s="35"/>
      <c r="AH97" s="35"/>
      <c r="AI97" s="35"/>
      <c r="AJ97" s="35"/>
      <c r="AK97" s="42"/>
      <c r="AL97" s="35"/>
      <c r="AM97" s="35"/>
      <c r="AN97" s="35"/>
      <c r="AO97" s="35"/>
      <c r="AP97" s="35"/>
      <c r="AQ97" s="35"/>
      <c r="AR97" s="35"/>
      <c r="AS97" s="35"/>
      <c r="AT97" s="35"/>
      <c r="AU97" s="35"/>
      <c r="AV97" s="35"/>
      <c r="AW97" s="35"/>
      <c r="AX97" s="35"/>
      <c r="AY97" s="35"/>
      <c r="AZ97" s="35"/>
      <c r="BA97" s="33">
        <f t="shared" si="1"/>
        <v>4523.9996000000001</v>
      </c>
      <c r="BB97" s="43"/>
    </row>
    <row r="98" spans="1:55" ht="54.75" customHeight="1" x14ac:dyDescent="0.35">
      <c r="A98" s="26">
        <v>81</v>
      </c>
      <c r="B98" s="43" t="s">
        <v>1924</v>
      </c>
      <c r="C98" s="53"/>
      <c r="D98" s="419" t="s">
        <v>2975</v>
      </c>
      <c r="E98" s="94">
        <v>5</v>
      </c>
      <c r="F98" s="44" t="s">
        <v>30</v>
      </c>
      <c r="G98" s="112"/>
      <c r="H98" s="31">
        <f>ENERO!BA99</f>
        <v>9.0949470177292824E-13</v>
      </c>
      <c r="I98" s="31">
        <f>FEBRERO!AX100</f>
        <v>9.0949470177292824E-13</v>
      </c>
      <c r="J98" s="32">
        <f>MARZO!BA102</f>
        <v>9.0949470177292824E-13</v>
      </c>
      <c r="K98" s="33">
        <f>ABRIL!AZ99</f>
        <v>9.0949470177292824E-13</v>
      </c>
      <c r="L98" s="32"/>
      <c r="M98" s="336"/>
      <c r="N98" s="32"/>
      <c r="O98" s="32"/>
      <c r="P98" s="33"/>
      <c r="Q98" s="31"/>
      <c r="R98" s="31"/>
      <c r="S98" s="47">
        <f>(250*0.16+250)*E98</f>
        <v>1450</v>
      </c>
      <c r="T98" s="47"/>
      <c r="U98" s="48"/>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33">
        <f t="shared" si="1"/>
        <v>1450.0000000000009</v>
      </c>
      <c r="BB98" s="43"/>
    </row>
    <row r="99" spans="1:55" s="23" customFormat="1" ht="71.25" customHeight="1" x14ac:dyDescent="0.3">
      <c r="A99" s="26">
        <v>82</v>
      </c>
      <c r="B99" s="43" t="s">
        <v>1753</v>
      </c>
      <c r="C99" s="28" t="s">
        <v>38</v>
      </c>
      <c r="D99" s="300" t="s">
        <v>3007</v>
      </c>
      <c r="E99" s="92">
        <v>9</v>
      </c>
      <c r="F99" s="30" t="s">
        <v>35</v>
      </c>
      <c r="G99" s="112">
        <f>[1]DICIEMBRE!$BA$47</f>
        <v>2.8000000056636054E-3</v>
      </c>
      <c r="H99" s="45">
        <f>ENERO!BA100</f>
        <v>2.8000000056636054E-3</v>
      </c>
      <c r="I99" s="31">
        <f>FEBRERO!AX101</f>
        <v>2.8000000056636054E-3</v>
      </c>
      <c r="J99" s="32">
        <f>MARZO!BA103</f>
        <v>2.8000000056636054E-3</v>
      </c>
      <c r="K99" s="33">
        <f>ABRIL!AZ100</f>
        <v>2.8000000056636054E-3</v>
      </c>
      <c r="L99" s="336"/>
      <c r="M99" s="336"/>
      <c r="N99" s="32"/>
      <c r="O99" s="32"/>
      <c r="P99" s="33"/>
      <c r="Q99" s="31"/>
      <c r="R99" s="31"/>
      <c r="S99" s="34">
        <f>(275*0.16+275)*E99</f>
        <v>2871</v>
      </c>
      <c r="T99" s="34"/>
      <c r="U99" s="34"/>
      <c r="V99" s="34"/>
      <c r="W99" s="34"/>
      <c r="X99" s="34"/>
      <c r="Y99" s="34"/>
      <c r="Z99" s="52"/>
      <c r="AA99" s="34"/>
      <c r="AB99" s="34"/>
      <c r="AC99" s="34"/>
      <c r="AD99" s="34"/>
      <c r="AE99" s="34"/>
      <c r="AF99" s="34"/>
      <c r="AG99" s="34"/>
      <c r="AH99" s="34"/>
      <c r="AI99" s="34"/>
      <c r="AJ99" s="34"/>
      <c r="AK99" s="38"/>
      <c r="AL99" s="34"/>
      <c r="AM99" s="34"/>
      <c r="AN99" s="34"/>
      <c r="AO99" s="34"/>
      <c r="AP99" s="34"/>
      <c r="AQ99" s="34"/>
      <c r="AR99" s="34"/>
      <c r="AS99" s="34"/>
      <c r="AT99" s="34"/>
      <c r="AU99" s="34"/>
      <c r="AV99" s="34"/>
      <c r="AW99" s="34"/>
      <c r="AX99" s="34"/>
      <c r="AY99" s="34"/>
      <c r="AZ99" s="34"/>
      <c r="BA99" s="33">
        <f t="shared" si="1"/>
        <v>2871.0028000000057</v>
      </c>
      <c r="BB99" s="43"/>
    </row>
    <row r="100" spans="1:55" s="23" customFormat="1" ht="56.25" customHeight="1" x14ac:dyDescent="0.3">
      <c r="A100" s="26">
        <v>83</v>
      </c>
      <c r="B100" s="348" t="s">
        <v>1893</v>
      </c>
      <c r="C100" s="28"/>
      <c r="D100" s="300" t="s">
        <v>2018</v>
      </c>
      <c r="E100" s="92">
        <v>3</v>
      </c>
      <c r="F100" s="30"/>
      <c r="G100" s="112"/>
      <c r="H100" s="31">
        <f>ENERO!BA101</f>
        <v>9.0949470177292824E-13</v>
      </c>
      <c r="I100" s="31">
        <f>FEBRERO!AX102</f>
        <v>2.8000000008887582E-3</v>
      </c>
      <c r="J100" s="32">
        <f>MARZO!BA104</f>
        <v>2.8000000008887582E-3</v>
      </c>
      <c r="K100" s="32">
        <f>ABRIL!AZ101</f>
        <v>-3.9999999921747076E-4</v>
      </c>
      <c r="L100" s="336"/>
      <c r="M100" s="336"/>
      <c r="N100" s="32"/>
      <c r="O100" s="32"/>
      <c r="P100" s="33"/>
      <c r="Q100" s="31"/>
      <c r="R100" s="31"/>
      <c r="S100" s="35">
        <f>(299*0.16+299)*E100</f>
        <v>1040.52</v>
      </c>
      <c r="T100" s="34"/>
      <c r="U100" s="34"/>
      <c r="V100" s="34"/>
      <c r="W100" s="34"/>
      <c r="X100" s="34"/>
      <c r="Y100" s="34"/>
      <c r="Z100" s="52"/>
      <c r="AA100" s="34"/>
      <c r="AB100" s="34"/>
      <c r="AC100" s="34"/>
      <c r="AD100" s="34"/>
      <c r="AE100" s="34"/>
      <c r="AF100" s="34"/>
      <c r="AG100" s="34"/>
      <c r="AH100" s="34"/>
      <c r="AI100" s="34"/>
      <c r="AJ100" s="34"/>
      <c r="AK100" s="38"/>
      <c r="AL100" s="34"/>
      <c r="AM100" s="34"/>
      <c r="AN100" s="34"/>
      <c r="AO100" s="34"/>
      <c r="AP100" s="34"/>
      <c r="AQ100" s="34"/>
      <c r="AR100" s="34"/>
      <c r="AS100" s="34"/>
      <c r="AT100" s="34"/>
      <c r="AU100" s="34"/>
      <c r="AV100" s="34"/>
      <c r="AW100" s="34"/>
      <c r="AX100" s="34"/>
      <c r="AY100" s="34"/>
      <c r="AZ100" s="34"/>
      <c r="BA100" s="33">
        <f t="shared" si="1"/>
        <v>1040.5196000000008</v>
      </c>
      <c r="BB100" s="43" t="s">
        <v>2629</v>
      </c>
    </row>
    <row r="101" spans="1:55" ht="67.5" customHeight="1" x14ac:dyDescent="0.35">
      <c r="A101" s="26">
        <v>84</v>
      </c>
      <c r="B101" s="43" t="s">
        <v>1755</v>
      </c>
      <c r="C101" s="53" t="s">
        <v>127</v>
      </c>
      <c r="D101" s="300" t="s">
        <v>3008</v>
      </c>
      <c r="E101" s="94">
        <v>13</v>
      </c>
      <c r="F101" s="44" t="s">
        <v>30</v>
      </c>
      <c r="G101" s="234">
        <f>[1]DICIEMBRE!$BA$96</f>
        <v>0</v>
      </c>
      <c r="H101" s="31">
        <f>ENERO!BA102</f>
        <v>0</v>
      </c>
      <c r="I101" s="45">
        <f>FEBRERO!AX103</f>
        <v>0</v>
      </c>
      <c r="J101" s="32">
        <f>MARZO!BA105</f>
        <v>0</v>
      </c>
      <c r="K101" s="33">
        <f>ABRIL!AZ102</f>
        <v>4524</v>
      </c>
      <c r="L101" s="336"/>
      <c r="M101" s="32"/>
      <c r="N101" s="32"/>
      <c r="O101" s="32"/>
      <c r="P101" s="33"/>
      <c r="Q101" s="31"/>
      <c r="R101" s="31"/>
      <c r="S101" s="47">
        <f>(300*0.16+300)*E101</f>
        <v>4524</v>
      </c>
      <c r="U101" s="48"/>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33">
        <f t="shared" si="1"/>
        <v>9048</v>
      </c>
      <c r="BB101" s="43"/>
    </row>
    <row r="102" spans="1:55" ht="90" customHeight="1" x14ac:dyDescent="0.35">
      <c r="A102" s="26">
        <v>85</v>
      </c>
      <c r="B102" s="27" t="s">
        <v>62</v>
      </c>
      <c r="C102" s="28" t="s">
        <v>63</v>
      </c>
      <c r="D102" s="300" t="s">
        <v>3009</v>
      </c>
      <c r="E102" s="125">
        <v>5</v>
      </c>
      <c r="F102" s="60" t="s">
        <v>33</v>
      </c>
      <c r="G102" s="112">
        <f>[1]DICIEMBRE!$BA$101</f>
        <v>0</v>
      </c>
      <c r="H102" s="45">
        <f>ENERO!BA103</f>
        <v>0</v>
      </c>
      <c r="I102" s="31">
        <f>FEBRERO!AX104</f>
        <v>0</v>
      </c>
      <c r="J102" s="32">
        <f>MARZO!BA106</f>
        <v>0</v>
      </c>
      <c r="K102" s="33">
        <f>ABRIL!AZ103</f>
        <v>0</v>
      </c>
      <c r="L102" s="32"/>
      <c r="M102" s="336"/>
      <c r="N102" s="32"/>
      <c r="O102" s="33"/>
      <c r="P102" s="33"/>
      <c r="Q102" s="31"/>
      <c r="R102" s="31"/>
      <c r="S102" s="47">
        <f>(350*0.16+350)*E102</f>
        <v>2030</v>
      </c>
      <c r="T102" s="47"/>
      <c r="U102" s="48"/>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33">
        <f t="shared" si="1"/>
        <v>2030</v>
      </c>
      <c r="BB102" s="268"/>
    </row>
    <row r="103" spans="1:55" ht="90" customHeight="1" x14ac:dyDescent="0.35">
      <c r="A103" s="26">
        <v>86</v>
      </c>
      <c r="B103" s="27" t="s">
        <v>2610</v>
      </c>
      <c r="C103" s="28"/>
      <c r="D103" s="300" t="s">
        <v>2704</v>
      </c>
      <c r="E103" s="125">
        <v>1</v>
      </c>
      <c r="F103" s="60" t="s">
        <v>30</v>
      </c>
      <c r="G103" s="112"/>
      <c r="H103" s="45"/>
      <c r="I103" s="31"/>
      <c r="J103" s="32">
        <f>MARZO!BA107</f>
        <v>0</v>
      </c>
      <c r="K103" s="32">
        <f>ABRIL!AZ104</f>
        <v>0</v>
      </c>
      <c r="L103" s="32"/>
      <c r="M103" s="336"/>
      <c r="N103" s="32"/>
      <c r="O103" s="33"/>
      <c r="P103" s="33"/>
      <c r="Q103" s="31"/>
      <c r="R103" s="31"/>
      <c r="S103" s="47">
        <f>(300*0.16+300)*E103</f>
        <v>348</v>
      </c>
      <c r="T103" s="47"/>
      <c r="U103" s="48"/>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33">
        <f t="shared" si="1"/>
        <v>348</v>
      </c>
      <c r="BB103" s="268"/>
    </row>
    <row r="104" spans="1:55" ht="90" customHeight="1" x14ac:dyDescent="0.35">
      <c r="A104" s="26">
        <v>87</v>
      </c>
      <c r="B104" s="43" t="s">
        <v>2816</v>
      </c>
      <c r="C104" s="28"/>
      <c r="D104" s="405" t="s">
        <v>2787</v>
      </c>
      <c r="E104" s="128">
        <v>1</v>
      </c>
      <c r="F104" s="40"/>
      <c r="G104" s="234"/>
      <c r="H104" s="31"/>
      <c r="I104" s="31"/>
      <c r="J104" s="32">
        <f>MARZO!BA129</f>
        <v>0</v>
      </c>
      <c r="K104" s="33">
        <f>ABRIL!AZ105</f>
        <v>-686</v>
      </c>
      <c r="L104" s="32"/>
      <c r="M104" s="336"/>
      <c r="N104" s="32"/>
      <c r="O104" s="33"/>
      <c r="P104" s="33"/>
      <c r="Q104" s="31"/>
      <c r="R104" s="31"/>
      <c r="S104" s="47">
        <f>(300*0.16+300)*E104</f>
        <v>348</v>
      </c>
      <c r="T104" s="47"/>
      <c r="U104" s="48"/>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33">
        <f t="shared" si="1"/>
        <v>-338</v>
      </c>
      <c r="BB104" s="268" t="s">
        <v>2788</v>
      </c>
    </row>
    <row r="105" spans="1:55" ht="90" customHeight="1" x14ac:dyDescent="0.35">
      <c r="A105" s="26">
        <v>88</v>
      </c>
      <c r="B105" s="43" t="s">
        <v>2902</v>
      </c>
      <c r="C105" s="28"/>
      <c r="D105" s="300" t="s">
        <v>2903</v>
      </c>
      <c r="E105" s="125">
        <v>1</v>
      </c>
      <c r="F105" s="40"/>
      <c r="G105" s="234"/>
      <c r="H105" s="31"/>
      <c r="I105" s="31"/>
      <c r="J105" s="32"/>
      <c r="K105" s="33">
        <f>ABRIL!AZ106</f>
        <v>0</v>
      </c>
      <c r="L105" s="32"/>
      <c r="M105" s="336"/>
      <c r="N105" s="32"/>
      <c r="O105" s="33"/>
      <c r="P105" s="33"/>
      <c r="Q105" s="31"/>
      <c r="R105" s="31"/>
      <c r="S105" s="47">
        <f>(300*0.16+300)*E105</f>
        <v>348</v>
      </c>
      <c r="T105" s="47"/>
      <c r="U105" s="48"/>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33">
        <f t="shared" si="1"/>
        <v>348</v>
      </c>
      <c r="BB105" s="43" t="s">
        <v>2904</v>
      </c>
    </row>
    <row r="106" spans="1:55" ht="81.75" customHeight="1" x14ac:dyDescent="0.35">
      <c r="A106" s="26">
        <v>89</v>
      </c>
      <c r="B106" s="55" t="s">
        <v>64</v>
      </c>
      <c r="C106" s="28" t="s">
        <v>65</v>
      </c>
      <c r="D106" s="300" t="s">
        <v>3010</v>
      </c>
      <c r="E106" s="125">
        <v>173</v>
      </c>
      <c r="F106" s="44" t="s">
        <v>30</v>
      </c>
      <c r="G106" s="234">
        <f>[1]DICIEMBRE!$BA$102</f>
        <v>1.0913936421275139E-11</v>
      </c>
      <c r="H106" s="31">
        <f>ENERO!BA104</f>
        <v>2.1827872842550278E-11</v>
      </c>
      <c r="I106" s="31">
        <f>FEBRERO!AX105</f>
        <v>14551.040000000037</v>
      </c>
      <c r="J106" s="32">
        <f>MARZO!BA108</f>
        <v>4347.6800000000221</v>
      </c>
      <c r="K106" s="33">
        <f>ABRIL!AZ107</f>
        <v>4347.6800000000294</v>
      </c>
      <c r="L106" s="32"/>
      <c r="M106" s="32"/>
      <c r="N106" s="32"/>
      <c r="O106" s="32"/>
      <c r="P106" s="31"/>
      <c r="Q106" s="31"/>
      <c r="R106" s="31"/>
      <c r="S106" s="61">
        <f>(150*0.16+150)*E106</f>
        <v>30102</v>
      </c>
      <c r="T106" s="47"/>
      <c r="U106" s="48"/>
      <c r="V106" s="49"/>
      <c r="W106" s="49"/>
      <c r="X106" s="49"/>
      <c r="Y106" s="49"/>
      <c r="Z106" s="49"/>
      <c r="AA106" s="49"/>
      <c r="AB106" s="49"/>
      <c r="AC106" s="49"/>
      <c r="AD106" s="49"/>
      <c r="AE106" s="49"/>
      <c r="AF106" s="49"/>
      <c r="AG106" s="49"/>
      <c r="AH106" s="49"/>
      <c r="AI106" s="49"/>
      <c r="AJ106" s="50"/>
      <c r="AK106" s="49"/>
      <c r="AL106" s="49"/>
      <c r="AM106" s="49"/>
      <c r="AN106" s="49"/>
      <c r="AO106" s="49"/>
      <c r="AP106" s="49"/>
      <c r="AQ106" s="49"/>
      <c r="AR106" s="49"/>
      <c r="AS106" s="49"/>
      <c r="AT106" s="49"/>
      <c r="AU106" s="49"/>
      <c r="AV106" s="49"/>
      <c r="AW106" s="49"/>
      <c r="AX106" s="49"/>
      <c r="AY106" s="49"/>
      <c r="AZ106" s="49"/>
      <c r="BA106" s="33">
        <f t="shared" si="1"/>
        <v>34449.680000000029</v>
      </c>
      <c r="BB106" s="43" t="s">
        <v>2925</v>
      </c>
      <c r="BC106" s="150"/>
    </row>
    <row r="107" spans="1:55" ht="84" customHeight="1" x14ac:dyDescent="0.35">
      <c r="A107" s="26">
        <v>90</v>
      </c>
      <c r="B107" s="27" t="s">
        <v>66</v>
      </c>
      <c r="C107" s="28" t="s">
        <v>67</v>
      </c>
      <c r="D107" s="300" t="s">
        <v>3011</v>
      </c>
      <c r="E107" s="125">
        <v>2</v>
      </c>
      <c r="F107" s="60" t="s">
        <v>33</v>
      </c>
      <c r="G107" s="112">
        <f>[1]DICIEMBRE!$BA$103</f>
        <v>0</v>
      </c>
      <c r="H107" s="31">
        <f>ENERO!BA105</f>
        <v>0</v>
      </c>
      <c r="I107" s="31">
        <f>FEBRERO!AX106</f>
        <v>0</v>
      </c>
      <c r="J107" s="32">
        <f>MARZO!BA109</f>
        <v>0</v>
      </c>
      <c r="K107" s="32">
        <f>ABRIL!AZ108</f>
        <v>0</v>
      </c>
      <c r="L107" s="336"/>
      <c r="M107" s="32"/>
      <c r="N107" s="336"/>
      <c r="O107" s="32"/>
      <c r="P107" s="33"/>
      <c r="Q107" s="31"/>
      <c r="R107" s="31"/>
      <c r="S107" s="47">
        <f>(300*0.16+300)*E107</f>
        <v>696</v>
      </c>
      <c r="T107" s="47"/>
      <c r="U107" s="48"/>
      <c r="V107" s="49"/>
      <c r="W107" s="49"/>
      <c r="X107" s="49"/>
      <c r="Y107" s="49"/>
      <c r="Z107" s="49"/>
      <c r="AA107" s="50"/>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33">
        <f t="shared" si="1"/>
        <v>696</v>
      </c>
      <c r="BB107" s="268"/>
    </row>
    <row r="108" spans="1:55" ht="84" customHeight="1" x14ac:dyDescent="0.35">
      <c r="A108" s="26">
        <v>91</v>
      </c>
      <c r="B108" s="43" t="s">
        <v>2874</v>
      </c>
      <c r="C108" s="28"/>
      <c r="D108" s="300" t="s">
        <v>2924</v>
      </c>
      <c r="E108" s="125">
        <v>7</v>
      </c>
      <c r="F108" s="60"/>
      <c r="G108" s="112"/>
      <c r="H108" s="31"/>
      <c r="I108" s="31"/>
      <c r="J108" s="32"/>
      <c r="K108" s="33">
        <f>ABRIL!AZ109</f>
        <v>0</v>
      </c>
      <c r="L108" s="336"/>
      <c r="M108" s="32"/>
      <c r="N108" s="336"/>
      <c r="O108" s="32"/>
      <c r="P108" s="33"/>
      <c r="Q108" s="31"/>
      <c r="R108" s="31"/>
      <c r="S108" s="47">
        <f>(299*0.16+299)*E108</f>
        <v>2427.88</v>
      </c>
      <c r="T108" s="47"/>
      <c r="U108" s="48"/>
      <c r="V108" s="49"/>
      <c r="W108" s="49"/>
      <c r="X108" s="49"/>
      <c r="Y108" s="49"/>
      <c r="Z108" s="49"/>
      <c r="AA108" s="50"/>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33">
        <f t="shared" si="1"/>
        <v>2427.88</v>
      </c>
      <c r="BB108" s="268" t="s">
        <v>2868</v>
      </c>
    </row>
    <row r="109" spans="1:55" ht="147.75" customHeight="1" x14ac:dyDescent="0.35">
      <c r="A109" s="26">
        <v>92</v>
      </c>
      <c r="B109" s="27" t="s">
        <v>68</v>
      </c>
      <c r="C109" s="28" t="s">
        <v>69</v>
      </c>
      <c r="D109" s="300" t="s">
        <v>3012</v>
      </c>
      <c r="E109" s="126">
        <v>48</v>
      </c>
      <c r="F109" s="62" t="s">
        <v>30</v>
      </c>
      <c r="G109" s="234">
        <f>[1]DICIEMBRE!$BA$104</f>
        <v>-4.3999999979860149E-3</v>
      </c>
      <c r="H109" s="45">
        <f>ENERO!BA106</f>
        <v>-4.3999999979860149E-3</v>
      </c>
      <c r="I109" s="45">
        <f>FEBRERO!AX107</f>
        <v>-4.3999999979860149E-3</v>
      </c>
      <c r="J109" s="32">
        <f>MARZO!BA110</f>
        <v>12643.995600000002</v>
      </c>
      <c r="K109" s="33">
        <f>ABRIL!AZ110</f>
        <v>23141.995600000002</v>
      </c>
      <c r="L109" s="32"/>
      <c r="M109" s="336"/>
      <c r="N109" s="32"/>
      <c r="O109" s="32"/>
      <c r="P109" s="31"/>
      <c r="Q109" s="31"/>
      <c r="R109" s="31"/>
      <c r="S109" s="47">
        <f>(200*0.16+200)*E109</f>
        <v>11136</v>
      </c>
      <c r="T109" s="47"/>
      <c r="U109" s="48"/>
      <c r="V109" s="49"/>
      <c r="W109" s="49"/>
      <c r="X109" s="49"/>
      <c r="Y109" s="49"/>
      <c r="Z109" s="49"/>
      <c r="AA109" s="49"/>
      <c r="AB109" s="49"/>
      <c r="AC109" s="49"/>
      <c r="AD109" s="49"/>
      <c r="AE109" s="49"/>
      <c r="AF109" s="49"/>
      <c r="AG109" s="49"/>
      <c r="AH109" s="49"/>
      <c r="AI109" s="49"/>
      <c r="AJ109" s="49"/>
      <c r="AK109" s="63"/>
      <c r="AL109" s="49"/>
      <c r="AM109" s="49"/>
      <c r="AN109" s="49"/>
      <c r="AO109" s="49"/>
      <c r="AP109" s="49"/>
      <c r="AQ109" s="49"/>
      <c r="AR109" s="49"/>
      <c r="AS109" s="49"/>
      <c r="AT109" s="49"/>
      <c r="AU109" s="49"/>
      <c r="AV109" s="49"/>
      <c r="AW109" s="49"/>
      <c r="AX109" s="49"/>
      <c r="AY109" s="49"/>
      <c r="AZ109" s="49"/>
      <c r="BA109" s="33">
        <f t="shared" si="1"/>
        <v>34277.995600000002</v>
      </c>
      <c r="BB109" s="267"/>
    </row>
    <row r="110" spans="1:55" ht="55.5" customHeight="1" x14ac:dyDescent="0.35">
      <c r="A110" s="26">
        <v>93</v>
      </c>
      <c r="B110" s="43" t="s">
        <v>2569</v>
      </c>
      <c r="C110" s="28"/>
      <c r="D110" s="300" t="s">
        <v>2469</v>
      </c>
      <c r="E110" s="332">
        <v>1</v>
      </c>
      <c r="F110" s="30"/>
      <c r="G110" s="234"/>
      <c r="H110" s="45"/>
      <c r="I110" s="31"/>
      <c r="J110" s="32">
        <f>MARZO!BA111</f>
        <v>0</v>
      </c>
      <c r="K110" s="32">
        <f>ABRIL!AZ111</f>
        <v>0</v>
      </c>
      <c r="L110" s="32"/>
      <c r="M110" s="32"/>
      <c r="N110" s="32"/>
      <c r="O110" s="33"/>
      <c r="P110" s="31"/>
      <c r="Q110" s="31"/>
      <c r="R110" s="31"/>
      <c r="S110" s="34">
        <f>(300*0.16+300)*E110</f>
        <v>348</v>
      </c>
      <c r="T110" s="34"/>
      <c r="U110" s="48"/>
      <c r="V110" s="49"/>
      <c r="W110" s="49"/>
      <c r="X110" s="49"/>
      <c r="Y110" s="49"/>
      <c r="Z110" s="49"/>
      <c r="AA110" s="49"/>
      <c r="AB110" s="49"/>
      <c r="AC110" s="49"/>
      <c r="AD110" s="49"/>
      <c r="AE110" s="49"/>
      <c r="AF110" s="49"/>
      <c r="AG110" s="49"/>
      <c r="AH110" s="49"/>
      <c r="AI110" s="49"/>
      <c r="AJ110" s="49"/>
      <c r="AK110" s="63"/>
      <c r="AL110" s="49"/>
      <c r="AM110" s="49"/>
      <c r="AN110" s="49"/>
      <c r="AO110" s="49"/>
      <c r="AP110" s="49"/>
      <c r="AQ110" s="49"/>
      <c r="AR110" s="49"/>
      <c r="AS110" s="49"/>
      <c r="AT110" s="49"/>
      <c r="AU110" s="49"/>
      <c r="AV110" s="49"/>
      <c r="AW110" s="49"/>
      <c r="AX110" s="49"/>
      <c r="AY110" s="49"/>
      <c r="AZ110" s="49"/>
      <c r="BA110" s="33">
        <f t="shared" si="1"/>
        <v>348</v>
      </c>
      <c r="BB110" s="267" t="s">
        <v>2631</v>
      </c>
    </row>
    <row r="111" spans="1:55" ht="69" customHeight="1" x14ac:dyDescent="0.35">
      <c r="A111" s="26">
        <v>94</v>
      </c>
      <c r="B111" s="43" t="s">
        <v>70</v>
      </c>
      <c r="C111" s="53" t="s">
        <v>71</v>
      </c>
      <c r="D111" s="300" t="s">
        <v>3013</v>
      </c>
      <c r="E111" s="125">
        <v>1</v>
      </c>
      <c r="F111" s="44" t="s">
        <v>30</v>
      </c>
      <c r="G111" s="112">
        <f>[1]DICIEMBRE!$BA$105</f>
        <v>0</v>
      </c>
      <c r="H111" s="31">
        <f>ENERO!BA107</f>
        <v>0</v>
      </c>
      <c r="I111" s="31">
        <f>FEBRERO!AX108</f>
        <v>0</v>
      </c>
      <c r="J111" s="32">
        <f>MARZO!BA112</f>
        <v>0</v>
      </c>
      <c r="K111" s="33">
        <f>ABRIL!AZ112</f>
        <v>0</v>
      </c>
      <c r="L111" s="32"/>
      <c r="M111" s="32"/>
      <c r="N111" s="32"/>
      <c r="O111" s="32"/>
      <c r="P111" s="33"/>
      <c r="Q111" s="31"/>
      <c r="R111" s="31"/>
      <c r="S111" s="47">
        <v>406</v>
      </c>
      <c r="T111" s="47"/>
      <c r="U111" s="48"/>
      <c r="V111" s="49"/>
      <c r="W111" s="49"/>
      <c r="X111" s="49"/>
      <c r="Y111" s="49"/>
      <c r="Z111" s="49"/>
      <c r="AA111" s="50"/>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33">
        <f t="shared" si="1"/>
        <v>406</v>
      </c>
      <c r="BB111" s="43"/>
    </row>
    <row r="112" spans="1:55" ht="95.25" customHeight="1" x14ac:dyDescent="0.35">
      <c r="A112" s="26">
        <v>95</v>
      </c>
      <c r="B112" s="27" t="s">
        <v>72</v>
      </c>
      <c r="C112" s="28" t="s">
        <v>73</v>
      </c>
      <c r="D112" s="300" t="s">
        <v>3014</v>
      </c>
      <c r="E112" s="126">
        <v>5</v>
      </c>
      <c r="F112" s="62" t="s">
        <v>35</v>
      </c>
      <c r="G112" s="234">
        <f>[1]DICIEMBRE!$BA$106</f>
        <v>0</v>
      </c>
      <c r="H112" s="31">
        <f>ENERO!BA108</f>
        <v>0</v>
      </c>
      <c r="I112" s="31">
        <f>FEBRERO!AX109</f>
        <v>0</v>
      </c>
      <c r="J112" s="32">
        <f>MARZO!BA113</f>
        <v>-4.3999999998050043E-3</v>
      </c>
      <c r="K112" s="33">
        <f>ABRIL!AZ113</f>
        <v>-4.3999999998050043E-3</v>
      </c>
      <c r="L112" s="336"/>
      <c r="M112" s="32"/>
      <c r="N112" s="336"/>
      <c r="O112" s="32"/>
      <c r="P112" s="31"/>
      <c r="Q112" s="31"/>
      <c r="R112" s="31"/>
      <c r="S112" s="47">
        <f>(250*0.16+250)*E112</f>
        <v>1450</v>
      </c>
      <c r="T112" s="47"/>
      <c r="U112" s="48"/>
      <c r="V112" s="49"/>
      <c r="W112" s="49"/>
      <c r="X112" s="49"/>
      <c r="Y112" s="49"/>
      <c r="Z112" s="49"/>
      <c r="AA112" s="49"/>
      <c r="AB112" s="49"/>
      <c r="AC112" s="50"/>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33">
        <f t="shared" si="1"/>
        <v>1449.9956000000002</v>
      </c>
      <c r="BB112" s="267"/>
    </row>
    <row r="113" spans="1:54" ht="90.75" customHeight="1" x14ac:dyDescent="0.35">
      <c r="A113" s="26">
        <v>96</v>
      </c>
      <c r="B113" s="27" t="s">
        <v>74</v>
      </c>
      <c r="C113" s="28" t="s">
        <v>75</v>
      </c>
      <c r="D113" s="300" t="s">
        <v>3015</v>
      </c>
      <c r="E113" s="125">
        <v>20</v>
      </c>
      <c r="F113" s="60" t="s">
        <v>33</v>
      </c>
      <c r="G113" s="112">
        <f>[1]DICIEMBRE!$BA$107</f>
        <v>-2.2000000026309863E-2</v>
      </c>
      <c r="H113" s="45">
        <f>ENERO!BA109</f>
        <v>-2.600000002712477E-2</v>
      </c>
      <c r="I113" s="31">
        <f>FEBRERO!AX110</f>
        <v>3.9999999726205715E-3</v>
      </c>
      <c r="J113" s="32">
        <f>MARZO!BA114</f>
        <v>3.9999999726205715E-3</v>
      </c>
      <c r="K113" s="32">
        <f>ABRIL!AZ114</f>
        <v>3.9999999726205715E-3</v>
      </c>
      <c r="L113" s="32"/>
      <c r="M113" s="336"/>
      <c r="N113" s="32"/>
      <c r="O113" s="33"/>
      <c r="P113" s="33"/>
      <c r="Q113" s="31"/>
      <c r="R113" s="31"/>
      <c r="S113" s="66">
        <f>(315*0.16+315)*E113</f>
        <v>7308</v>
      </c>
      <c r="T113" s="66">
        <f>650*0.16+650</f>
        <v>754</v>
      </c>
      <c r="U113" s="67"/>
      <c r="V113" s="68"/>
      <c r="W113" s="68"/>
      <c r="X113" s="68"/>
      <c r="Y113" s="68"/>
      <c r="Z113" s="68"/>
      <c r="AA113" s="68"/>
      <c r="AB113" s="68"/>
      <c r="AC113" s="68"/>
      <c r="AD113" s="68"/>
      <c r="AE113" s="68"/>
      <c r="AF113" s="68"/>
      <c r="AG113" s="68"/>
      <c r="AH113" s="68"/>
      <c r="AI113" s="68"/>
      <c r="AJ113" s="68"/>
      <c r="AK113" s="68"/>
      <c r="AL113" s="63"/>
      <c r="AM113" s="68"/>
      <c r="AN113" s="68"/>
      <c r="AO113" s="68"/>
      <c r="AP113" s="68"/>
      <c r="AQ113" s="68"/>
      <c r="AR113" s="68"/>
      <c r="AS113" s="68"/>
      <c r="AT113" s="68"/>
      <c r="AU113" s="68"/>
      <c r="AV113" s="68"/>
      <c r="AW113" s="68"/>
      <c r="AX113" s="68"/>
      <c r="AY113" s="68"/>
      <c r="AZ113" s="68"/>
      <c r="BA113" s="33">
        <f t="shared" si="1"/>
        <v>8062.0039999999726</v>
      </c>
      <c r="BB113" s="268" t="s">
        <v>2891</v>
      </c>
    </row>
    <row r="114" spans="1:54" ht="81" customHeight="1" x14ac:dyDescent="0.35">
      <c r="A114" s="26">
        <v>97</v>
      </c>
      <c r="B114" s="43" t="s">
        <v>2542</v>
      </c>
      <c r="C114" s="28"/>
      <c r="D114" s="300" t="s">
        <v>2543</v>
      </c>
      <c r="E114" s="125">
        <v>1</v>
      </c>
      <c r="F114" s="60"/>
      <c r="G114" s="112"/>
      <c r="H114" s="45"/>
      <c r="I114" s="31"/>
      <c r="J114" s="32">
        <f>MARZO!BA115</f>
        <v>0</v>
      </c>
      <c r="K114" s="33">
        <f>ABRIL!AZ115</f>
        <v>0</v>
      </c>
      <c r="L114" s="32"/>
      <c r="M114" s="336"/>
      <c r="N114" s="32"/>
      <c r="O114" s="33"/>
      <c r="P114" s="33"/>
      <c r="Q114" s="31"/>
      <c r="R114" s="31"/>
      <c r="S114" s="34">
        <f>(300*0.16+300)*E114</f>
        <v>348</v>
      </c>
      <c r="T114" s="66"/>
      <c r="U114" s="67"/>
      <c r="V114" s="68"/>
      <c r="W114" s="68"/>
      <c r="X114" s="68"/>
      <c r="Y114" s="68"/>
      <c r="Z114" s="68"/>
      <c r="AA114" s="68"/>
      <c r="AB114" s="68"/>
      <c r="AC114" s="68"/>
      <c r="AD114" s="68"/>
      <c r="AE114" s="68"/>
      <c r="AF114" s="68"/>
      <c r="AG114" s="68"/>
      <c r="AH114" s="68"/>
      <c r="AI114" s="68"/>
      <c r="AJ114" s="68"/>
      <c r="AK114" s="68"/>
      <c r="AL114" s="63"/>
      <c r="AM114" s="68"/>
      <c r="AN114" s="68"/>
      <c r="AO114" s="68"/>
      <c r="AP114" s="68"/>
      <c r="AQ114" s="68"/>
      <c r="AR114" s="68"/>
      <c r="AS114" s="68"/>
      <c r="AT114" s="68"/>
      <c r="AU114" s="68"/>
      <c r="AV114" s="68"/>
      <c r="AW114" s="68"/>
      <c r="AX114" s="68"/>
      <c r="AY114" s="68"/>
      <c r="AZ114" s="68"/>
      <c r="BA114" s="33">
        <f t="shared" si="1"/>
        <v>348</v>
      </c>
      <c r="BB114" s="268" t="s">
        <v>2632</v>
      </c>
    </row>
    <row r="115" spans="1:54" ht="81" customHeight="1" x14ac:dyDescent="0.35">
      <c r="A115" s="26">
        <v>98</v>
      </c>
      <c r="B115" s="43" t="s">
        <v>2475</v>
      </c>
      <c r="C115" s="28"/>
      <c r="D115" s="300" t="s">
        <v>2476</v>
      </c>
      <c r="E115" s="125">
        <v>1</v>
      </c>
      <c r="F115" s="44"/>
      <c r="G115" s="112"/>
      <c r="H115" s="31"/>
      <c r="I115" s="31"/>
      <c r="J115" s="32">
        <f>MARZO!BA116</f>
        <v>0</v>
      </c>
      <c r="K115" s="33">
        <f>ABRIL!AZ116</f>
        <v>0</v>
      </c>
      <c r="L115" s="32"/>
      <c r="M115" s="32"/>
      <c r="N115" s="336"/>
      <c r="O115" s="32"/>
      <c r="P115" s="33"/>
      <c r="Q115" s="31"/>
      <c r="R115" s="31"/>
      <c r="S115" s="34">
        <f>(300*0.16+300)*E115</f>
        <v>348</v>
      </c>
      <c r="T115" s="34"/>
      <c r="U115" s="67"/>
      <c r="V115" s="68"/>
      <c r="W115" s="68"/>
      <c r="X115" s="68"/>
      <c r="Y115" s="68"/>
      <c r="Z115" s="68"/>
      <c r="AA115" s="68"/>
      <c r="AB115" s="68"/>
      <c r="AC115" s="68"/>
      <c r="AD115" s="68"/>
      <c r="AE115" s="68"/>
      <c r="AF115" s="68"/>
      <c r="AG115" s="68"/>
      <c r="AH115" s="68"/>
      <c r="AI115" s="68"/>
      <c r="AJ115" s="68"/>
      <c r="AK115" s="68"/>
      <c r="AL115" s="63"/>
      <c r="AM115" s="68"/>
      <c r="AN115" s="68"/>
      <c r="AO115" s="68"/>
      <c r="AP115" s="68"/>
      <c r="AQ115" s="68"/>
      <c r="AR115" s="68"/>
      <c r="AS115" s="68"/>
      <c r="AT115" s="68"/>
      <c r="AU115" s="68"/>
      <c r="AV115" s="68"/>
      <c r="AW115" s="68"/>
      <c r="AX115" s="68"/>
      <c r="AY115" s="68"/>
      <c r="AZ115" s="68"/>
      <c r="BA115" s="33">
        <f t="shared" si="1"/>
        <v>348</v>
      </c>
      <c r="BB115" s="268" t="s">
        <v>2631</v>
      </c>
    </row>
    <row r="116" spans="1:54" ht="58.5" customHeight="1" x14ac:dyDescent="0.35">
      <c r="A116" s="26">
        <v>99</v>
      </c>
      <c r="B116" s="27" t="s">
        <v>80</v>
      </c>
      <c r="C116" s="28" t="s">
        <v>81</v>
      </c>
      <c r="D116" s="300" t="s">
        <v>3016</v>
      </c>
      <c r="E116" s="125">
        <v>2</v>
      </c>
      <c r="F116" s="71" t="s">
        <v>30</v>
      </c>
      <c r="G116" s="112">
        <f>[1]DICIEMBRE!$BA$109</f>
        <v>9.0949470177292824E-13</v>
      </c>
      <c r="H116" s="31">
        <f>ENERO!BA111</f>
        <v>9.0949470177292824E-13</v>
      </c>
      <c r="I116" s="45">
        <f>FEBRERO!AX111</f>
        <v>9.0949470177292824E-13</v>
      </c>
      <c r="J116" s="32">
        <f>MARZO!BA118</f>
        <v>9.0949470177292824E-13</v>
      </c>
      <c r="K116" s="33">
        <f>ABRIL!AZ118</f>
        <v>9.0949470177292824E-13</v>
      </c>
      <c r="L116" s="336"/>
      <c r="M116" s="32"/>
      <c r="N116" s="336"/>
      <c r="O116" s="32"/>
      <c r="P116" s="33"/>
      <c r="Q116" s="31"/>
      <c r="R116" s="31"/>
      <c r="S116" s="47">
        <f>(330*0.16+330)*E116</f>
        <v>765.6</v>
      </c>
      <c r="T116" s="47"/>
      <c r="U116" s="48"/>
      <c r="V116" s="47"/>
      <c r="W116" s="47"/>
      <c r="X116" s="47"/>
      <c r="Y116" s="47"/>
      <c r="Z116" s="47"/>
      <c r="AA116" s="47"/>
      <c r="AB116" s="47"/>
      <c r="AC116" s="47"/>
      <c r="AD116" s="47"/>
      <c r="AE116" s="47"/>
      <c r="AF116" s="47"/>
      <c r="AG116" s="47"/>
      <c r="AH116" s="47"/>
      <c r="AI116" s="47"/>
      <c r="AJ116" s="47"/>
      <c r="AK116" s="66"/>
      <c r="AL116" s="47"/>
      <c r="AM116" s="47"/>
      <c r="AN116" s="47"/>
      <c r="AO116" s="47"/>
      <c r="AP116" s="47"/>
      <c r="AQ116" s="47"/>
      <c r="AR116" s="47"/>
      <c r="AS116" s="47"/>
      <c r="AT116" s="47"/>
      <c r="AU116" s="47"/>
      <c r="AV116" s="47"/>
      <c r="AW116" s="47"/>
      <c r="AX116" s="47"/>
      <c r="AY116" s="47"/>
      <c r="AZ116" s="47"/>
      <c r="BA116" s="33">
        <f t="shared" si="1"/>
        <v>765.60000000000093</v>
      </c>
      <c r="BB116" s="271"/>
    </row>
    <row r="117" spans="1:54" ht="58.5" customHeight="1" x14ac:dyDescent="0.35">
      <c r="A117" s="26">
        <v>100</v>
      </c>
      <c r="B117" s="43" t="s">
        <v>233</v>
      </c>
      <c r="C117" s="28"/>
      <c r="D117" s="300" t="s">
        <v>2858</v>
      </c>
      <c r="E117" s="410">
        <v>3</v>
      </c>
      <c r="F117" s="71" t="s">
        <v>30</v>
      </c>
      <c r="G117" s="112"/>
      <c r="H117" s="31"/>
      <c r="I117" s="45"/>
      <c r="J117" s="32"/>
      <c r="K117" s="33">
        <f>ABRIL!AZ119</f>
        <v>0</v>
      </c>
      <c r="L117" s="336"/>
      <c r="M117" s="32"/>
      <c r="N117" s="336"/>
      <c r="O117" s="32"/>
      <c r="P117" s="33"/>
      <c r="Q117" s="31"/>
      <c r="R117" s="31"/>
      <c r="S117" s="47">
        <f>(300*0.16+300)*E117</f>
        <v>1044</v>
      </c>
      <c r="T117" s="47"/>
      <c r="U117" s="48"/>
      <c r="V117" s="47"/>
      <c r="W117" s="47"/>
      <c r="X117" s="47"/>
      <c r="Y117" s="47"/>
      <c r="Z117" s="47"/>
      <c r="AA117" s="47"/>
      <c r="AB117" s="47"/>
      <c r="AC117" s="47"/>
      <c r="AD117" s="47"/>
      <c r="AE117" s="47"/>
      <c r="AF117" s="47"/>
      <c r="AG117" s="47"/>
      <c r="AH117" s="47"/>
      <c r="AI117" s="47"/>
      <c r="AJ117" s="47"/>
      <c r="AK117" s="66"/>
      <c r="AL117" s="47"/>
      <c r="AM117" s="47"/>
      <c r="AN117" s="47"/>
      <c r="AO117" s="47"/>
      <c r="AP117" s="47"/>
      <c r="AQ117" s="47"/>
      <c r="AR117" s="47"/>
      <c r="AS117" s="47"/>
      <c r="AT117" s="47"/>
      <c r="AU117" s="47"/>
      <c r="AV117" s="47"/>
      <c r="AW117" s="47"/>
      <c r="AX117" s="47"/>
      <c r="AY117" s="47"/>
      <c r="AZ117" s="47"/>
      <c r="BA117" s="33">
        <f t="shared" si="1"/>
        <v>1044</v>
      </c>
      <c r="BB117" s="271"/>
    </row>
    <row r="118" spans="1:54" ht="58.5" customHeight="1" x14ac:dyDescent="0.35">
      <c r="A118" s="26">
        <v>101</v>
      </c>
      <c r="B118" s="43" t="s">
        <v>2578</v>
      </c>
      <c r="C118" s="53"/>
      <c r="D118" s="300" t="s">
        <v>2579</v>
      </c>
      <c r="E118" s="125">
        <v>1</v>
      </c>
      <c r="F118" s="71"/>
      <c r="G118" s="112"/>
      <c r="H118" s="31"/>
      <c r="I118" s="45"/>
      <c r="J118" s="32">
        <f>MARZO!BA119</f>
        <v>0</v>
      </c>
      <c r="K118" s="32">
        <f>ABRIL!AZ120</f>
        <v>0</v>
      </c>
      <c r="L118" s="336"/>
      <c r="M118" s="32"/>
      <c r="N118" s="336"/>
      <c r="O118" s="32"/>
      <c r="P118" s="33"/>
      <c r="Q118" s="31"/>
      <c r="R118" s="31"/>
      <c r="S118" s="34">
        <f>(300*0.16+300)*E118</f>
        <v>348</v>
      </c>
      <c r="T118" s="47"/>
      <c r="U118" s="48"/>
      <c r="V118" s="47"/>
      <c r="W118" s="47"/>
      <c r="X118" s="47"/>
      <c r="Y118" s="47"/>
      <c r="Z118" s="47"/>
      <c r="AA118" s="47"/>
      <c r="AB118" s="47"/>
      <c r="AC118" s="47"/>
      <c r="AD118" s="47"/>
      <c r="AE118" s="47"/>
      <c r="AF118" s="47"/>
      <c r="AG118" s="47"/>
      <c r="AH118" s="47"/>
      <c r="AI118" s="47"/>
      <c r="AJ118" s="47"/>
      <c r="AK118" s="66"/>
      <c r="AL118" s="47"/>
      <c r="AM118" s="47"/>
      <c r="AN118" s="47"/>
      <c r="AO118" s="47"/>
      <c r="AP118" s="47"/>
      <c r="AQ118" s="47"/>
      <c r="AR118" s="47"/>
      <c r="AS118" s="47"/>
      <c r="AT118" s="47"/>
      <c r="AU118" s="47"/>
      <c r="AV118" s="47"/>
      <c r="AW118" s="47"/>
      <c r="AX118" s="47"/>
      <c r="AY118" s="47"/>
      <c r="AZ118" s="47"/>
      <c r="BA118" s="33">
        <f t="shared" si="1"/>
        <v>348</v>
      </c>
      <c r="BB118" s="271" t="s">
        <v>2633</v>
      </c>
    </row>
    <row r="119" spans="1:54" ht="68.25" customHeight="1" x14ac:dyDescent="0.35">
      <c r="A119" s="26">
        <v>102</v>
      </c>
      <c r="B119" s="43" t="s">
        <v>1781</v>
      </c>
      <c r="C119" s="53" t="s">
        <v>84</v>
      </c>
      <c r="D119" s="300" t="s">
        <v>3017</v>
      </c>
      <c r="E119" s="128">
        <v>5</v>
      </c>
      <c r="F119" s="62" t="s">
        <v>30</v>
      </c>
      <c r="G119" s="112">
        <f>[1]DICIEMBRE!$BA$111</f>
        <v>216.52679999999509</v>
      </c>
      <c r="H119" s="31">
        <f>ENERO!BA113</f>
        <v>-2146.0032000000047</v>
      </c>
      <c r="I119" s="31">
        <f>FEBRERO!AX113</f>
        <v>-2146.0032000000047</v>
      </c>
      <c r="J119" s="32">
        <f>MARZO!BA120</f>
        <v>-2146.002800000002</v>
      </c>
      <c r="K119" s="33">
        <f>ABRIL!AZ121</f>
        <v>-2146.002800000002</v>
      </c>
      <c r="L119" s="32"/>
      <c r="M119" s="32"/>
      <c r="N119" s="32"/>
      <c r="O119" s="32"/>
      <c r="P119" s="33"/>
      <c r="Q119" s="31"/>
      <c r="R119" s="31"/>
      <c r="S119" s="73">
        <f>(350*0.16+350)*2+(400*0.16+400)*3</f>
        <v>2204</v>
      </c>
      <c r="T119" s="47"/>
      <c r="U119" s="48"/>
      <c r="V119" s="49"/>
      <c r="W119" s="50"/>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33">
        <f t="shared" si="1"/>
        <v>57.997199999997974</v>
      </c>
      <c r="BB119" s="267"/>
    </row>
    <row r="120" spans="1:54" ht="68.25" customHeight="1" x14ac:dyDescent="0.35">
      <c r="A120" s="26">
        <v>103</v>
      </c>
      <c r="B120" s="348" t="s">
        <v>2003</v>
      </c>
      <c r="C120" s="53"/>
      <c r="D120" s="300" t="s">
        <v>2004</v>
      </c>
      <c r="E120" s="128">
        <v>2</v>
      </c>
      <c r="F120" s="62" t="s">
        <v>30</v>
      </c>
      <c r="G120" s="112"/>
      <c r="H120" s="31"/>
      <c r="I120" s="31">
        <f>FEBRERO!AX114</f>
        <v>0</v>
      </c>
      <c r="J120" s="32">
        <f>MARZO!BA121</f>
        <v>0</v>
      </c>
      <c r="K120" s="33">
        <f>ABRIL!AZ122</f>
        <v>0</v>
      </c>
      <c r="L120" s="32"/>
      <c r="M120" s="32"/>
      <c r="N120" s="32"/>
      <c r="O120" s="32"/>
      <c r="P120" s="33"/>
      <c r="Q120" s="31"/>
      <c r="R120" s="31"/>
      <c r="S120" s="73">
        <f>(350*0.16+350)*1+(400*0.16+400)*1</f>
        <v>870</v>
      </c>
      <c r="T120" s="47"/>
      <c r="U120" s="48"/>
      <c r="V120" s="49"/>
      <c r="W120" s="50"/>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33">
        <f t="shared" si="1"/>
        <v>870</v>
      </c>
      <c r="BB120" s="267"/>
    </row>
    <row r="121" spans="1:54" ht="81" customHeight="1" x14ac:dyDescent="0.35">
      <c r="A121" s="26">
        <v>104</v>
      </c>
      <c r="B121" s="43" t="s">
        <v>2570</v>
      </c>
      <c r="C121" s="28"/>
      <c r="D121" s="300" t="s">
        <v>3018</v>
      </c>
      <c r="E121" s="125">
        <v>2</v>
      </c>
      <c r="F121" s="44"/>
      <c r="G121" s="112"/>
      <c r="H121" s="31"/>
      <c r="I121" s="31"/>
      <c r="J121" s="32">
        <f>MARZO!BA122</f>
        <v>0</v>
      </c>
      <c r="K121" s="32">
        <f>ABRIL!AZ123</f>
        <v>0</v>
      </c>
      <c r="L121" s="32"/>
      <c r="M121" s="32"/>
      <c r="N121" s="336"/>
      <c r="O121" s="32"/>
      <c r="P121" s="33"/>
      <c r="Q121" s="31"/>
      <c r="R121" s="31"/>
      <c r="S121" s="47">
        <f>(300*0.16+300)*E121</f>
        <v>696</v>
      </c>
      <c r="T121" s="75"/>
      <c r="U121" s="67"/>
      <c r="V121" s="68"/>
      <c r="W121" s="68"/>
      <c r="X121" s="68"/>
      <c r="Y121" s="68"/>
      <c r="Z121" s="68"/>
      <c r="AA121" s="68"/>
      <c r="AB121" s="68"/>
      <c r="AC121" s="68"/>
      <c r="AD121" s="68"/>
      <c r="AE121" s="68"/>
      <c r="AF121" s="68"/>
      <c r="AG121" s="68"/>
      <c r="AH121" s="68"/>
      <c r="AI121" s="68"/>
      <c r="AJ121" s="68"/>
      <c r="AK121" s="68"/>
      <c r="AL121" s="63"/>
      <c r="AM121" s="68"/>
      <c r="AN121" s="68"/>
      <c r="AO121" s="68"/>
      <c r="AP121" s="68"/>
      <c r="AQ121" s="68"/>
      <c r="AR121" s="68"/>
      <c r="AS121" s="68"/>
      <c r="AT121" s="68"/>
      <c r="AU121" s="68"/>
      <c r="AV121" s="68"/>
      <c r="AW121" s="68"/>
      <c r="AX121" s="68"/>
      <c r="AY121" s="68"/>
      <c r="AZ121" s="68"/>
      <c r="BA121" s="33">
        <f t="shared" si="1"/>
        <v>696</v>
      </c>
      <c r="BB121" s="268"/>
    </row>
    <row r="122" spans="1:54" ht="153.75" customHeight="1" x14ac:dyDescent="0.35">
      <c r="A122" s="26">
        <v>105</v>
      </c>
      <c r="B122" s="43" t="s">
        <v>2864</v>
      </c>
      <c r="C122" s="28"/>
      <c r="D122" s="300" t="s">
        <v>2875</v>
      </c>
      <c r="E122" s="125">
        <v>25</v>
      </c>
      <c r="F122" s="44" t="s">
        <v>30</v>
      </c>
      <c r="G122" s="112"/>
      <c r="H122" s="31"/>
      <c r="I122" s="31"/>
      <c r="J122" s="32"/>
      <c r="K122" s="33">
        <f>ABRIL!AZ124</f>
        <v>22562</v>
      </c>
      <c r="L122" s="32"/>
      <c r="M122" s="32"/>
      <c r="N122" s="336"/>
      <c r="O122" s="32"/>
      <c r="P122" s="33"/>
      <c r="Q122" s="31"/>
      <c r="R122" s="31"/>
      <c r="S122" s="47">
        <f>(229*0.16+229)*E122</f>
        <v>6641</v>
      </c>
      <c r="T122" s="75"/>
      <c r="U122" s="67"/>
      <c r="V122" s="68"/>
      <c r="W122" s="68"/>
      <c r="X122" s="68"/>
      <c r="Y122" s="68"/>
      <c r="Z122" s="68"/>
      <c r="AA122" s="68"/>
      <c r="AB122" s="68"/>
      <c r="AC122" s="68"/>
      <c r="AD122" s="68"/>
      <c r="AE122" s="68"/>
      <c r="AF122" s="68"/>
      <c r="AG122" s="68"/>
      <c r="AH122" s="68"/>
      <c r="AI122" s="68"/>
      <c r="AJ122" s="68"/>
      <c r="AK122" s="68"/>
      <c r="AL122" s="63"/>
      <c r="AM122" s="68"/>
      <c r="AN122" s="68"/>
      <c r="AO122" s="68"/>
      <c r="AP122" s="68"/>
      <c r="AQ122" s="68"/>
      <c r="AR122" s="68"/>
      <c r="AS122" s="68"/>
      <c r="AT122" s="68"/>
      <c r="AU122" s="68"/>
      <c r="AV122" s="68"/>
      <c r="AW122" s="68"/>
      <c r="AX122" s="68"/>
      <c r="AY122" s="68"/>
      <c r="AZ122" s="68"/>
      <c r="BA122" s="33">
        <f t="shared" si="1"/>
        <v>29203</v>
      </c>
      <c r="BB122" s="268" t="s">
        <v>2868</v>
      </c>
    </row>
    <row r="123" spans="1:54" ht="68.25" customHeight="1" x14ac:dyDescent="0.35">
      <c r="A123" s="26">
        <v>106</v>
      </c>
      <c r="B123" s="27" t="s">
        <v>85</v>
      </c>
      <c r="C123" s="28" t="s">
        <v>86</v>
      </c>
      <c r="D123" s="300" t="s">
        <v>3019</v>
      </c>
      <c r="E123" s="125">
        <v>5</v>
      </c>
      <c r="F123" s="71" t="s">
        <v>35</v>
      </c>
      <c r="G123" s="234">
        <f>[1]DICIEMBRE!$BA$112</f>
        <v>0</v>
      </c>
      <c r="H123" s="31">
        <f>ENERO!BA114</f>
        <v>0</v>
      </c>
      <c r="I123" s="45">
        <f>FEBRERO!AX115</f>
        <v>0</v>
      </c>
      <c r="J123" s="32">
        <f>MARZO!BA123</f>
        <v>0</v>
      </c>
      <c r="K123" s="33">
        <f>ABRIL!AZ125</f>
        <v>0</v>
      </c>
      <c r="L123" s="336"/>
      <c r="M123" s="32"/>
      <c r="N123" s="336"/>
      <c r="O123" s="32"/>
      <c r="P123" s="31"/>
      <c r="Q123" s="31"/>
      <c r="R123" s="31"/>
      <c r="S123" s="47">
        <f>(250*0.16+250)*E123</f>
        <v>1450</v>
      </c>
      <c r="T123" s="47"/>
      <c r="U123" s="48"/>
      <c r="V123" s="47"/>
      <c r="W123" s="47"/>
      <c r="X123" s="47"/>
      <c r="Y123" s="47"/>
      <c r="Z123" s="47"/>
      <c r="AA123" s="47"/>
      <c r="AB123" s="47"/>
      <c r="AC123" s="47"/>
      <c r="AD123" s="47"/>
      <c r="AE123" s="47"/>
      <c r="AF123" s="47"/>
      <c r="AG123" s="47"/>
      <c r="AH123" s="74"/>
      <c r="AI123" s="47"/>
      <c r="AJ123" s="47"/>
      <c r="AK123" s="66"/>
      <c r="AL123" s="47"/>
      <c r="AM123" s="47"/>
      <c r="AN123" s="47"/>
      <c r="AO123" s="47"/>
      <c r="AP123" s="47"/>
      <c r="AQ123" s="47"/>
      <c r="AR123" s="47"/>
      <c r="AS123" s="47"/>
      <c r="AT123" s="47"/>
      <c r="AU123" s="47"/>
      <c r="AV123" s="47"/>
      <c r="AW123" s="47"/>
      <c r="AX123" s="47"/>
      <c r="AY123" s="47"/>
      <c r="AZ123" s="47"/>
      <c r="BA123" s="33">
        <f t="shared" si="1"/>
        <v>1450</v>
      </c>
      <c r="BB123" s="271"/>
    </row>
    <row r="124" spans="1:54" ht="57" customHeight="1" x14ac:dyDescent="0.35">
      <c r="A124" s="26">
        <v>107</v>
      </c>
      <c r="B124" s="27" t="s">
        <v>1297</v>
      </c>
      <c r="C124" s="28" t="s">
        <v>87</v>
      </c>
      <c r="D124" s="300" t="s">
        <v>3020</v>
      </c>
      <c r="E124" s="125">
        <v>6</v>
      </c>
      <c r="F124" s="60" t="s">
        <v>33</v>
      </c>
      <c r="G124" s="112">
        <f>[1]DICIEMBRE!$BA$113</f>
        <v>-1.8189894035458565E-12</v>
      </c>
      <c r="H124" s="45">
        <f>ENERO!BA115</f>
        <v>-1.8189894035458565E-12</v>
      </c>
      <c r="I124" s="31">
        <f>FEBRERO!AX116</f>
        <v>-2.7284841053187847E-12</v>
      </c>
      <c r="J124" s="32">
        <f>MARZO!BA124</f>
        <v>-2.7284841053187847E-12</v>
      </c>
      <c r="K124" s="32">
        <f>ABRIL!AZ126</f>
        <v>-2.7284841053187847E-12</v>
      </c>
      <c r="L124" s="32"/>
      <c r="M124" s="336"/>
      <c r="N124" s="32"/>
      <c r="O124" s="33"/>
      <c r="P124" s="33"/>
      <c r="Q124" s="31"/>
      <c r="R124" s="31"/>
      <c r="S124" s="47">
        <f>(300*0.16+300)*5+(900*0.16+900)*1</f>
        <v>2784</v>
      </c>
      <c r="T124" s="47"/>
      <c r="U124" s="48"/>
      <c r="V124" s="49"/>
      <c r="W124" s="50"/>
      <c r="X124" s="49"/>
      <c r="Y124" s="51"/>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33">
        <f t="shared" si="1"/>
        <v>2783.9999999999973</v>
      </c>
      <c r="BB124" s="268" t="s">
        <v>2900</v>
      </c>
    </row>
    <row r="125" spans="1:54" ht="68.25" customHeight="1" x14ac:dyDescent="0.35">
      <c r="A125" s="26">
        <v>108</v>
      </c>
      <c r="B125" s="43" t="s">
        <v>2926</v>
      </c>
      <c r="C125" s="28"/>
      <c r="D125" s="300" t="s">
        <v>2932</v>
      </c>
      <c r="E125" s="125">
        <v>1</v>
      </c>
      <c r="F125" s="60" t="s">
        <v>30</v>
      </c>
      <c r="G125" s="112"/>
      <c r="H125" s="45"/>
      <c r="I125" s="31"/>
      <c r="J125" s="32"/>
      <c r="K125" s="32">
        <f>ABRIL!AZ127</f>
        <v>-1734.1999999999998</v>
      </c>
      <c r="L125" s="32"/>
      <c r="M125" s="336"/>
      <c r="N125" s="32"/>
      <c r="O125" s="33"/>
      <c r="P125" s="33"/>
      <c r="Q125" s="31"/>
      <c r="R125" s="31"/>
      <c r="S125" s="47">
        <f>(299*0.16+299)*E125</f>
        <v>346.84000000000003</v>
      </c>
      <c r="T125" s="47"/>
      <c r="U125" s="48"/>
      <c r="V125" s="49"/>
      <c r="W125" s="50"/>
      <c r="X125" s="49"/>
      <c r="Y125" s="51"/>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33">
        <f t="shared" si="1"/>
        <v>-1387.3599999999997</v>
      </c>
      <c r="BB125" s="268" t="s">
        <v>3056</v>
      </c>
    </row>
    <row r="126" spans="1:54" ht="57" customHeight="1" x14ac:dyDescent="0.35">
      <c r="A126" s="26">
        <v>109</v>
      </c>
      <c r="B126" s="43" t="s">
        <v>2520</v>
      </c>
      <c r="C126" s="43"/>
      <c r="D126" s="300" t="s">
        <v>2505</v>
      </c>
      <c r="E126" s="128">
        <v>4</v>
      </c>
      <c r="F126" s="44"/>
      <c r="G126" s="234"/>
      <c r="H126" s="31"/>
      <c r="I126" s="31"/>
      <c r="J126" s="32">
        <f>MARZO!BA125</f>
        <v>0</v>
      </c>
      <c r="K126" s="33">
        <f>ABRIL!AZ128</f>
        <v>0</v>
      </c>
      <c r="L126" s="336"/>
      <c r="M126" s="32"/>
      <c r="N126" s="336"/>
      <c r="O126" s="33"/>
      <c r="P126" s="33"/>
      <c r="Q126" s="31"/>
      <c r="R126" s="31"/>
      <c r="S126" s="47">
        <f>(225*0.16+225)*E126</f>
        <v>1044</v>
      </c>
      <c r="T126" s="47"/>
      <c r="U126" s="48"/>
      <c r="V126" s="49"/>
      <c r="W126" s="50"/>
      <c r="X126" s="49"/>
      <c r="Y126" s="51"/>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33">
        <f t="shared" si="1"/>
        <v>1044</v>
      </c>
      <c r="BB126" s="43" t="s">
        <v>2634</v>
      </c>
    </row>
    <row r="127" spans="1:54" ht="98.25" customHeight="1" x14ac:dyDescent="0.35">
      <c r="A127" s="26">
        <v>110</v>
      </c>
      <c r="B127" s="43" t="s">
        <v>2185</v>
      </c>
      <c r="C127" s="53"/>
      <c r="D127" s="300" t="s">
        <v>2216</v>
      </c>
      <c r="E127" s="125">
        <v>21</v>
      </c>
      <c r="F127" s="44" t="s">
        <v>30</v>
      </c>
      <c r="G127" s="112"/>
      <c r="H127" s="45"/>
      <c r="I127" s="31">
        <f>FEBRERO!AX117</f>
        <v>0</v>
      </c>
      <c r="J127" s="32">
        <f>MARZO!BA126</f>
        <v>0</v>
      </c>
      <c r="K127" s="33">
        <f>ABRIL!AZ129</f>
        <v>0</v>
      </c>
      <c r="L127" s="32"/>
      <c r="M127" s="336"/>
      <c r="N127" s="32"/>
      <c r="O127" s="33"/>
      <c r="P127" s="33"/>
      <c r="Q127" s="31"/>
      <c r="R127" s="31"/>
      <c r="S127" s="47">
        <f>(1800*0.16+1800)*2</f>
        <v>4176</v>
      </c>
      <c r="T127" s="47"/>
      <c r="U127" s="48"/>
      <c r="V127" s="49"/>
      <c r="W127" s="50"/>
      <c r="X127" s="49"/>
      <c r="Y127" s="51"/>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33">
        <f t="shared" si="1"/>
        <v>4176</v>
      </c>
      <c r="BB127" s="268" t="s">
        <v>2901</v>
      </c>
    </row>
    <row r="128" spans="1:54" s="23" customFormat="1" ht="81" customHeight="1" x14ac:dyDescent="0.3">
      <c r="A128" s="26">
        <v>111</v>
      </c>
      <c r="B128" s="43" t="s">
        <v>1478</v>
      </c>
      <c r="C128" s="28"/>
      <c r="D128" s="329" t="s">
        <v>1479</v>
      </c>
      <c r="E128" s="332"/>
      <c r="F128" s="40" t="s">
        <v>30</v>
      </c>
      <c r="G128" s="234">
        <f>[1]DICIEMBRE!$BA$114</f>
        <v>0</v>
      </c>
      <c r="H128" s="31">
        <f>ENERO!BA116</f>
        <v>0</v>
      </c>
      <c r="I128" s="31">
        <f>FEBRERO!AX118</f>
        <v>0</v>
      </c>
      <c r="J128" s="32">
        <f>MARZO!BA127</f>
        <v>0</v>
      </c>
      <c r="K128" s="32">
        <f>ABRIL!AZ130</f>
        <v>0</v>
      </c>
      <c r="L128" s="32"/>
      <c r="M128" s="32"/>
      <c r="N128" s="32"/>
      <c r="O128" s="32"/>
      <c r="P128" s="31"/>
      <c r="Q128" s="31"/>
      <c r="R128" s="31"/>
      <c r="S128" s="34"/>
      <c r="T128" s="34"/>
      <c r="U128" s="34"/>
      <c r="V128" s="35"/>
      <c r="W128" s="54"/>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5"/>
      <c r="BA128" s="33">
        <f t="shared" si="1"/>
        <v>0</v>
      </c>
      <c r="BB128" s="267"/>
    </row>
    <row r="129" spans="1:54" s="23" customFormat="1" ht="122.25" customHeight="1" x14ac:dyDescent="0.3">
      <c r="A129" s="26">
        <v>112</v>
      </c>
      <c r="B129" s="91" t="s">
        <v>299</v>
      </c>
      <c r="C129" s="53"/>
      <c r="D129" s="300" t="s">
        <v>1951</v>
      </c>
      <c r="E129" s="408"/>
      <c r="F129" s="40"/>
      <c r="G129" s="234"/>
      <c r="H129" s="31"/>
      <c r="I129" s="31"/>
      <c r="J129" s="32"/>
      <c r="K129" s="33">
        <f>ABRIL!AZ131</f>
        <v>5278</v>
      </c>
      <c r="L129" s="32"/>
      <c r="M129" s="32"/>
      <c r="N129" s="32"/>
      <c r="O129" s="32"/>
      <c r="P129" s="31"/>
      <c r="Q129" s="31"/>
      <c r="R129" s="31"/>
      <c r="S129" s="34"/>
      <c r="T129" s="34"/>
      <c r="U129" s="34"/>
      <c r="V129" s="35"/>
      <c r="W129" s="54"/>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5"/>
      <c r="AZ129" s="35"/>
      <c r="BA129" s="33">
        <f t="shared" si="1"/>
        <v>5278</v>
      </c>
      <c r="BB129" s="267"/>
    </row>
    <row r="130" spans="1:54" ht="98.25" customHeight="1" x14ac:dyDescent="0.35">
      <c r="A130" s="26">
        <v>113</v>
      </c>
      <c r="B130" s="27" t="s">
        <v>88</v>
      </c>
      <c r="C130" s="28" t="s">
        <v>89</v>
      </c>
      <c r="D130" s="300" t="s">
        <v>3021</v>
      </c>
      <c r="E130" s="125">
        <v>5</v>
      </c>
      <c r="F130" s="62" t="s">
        <v>30</v>
      </c>
      <c r="G130" s="112">
        <f>[1]DICIEMBRE!$BA$117</f>
        <v>0</v>
      </c>
      <c r="H130" s="45">
        <f>ENERO!BA121</f>
        <v>0</v>
      </c>
      <c r="I130" s="31">
        <f>FEBRERO!AX123</f>
        <v>0</v>
      </c>
      <c r="J130" s="32">
        <f>MARZO!BA131</f>
        <v>0</v>
      </c>
      <c r="K130" s="32">
        <f>ABRIL!AZ136</f>
        <v>0</v>
      </c>
      <c r="L130" s="32"/>
      <c r="M130" s="32"/>
      <c r="N130" s="336"/>
      <c r="O130" s="32"/>
      <c r="P130" s="31"/>
      <c r="Q130" s="31"/>
      <c r="R130" s="31"/>
      <c r="S130" s="47">
        <f>(300*0.16+300)*E130</f>
        <v>1740</v>
      </c>
      <c r="T130" s="47"/>
      <c r="U130" s="48"/>
      <c r="V130" s="49"/>
      <c r="W130" s="50"/>
      <c r="X130" s="49"/>
      <c r="Y130" s="49"/>
      <c r="Z130" s="49"/>
      <c r="AA130" s="49"/>
      <c r="AB130" s="70"/>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33">
        <f t="shared" si="1"/>
        <v>1740</v>
      </c>
      <c r="BB130" s="267"/>
    </row>
    <row r="131" spans="1:54" ht="53.25" customHeight="1" x14ac:dyDescent="0.35">
      <c r="A131" s="26">
        <v>114</v>
      </c>
      <c r="B131" s="43" t="s">
        <v>1080</v>
      </c>
      <c r="C131" s="28"/>
      <c r="D131" s="300" t="s">
        <v>3022</v>
      </c>
      <c r="E131" s="95">
        <v>1</v>
      </c>
      <c r="F131" s="62" t="s">
        <v>30</v>
      </c>
      <c r="G131" s="234">
        <f>[1]DICIEMBRE!$BA$118</f>
        <v>-250</v>
      </c>
      <c r="H131" s="31">
        <f>ENERO!BA122</f>
        <v>0</v>
      </c>
      <c r="I131" s="45">
        <f>FEBRERO!AX124</f>
        <v>-750</v>
      </c>
      <c r="J131" s="32">
        <f>MARZO!BA132</f>
        <v>-500</v>
      </c>
      <c r="K131" s="33">
        <f>ABRIL!AZ137</f>
        <v>-250</v>
      </c>
      <c r="L131" s="336"/>
      <c r="M131" s="336"/>
      <c r="N131" s="32"/>
      <c r="O131" s="32"/>
      <c r="P131" s="33"/>
      <c r="Q131" s="31"/>
      <c r="R131" s="31"/>
      <c r="S131" s="47">
        <f>250*E131</f>
        <v>250</v>
      </c>
      <c r="T131" s="47"/>
      <c r="U131" s="48"/>
      <c r="V131" s="49"/>
      <c r="W131" s="50"/>
      <c r="X131" s="49"/>
      <c r="Y131" s="49"/>
      <c r="Z131" s="49"/>
      <c r="AA131" s="49"/>
      <c r="AB131" s="70"/>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33">
        <f t="shared" si="1"/>
        <v>0</v>
      </c>
      <c r="BB131" s="267" t="s">
        <v>2194</v>
      </c>
    </row>
    <row r="132" spans="1:54" ht="57" customHeight="1" x14ac:dyDescent="0.35">
      <c r="A132" s="26">
        <v>115</v>
      </c>
      <c r="B132" s="43" t="s">
        <v>569</v>
      </c>
      <c r="C132" s="28"/>
      <c r="D132" s="300" t="s">
        <v>1169</v>
      </c>
      <c r="E132" s="95">
        <v>2</v>
      </c>
      <c r="F132" s="62" t="s">
        <v>30</v>
      </c>
      <c r="G132" s="234">
        <f>[1]DICIEMBRE!$BA$120</f>
        <v>1262</v>
      </c>
      <c r="H132" s="45">
        <f>ENERO!BA124</f>
        <v>0</v>
      </c>
      <c r="I132" s="31">
        <f>FEBRERO!AX125</f>
        <v>0</v>
      </c>
      <c r="J132" s="32">
        <f>MARZO!BA133</f>
        <v>0</v>
      </c>
      <c r="K132" s="33">
        <f>ABRIL!AZ138</f>
        <v>0</v>
      </c>
      <c r="L132" s="32"/>
      <c r="M132" s="32"/>
      <c r="N132" s="32"/>
      <c r="O132" s="33"/>
      <c r="P132" s="33"/>
      <c r="Q132" s="31"/>
      <c r="R132" s="31"/>
      <c r="S132" s="47">
        <f>(300*0.16+300)*E132</f>
        <v>696</v>
      </c>
      <c r="T132" s="47"/>
      <c r="U132" s="48"/>
      <c r="V132" s="49"/>
      <c r="W132" s="50"/>
      <c r="X132" s="49"/>
      <c r="Y132" s="49"/>
      <c r="Z132" s="49"/>
      <c r="AA132" s="49"/>
      <c r="AB132" s="70"/>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33">
        <f t="shared" si="1"/>
        <v>696</v>
      </c>
      <c r="BB132" s="267"/>
    </row>
    <row r="133" spans="1:54" ht="69.75" customHeight="1" x14ac:dyDescent="0.35">
      <c r="A133" s="26">
        <v>116</v>
      </c>
      <c r="B133" s="27" t="s">
        <v>91</v>
      </c>
      <c r="C133" s="28" t="s">
        <v>92</v>
      </c>
      <c r="D133" s="418" t="s">
        <v>1170</v>
      </c>
      <c r="E133" s="95">
        <v>9</v>
      </c>
      <c r="F133" s="44" t="s">
        <v>30</v>
      </c>
      <c r="G133" s="112">
        <f>[1]DICIEMBRE!$BA$121</f>
        <v>0</v>
      </c>
      <c r="H133" s="31">
        <f>ENERO!BA125</f>
        <v>0</v>
      </c>
      <c r="I133" s="31">
        <f>FEBRERO!AX126</f>
        <v>0</v>
      </c>
      <c r="J133" s="32">
        <f>MARZO!BA134</f>
        <v>0</v>
      </c>
      <c r="K133" s="32">
        <f>ABRIL!AZ139</f>
        <v>0</v>
      </c>
      <c r="L133" s="32"/>
      <c r="M133" s="32"/>
      <c r="N133" s="336"/>
      <c r="O133" s="32"/>
      <c r="P133" s="31"/>
      <c r="Q133" s="31"/>
      <c r="R133" s="31"/>
      <c r="S133" s="47">
        <f>E133*300</f>
        <v>2700</v>
      </c>
      <c r="T133" s="47"/>
      <c r="U133" s="48"/>
      <c r="V133" s="49"/>
      <c r="W133" s="49"/>
      <c r="X133" s="49"/>
      <c r="Y133" s="49"/>
      <c r="Z133" s="49"/>
      <c r="AA133" s="49"/>
      <c r="AB133" s="49"/>
      <c r="AC133" s="6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33">
        <f t="shared" si="1"/>
        <v>2700</v>
      </c>
      <c r="BB133" s="43"/>
    </row>
    <row r="134" spans="1:54" ht="28.5" customHeight="1" x14ac:dyDescent="0.35">
      <c r="A134" s="26">
        <v>117</v>
      </c>
      <c r="B134" s="43" t="s">
        <v>93</v>
      </c>
      <c r="C134" s="53" t="s">
        <v>94</v>
      </c>
      <c r="D134" s="300" t="s">
        <v>3023</v>
      </c>
      <c r="E134" s="95">
        <v>3</v>
      </c>
      <c r="F134" s="44" t="s">
        <v>30</v>
      </c>
      <c r="G134" s="234">
        <f>[1]DICIEMBRE!$BA$122</f>
        <v>-450</v>
      </c>
      <c r="H134" s="31">
        <f>ENERO!BA126</f>
        <v>-450</v>
      </c>
      <c r="I134" s="31">
        <f>FEBRERO!AX127</f>
        <v>-450</v>
      </c>
      <c r="J134" s="32">
        <f>MARZO!BA135</f>
        <v>-450</v>
      </c>
      <c r="K134" s="33">
        <f>ABRIL!AZ140</f>
        <v>-450</v>
      </c>
      <c r="L134" s="336"/>
      <c r="M134" s="336"/>
      <c r="N134" s="32"/>
      <c r="O134" s="32"/>
      <c r="P134" s="33"/>
      <c r="Q134" s="31"/>
      <c r="R134" s="31"/>
      <c r="S134" s="47">
        <f>250*E134</f>
        <v>750</v>
      </c>
      <c r="T134" s="47"/>
      <c r="U134" s="48"/>
      <c r="V134" s="50"/>
      <c r="W134" s="50"/>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33">
        <f t="shared" si="1"/>
        <v>300</v>
      </c>
      <c r="BB134" s="43"/>
    </row>
    <row r="135" spans="1:54" ht="45" customHeight="1" x14ac:dyDescent="0.35">
      <c r="A135" s="26">
        <v>118</v>
      </c>
      <c r="B135" s="43" t="s">
        <v>95</v>
      </c>
      <c r="C135" s="27" t="s">
        <v>96</v>
      </c>
      <c r="D135" s="300" t="s">
        <v>3024</v>
      </c>
      <c r="E135" s="95">
        <v>15</v>
      </c>
      <c r="F135" s="44" t="s">
        <v>30</v>
      </c>
      <c r="G135" s="112">
        <f>[1]DICIEMBRE!$BA$123</f>
        <v>-0.2000000000007276</v>
      </c>
      <c r="H135" s="45">
        <f>ENERO!BA127</f>
        <v>-0.2000000000007276</v>
      </c>
      <c r="I135" s="45">
        <f>FEBRERO!AX128</f>
        <v>0</v>
      </c>
      <c r="J135" s="32">
        <f>MARZO!BA136</f>
        <v>0</v>
      </c>
      <c r="K135" s="33">
        <f>ABRIL!AZ141</f>
        <v>4779.2000000000007</v>
      </c>
      <c r="L135" s="32"/>
      <c r="M135" s="32"/>
      <c r="N135" s="32"/>
      <c r="O135" s="33"/>
      <c r="P135" s="31"/>
      <c r="Q135" s="31"/>
      <c r="R135" s="31"/>
      <c r="S135" s="47">
        <f>(300*0.16+300)*E135</f>
        <v>5220</v>
      </c>
      <c r="T135" s="47"/>
      <c r="U135" s="48"/>
      <c r="V135" s="50"/>
      <c r="W135" s="50"/>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33">
        <f t="shared" si="1"/>
        <v>9999.2000000000007</v>
      </c>
      <c r="BB135" s="43"/>
    </row>
    <row r="136" spans="1:54" ht="45" customHeight="1" x14ac:dyDescent="0.35">
      <c r="A136" s="26">
        <v>119</v>
      </c>
      <c r="B136" s="43" t="s">
        <v>1299</v>
      </c>
      <c r="C136" s="27"/>
      <c r="D136" s="300" t="s">
        <v>3025</v>
      </c>
      <c r="E136" s="95">
        <v>1</v>
      </c>
      <c r="F136" s="44" t="s">
        <v>30</v>
      </c>
      <c r="G136" s="234">
        <f>[1]DICIEMBRE!$BA$124</f>
        <v>0</v>
      </c>
      <c r="H136" s="31">
        <f>ENERO!BA128</f>
        <v>0</v>
      </c>
      <c r="I136" s="31">
        <f>FEBRERO!AX129</f>
        <v>0</v>
      </c>
      <c r="J136" s="32">
        <f>MARZO!BA137</f>
        <v>0</v>
      </c>
      <c r="K136" s="32">
        <f>ABRIL!AZ142</f>
        <v>0</v>
      </c>
      <c r="L136" s="32"/>
      <c r="M136" s="32"/>
      <c r="N136" s="32"/>
      <c r="O136" s="32"/>
      <c r="P136" s="33"/>
      <c r="Q136" s="31"/>
      <c r="R136" s="31"/>
      <c r="S136" s="47">
        <f>300*E136</f>
        <v>300</v>
      </c>
      <c r="T136" s="47"/>
      <c r="U136" s="48"/>
      <c r="V136" s="50"/>
      <c r="W136" s="50"/>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33">
        <f t="shared" si="1"/>
        <v>300</v>
      </c>
      <c r="BB136" s="43"/>
    </row>
    <row r="137" spans="1:54" ht="45" customHeight="1" x14ac:dyDescent="0.35">
      <c r="A137" s="26">
        <v>120</v>
      </c>
      <c r="B137" s="43" t="s">
        <v>2810</v>
      </c>
      <c r="C137" s="27"/>
      <c r="D137" s="329" t="s">
        <v>2945</v>
      </c>
      <c r="E137" s="95">
        <v>1</v>
      </c>
      <c r="F137" s="44"/>
      <c r="G137" s="234"/>
      <c r="H137" s="31"/>
      <c r="I137" s="31"/>
      <c r="J137" s="32">
        <v>250</v>
      </c>
      <c r="K137" s="33">
        <f>ABRIL!AZ143</f>
        <v>0</v>
      </c>
      <c r="L137" s="32"/>
      <c r="M137" s="32"/>
      <c r="N137" s="32"/>
      <c r="O137" s="32"/>
      <c r="P137" s="33"/>
      <c r="Q137" s="31"/>
      <c r="R137" s="31"/>
      <c r="S137" s="47">
        <v>300</v>
      </c>
      <c r="T137" s="47"/>
      <c r="U137" s="48"/>
      <c r="V137" s="50"/>
      <c r="W137" s="50"/>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33">
        <f t="shared" si="1"/>
        <v>300</v>
      </c>
      <c r="BB137" s="43" t="s">
        <v>2809</v>
      </c>
    </row>
    <row r="138" spans="1:54" ht="45" customHeight="1" x14ac:dyDescent="0.35">
      <c r="A138" s="26">
        <v>121</v>
      </c>
      <c r="B138" s="43" t="s">
        <v>1963</v>
      </c>
      <c r="C138" s="27"/>
      <c r="D138" s="300" t="s">
        <v>1964</v>
      </c>
      <c r="E138" s="95">
        <v>1</v>
      </c>
      <c r="F138" s="44"/>
      <c r="G138" s="112"/>
      <c r="H138" s="45">
        <f>ENERO!BA130</f>
        <v>0</v>
      </c>
      <c r="I138" s="31">
        <f>FEBRERO!AX131</f>
        <v>0</v>
      </c>
      <c r="J138" s="32">
        <f>MARZO!BA138</f>
        <v>0</v>
      </c>
      <c r="K138" s="33">
        <f>ABRIL!AZ144</f>
        <v>0</v>
      </c>
      <c r="L138" s="32"/>
      <c r="M138" s="32"/>
      <c r="N138" s="336"/>
      <c r="O138" s="33"/>
      <c r="P138" s="31"/>
      <c r="Q138" s="31"/>
      <c r="R138" s="31"/>
      <c r="S138" s="47">
        <f>350*E138</f>
        <v>350</v>
      </c>
      <c r="T138" s="47"/>
      <c r="U138" s="48"/>
      <c r="V138" s="50"/>
      <c r="W138" s="50"/>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33">
        <f t="shared" si="1"/>
        <v>350</v>
      </c>
      <c r="BB138" s="43"/>
    </row>
    <row r="139" spans="1:54" ht="45" customHeight="1" x14ac:dyDescent="0.35">
      <c r="A139" s="26">
        <v>122</v>
      </c>
      <c r="B139" s="43" t="s">
        <v>1663</v>
      </c>
      <c r="C139" s="27"/>
      <c r="D139" s="300" t="s">
        <v>1664</v>
      </c>
      <c r="E139" s="95">
        <v>3</v>
      </c>
      <c r="F139" s="44"/>
      <c r="G139" s="112">
        <f>[1]DICIEMBRE!$BA$127</f>
        <v>0</v>
      </c>
      <c r="H139" s="31">
        <f>ENERO!BA131</f>
        <v>-250</v>
      </c>
      <c r="I139" s="45">
        <f>FEBRERO!AX132</f>
        <v>-750</v>
      </c>
      <c r="J139" s="32">
        <f>MARZO!BA139</f>
        <v>0</v>
      </c>
      <c r="K139" s="32">
        <f>ABRIL!AZ145</f>
        <v>0</v>
      </c>
      <c r="L139" s="32"/>
      <c r="M139" s="32"/>
      <c r="N139" s="32"/>
      <c r="O139" s="32"/>
      <c r="P139" s="33"/>
      <c r="Q139" s="31"/>
      <c r="R139" s="31"/>
      <c r="S139" s="47">
        <f>250*E139</f>
        <v>750</v>
      </c>
      <c r="T139" s="47"/>
      <c r="U139" s="48"/>
      <c r="V139" s="50"/>
      <c r="W139" s="50"/>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33">
        <f t="shared" si="1"/>
        <v>750</v>
      </c>
      <c r="BB139" s="43"/>
    </row>
    <row r="140" spans="1:54" ht="45" customHeight="1" x14ac:dyDescent="0.35">
      <c r="A140" s="26">
        <v>123</v>
      </c>
      <c r="B140" s="43" t="s">
        <v>1571</v>
      </c>
      <c r="C140" s="27"/>
      <c r="D140" s="300" t="s">
        <v>1596</v>
      </c>
      <c r="E140" s="95"/>
      <c r="F140" s="44" t="s">
        <v>100</v>
      </c>
      <c r="G140" s="112">
        <f>[1]DICIEMBRE!$BA$129</f>
        <v>0</v>
      </c>
      <c r="H140" s="45">
        <f>ENERO!BA133</f>
        <v>0</v>
      </c>
      <c r="I140" s="31">
        <f>FEBRERO!AX134</f>
        <v>0</v>
      </c>
      <c r="J140" s="32">
        <f>MARZO!BA140</f>
        <v>0</v>
      </c>
      <c r="K140" s="33">
        <f>ABRIL!AZ146</f>
        <v>0</v>
      </c>
      <c r="L140" s="32"/>
      <c r="M140" s="32"/>
      <c r="N140" s="32"/>
      <c r="O140" s="32"/>
      <c r="P140" s="33"/>
      <c r="Q140" s="31"/>
      <c r="R140" s="31"/>
      <c r="S140" s="47">
        <f>150*E140</f>
        <v>0</v>
      </c>
      <c r="T140" s="47"/>
      <c r="U140" s="48"/>
      <c r="V140" s="50"/>
      <c r="W140" s="50"/>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33">
        <f t="shared" si="1"/>
        <v>0</v>
      </c>
      <c r="BB140" s="43" t="s">
        <v>1776</v>
      </c>
    </row>
    <row r="141" spans="1:54" ht="45" customHeight="1" x14ac:dyDescent="0.35">
      <c r="A141" s="26">
        <v>124</v>
      </c>
      <c r="B141" s="43" t="s">
        <v>1280</v>
      </c>
      <c r="C141" s="27"/>
      <c r="D141" s="300" t="s">
        <v>3026</v>
      </c>
      <c r="E141" s="95">
        <v>1</v>
      </c>
      <c r="F141" s="44" t="s">
        <v>30</v>
      </c>
      <c r="G141" s="234">
        <f>[1]DICIEMBRE!$BA$130</f>
        <v>0</v>
      </c>
      <c r="H141" s="31">
        <f>ENERO!BA134</f>
        <v>0</v>
      </c>
      <c r="I141" s="31">
        <f>FEBRERO!AX135</f>
        <v>0</v>
      </c>
      <c r="J141" s="32">
        <f>MARZO!BA141</f>
        <v>0</v>
      </c>
      <c r="K141" s="33">
        <f>ABRIL!AZ147</f>
        <v>0</v>
      </c>
      <c r="L141" s="32"/>
      <c r="M141" s="32"/>
      <c r="N141" s="32"/>
      <c r="O141" s="32"/>
      <c r="P141" s="31"/>
      <c r="Q141" s="31"/>
      <c r="R141" s="31"/>
      <c r="S141" s="47">
        <f>250*E141</f>
        <v>250</v>
      </c>
      <c r="T141" s="47"/>
      <c r="U141" s="48"/>
      <c r="V141" s="50"/>
      <c r="W141" s="50"/>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33">
        <f t="shared" si="1"/>
        <v>250</v>
      </c>
      <c r="BB141" s="43"/>
    </row>
    <row r="142" spans="1:54" ht="45" customHeight="1" x14ac:dyDescent="0.35">
      <c r="A142" s="26">
        <v>125</v>
      </c>
      <c r="B142" s="43" t="s">
        <v>1240</v>
      </c>
      <c r="C142" s="27"/>
      <c r="D142" s="300" t="s">
        <v>3027</v>
      </c>
      <c r="E142" s="95">
        <v>3</v>
      </c>
      <c r="F142" s="44" t="s">
        <v>30</v>
      </c>
      <c r="G142" s="112">
        <f>[1]DICIEMBRE!$BA$131</f>
        <v>0</v>
      </c>
      <c r="H142" s="31">
        <f>ENERO!BA135</f>
        <v>0</v>
      </c>
      <c r="I142" s="45">
        <f>FEBRERO!AX136</f>
        <v>0</v>
      </c>
      <c r="J142" s="32">
        <f>MARZO!BA142</f>
        <v>0</v>
      </c>
      <c r="K142" s="32">
        <f>ABRIL!AZ148</f>
        <v>0</v>
      </c>
      <c r="L142" s="32"/>
      <c r="M142" s="336"/>
      <c r="N142" s="336"/>
      <c r="O142" s="33"/>
      <c r="P142" s="33"/>
      <c r="Q142" s="31"/>
      <c r="R142" s="31"/>
      <c r="S142" s="47">
        <f>250+900+900</f>
        <v>2050</v>
      </c>
      <c r="T142" s="47"/>
      <c r="U142" s="48"/>
      <c r="V142" s="50"/>
      <c r="W142" s="50"/>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33">
        <f t="shared" si="1"/>
        <v>2050</v>
      </c>
      <c r="BB142" s="43"/>
    </row>
    <row r="143" spans="1:54" ht="45.75" customHeight="1" x14ac:dyDescent="0.35">
      <c r="A143" s="26">
        <v>126</v>
      </c>
      <c r="B143" s="43" t="s">
        <v>2069</v>
      </c>
      <c r="C143" s="27"/>
      <c r="D143" s="300" t="s">
        <v>2070</v>
      </c>
      <c r="E143" s="95">
        <v>1</v>
      </c>
      <c r="F143" s="44" t="s">
        <v>100</v>
      </c>
      <c r="G143" s="112"/>
      <c r="H143" s="31">
        <f>ENERO!BA136</f>
        <v>0</v>
      </c>
      <c r="I143" s="31">
        <f>FEBRERO!AX137</f>
        <v>0</v>
      </c>
      <c r="J143" s="32">
        <f>MARZO!BA143</f>
        <v>350</v>
      </c>
      <c r="K143" s="33">
        <f>ABRIL!AZ149</f>
        <v>0</v>
      </c>
      <c r="L143" s="32"/>
      <c r="M143" s="336"/>
      <c r="N143" s="336"/>
      <c r="O143" s="33"/>
      <c r="P143" s="33"/>
      <c r="Q143" s="31"/>
      <c r="R143" s="31"/>
      <c r="S143" s="47">
        <f>350*E143</f>
        <v>350</v>
      </c>
      <c r="T143" s="47"/>
      <c r="U143" s="48"/>
      <c r="V143" s="50"/>
      <c r="W143" s="50"/>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33">
        <f t="shared" si="1"/>
        <v>350</v>
      </c>
      <c r="BB143" s="43"/>
    </row>
    <row r="144" spans="1:54" ht="38.25" customHeight="1" x14ac:dyDescent="0.35">
      <c r="A144" s="26">
        <v>127</v>
      </c>
      <c r="B144" s="27" t="s">
        <v>98</v>
      </c>
      <c r="C144" s="28" t="s">
        <v>99</v>
      </c>
      <c r="D144" s="300" t="s">
        <v>3028</v>
      </c>
      <c r="E144" s="95">
        <v>2</v>
      </c>
      <c r="F144" s="44" t="s">
        <v>100</v>
      </c>
      <c r="G144" s="112">
        <f>[1]DICIEMBRE!$BA$135</f>
        <v>0</v>
      </c>
      <c r="H144" s="45">
        <f>ENERO!BA140</f>
        <v>600</v>
      </c>
      <c r="I144" s="31">
        <f>FEBRERO!AX139</f>
        <v>0</v>
      </c>
      <c r="J144" s="32">
        <f>MARZO!BA144</f>
        <v>600</v>
      </c>
      <c r="K144" s="33">
        <f>ABRIL!AZ150</f>
        <v>1200</v>
      </c>
      <c r="L144" s="32"/>
      <c r="M144" s="32"/>
      <c r="N144" s="32"/>
      <c r="O144" s="32"/>
      <c r="P144" s="33"/>
      <c r="Q144" s="31"/>
      <c r="R144" s="31"/>
      <c r="S144" s="47">
        <f>300*E144</f>
        <v>600</v>
      </c>
      <c r="T144" s="47"/>
      <c r="U144" s="48"/>
      <c r="V144" s="49"/>
      <c r="W144" s="49"/>
      <c r="X144" s="49"/>
      <c r="Y144" s="49"/>
      <c r="Z144" s="49"/>
      <c r="AA144" s="49"/>
      <c r="AB144" s="49"/>
      <c r="AC144" s="50"/>
      <c r="AD144" s="49"/>
      <c r="AE144" s="49"/>
      <c r="AF144" s="49"/>
      <c r="AG144" s="49"/>
      <c r="AH144" s="51"/>
      <c r="AI144" s="49"/>
      <c r="AJ144" s="49"/>
      <c r="AK144" s="49"/>
      <c r="AL144" s="49"/>
      <c r="AM144" s="49"/>
      <c r="AN144" s="49"/>
      <c r="AO144" s="49"/>
      <c r="AP144" s="49"/>
      <c r="AQ144" s="49"/>
      <c r="AR144" s="49"/>
      <c r="AS144" s="49"/>
      <c r="AT144" s="49"/>
      <c r="AU144" s="49"/>
      <c r="AV144" s="49"/>
      <c r="AW144" s="49"/>
      <c r="AX144" s="49"/>
      <c r="AY144" s="49"/>
      <c r="AZ144" s="49"/>
      <c r="BA144" s="33">
        <f t="shared" si="1"/>
        <v>1800</v>
      </c>
      <c r="BB144" s="43"/>
    </row>
    <row r="145" spans="1:54" ht="57" customHeight="1" x14ac:dyDescent="0.35">
      <c r="A145" s="26">
        <v>128</v>
      </c>
      <c r="B145" s="43" t="s">
        <v>2775</v>
      </c>
      <c r="C145" s="28"/>
      <c r="D145" s="300" t="s">
        <v>2776</v>
      </c>
      <c r="E145" s="95">
        <v>3</v>
      </c>
      <c r="F145" s="44"/>
      <c r="G145" s="112"/>
      <c r="H145" s="45"/>
      <c r="I145" s="31"/>
      <c r="J145" s="32"/>
      <c r="K145" s="32">
        <f>ABRIL!AZ151</f>
        <v>0</v>
      </c>
      <c r="L145" s="32"/>
      <c r="M145" s="32"/>
      <c r="N145" s="32"/>
      <c r="O145" s="32"/>
      <c r="P145" s="33"/>
      <c r="Q145" s="31"/>
      <c r="R145" s="31"/>
      <c r="S145" s="47">
        <f>(300)*E145</f>
        <v>900</v>
      </c>
      <c r="T145" s="47"/>
      <c r="U145" s="48"/>
      <c r="V145" s="49"/>
      <c r="W145" s="49"/>
      <c r="X145" s="49"/>
      <c r="Y145" s="49"/>
      <c r="Z145" s="49"/>
      <c r="AA145" s="49"/>
      <c r="AB145" s="49"/>
      <c r="AC145" s="50"/>
      <c r="AD145" s="49"/>
      <c r="AE145" s="49"/>
      <c r="AF145" s="49"/>
      <c r="AG145" s="49"/>
      <c r="AH145" s="51"/>
      <c r="AI145" s="49"/>
      <c r="AJ145" s="49"/>
      <c r="AK145" s="49"/>
      <c r="AL145" s="49"/>
      <c r="AM145" s="49"/>
      <c r="AN145" s="49"/>
      <c r="AO145" s="49"/>
      <c r="AP145" s="49"/>
      <c r="AQ145" s="49"/>
      <c r="AR145" s="49"/>
      <c r="AS145" s="49"/>
      <c r="AT145" s="49"/>
      <c r="AU145" s="49"/>
      <c r="AV145" s="49"/>
      <c r="AW145" s="49"/>
      <c r="AX145" s="49"/>
      <c r="AY145" s="49"/>
      <c r="AZ145" s="49"/>
      <c r="BA145" s="33">
        <f t="shared" ref="BA145:BA208" si="2">SUM(K145+S145+T145-U145-V145-W145-X145-Y145-Z145-AA145-AB145-AC145-AD145-AE145-AF145-AG145-AH145-AI145-AJ145-AK145-AL145-AM145-AN145-AO145-AP145-AQ145-AR145-AS145-AT145-AU145-AV145-AW145-AX145-AY145-AZ145)</f>
        <v>900</v>
      </c>
      <c r="BB145" s="43" t="s">
        <v>2777</v>
      </c>
    </row>
    <row r="146" spans="1:54" ht="38.25" customHeight="1" x14ac:dyDescent="0.35">
      <c r="A146" s="26">
        <v>129</v>
      </c>
      <c r="B146" s="43" t="s">
        <v>1561</v>
      </c>
      <c r="C146" s="28"/>
      <c r="D146" s="300" t="s">
        <v>1562</v>
      </c>
      <c r="E146" s="95">
        <v>1</v>
      </c>
      <c r="F146" s="44" t="s">
        <v>30</v>
      </c>
      <c r="G146" s="234">
        <f>[1]DICIEMBRE!$BA$136</f>
        <v>-52</v>
      </c>
      <c r="H146" s="31">
        <f>ENERO!BA141</f>
        <v>-353</v>
      </c>
      <c r="I146" s="45">
        <f>FEBRERO!AX140</f>
        <v>-54</v>
      </c>
      <c r="J146" s="32">
        <f>MARZO!BA145</f>
        <v>245</v>
      </c>
      <c r="K146" s="33">
        <f>ABRIL!AZ152</f>
        <v>244</v>
      </c>
      <c r="L146" s="32"/>
      <c r="M146" s="32"/>
      <c r="N146" s="32"/>
      <c r="O146" s="32"/>
      <c r="P146" s="33"/>
      <c r="Q146" s="31"/>
      <c r="R146" s="31"/>
      <c r="S146" s="47">
        <f>299*E146</f>
        <v>299</v>
      </c>
      <c r="T146" s="47"/>
      <c r="U146" s="48"/>
      <c r="V146" s="49"/>
      <c r="W146" s="49"/>
      <c r="X146" s="49"/>
      <c r="Y146" s="49"/>
      <c r="Z146" s="49"/>
      <c r="AA146" s="49"/>
      <c r="AB146" s="49"/>
      <c r="AC146" s="50"/>
      <c r="AD146" s="49"/>
      <c r="AE146" s="49"/>
      <c r="AF146" s="49"/>
      <c r="AG146" s="49"/>
      <c r="AH146" s="51"/>
      <c r="AI146" s="49"/>
      <c r="AJ146" s="49"/>
      <c r="AK146" s="49"/>
      <c r="AL146" s="49"/>
      <c r="AM146" s="49"/>
      <c r="AN146" s="49"/>
      <c r="AO146" s="49"/>
      <c r="AP146" s="49"/>
      <c r="AQ146" s="49"/>
      <c r="AR146" s="49"/>
      <c r="AS146" s="49"/>
      <c r="AT146" s="49"/>
      <c r="AU146" s="49"/>
      <c r="AV146" s="49"/>
      <c r="AW146" s="49"/>
      <c r="AX146" s="49"/>
      <c r="AY146" s="49"/>
      <c r="AZ146" s="49"/>
      <c r="BA146" s="33">
        <f t="shared" si="2"/>
        <v>543</v>
      </c>
      <c r="BB146" s="43"/>
    </row>
    <row r="147" spans="1:54" ht="37.5" customHeight="1" x14ac:dyDescent="0.35">
      <c r="A147" s="26">
        <v>130</v>
      </c>
      <c r="B147" s="27" t="s">
        <v>101</v>
      </c>
      <c r="C147" s="28" t="s">
        <v>102</v>
      </c>
      <c r="D147" s="300" t="s">
        <v>1171</v>
      </c>
      <c r="E147" s="95">
        <v>1</v>
      </c>
      <c r="F147" s="44" t="s">
        <v>30</v>
      </c>
      <c r="G147" s="112">
        <f>[1]DICIEMBRE!$BA$137</f>
        <v>300</v>
      </c>
      <c r="H147" s="31">
        <f>ENERO!BA142</f>
        <v>0</v>
      </c>
      <c r="I147" s="31">
        <f>FEBRERO!AX141</f>
        <v>-300</v>
      </c>
      <c r="J147" s="32">
        <f>MARZO!BA146</f>
        <v>0</v>
      </c>
      <c r="K147" s="33">
        <f>ABRIL!AZ153</f>
        <v>300</v>
      </c>
      <c r="L147" s="32"/>
      <c r="M147" s="336"/>
      <c r="N147" s="336"/>
      <c r="O147" s="33"/>
      <c r="P147" s="33"/>
      <c r="Q147" s="31"/>
      <c r="R147" s="31"/>
      <c r="S147" s="47">
        <f>300*E147</f>
        <v>300</v>
      </c>
      <c r="T147" s="47"/>
      <c r="U147" s="48"/>
      <c r="V147" s="49"/>
      <c r="W147" s="49"/>
      <c r="X147" s="49"/>
      <c r="Y147" s="49"/>
      <c r="Z147" s="49"/>
      <c r="AA147" s="49"/>
      <c r="AB147" s="49"/>
      <c r="AC147" s="49"/>
      <c r="AD147" s="49"/>
      <c r="AE147" s="50"/>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33">
        <f t="shared" si="2"/>
        <v>600</v>
      </c>
      <c r="BB147" s="43"/>
    </row>
    <row r="148" spans="1:54" ht="46.5" customHeight="1" x14ac:dyDescent="0.35">
      <c r="A148" s="26">
        <v>131</v>
      </c>
      <c r="B148" s="43" t="s">
        <v>1389</v>
      </c>
      <c r="C148" s="28"/>
      <c r="D148" s="300" t="s">
        <v>3029</v>
      </c>
      <c r="E148" s="95">
        <v>1</v>
      </c>
      <c r="F148" s="44" t="s">
        <v>30</v>
      </c>
      <c r="G148" s="234">
        <f>[1]DICIEMBRE!$BA$138</f>
        <v>0</v>
      </c>
      <c r="H148" s="45">
        <f>ENERO!BA143</f>
        <v>0</v>
      </c>
      <c r="I148" s="31">
        <f>FEBRERO!AX142</f>
        <v>0</v>
      </c>
      <c r="J148" s="32">
        <f>MARZO!BA147</f>
        <v>-160</v>
      </c>
      <c r="K148" s="32">
        <f>ABRIL!AZ154</f>
        <v>0</v>
      </c>
      <c r="L148" s="32"/>
      <c r="M148" s="336"/>
      <c r="N148" s="336"/>
      <c r="O148" s="33"/>
      <c r="P148" s="31"/>
      <c r="Q148" s="31"/>
      <c r="R148" s="31"/>
      <c r="S148" s="47">
        <f>300*E148</f>
        <v>300</v>
      </c>
      <c r="T148" s="47"/>
      <c r="U148" s="48"/>
      <c r="V148" s="49"/>
      <c r="W148" s="49"/>
      <c r="X148" s="49"/>
      <c r="Y148" s="49"/>
      <c r="Z148" s="49"/>
      <c r="AA148" s="49"/>
      <c r="AB148" s="49"/>
      <c r="AC148" s="49"/>
      <c r="AD148" s="49"/>
      <c r="AE148" s="50"/>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33">
        <f t="shared" si="2"/>
        <v>300</v>
      </c>
      <c r="BB148" s="43" t="s">
        <v>2860</v>
      </c>
    </row>
    <row r="149" spans="1:54" ht="38.25" customHeight="1" x14ac:dyDescent="0.35">
      <c r="A149" s="26">
        <v>132</v>
      </c>
      <c r="B149" s="27" t="s">
        <v>103</v>
      </c>
      <c r="C149" s="28" t="s">
        <v>104</v>
      </c>
      <c r="D149" s="300" t="s">
        <v>3030</v>
      </c>
      <c r="E149" s="95">
        <v>1</v>
      </c>
      <c r="F149" s="44" t="s">
        <v>30</v>
      </c>
      <c r="G149" s="112">
        <f>[1]DICIEMBRE!$BA$139</f>
        <v>0</v>
      </c>
      <c r="H149" s="31">
        <f>ENERO!BA144</f>
        <v>-300</v>
      </c>
      <c r="I149" s="31">
        <f>FEBRERO!AX143</f>
        <v>-300</v>
      </c>
      <c r="J149" s="32">
        <f>MARZO!BA148</f>
        <v>0</v>
      </c>
      <c r="K149" s="33">
        <f>ABRIL!AZ155</f>
        <v>0</v>
      </c>
      <c r="L149" s="336"/>
      <c r="M149" s="32"/>
      <c r="N149" s="32"/>
      <c r="O149" s="32"/>
      <c r="P149" s="33"/>
      <c r="Q149" s="31"/>
      <c r="R149" s="31"/>
      <c r="S149" s="47">
        <f>300*E149</f>
        <v>300</v>
      </c>
      <c r="T149" s="47"/>
      <c r="U149" s="48"/>
      <c r="V149" s="49"/>
      <c r="W149" s="49"/>
      <c r="X149" s="49"/>
      <c r="Y149" s="49"/>
      <c r="Z149" s="49"/>
      <c r="AA149" s="49"/>
      <c r="AB149" s="50"/>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33">
        <f t="shared" si="2"/>
        <v>300</v>
      </c>
      <c r="BB149" s="43"/>
    </row>
    <row r="150" spans="1:54" ht="52.5" customHeight="1" x14ac:dyDescent="0.35">
      <c r="A150" s="26">
        <v>133</v>
      </c>
      <c r="B150" s="43" t="s">
        <v>1461</v>
      </c>
      <c r="C150" s="28"/>
      <c r="D150" s="300" t="s">
        <v>1462</v>
      </c>
      <c r="E150" s="95">
        <v>2</v>
      </c>
      <c r="F150" s="44" t="s">
        <v>30</v>
      </c>
      <c r="G150" s="234">
        <f>[1]DICIEMBRE!$BA$140</f>
        <v>0</v>
      </c>
      <c r="H150" s="31">
        <f>ENERO!BA145</f>
        <v>0</v>
      </c>
      <c r="I150" s="45">
        <f>FEBRERO!AX144</f>
        <v>0</v>
      </c>
      <c r="J150" s="32">
        <f>MARZO!BA149</f>
        <v>0</v>
      </c>
      <c r="K150" s="33">
        <f>ABRIL!AZ156</f>
        <v>0</v>
      </c>
      <c r="L150" s="336"/>
      <c r="M150" s="32"/>
      <c r="N150" s="32"/>
      <c r="O150" s="32"/>
      <c r="P150" s="33"/>
      <c r="Q150" s="31"/>
      <c r="R150" s="31"/>
      <c r="S150" s="47">
        <f>900*E150</f>
        <v>1800</v>
      </c>
      <c r="T150" s="47"/>
      <c r="U150" s="48"/>
      <c r="V150" s="49"/>
      <c r="W150" s="49"/>
      <c r="X150" s="49"/>
      <c r="Y150" s="49"/>
      <c r="Z150" s="49"/>
      <c r="AA150" s="49"/>
      <c r="AB150" s="50"/>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33">
        <f t="shared" si="2"/>
        <v>1800</v>
      </c>
      <c r="BB150" s="43"/>
    </row>
    <row r="151" spans="1:54" ht="45" customHeight="1" x14ac:dyDescent="0.35">
      <c r="A151" s="26">
        <v>134</v>
      </c>
      <c r="B151" s="43" t="s">
        <v>2063</v>
      </c>
      <c r="C151" s="28"/>
      <c r="D151" s="300" t="s">
        <v>1172</v>
      </c>
      <c r="E151" s="95">
        <v>6</v>
      </c>
      <c r="F151" s="44" t="s">
        <v>30</v>
      </c>
      <c r="G151" s="112">
        <f>[1]DICIEMBRE!$BA$141</f>
        <v>0</v>
      </c>
      <c r="H151" s="45">
        <f>ENERO!BA146</f>
        <v>0</v>
      </c>
      <c r="I151" s="31">
        <f>FEBRERO!AX145</f>
        <v>0</v>
      </c>
      <c r="J151" s="32">
        <f>MARZO!BA150</f>
        <v>0</v>
      </c>
      <c r="K151" s="32">
        <f>ABRIL!AZ157</f>
        <v>0</v>
      </c>
      <c r="L151" s="32"/>
      <c r="M151" s="336"/>
      <c r="N151" s="32"/>
      <c r="O151" s="32"/>
      <c r="P151" s="31"/>
      <c r="Q151" s="31"/>
      <c r="R151" s="31"/>
      <c r="S151" s="47">
        <f>250*E151</f>
        <v>1500</v>
      </c>
      <c r="T151" s="47"/>
      <c r="U151" s="48"/>
      <c r="V151" s="49"/>
      <c r="W151" s="49"/>
      <c r="X151" s="49"/>
      <c r="Y151" s="49"/>
      <c r="Z151" s="49"/>
      <c r="AA151" s="49"/>
      <c r="AB151" s="50"/>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33">
        <f t="shared" si="2"/>
        <v>1500</v>
      </c>
      <c r="BB151" s="43"/>
    </row>
    <row r="152" spans="1:54" ht="38.25" customHeight="1" x14ac:dyDescent="0.35">
      <c r="A152" s="26">
        <v>135</v>
      </c>
      <c r="B152" s="43" t="s">
        <v>1440</v>
      </c>
      <c r="C152" s="28"/>
      <c r="D152" s="300" t="s">
        <v>3031</v>
      </c>
      <c r="E152" s="95">
        <v>1</v>
      </c>
      <c r="F152" s="44" t="s">
        <v>30</v>
      </c>
      <c r="G152" s="234">
        <f>[1]DICIEMBRE!$BA$142</f>
        <v>0</v>
      </c>
      <c r="H152" s="31">
        <f>ENERO!BA147</f>
        <v>0</v>
      </c>
      <c r="I152" s="31">
        <f>FEBRERO!AX146</f>
        <v>0</v>
      </c>
      <c r="J152" s="32">
        <f>MARZO!BA151</f>
        <v>0</v>
      </c>
      <c r="K152" s="33">
        <f>ABRIL!AZ158</f>
        <v>0</v>
      </c>
      <c r="L152" s="32"/>
      <c r="M152" s="336"/>
      <c r="N152" s="32"/>
      <c r="O152" s="32"/>
      <c r="P152" s="31"/>
      <c r="Q152" s="31"/>
      <c r="R152" s="31"/>
      <c r="S152" s="47">
        <f>300*E152</f>
        <v>300</v>
      </c>
      <c r="T152" s="47"/>
      <c r="U152" s="48"/>
      <c r="V152" s="49"/>
      <c r="W152" s="49"/>
      <c r="X152" s="49"/>
      <c r="Y152" s="49"/>
      <c r="Z152" s="49"/>
      <c r="AA152" s="49"/>
      <c r="AB152" s="50"/>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33">
        <f t="shared" si="2"/>
        <v>300</v>
      </c>
      <c r="BB152" s="43"/>
    </row>
    <row r="153" spans="1:54" ht="38.25" customHeight="1" x14ac:dyDescent="0.35">
      <c r="A153" s="26">
        <v>136</v>
      </c>
      <c r="B153" s="43" t="s">
        <v>105</v>
      </c>
      <c r="C153" s="53" t="s">
        <v>106</v>
      </c>
      <c r="D153" s="300" t="s">
        <v>3032</v>
      </c>
      <c r="E153" s="96">
        <v>3</v>
      </c>
      <c r="F153" s="44" t="s">
        <v>30</v>
      </c>
      <c r="G153" s="112">
        <f>[1]DICIEMBRE!$BA$143</f>
        <v>0</v>
      </c>
      <c r="H153" s="31">
        <f>ENERO!BA148</f>
        <v>0</v>
      </c>
      <c r="I153" s="31">
        <f>FEBRERO!AX147</f>
        <v>0</v>
      </c>
      <c r="J153" s="32">
        <f>MARZO!BA152</f>
        <v>0</v>
      </c>
      <c r="K153" s="33">
        <f>ABRIL!AZ159</f>
        <v>0</v>
      </c>
      <c r="L153" s="32"/>
      <c r="M153" s="32"/>
      <c r="N153" s="336"/>
      <c r="O153" s="33"/>
      <c r="P153" s="33"/>
      <c r="Q153" s="31"/>
      <c r="R153" s="31"/>
      <c r="S153" s="47">
        <f>297*E153</f>
        <v>891</v>
      </c>
      <c r="T153" s="47"/>
      <c r="U153" s="48"/>
      <c r="V153" s="47"/>
      <c r="W153" s="75"/>
      <c r="X153" s="47"/>
      <c r="Y153" s="47"/>
      <c r="Z153" s="47"/>
      <c r="AA153" s="47"/>
      <c r="AB153" s="47"/>
      <c r="AC153" s="47"/>
      <c r="AD153" s="47"/>
      <c r="AE153" s="47"/>
      <c r="AF153" s="47"/>
      <c r="AG153" s="47"/>
      <c r="AH153" s="47"/>
      <c r="AI153" s="47"/>
      <c r="AJ153" s="47"/>
      <c r="AK153" s="66"/>
      <c r="AL153" s="47"/>
      <c r="AM153" s="47"/>
      <c r="AN153" s="47"/>
      <c r="AO153" s="47"/>
      <c r="AP153" s="47"/>
      <c r="AQ153" s="47"/>
      <c r="AR153" s="47"/>
      <c r="AS153" s="47"/>
      <c r="AT153" s="47"/>
      <c r="AU153" s="47"/>
      <c r="AV153" s="47"/>
      <c r="AW153" s="47"/>
      <c r="AX153" s="47"/>
      <c r="AY153" s="47"/>
      <c r="AZ153" s="47"/>
      <c r="BA153" s="33">
        <f t="shared" si="2"/>
        <v>891</v>
      </c>
      <c r="BB153" s="43"/>
    </row>
    <row r="154" spans="1:54" ht="60" customHeight="1" x14ac:dyDescent="0.35">
      <c r="A154" s="26">
        <v>137</v>
      </c>
      <c r="B154" s="27" t="s">
        <v>107</v>
      </c>
      <c r="C154" s="28" t="s">
        <v>108</v>
      </c>
      <c r="D154" s="300" t="s">
        <v>3033</v>
      </c>
      <c r="E154" s="96">
        <v>1</v>
      </c>
      <c r="F154" s="44" t="s">
        <v>30</v>
      </c>
      <c r="G154" s="234">
        <f>[1]DICIEMBRE!$BA$144</f>
        <v>0</v>
      </c>
      <c r="H154" s="45">
        <f>ENERO!BA149</f>
        <v>0</v>
      </c>
      <c r="I154" s="45">
        <f>FEBRERO!AX148</f>
        <v>0</v>
      </c>
      <c r="J154" s="32">
        <f>MARZO!BA153</f>
        <v>0</v>
      </c>
      <c r="K154" s="32">
        <f>ABRIL!AZ160</f>
        <v>0</v>
      </c>
      <c r="L154" s="336"/>
      <c r="M154" s="32"/>
      <c r="N154" s="32"/>
      <c r="O154" s="32"/>
      <c r="P154" s="31"/>
      <c r="Q154" s="31"/>
      <c r="R154" s="31"/>
      <c r="S154" s="47">
        <f>300*E154</f>
        <v>300</v>
      </c>
      <c r="T154" s="47"/>
      <c r="U154" s="48"/>
      <c r="V154" s="47"/>
      <c r="W154" s="47"/>
      <c r="X154" s="47"/>
      <c r="Y154" s="47"/>
      <c r="Z154" s="47"/>
      <c r="AA154" s="47"/>
      <c r="AB154" s="47"/>
      <c r="AC154" s="47"/>
      <c r="AD154" s="47"/>
      <c r="AE154" s="47"/>
      <c r="AF154" s="47"/>
      <c r="AG154" s="47"/>
      <c r="AH154" s="47"/>
      <c r="AI154" s="47"/>
      <c r="AJ154" s="47"/>
      <c r="AK154" s="66"/>
      <c r="AL154" s="47"/>
      <c r="AM154" s="47"/>
      <c r="AN154" s="47"/>
      <c r="AO154" s="47"/>
      <c r="AP154" s="47"/>
      <c r="AQ154" s="47"/>
      <c r="AR154" s="47"/>
      <c r="AS154" s="47"/>
      <c r="AT154" s="47"/>
      <c r="AU154" s="47"/>
      <c r="AV154" s="47"/>
      <c r="AW154" s="47"/>
      <c r="AX154" s="47"/>
      <c r="AY154" s="47"/>
      <c r="AZ154" s="47"/>
      <c r="BA154" s="33">
        <f t="shared" si="2"/>
        <v>300</v>
      </c>
      <c r="BB154" s="43"/>
    </row>
    <row r="155" spans="1:54" ht="39.75" customHeight="1" x14ac:dyDescent="0.35">
      <c r="A155" s="26">
        <v>138</v>
      </c>
      <c r="B155" s="43" t="s">
        <v>359</v>
      </c>
      <c r="C155" s="28" t="s">
        <v>383</v>
      </c>
      <c r="D155" s="300" t="s">
        <v>3034</v>
      </c>
      <c r="E155" s="96">
        <v>5</v>
      </c>
      <c r="F155" s="44" t="s">
        <v>30</v>
      </c>
      <c r="G155" s="112">
        <f>[1]DICIEMBRE!$BA$145</f>
        <v>0</v>
      </c>
      <c r="H155" s="31">
        <f>ENERO!BA150</f>
        <v>0</v>
      </c>
      <c r="I155" s="31">
        <f>FEBRERO!AX149</f>
        <v>0</v>
      </c>
      <c r="J155" s="32">
        <f>MARZO!BA154</f>
        <v>0</v>
      </c>
      <c r="K155" s="33">
        <f>ABRIL!AZ161</f>
        <v>3445</v>
      </c>
      <c r="L155" s="32"/>
      <c r="M155" s="336"/>
      <c r="N155" s="32"/>
      <c r="O155" s="32"/>
      <c r="P155" s="33"/>
      <c r="Q155" s="31"/>
      <c r="R155" s="31"/>
      <c r="S155" s="47">
        <f>249*E155</f>
        <v>1245</v>
      </c>
      <c r="T155" s="47"/>
      <c r="U155" s="48"/>
      <c r="V155" s="47"/>
      <c r="W155" s="47"/>
      <c r="X155" s="47"/>
      <c r="Y155" s="47"/>
      <c r="Z155" s="47"/>
      <c r="AA155" s="47"/>
      <c r="AB155" s="47"/>
      <c r="AC155" s="47"/>
      <c r="AD155" s="47"/>
      <c r="AE155" s="47"/>
      <c r="AF155" s="47"/>
      <c r="AG155" s="47"/>
      <c r="AH155" s="47"/>
      <c r="AI155" s="47"/>
      <c r="AJ155" s="47"/>
      <c r="AK155" s="66"/>
      <c r="AL155" s="47"/>
      <c r="AM155" s="47"/>
      <c r="AN155" s="47"/>
      <c r="AO155" s="47"/>
      <c r="AP155" s="47"/>
      <c r="AQ155" s="47"/>
      <c r="AR155" s="47"/>
      <c r="AS155" s="47"/>
      <c r="AT155" s="47"/>
      <c r="AU155" s="47"/>
      <c r="AV155" s="47"/>
      <c r="AW155" s="47"/>
      <c r="AX155" s="47"/>
      <c r="AY155" s="47"/>
      <c r="AZ155" s="47"/>
      <c r="BA155" s="33">
        <f t="shared" si="2"/>
        <v>4690</v>
      </c>
      <c r="BB155" s="43" t="s">
        <v>2635</v>
      </c>
    </row>
    <row r="156" spans="1:54" ht="60" customHeight="1" x14ac:dyDescent="0.35">
      <c r="A156" s="26">
        <v>139</v>
      </c>
      <c r="B156" s="43" t="s">
        <v>34</v>
      </c>
      <c r="C156" s="28" t="s">
        <v>382</v>
      </c>
      <c r="D156" s="330" t="s">
        <v>2196</v>
      </c>
      <c r="E156" s="95">
        <v>3</v>
      </c>
      <c r="F156" s="44" t="s">
        <v>30</v>
      </c>
      <c r="G156" s="234">
        <f>[1]DICIEMBRE!$BA$146</f>
        <v>-4.3999999998050043E-3</v>
      </c>
      <c r="H156" s="31">
        <f>ENERO!BA151</f>
        <v>269.99560000000019</v>
      </c>
      <c r="I156" s="31">
        <f>FEBRERO!AX150</f>
        <v>-4.3999999998050043E-3</v>
      </c>
      <c r="J156" s="32">
        <f>MARZO!BA155</f>
        <v>-4.3999999998050043E-3</v>
      </c>
      <c r="K156" s="33">
        <f>ABRIL!AZ162</f>
        <v>-4.3999999998050043E-3</v>
      </c>
      <c r="L156" s="32"/>
      <c r="M156" s="32"/>
      <c r="N156" s="336"/>
      <c r="O156" s="33"/>
      <c r="P156" s="31"/>
      <c r="Q156" s="31"/>
      <c r="R156" s="31"/>
      <c r="S156" s="47">
        <f>(250*0.16+250)*E156</f>
        <v>870</v>
      </c>
      <c r="T156" s="47"/>
      <c r="U156" s="48"/>
      <c r="V156" s="49"/>
      <c r="W156" s="49"/>
      <c r="X156" s="49"/>
      <c r="Y156" s="49"/>
      <c r="Z156" s="49"/>
      <c r="AA156" s="49"/>
      <c r="AB156" s="50"/>
      <c r="AC156" s="51"/>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33">
        <f t="shared" si="2"/>
        <v>869.99560000000019</v>
      </c>
      <c r="BB156" s="43"/>
    </row>
    <row r="157" spans="1:54" ht="60" customHeight="1" x14ac:dyDescent="0.35">
      <c r="A157" s="26">
        <v>140</v>
      </c>
      <c r="B157" s="43" t="s">
        <v>1625</v>
      </c>
      <c r="C157" s="28"/>
      <c r="D157" s="329" t="s">
        <v>1626</v>
      </c>
      <c r="E157" s="95">
        <v>1</v>
      </c>
      <c r="F157" s="44" t="s">
        <v>30</v>
      </c>
      <c r="G157" s="234">
        <f>[1]DICIEMBRE!$BA$148</f>
        <v>0</v>
      </c>
      <c r="H157" s="31">
        <f>ENERO!BA153</f>
        <v>-300</v>
      </c>
      <c r="I157" s="45">
        <f>FEBRERO!AX152</f>
        <v>-300</v>
      </c>
      <c r="J157" s="32">
        <f>MARZO!BA156</f>
        <v>0</v>
      </c>
      <c r="K157" s="32">
        <f>ABRIL!AZ163</f>
        <v>0</v>
      </c>
      <c r="L157" s="32"/>
      <c r="M157" s="32"/>
      <c r="N157" s="336"/>
      <c r="O157" s="33"/>
      <c r="P157" s="33"/>
      <c r="Q157" s="31"/>
      <c r="R157" s="31"/>
      <c r="S157" s="47">
        <f>300*E157</f>
        <v>300</v>
      </c>
      <c r="T157" s="47"/>
      <c r="U157" s="48"/>
      <c r="V157" s="49"/>
      <c r="W157" s="49"/>
      <c r="X157" s="49"/>
      <c r="Y157" s="49"/>
      <c r="Z157" s="49"/>
      <c r="AA157" s="49"/>
      <c r="AB157" s="50"/>
      <c r="AC157" s="51"/>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33">
        <f t="shared" si="2"/>
        <v>300</v>
      </c>
      <c r="BB157" s="43"/>
    </row>
    <row r="158" spans="1:54" ht="31.5" customHeight="1" x14ac:dyDescent="0.35">
      <c r="A158" s="26">
        <v>141</v>
      </c>
      <c r="B158" s="43" t="s">
        <v>110</v>
      </c>
      <c r="C158" s="28" t="s">
        <v>111</v>
      </c>
      <c r="D158" s="300" t="s">
        <v>1173</v>
      </c>
      <c r="E158" s="96">
        <v>1</v>
      </c>
      <c r="F158" s="44" t="s">
        <v>35</v>
      </c>
      <c r="G158" s="234">
        <f>[1]DICIEMBRE!$BA$150</f>
        <v>0</v>
      </c>
      <c r="H158" s="45">
        <f>ENERO!BA155</f>
        <v>0</v>
      </c>
      <c r="I158" s="31">
        <f>FEBRERO!AX154</f>
        <v>0</v>
      </c>
      <c r="J158" s="32">
        <f>MARZO!BA157</f>
        <v>0</v>
      </c>
      <c r="K158" s="33">
        <f>ABRIL!AZ164</f>
        <v>0</v>
      </c>
      <c r="L158" s="32"/>
      <c r="M158" s="32"/>
      <c r="N158" s="32"/>
      <c r="O158" s="32"/>
      <c r="P158" s="33"/>
      <c r="Q158" s="31"/>
      <c r="R158" s="31"/>
      <c r="S158" s="47">
        <f>280*E158</f>
        <v>280</v>
      </c>
      <c r="T158" s="47"/>
      <c r="U158" s="48"/>
      <c r="V158" s="47"/>
      <c r="W158" s="47"/>
      <c r="X158" s="47"/>
      <c r="Y158" s="47"/>
      <c r="Z158" s="47"/>
      <c r="AA158" s="47"/>
      <c r="AB158" s="47"/>
      <c r="AC158" s="47"/>
      <c r="AD158" s="47"/>
      <c r="AE158" s="47"/>
      <c r="AF158" s="47"/>
      <c r="AG158" s="47"/>
      <c r="AH158" s="47"/>
      <c r="AI158" s="47"/>
      <c r="AJ158" s="47"/>
      <c r="AK158" s="66"/>
      <c r="AL158" s="47"/>
      <c r="AM158" s="47"/>
      <c r="AN158" s="47"/>
      <c r="AO158" s="47"/>
      <c r="AP158" s="47"/>
      <c r="AQ158" s="47"/>
      <c r="AR158" s="47"/>
      <c r="AS158" s="47"/>
      <c r="AT158" s="47"/>
      <c r="AU158" s="47"/>
      <c r="AV158" s="47"/>
      <c r="AW158" s="47"/>
      <c r="AX158" s="47"/>
      <c r="AY158" s="47"/>
      <c r="AZ158" s="47"/>
      <c r="BA158" s="33">
        <f t="shared" si="2"/>
        <v>280</v>
      </c>
      <c r="BB158" s="43"/>
    </row>
    <row r="159" spans="1:54" ht="57" customHeight="1" x14ac:dyDescent="0.35">
      <c r="A159" s="26">
        <v>142</v>
      </c>
      <c r="B159" s="43" t="s">
        <v>1777</v>
      </c>
      <c r="C159" s="28"/>
      <c r="D159" s="300" t="s">
        <v>1699</v>
      </c>
      <c r="E159" s="96">
        <v>1</v>
      </c>
      <c r="F159" s="44" t="s">
        <v>30</v>
      </c>
      <c r="G159" s="112">
        <f>[1]DICIEMBRE!$BA$151</f>
        <v>0</v>
      </c>
      <c r="H159" s="31">
        <f>ENERO!BA156</f>
        <v>0</v>
      </c>
      <c r="I159" s="31">
        <f>FEBRERO!AX155</f>
        <v>0</v>
      </c>
      <c r="J159" s="32">
        <f>MARZO!BA158</f>
        <v>0</v>
      </c>
      <c r="K159" s="33">
        <f>ABRIL!AZ165</f>
        <v>0</v>
      </c>
      <c r="L159" s="32"/>
      <c r="M159" s="32"/>
      <c r="N159" s="32"/>
      <c r="O159" s="32"/>
      <c r="P159" s="33"/>
      <c r="Q159" s="31"/>
      <c r="R159" s="31"/>
      <c r="S159" s="47">
        <f>300*E159</f>
        <v>300</v>
      </c>
      <c r="T159" s="47"/>
      <c r="U159" s="48"/>
      <c r="V159" s="47"/>
      <c r="W159" s="47"/>
      <c r="X159" s="47"/>
      <c r="Y159" s="47"/>
      <c r="Z159" s="47"/>
      <c r="AA159" s="47"/>
      <c r="AB159" s="47"/>
      <c r="AC159" s="47"/>
      <c r="AD159" s="47"/>
      <c r="AE159" s="47"/>
      <c r="AF159" s="47"/>
      <c r="AG159" s="47"/>
      <c r="AH159" s="47"/>
      <c r="AI159" s="47"/>
      <c r="AJ159" s="47"/>
      <c r="AK159" s="66"/>
      <c r="AL159" s="47"/>
      <c r="AM159" s="47"/>
      <c r="AN159" s="47"/>
      <c r="AO159" s="47"/>
      <c r="AP159" s="47"/>
      <c r="AQ159" s="47"/>
      <c r="AR159" s="47"/>
      <c r="AS159" s="47"/>
      <c r="AT159" s="47"/>
      <c r="AU159" s="47"/>
      <c r="AV159" s="47"/>
      <c r="AW159" s="47"/>
      <c r="AX159" s="47"/>
      <c r="AY159" s="47"/>
      <c r="AZ159" s="47"/>
      <c r="BA159" s="33">
        <f t="shared" si="2"/>
        <v>300</v>
      </c>
      <c r="BB159" s="43"/>
    </row>
    <row r="160" spans="1:54" ht="40.5" customHeight="1" x14ac:dyDescent="0.35">
      <c r="A160" s="26">
        <v>143</v>
      </c>
      <c r="B160" s="43" t="s">
        <v>1397</v>
      </c>
      <c r="C160" s="43"/>
      <c r="D160" s="308" t="s">
        <v>3035</v>
      </c>
      <c r="E160" s="95">
        <v>1</v>
      </c>
      <c r="F160" s="44" t="s">
        <v>30</v>
      </c>
      <c r="G160" s="234">
        <f>[1]DICIEMBRE!$BA$154</f>
        <v>0</v>
      </c>
      <c r="H160" s="31">
        <f>ENERO!BA159</f>
        <v>0</v>
      </c>
      <c r="I160" s="31">
        <f>FEBRERO!AX158</f>
        <v>0</v>
      </c>
      <c r="J160" s="32">
        <f>MARZO!BA160</f>
        <v>0</v>
      </c>
      <c r="K160" s="33">
        <f>ABRIL!AZ167</f>
        <v>0</v>
      </c>
      <c r="L160" s="32"/>
      <c r="M160" s="336"/>
      <c r="N160" s="32"/>
      <c r="O160" s="32"/>
      <c r="P160" s="31"/>
      <c r="Q160" s="31"/>
      <c r="R160" s="31"/>
      <c r="S160" s="47">
        <f>300*E160</f>
        <v>300</v>
      </c>
      <c r="T160" s="47"/>
      <c r="U160" s="48"/>
      <c r="V160" s="47"/>
      <c r="W160" s="47"/>
      <c r="X160" s="47"/>
      <c r="Y160" s="47"/>
      <c r="Z160" s="47"/>
      <c r="AA160" s="47"/>
      <c r="AB160" s="47"/>
      <c r="AC160" s="47"/>
      <c r="AD160" s="47"/>
      <c r="AE160" s="47"/>
      <c r="AF160" s="47"/>
      <c r="AG160" s="47"/>
      <c r="AH160" s="47"/>
      <c r="AI160" s="47"/>
      <c r="AJ160" s="47"/>
      <c r="AK160" s="66"/>
      <c r="AL160" s="47"/>
      <c r="AM160" s="47"/>
      <c r="AN160" s="47"/>
      <c r="AO160" s="47"/>
      <c r="AP160" s="47"/>
      <c r="AQ160" s="47"/>
      <c r="AR160" s="47"/>
      <c r="AS160" s="47"/>
      <c r="AT160" s="47"/>
      <c r="AU160" s="47"/>
      <c r="AV160" s="47"/>
      <c r="AW160" s="47"/>
      <c r="AX160" s="47"/>
      <c r="AY160" s="47"/>
      <c r="AZ160" s="47"/>
      <c r="BA160" s="33">
        <f t="shared" si="2"/>
        <v>300</v>
      </c>
      <c r="BB160" s="43"/>
    </row>
    <row r="161" spans="1:55" ht="39" customHeight="1" x14ac:dyDescent="0.35">
      <c r="A161" s="26">
        <v>144</v>
      </c>
      <c r="B161" s="43" t="s">
        <v>951</v>
      </c>
      <c r="C161" s="28"/>
      <c r="D161" s="300"/>
      <c r="E161" s="95">
        <v>1</v>
      </c>
      <c r="F161" s="44" t="s">
        <v>30</v>
      </c>
      <c r="G161" s="112"/>
      <c r="H161" s="31">
        <f>ENERO!BA160</f>
        <v>0</v>
      </c>
      <c r="I161" s="31">
        <f>FEBRERO!AX159</f>
        <v>0</v>
      </c>
      <c r="J161" s="32">
        <f>MARZO!BA161</f>
        <v>200</v>
      </c>
      <c r="K161" s="33">
        <f>ABRIL!AZ168</f>
        <v>0</v>
      </c>
      <c r="L161" s="32"/>
      <c r="M161" s="32"/>
      <c r="N161" s="336"/>
      <c r="O161" s="33"/>
      <c r="P161" s="33"/>
      <c r="Q161" s="31"/>
      <c r="R161" s="31"/>
      <c r="S161" s="47">
        <v>200</v>
      </c>
      <c r="T161" s="47"/>
      <c r="U161" s="48"/>
      <c r="V161" s="49"/>
      <c r="W161" s="49"/>
      <c r="X161" s="49"/>
      <c r="Y161" s="49"/>
      <c r="Z161" s="49"/>
      <c r="AA161" s="49"/>
      <c r="AB161" s="50"/>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33">
        <f t="shared" si="2"/>
        <v>200</v>
      </c>
      <c r="BB161" s="43" t="s">
        <v>1348</v>
      </c>
      <c r="BC161" s="76"/>
    </row>
    <row r="162" spans="1:55" ht="60.75" customHeight="1" x14ac:dyDescent="0.35">
      <c r="A162" s="26">
        <v>145</v>
      </c>
      <c r="B162" s="43" t="s">
        <v>249</v>
      </c>
      <c r="C162" s="28" t="s">
        <v>113</v>
      </c>
      <c r="D162" s="300" t="s">
        <v>1174</v>
      </c>
      <c r="E162" s="95">
        <v>3</v>
      </c>
      <c r="F162" s="44" t="s">
        <v>30</v>
      </c>
      <c r="G162" s="112">
        <f>[1]DICIEMBRE!$BA$157</f>
        <v>13200</v>
      </c>
      <c r="H162" s="31">
        <f>ENERO!BA162</f>
        <v>13200</v>
      </c>
      <c r="I162" s="45">
        <f>FEBRERO!AX160</f>
        <v>12200</v>
      </c>
      <c r="J162" s="32">
        <f>MARZO!BA162</f>
        <v>12200</v>
      </c>
      <c r="K162" s="32">
        <f>ABRIL!AZ169</f>
        <v>12700</v>
      </c>
      <c r="L162" s="32"/>
      <c r="M162" s="32"/>
      <c r="N162" s="32"/>
      <c r="O162" s="32"/>
      <c r="P162" s="33"/>
      <c r="Q162" s="31"/>
      <c r="R162" s="31"/>
      <c r="S162" s="47">
        <f>350*E162</f>
        <v>1050</v>
      </c>
      <c r="T162" s="47"/>
      <c r="U162" s="48"/>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33">
        <f t="shared" si="2"/>
        <v>13750</v>
      </c>
      <c r="BB162" s="43"/>
    </row>
    <row r="163" spans="1:55" ht="60.75" customHeight="1" x14ac:dyDescent="0.35">
      <c r="A163" s="26">
        <v>146</v>
      </c>
      <c r="B163" s="43" t="s">
        <v>679</v>
      </c>
      <c r="C163" s="28"/>
      <c r="D163" s="300" t="s">
        <v>683</v>
      </c>
      <c r="E163" s="95">
        <v>6</v>
      </c>
      <c r="F163" s="44" t="s">
        <v>30</v>
      </c>
      <c r="G163" s="234">
        <f>[1]DICIEMBRE!$BA$158</f>
        <v>-1</v>
      </c>
      <c r="H163" s="31">
        <f>ENERO!BA163</f>
        <v>-1</v>
      </c>
      <c r="I163" s="31">
        <f>FEBRERO!AX161</f>
        <v>0</v>
      </c>
      <c r="J163" s="32">
        <f>MARZO!BA163</f>
        <v>0</v>
      </c>
      <c r="K163" s="33">
        <f>ABRIL!AZ170</f>
        <v>0</v>
      </c>
      <c r="L163" s="32"/>
      <c r="M163" s="336"/>
      <c r="N163" s="32"/>
      <c r="O163" s="32"/>
      <c r="P163" s="33"/>
      <c r="Q163" s="31"/>
      <c r="R163" s="31"/>
      <c r="S163" s="47">
        <f>250*E163</f>
        <v>1500</v>
      </c>
      <c r="T163" s="47"/>
      <c r="U163" s="48"/>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33">
        <f t="shared" si="2"/>
        <v>1500</v>
      </c>
      <c r="BB163" s="43"/>
    </row>
    <row r="164" spans="1:55" ht="60.75" customHeight="1" x14ac:dyDescent="0.35">
      <c r="A164" s="26">
        <v>147</v>
      </c>
      <c r="B164" s="43" t="s">
        <v>1367</v>
      </c>
      <c r="C164" s="28"/>
      <c r="D164" s="300" t="s">
        <v>1371</v>
      </c>
      <c r="E164" s="95">
        <v>1</v>
      </c>
      <c r="F164" s="44" t="s">
        <v>30</v>
      </c>
      <c r="G164" s="112">
        <f>[1]DICIEMBRE!$BA$159</f>
        <v>-111</v>
      </c>
      <c r="H164" s="45">
        <f>ENERO!BA164</f>
        <v>-111</v>
      </c>
      <c r="I164" s="31">
        <f>FEBRERO!AX162</f>
        <v>-111</v>
      </c>
      <c r="J164" s="32">
        <f>MARZO!BA164</f>
        <v>-111</v>
      </c>
      <c r="K164" s="33">
        <f>ABRIL!AZ171</f>
        <v>-111</v>
      </c>
      <c r="L164" s="32"/>
      <c r="M164" s="336"/>
      <c r="N164" s="32"/>
      <c r="O164" s="32"/>
      <c r="P164" s="31"/>
      <c r="Q164" s="31"/>
      <c r="R164" s="31"/>
      <c r="S164" s="47">
        <f>300*E164</f>
        <v>300</v>
      </c>
      <c r="T164" s="47"/>
      <c r="U164" s="48"/>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33">
        <f t="shared" si="2"/>
        <v>189</v>
      </c>
      <c r="BB164" s="43"/>
    </row>
    <row r="165" spans="1:55" ht="38.25" customHeight="1" x14ac:dyDescent="0.35">
      <c r="A165" s="26">
        <v>148</v>
      </c>
      <c r="B165" s="43" t="s">
        <v>908</v>
      </c>
      <c r="C165" s="53"/>
      <c r="D165" s="300" t="s">
        <v>1175</v>
      </c>
      <c r="E165" s="95">
        <v>2</v>
      </c>
      <c r="F165" s="44" t="s">
        <v>30</v>
      </c>
      <c r="G165" s="112">
        <f>[1]DICIEMBRE!$BA$161</f>
        <v>0</v>
      </c>
      <c r="H165" s="31">
        <f>ENERO!BA165</f>
        <v>0</v>
      </c>
      <c r="I165" s="31">
        <f>FEBRERO!AX163</f>
        <v>0</v>
      </c>
      <c r="J165" s="32">
        <f>MARZO!BA165</f>
        <v>0</v>
      </c>
      <c r="K165" s="32">
        <f>ABRIL!AZ172</f>
        <v>0</v>
      </c>
      <c r="L165" s="32"/>
      <c r="M165" s="32"/>
      <c r="N165" s="32"/>
      <c r="O165" s="33"/>
      <c r="P165" s="31"/>
      <c r="Q165" s="31"/>
      <c r="R165" s="31"/>
      <c r="S165" s="47">
        <v>333</v>
      </c>
      <c r="T165" s="47"/>
      <c r="U165" s="48"/>
      <c r="V165" s="49"/>
      <c r="W165" s="49"/>
      <c r="X165" s="49"/>
      <c r="Y165" s="49"/>
      <c r="Z165" s="49"/>
      <c r="AA165" s="49"/>
      <c r="AB165" s="49"/>
      <c r="AC165" s="49"/>
      <c r="AD165" s="49"/>
      <c r="AE165" s="49"/>
      <c r="AF165" s="49"/>
      <c r="AG165" s="49"/>
      <c r="AH165" s="49"/>
      <c r="AI165" s="49"/>
      <c r="AJ165" s="49"/>
      <c r="AK165" s="63"/>
      <c r="AL165" s="49"/>
      <c r="AM165" s="49"/>
      <c r="AN165" s="49"/>
      <c r="AO165" s="49"/>
      <c r="AP165" s="49"/>
      <c r="AQ165" s="49"/>
      <c r="AR165" s="49"/>
      <c r="AS165" s="49"/>
      <c r="AT165" s="49"/>
      <c r="AU165" s="49"/>
      <c r="AV165" s="49"/>
      <c r="AW165" s="49"/>
      <c r="AX165" s="49"/>
      <c r="AY165" s="49"/>
      <c r="AZ165" s="49"/>
      <c r="BA165" s="33">
        <f t="shared" si="2"/>
        <v>333</v>
      </c>
      <c r="BB165" s="43"/>
    </row>
    <row r="166" spans="1:55" ht="38.25" customHeight="1" x14ac:dyDescent="0.35">
      <c r="A166" s="26">
        <v>149</v>
      </c>
      <c r="B166" s="43" t="s">
        <v>1642</v>
      </c>
      <c r="C166" s="53"/>
      <c r="D166" s="300" t="s">
        <v>1643</v>
      </c>
      <c r="E166" s="95">
        <v>1</v>
      </c>
      <c r="F166" s="44"/>
      <c r="G166" s="234">
        <f>[1]DICIEMBRE!$BA$162</f>
        <v>0</v>
      </c>
      <c r="H166" s="31">
        <f>ENERO!BA166</f>
        <v>0</v>
      </c>
      <c r="I166" s="45">
        <f>FEBRERO!AX164</f>
        <v>0</v>
      </c>
      <c r="J166" s="32">
        <f>MARZO!BA166</f>
        <v>0</v>
      </c>
      <c r="K166" s="33">
        <f>ABRIL!AZ173</f>
        <v>0</v>
      </c>
      <c r="L166" s="32"/>
      <c r="M166" s="32"/>
      <c r="N166" s="32"/>
      <c r="O166" s="33"/>
      <c r="P166" s="31"/>
      <c r="Q166" s="31"/>
      <c r="R166" s="31"/>
      <c r="S166" s="47">
        <f>300*E166</f>
        <v>300</v>
      </c>
      <c r="T166" s="47"/>
      <c r="U166" s="48"/>
      <c r="V166" s="49"/>
      <c r="W166" s="49"/>
      <c r="X166" s="49"/>
      <c r="Y166" s="49"/>
      <c r="Z166" s="49"/>
      <c r="AA166" s="49"/>
      <c r="AB166" s="49"/>
      <c r="AC166" s="49"/>
      <c r="AD166" s="49"/>
      <c r="AE166" s="49"/>
      <c r="AF166" s="49"/>
      <c r="AG166" s="49"/>
      <c r="AH166" s="49"/>
      <c r="AI166" s="49"/>
      <c r="AJ166" s="49"/>
      <c r="AK166" s="63"/>
      <c r="AL166" s="49"/>
      <c r="AM166" s="49"/>
      <c r="AN166" s="49"/>
      <c r="AO166" s="49"/>
      <c r="AP166" s="49"/>
      <c r="AQ166" s="49"/>
      <c r="AR166" s="49"/>
      <c r="AS166" s="49"/>
      <c r="AT166" s="49"/>
      <c r="AU166" s="49"/>
      <c r="AV166" s="49"/>
      <c r="AW166" s="49"/>
      <c r="AX166" s="49"/>
      <c r="AY166" s="49"/>
      <c r="AZ166" s="49"/>
      <c r="BA166" s="33">
        <f t="shared" si="2"/>
        <v>300</v>
      </c>
      <c r="BB166" s="43"/>
    </row>
    <row r="167" spans="1:55" ht="38.25" customHeight="1" x14ac:dyDescent="0.35">
      <c r="A167" s="26">
        <v>150</v>
      </c>
      <c r="B167" s="43" t="s">
        <v>1485</v>
      </c>
      <c r="C167" s="53"/>
      <c r="D167" s="300" t="s">
        <v>1488</v>
      </c>
      <c r="E167" s="95">
        <v>1</v>
      </c>
      <c r="F167" s="44" t="s">
        <v>30</v>
      </c>
      <c r="G167" s="112">
        <f>[1]DICIEMBRE!$BA$163</f>
        <v>-1</v>
      </c>
      <c r="H167" s="45">
        <f>ENERO!BA167</f>
        <v>-250</v>
      </c>
      <c r="I167" s="31">
        <f>FEBRERO!AX165</f>
        <v>-1</v>
      </c>
      <c r="J167" s="32">
        <f>MARZO!BA167</f>
        <v>0</v>
      </c>
      <c r="K167" s="33">
        <f>ABRIL!AZ174</f>
        <v>9</v>
      </c>
      <c r="L167" s="32"/>
      <c r="M167" s="32"/>
      <c r="N167" s="32"/>
      <c r="O167" s="33"/>
      <c r="P167" s="31"/>
      <c r="Q167" s="31"/>
      <c r="R167" s="31"/>
      <c r="S167" s="47">
        <f>249*E167</f>
        <v>249</v>
      </c>
      <c r="T167" s="47"/>
      <c r="U167" s="48"/>
      <c r="V167" s="49"/>
      <c r="W167" s="49"/>
      <c r="X167" s="49"/>
      <c r="Y167" s="49"/>
      <c r="Z167" s="49"/>
      <c r="AA167" s="49"/>
      <c r="AB167" s="49"/>
      <c r="AC167" s="49"/>
      <c r="AD167" s="49"/>
      <c r="AE167" s="49"/>
      <c r="AF167" s="49"/>
      <c r="AG167" s="49"/>
      <c r="AH167" s="49"/>
      <c r="AI167" s="49"/>
      <c r="AJ167" s="49"/>
      <c r="AK167" s="63"/>
      <c r="AL167" s="49"/>
      <c r="AM167" s="49"/>
      <c r="AN167" s="49"/>
      <c r="AO167" s="49"/>
      <c r="AP167" s="49"/>
      <c r="AQ167" s="49"/>
      <c r="AR167" s="49"/>
      <c r="AS167" s="49"/>
      <c r="AT167" s="49"/>
      <c r="AU167" s="49"/>
      <c r="AV167" s="49"/>
      <c r="AW167" s="49"/>
      <c r="AX167" s="49"/>
      <c r="AY167" s="49"/>
      <c r="AZ167" s="49"/>
      <c r="BA167" s="33">
        <f t="shared" si="2"/>
        <v>258</v>
      </c>
      <c r="BB167" s="43"/>
    </row>
    <row r="168" spans="1:55" ht="54.75" customHeight="1" x14ac:dyDescent="0.35">
      <c r="A168" s="26">
        <v>151</v>
      </c>
      <c r="B168" s="43" t="s">
        <v>1906</v>
      </c>
      <c r="C168" s="53"/>
      <c r="D168" s="300" t="s">
        <v>1907</v>
      </c>
      <c r="E168" s="95">
        <v>1</v>
      </c>
      <c r="F168" s="44"/>
      <c r="G168" s="234"/>
      <c r="H168" s="31">
        <f>ENERO!BA169</f>
        <v>0</v>
      </c>
      <c r="I168" s="31">
        <f>FEBRERO!AX167</f>
        <v>0</v>
      </c>
      <c r="J168" s="32">
        <f>MARZO!BA168</f>
        <v>0</v>
      </c>
      <c r="K168" s="32">
        <f>ABRIL!AZ175</f>
        <v>0</v>
      </c>
      <c r="L168" s="32"/>
      <c r="M168" s="32"/>
      <c r="N168" s="32"/>
      <c r="O168" s="33"/>
      <c r="P168" s="31"/>
      <c r="Q168" s="31"/>
      <c r="R168" s="31"/>
      <c r="S168" s="47">
        <f>250*E168</f>
        <v>250</v>
      </c>
      <c r="T168" s="47"/>
      <c r="U168" s="48"/>
      <c r="V168" s="49"/>
      <c r="W168" s="49"/>
      <c r="X168" s="49"/>
      <c r="Y168" s="49"/>
      <c r="Z168" s="49"/>
      <c r="AA168" s="49"/>
      <c r="AB168" s="49"/>
      <c r="AC168" s="49"/>
      <c r="AD168" s="49"/>
      <c r="AE168" s="49"/>
      <c r="AF168" s="49"/>
      <c r="AG168" s="49"/>
      <c r="AH168" s="49"/>
      <c r="AI168" s="49"/>
      <c r="AJ168" s="49"/>
      <c r="AK168" s="63"/>
      <c r="AL168" s="49"/>
      <c r="AM168" s="49"/>
      <c r="AN168" s="49"/>
      <c r="AO168" s="49"/>
      <c r="AP168" s="49"/>
      <c r="AQ168" s="49"/>
      <c r="AR168" s="49"/>
      <c r="AS168" s="49"/>
      <c r="AT168" s="49"/>
      <c r="AU168" s="49"/>
      <c r="AV168" s="49"/>
      <c r="AW168" s="49"/>
      <c r="AX168" s="49"/>
      <c r="AY168" s="49"/>
      <c r="AZ168" s="49"/>
      <c r="BA168" s="33">
        <f t="shared" si="2"/>
        <v>250</v>
      </c>
      <c r="BB168" s="43"/>
    </row>
    <row r="169" spans="1:55" ht="53.25" customHeight="1" x14ac:dyDescent="0.35">
      <c r="A169" s="26">
        <v>152</v>
      </c>
      <c r="B169" s="27" t="s">
        <v>116</v>
      </c>
      <c r="C169" s="28" t="s">
        <v>117</v>
      </c>
      <c r="D169" s="300" t="s">
        <v>1176</v>
      </c>
      <c r="E169" s="95">
        <v>1</v>
      </c>
      <c r="F169" s="44" t="s">
        <v>30</v>
      </c>
      <c r="G169" s="112">
        <f>[1]DICIEMBRE!$BA$165</f>
        <v>0</v>
      </c>
      <c r="H169" s="45">
        <f>ENERO!BA170</f>
        <v>0</v>
      </c>
      <c r="I169" s="45">
        <f>FEBRERO!AX168</f>
        <v>0</v>
      </c>
      <c r="J169" s="32">
        <f>MARZO!BA169</f>
        <v>0</v>
      </c>
      <c r="K169" s="33">
        <f>ABRIL!AZ176</f>
        <v>0</v>
      </c>
      <c r="L169" s="336"/>
      <c r="M169" s="32"/>
      <c r="N169" s="32"/>
      <c r="O169" s="32"/>
      <c r="P169" s="31"/>
      <c r="Q169" s="31"/>
      <c r="R169" s="31"/>
      <c r="S169" s="47">
        <v>250</v>
      </c>
      <c r="T169" s="47"/>
      <c r="U169" s="48"/>
      <c r="V169" s="49"/>
      <c r="W169" s="49"/>
      <c r="X169" s="49"/>
      <c r="Y169" s="49"/>
      <c r="Z169" s="49"/>
      <c r="AA169" s="49"/>
      <c r="AB169" s="49"/>
      <c r="AC169" s="49"/>
      <c r="AD169" s="50"/>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33">
        <f t="shared" si="2"/>
        <v>250</v>
      </c>
      <c r="BB169" s="43"/>
    </row>
    <row r="170" spans="1:55" ht="53.25" customHeight="1" x14ac:dyDescent="0.35">
      <c r="A170" s="26">
        <v>153</v>
      </c>
      <c r="B170" s="43" t="s">
        <v>1584</v>
      </c>
      <c r="C170" s="28"/>
      <c r="D170" s="300" t="s">
        <v>1585</v>
      </c>
      <c r="E170" s="95">
        <v>1</v>
      </c>
      <c r="F170" s="44" t="s">
        <v>30</v>
      </c>
      <c r="G170" s="234">
        <f>[1]DICIEMBRE!$BA$166</f>
        <v>0</v>
      </c>
      <c r="H170" s="31">
        <f>ENERO!BA171</f>
        <v>0</v>
      </c>
      <c r="I170" s="31">
        <f>FEBRERO!AX169</f>
        <v>0</v>
      </c>
      <c r="J170" s="32">
        <f>MARZO!BA170</f>
        <v>0</v>
      </c>
      <c r="K170" s="33">
        <f>ABRIL!AZ177</f>
        <v>0</v>
      </c>
      <c r="L170" s="336"/>
      <c r="M170" s="32"/>
      <c r="N170" s="32"/>
      <c r="O170" s="32"/>
      <c r="P170" s="31"/>
      <c r="Q170" s="31"/>
      <c r="R170" s="31"/>
      <c r="S170" s="47">
        <f>300*E170</f>
        <v>300</v>
      </c>
      <c r="T170" s="47"/>
      <c r="U170" s="48"/>
      <c r="V170" s="49"/>
      <c r="W170" s="49"/>
      <c r="X170" s="49"/>
      <c r="Y170" s="49"/>
      <c r="Z170" s="49"/>
      <c r="AA170" s="49"/>
      <c r="AB170" s="49"/>
      <c r="AC170" s="49"/>
      <c r="AD170" s="50"/>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33">
        <f t="shared" si="2"/>
        <v>300</v>
      </c>
      <c r="BB170" s="43"/>
    </row>
    <row r="171" spans="1:55" ht="53.25" customHeight="1" x14ac:dyDescent="0.35">
      <c r="A171" s="26">
        <v>154</v>
      </c>
      <c r="B171" s="43" t="s">
        <v>457</v>
      </c>
      <c r="C171" s="28"/>
      <c r="D171" s="300" t="s">
        <v>1177</v>
      </c>
      <c r="E171" s="95">
        <v>2</v>
      </c>
      <c r="F171" s="44" t="s">
        <v>100</v>
      </c>
      <c r="G171" s="112">
        <f>[1]DICIEMBRE!$BA$167</f>
        <v>-250.25439999999981</v>
      </c>
      <c r="H171" s="31">
        <f>ENERO!BA172</f>
        <v>561.74560000000019</v>
      </c>
      <c r="I171" s="31">
        <f>FEBRERO!AX170</f>
        <v>-1894.2543999999998</v>
      </c>
      <c r="J171" s="32">
        <f>MARZO!BA171</f>
        <v>-1082.2543999999998</v>
      </c>
      <c r="K171" s="32">
        <f>ABRIL!AZ178</f>
        <v>-270.25439999999981</v>
      </c>
      <c r="L171" s="32"/>
      <c r="M171" s="336"/>
      <c r="N171" s="32"/>
      <c r="O171" s="33"/>
      <c r="P171" s="33"/>
      <c r="Q171" s="31"/>
      <c r="R171" s="31"/>
      <c r="S171" s="47">
        <f>(350*0.16+350)*E171</f>
        <v>812</v>
      </c>
      <c r="T171" s="47"/>
      <c r="U171" s="48"/>
      <c r="V171" s="49"/>
      <c r="W171" s="49"/>
      <c r="X171" s="49"/>
      <c r="Y171" s="49"/>
      <c r="Z171" s="49"/>
      <c r="AA171" s="49"/>
      <c r="AB171" s="49"/>
      <c r="AC171" s="49"/>
      <c r="AD171" s="50"/>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33">
        <f t="shared" si="2"/>
        <v>541.74560000000019</v>
      </c>
      <c r="BB171" s="43"/>
    </row>
    <row r="172" spans="1:55" ht="53.25" customHeight="1" x14ac:dyDescent="0.35">
      <c r="A172" s="26">
        <v>155</v>
      </c>
      <c r="B172" s="43" t="s">
        <v>288</v>
      </c>
      <c r="C172" s="28"/>
      <c r="D172" s="300" t="s">
        <v>188</v>
      </c>
      <c r="E172" s="95">
        <v>5</v>
      </c>
      <c r="F172" s="44" t="s">
        <v>30</v>
      </c>
      <c r="G172" s="112">
        <f>[1]DICIEMBRE!$BA$169</f>
        <v>-50</v>
      </c>
      <c r="H172" s="31">
        <f>ENERO!BA174</f>
        <v>-50</v>
      </c>
      <c r="I172" s="45">
        <f>FEBRERO!AX172</f>
        <v>-50</v>
      </c>
      <c r="J172" s="32">
        <f>MARZO!BA172</f>
        <v>-50</v>
      </c>
      <c r="K172" s="33">
        <f>ABRIL!AZ179</f>
        <v>-50</v>
      </c>
      <c r="L172" s="32"/>
      <c r="M172" s="32"/>
      <c r="N172" s="336"/>
      <c r="O172" s="32"/>
      <c r="P172" s="31"/>
      <c r="Q172" s="31"/>
      <c r="R172" s="31"/>
      <c r="S172" s="47">
        <f>300*E172</f>
        <v>1500</v>
      </c>
      <c r="T172" s="47"/>
      <c r="U172" s="48"/>
      <c r="V172" s="49"/>
      <c r="W172" s="49"/>
      <c r="X172" s="49"/>
      <c r="Y172" s="49"/>
      <c r="Z172" s="49"/>
      <c r="AA172" s="49"/>
      <c r="AB172" s="49"/>
      <c r="AC172" s="49"/>
      <c r="AD172" s="50"/>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33">
        <f t="shared" si="2"/>
        <v>1450</v>
      </c>
      <c r="BB172" s="43"/>
    </row>
    <row r="173" spans="1:55" ht="53.25" customHeight="1" x14ac:dyDescent="0.35">
      <c r="A173" s="26">
        <v>156</v>
      </c>
      <c r="B173" s="43" t="s">
        <v>1356</v>
      </c>
      <c r="C173" s="28"/>
      <c r="D173" s="300" t="s">
        <v>1366</v>
      </c>
      <c r="E173" s="95">
        <v>1</v>
      </c>
      <c r="F173" s="44" t="s">
        <v>30</v>
      </c>
      <c r="G173" s="234">
        <f>[1]DICIEMBRE!$BA$170</f>
        <v>0</v>
      </c>
      <c r="H173" s="31">
        <f>ENERO!BA175</f>
        <v>0</v>
      </c>
      <c r="I173" s="31">
        <f>FEBRERO!AX173</f>
        <v>0</v>
      </c>
      <c r="J173" s="32">
        <f>MARZO!BA173</f>
        <v>0</v>
      </c>
      <c r="K173" s="33">
        <f>ABRIL!AZ180</f>
        <v>0</v>
      </c>
      <c r="L173" s="32"/>
      <c r="M173" s="32"/>
      <c r="N173" s="336"/>
      <c r="O173" s="32"/>
      <c r="P173" s="33"/>
      <c r="Q173" s="31"/>
      <c r="R173" s="31"/>
      <c r="S173" s="47">
        <f>250*E173</f>
        <v>250</v>
      </c>
      <c r="T173" s="47"/>
      <c r="U173" s="48"/>
      <c r="V173" s="49"/>
      <c r="W173" s="49"/>
      <c r="X173" s="49"/>
      <c r="Y173" s="49"/>
      <c r="Z173" s="49"/>
      <c r="AA173" s="49"/>
      <c r="AB173" s="49"/>
      <c r="AC173" s="49"/>
      <c r="AD173" s="50"/>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33">
        <f t="shared" si="2"/>
        <v>250</v>
      </c>
      <c r="BB173" s="43"/>
    </row>
    <row r="174" spans="1:55" ht="53.25" customHeight="1" x14ac:dyDescent="0.35">
      <c r="A174" s="26">
        <v>157</v>
      </c>
      <c r="B174" s="43" t="s">
        <v>1420</v>
      </c>
      <c r="C174" s="28"/>
      <c r="D174" s="300" t="s">
        <v>1421</v>
      </c>
      <c r="E174" s="95">
        <v>1</v>
      </c>
      <c r="F174" s="44" t="s">
        <v>30</v>
      </c>
      <c r="G174" s="234">
        <f>[1]DICIEMBRE!$BA$172</f>
        <v>0</v>
      </c>
      <c r="H174" s="31">
        <f>ENERO!BA177</f>
        <v>0</v>
      </c>
      <c r="I174" s="31">
        <f>FEBRERO!AX175</f>
        <v>0</v>
      </c>
      <c r="J174" s="32">
        <f>MARZO!BA174</f>
        <v>0</v>
      </c>
      <c r="K174" s="32">
        <f>ABRIL!AZ181</f>
        <v>0</v>
      </c>
      <c r="L174" s="336"/>
      <c r="M174" s="32"/>
      <c r="N174" s="32"/>
      <c r="O174" s="32"/>
      <c r="P174" s="33"/>
      <c r="Q174" s="31"/>
      <c r="R174" s="31"/>
      <c r="S174" s="47">
        <f>300*E174</f>
        <v>300</v>
      </c>
      <c r="T174" s="47"/>
      <c r="U174" s="48"/>
      <c r="V174" s="49"/>
      <c r="W174" s="49"/>
      <c r="X174" s="49"/>
      <c r="Y174" s="49"/>
      <c r="Z174" s="49"/>
      <c r="AA174" s="49"/>
      <c r="AB174" s="49"/>
      <c r="AC174" s="49"/>
      <c r="AD174" s="50"/>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33">
        <f t="shared" si="2"/>
        <v>300</v>
      </c>
      <c r="BB174" s="43"/>
    </row>
    <row r="175" spans="1:55" ht="64.5" customHeight="1" x14ac:dyDescent="0.35">
      <c r="A175" s="26">
        <v>158</v>
      </c>
      <c r="B175" s="43" t="s">
        <v>1658</v>
      </c>
      <c r="C175" s="53" t="s">
        <v>119</v>
      </c>
      <c r="D175" s="300" t="s">
        <v>1179</v>
      </c>
      <c r="E175" s="95">
        <v>3</v>
      </c>
      <c r="F175" s="44" t="s">
        <v>30</v>
      </c>
      <c r="G175" s="112">
        <f>[1]DICIEMBRE!$BA$173</f>
        <v>-3.3400000000001455</v>
      </c>
      <c r="H175" s="31">
        <f>ENERO!BA178</f>
        <v>-3.3400000000001455</v>
      </c>
      <c r="I175" s="45">
        <f>FEBRERO!AX176</f>
        <v>-1.7053025658242404E-13</v>
      </c>
      <c r="J175" s="32">
        <f>MARZO!BA175</f>
        <v>-1.7053025658242404E-13</v>
      </c>
      <c r="K175" s="33">
        <f>ABRIL!AZ182</f>
        <v>-1.7053025658242404E-13</v>
      </c>
      <c r="L175" s="32"/>
      <c r="M175" s="336"/>
      <c r="N175" s="32"/>
      <c r="O175" s="33"/>
      <c r="P175" s="31"/>
      <c r="Q175" s="31"/>
      <c r="R175" s="31"/>
      <c r="S175" s="47">
        <f>250*E175</f>
        <v>750</v>
      </c>
      <c r="T175" s="47">
        <f>1900+208.33</f>
        <v>2108.33</v>
      </c>
      <c r="U175" s="48"/>
      <c r="V175" s="49"/>
      <c r="W175" s="49"/>
      <c r="X175" s="49"/>
      <c r="Y175" s="49"/>
      <c r="Z175" s="49"/>
      <c r="AA175" s="49"/>
      <c r="AB175" s="49"/>
      <c r="AC175" s="49"/>
      <c r="AD175" s="49"/>
      <c r="AE175" s="49"/>
      <c r="AF175" s="50"/>
      <c r="AG175" s="49"/>
      <c r="AH175" s="49"/>
      <c r="AI175" s="49"/>
      <c r="AJ175" s="49"/>
      <c r="AK175" s="49"/>
      <c r="AL175" s="49"/>
      <c r="AM175" s="49"/>
      <c r="AN175" s="49"/>
      <c r="AO175" s="49"/>
      <c r="AP175" s="49"/>
      <c r="AQ175" s="49"/>
      <c r="AR175" s="49"/>
      <c r="AS175" s="49"/>
      <c r="AT175" s="49"/>
      <c r="AU175" s="49"/>
      <c r="AV175" s="49"/>
      <c r="AW175" s="49"/>
      <c r="AX175" s="49"/>
      <c r="AY175" s="49"/>
      <c r="AZ175" s="49"/>
      <c r="BA175" s="33">
        <f t="shared" si="2"/>
        <v>2858.33</v>
      </c>
      <c r="BB175" s="43" t="s">
        <v>2892</v>
      </c>
    </row>
    <row r="176" spans="1:55" ht="45.75" customHeight="1" x14ac:dyDescent="0.35">
      <c r="A176" s="26">
        <v>159</v>
      </c>
      <c r="B176" s="43" t="s">
        <v>1289</v>
      </c>
      <c r="C176" s="53"/>
      <c r="D176" s="300" t="s">
        <v>1290</v>
      </c>
      <c r="E176" s="95">
        <v>1</v>
      </c>
      <c r="F176" s="44" t="s">
        <v>30</v>
      </c>
      <c r="G176" s="112">
        <f>[1]DICIEMBRE!$BA$175</f>
        <v>0</v>
      </c>
      <c r="H176" s="31">
        <f>ENERO!BA180</f>
        <v>0</v>
      </c>
      <c r="I176" s="31">
        <f>FEBRERO!AX178</f>
        <v>0</v>
      </c>
      <c r="J176" s="32">
        <f>MARZO!BA177</f>
        <v>0</v>
      </c>
      <c r="K176" s="32">
        <f>ABRIL!AZ184</f>
        <v>0</v>
      </c>
      <c r="L176" s="32"/>
      <c r="M176" s="32"/>
      <c r="N176" s="32"/>
      <c r="O176" s="32"/>
      <c r="P176" s="31"/>
      <c r="Q176" s="31"/>
      <c r="R176" s="31"/>
      <c r="S176" s="47">
        <f>250*E176</f>
        <v>250</v>
      </c>
      <c r="T176" s="47"/>
      <c r="U176" s="48"/>
      <c r="V176" s="49"/>
      <c r="W176" s="49"/>
      <c r="X176" s="49"/>
      <c r="Y176" s="49"/>
      <c r="Z176" s="49"/>
      <c r="AA176" s="49"/>
      <c r="AB176" s="49"/>
      <c r="AC176" s="49"/>
      <c r="AD176" s="49"/>
      <c r="AE176" s="49"/>
      <c r="AF176" s="50"/>
      <c r="AG176" s="49"/>
      <c r="AH176" s="49"/>
      <c r="AI176" s="49"/>
      <c r="AJ176" s="49"/>
      <c r="AK176" s="49"/>
      <c r="AL176" s="49"/>
      <c r="AM176" s="49"/>
      <c r="AN176" s="49"/>
      <c r="AO176" s="49"/>
      <c r="AP176" s="49"/>
      <c r="AQ176" s="49"/>
      <c r="AR176" s="49"/>
      <c r="AS176" s="49"/>
      <c r="AT176" s="49"/>
      <c r="AU176" s="49"/>
      <c r="AV176" s="49"/>
      <c r="AW176" s="49"/>
      <c r="AX176" s="49"/>
      <c r="AY176" s="49"/>
      <c r="AZ176" s="49"/>
      <c r="BA176" s="33">
        <f t="shared" si="2"/>
        <v>250</v>
      </c>
      <c r="BB176" s="43"/>
    </row>
    <row r="177" spans="1:54" ht="45.75" customHeight="1" x14ac:dyDescent="0.35">
      <c r="A177" s="26">
        <v>160</v>
      </c>
      <c r="B177" s="43" t="s">
        <v>953</v>
      </c>
      <c r="C177" s="43"/>
      <c r="D177" s="308" t="s">
        <v>959</v>
      </c>
      <c r="E177" s="95">
        <v>5</v>
      </c>
      <c r="F177" s="44" t="s">
        <v>30</v>
      </c>
      <c r="G177" s="234">
        <f>[1]DICIEMBRE!$BA$176</f>
        <v>0</v>
      </c>
      <c r="H177" s="31">
        <f>ENERO!BA181</f>
        <v>0</v>
      </c>
      <c r="I177" s="31">
        <f>FEBRERO!AX179</f>
        <v>0</v>
      </c>
      <c r="J177" s="32">
        <f>MARZO!BA178</f>
        <v>0</v>
      </c>
      <c r="K177" s="33">
        <f>ABRIL!AZ185</f>
        <v>0</v>
      </c>
      <c r="L177" s="336"/>
      <c r="M177" s="336"/>
      <c r="N177" s="32"/>
      <c r="O177" s="33"/>
      <c r="P177" s="33"/>
      <c r="Q177" s="31"/>
      <c r="R177" s="31"/>
      <c r="S177" s="47">
        <f>150*E177</f>
        <v>750</v>
      </c>
      <c r="T177" s="47"/>
      <c r="U177" s="48"/>
      <c r="V177" s="49"/>
      <c r="W177" s="49"/>
      <c r="X177" s="49"/>
      <c r="Y177" s="49"/>
      <c r="Z177" s="49"/>
      <c r="AA177" s="49"/>
      <c r="AB177" s="49"/>
      <c r="AC177" s="49"/>
      <c r="AD177" s="49"/>
      <c r="AE177" s="49"/>
      <c r="AF177" s="50"/>
      <c r="AG177" s="49"/>
      <c r="AH177" s="49"/>
      <c r="AI177" s="49"/>
      <c r="AJ177" s="49"/>
      <c r="AK177" s="49"/>
      <c r="AL177" s="49"/>
      <c r="AM177" s="49"/>
      <c r="AN177" s="49"/>
      <c r="AO177" s="49"/>
      <c r="AP177" s="49"/>
      <c r="AQ177" s="49"/>
      <c r="AR177" s="49"/>
      <c r="AS177" s="49"/>
      <c r="AT177" s="49"/>
      <c r="AU177" s="49"/>
      <c r="AV177" s="49"/>
      <c r="AW177" s="49"/>
      <c r="AX177" s="49"/>
      <c r="AY177" s="49"/>
      <c r="AZ177" s="49"/>
      <c r="BA177" s="33">
        <f t="shared" si="2"/>
        <v>750</v>
      </c>
      <c r="BB177" s="43"/>
    </row>
    <row r="178" spans="1:54" ht="45.75" customHeight="1" x14ac:dyDescent="0.35">
      <c r="A178" s="26">
        <v>161</v>
      </c>
      <c r="B178" s="43" t="s">
        <v>1294</v>
      </c>
      <c r="C178" s="53"/>
      <c r="D178" s="300" t="s">
        <v>1295</v>
      </c>
      <c r="E178" s="95">
        <v>3</v>
      </c>
      <c r="F178" s="44" t="s">
        <v>30</v>
      </c>
      <c r="G178" s="112">
        <f>[1]DICIEMBRE!$BA$177</f>
        <v>250</v>
      </c>
      <c r="H178" s="45">
        <f>ENERO!BA182</f>
        <v>0</v>
      </c>
      <c r="I178" s="45">
        <f>FEBRERO!AX180</f>
        <v>0</v>
      </c>
      <c r="J178" s="32">
        <f>MARZO!BA179</f>
        <v>0</v>
      </c>
      <c r="K178" s="33">
        <f>ABRIL!AZ186</f>
        <v>0</v>
      </c>
      <c r="L178" s="32"/>
      <c r="M178" s="32"/>
      <c r="N178" s="336"/>
      <c r="O178" s="32"/>
      <c r="P178" s="31"/>
      <c r="Q178" s="31"/>
      <c r="R178" s="31"/>
      <c r="S178" s="47">
        <f>250*E178</f>
        <v>750</v>
      </c>
      <c r="T178" s="47"/>
      <c r="U178" s="48"/>
      <c r="V178" s="49"/>
      <c r="W178" s="49"/>
      <c r="X178" s="49"/>
      <c r="Y178" s="49"/>
      <c r="Z178" s="49"/>
      <c r="AA178" s="49"/>
      <c r="AB178" s="49"/>
      <c r="AC178" s="49"/>
      <c r="AD178" s="49"/>
      <c r="AE178" s="49"/>
      <c r="AF178" s="50"/>
      <c r="AG178" s="49"/>
      <c r="AH178" s="49"/>
      <c r="AI178" s="49"/>
      <c r="AJ178" s="49"/>
      <c r="AK178" s="49"/>
      <c r="AL178" s="49"/>
      <c r="AM178" s="49"/>
      <c r="AN178" s="49"/>
      <c r="AO178" s="49"/>
      <c r="AP178" s="49"/>
      <c r="AQ178" s="49"/>
      <c r="AR178" s="49"/>
      <c r="AS178" s="49"/>
      <c r="AT178" s="49"/>
      <c r="AU178" s="49"/>
      <c r="AV178" s="49"/>
      <c r="AW178" s="49"/>
      <c r="AX178" s="49"/>
      <c r="AY178" s="49"/>
      <c r="AZ178" s="49"/>
      <c r="BA178" s="33">
        <f t="shared" si="2"/>
        <v>750</v>
      </c>
      <c r="BB178" s="43"/>
    </row>
    <row r="179" spans="1:54" ht="45.75" customHeight="1" x14ac:dyDescent="0.35">
      <c r="A179" s="26">
        <v>162</v>
      </c>
      <c r="B179" s="43" t="s">
        <v>2811</v>
      </c>
      <c r="C179" s="53"/>
      <c r="D179" s="300" t="s">
        <v>2813</v>
      </c>
      <c r="E179" s="95">
        <v>1</v>
      </c>
      <c r="F179" s="44" t="s">
        <v>30</v>
      </c>
      <c r="G179" s="112"/>
      <c r="H179" s="45"/>
      <c r="I179" s="45"/>
      <c r="J179" s="32"/>
      <c r="K179" s="32">
        <f>ABRIL!AZ187</f>
        <v>0</v>
      </c>
      <c r="L179" s="32"/>
      <c r="M179" s="32"/>
      <c r="N179" s="336"/>
      <c r="O179" s="32"/>
      <c r="P179" s="31"/>
      <c r="Q179" s="31"/>
      <c r="R179" s="31"/>
      <c r="S179" s="47">
        <f>300*E179</f>
        <v>300</v>
      </c>
      <c r="T179" s="47"/>
      <c r="U179" s="48"/>
      <c r="V179" s="49"/>
      <c r="W179" s="49"/>
      <c r="X179" s="49"/>
      <c r="Y179" s="49"/>
      <c r="Z179" s="49"/>
      <c r="AA179" s="49"/>
      <c r="AB179" s="49"/>
      <c r="AC179" s="49"/>
      <c r="AD179" s="49"/>
      <c r="AE179" s="49"/>
      <c r="AF179" s="50"/>
      <c r="AG179" s="49"/>
      <c r="AH179" s="49"/>
      <c r="AI179" s="49"/>
      <c r="AJ179" s="49"/>
      <c r="AK179" s="49"/>
      <c r="AL179" s="49"/>
      <c r="AM179" s="49"/>
      <c r="AN179" s="49"/>
      <c r="AO179" s="49"/>
      <c r="AP179" s="49"/>
      <c r="AQ179" s="49"/>
      <c r="AR179" s="49"/>
      <c r="AS179" s="49"/>
      <c r="AT179" s="49"/>
      <c r="AU179" s="49"/>
      <c r="AV179" s="49"/>
      <c r="AW179" s="49"/>
      <c r="AX179" s="49"/>
      <c r="AY179" s="49"/>
      <c r="AZ179" s="49"/>
      <c r="BA179" s="33">
        <f t="shared" si="2"/>
        <v>300</v>
      </c>
      <c r="BB179" s="43" t="s">
        <v>2889</v>
      </c>
    </row>
    <row r="180" spans="1:54" ht="80.25" customHeight="1" x14ac:dyDescent="0.35">
      <c r="A180" s="26">
        <v>163</v>
      </c>
      <c r="B180" s="43" t="s">
        <v>1377</v>
      </c>
      <c r="C180" s="53"/>
      <c r="D180" s="300" t="s">
        <v>3043</v>
      </c>
      <c r="E180" s="95">
        <v>1</v>
      </c>
      <c r="F180" s="44" t="s">
        <v>30</v>
      </c>
      <c r="G180" s="234">
        <f>[1]DICIEMBRE!$BA$178</f>
        <v>348</v>
      </c>
      <c r="H180" s="31">
        <f>ENERO!BA183</f>
        <v>0</v>
      </c>
      <c r="I180" s="31">
        <f>FEBRERO!AX181</f>
        <v>-348</v>
      </c>
      <c r="J180" s="32">
        <f>MARZO!BA180</f>
        <v>0</v>
      </c>
      <c r="K180" s="33">
        <f>ABRIL!AZ188</f>
        <v>348</v>
      </c>
      <c r="L180" s="336"/>
      <c r="M180" s="32"/>
      <c r="N180" s="32"/>
      <c r="O180" s="32"/>
      <c r="P180" s="31"/>
      <c r="Q180" s="31"/>
      <c r="R180" s="31"/>
      <c r="S180" s="47">
        <f>(300*0.16+300)*E180</f>
        <v>348</v>
      </c>
      <c r="T180" s="47"/>
      <c r="U180" s="48"/>
      <c r="V180" s="49"/>
      <c r="W180" s="49"/>
      <c r="X180" s="49"/>
      <c r="Y180" s="49"/>
      <c r="Z180" s="49"/>
      <c r="AA180" s="49"/>
      <c r="AB180" s="49"/>
      <c r="AC180" s="49"/>
      <c r="AD180" s="49"/>
      <c r="AE180" s="49"/>
      <c r="AF180" s="50"/>
      <c r="AG180" s="49"/>
      <c r="AH180" s="49"/>
      <c r="AI180" s="49"/>
      <c r="AJ180" s="49"/>
      <c r="AK180" s="49"/>
      <c r="AL180" s="49"/>
      <c r="AM180" s="49"/>
      <c r="AN180" s="49"/>
      <c r="AO180" s="49"/>
      <c r="AP180" s="49"/>
      <c r="AQ180" s="49"/>
      <c r="AR180" s="49"/>
      <c r="AS180" s="49"/>
      <c r="AT180" s="49"/>
      <c r="AU180" s="49"/>
      <c r="AV180" s="49"/>
      <c r="AW180" s="49"/>
      <c r="AX180" s="49"/>
      <c r="AY180" s="49"/>
      <c r="AZ180" s="49"/>
      <c r="BA180" s="33">
        <f t="shared" si="2"/>
        <v>696</v>
      </c>
      <c r="BB180" s="43"/>
    </row>
    <row r="181" spans="1:54" ht="45.75" customHeight="1" x14ac:dyDescent="0.35">
      <c r="A181" s="26">
        <v>164</v>
      </c>
      <c r="B181" s="43" t="s">
        <v>1566</v>
      </c>
      <c r="C181" s="53"/>
      <c r="D181" s="300" t="s">
        <v>1567</v>
      </c>
      <c r="E181" s="95">
        <v>1</v>
      </c>
      <c r="F181" s="44" t="s">
        <v>30</v>
      </c>
      <c r="G181" s="234">
        <f>[1]DICIEMBRE!$BA$180</f>
        <v>0</v>
      </c>
      <c r="H181" s="45">
        <f>ENERO!BA185</f>
        <v>0</v>
      </c>
      <c r="I181" s="31">
        <f>FEBRERO!AX183</f>
        <v>300</v>
      </c>
      <c r="J181" s="32">
        <f>MARZO!BA181</f>
        <v>0</v>
      </c>
      <c r="K181" s="33">
        <f>ABRIL!AZ189</f>
        <v>0</v>
      </c>
      <c r="L181" s="336"/>
      <c r="M181" s="336"/>
      <c r="N181" s="32"/>
      <c r="O181" s="33"/>
      <c r="P181" s="33"/>
      <c r="Q181" s="31"/>
      <c r="R181" s="31"/>
      <c r="S181" s="47">
        <f>300*E181</f>
        <v>300</v>
      </c>
      <c r="T181" s="47"/>
      <c r="U181" s="48"/>
      <c r="V181" s="49"/>
      <c r="W181" s="49"/>
      <c r="X181" s="49"/>
      <c r="Y181" s="49"/>
      <c r="Z181" s="49"/>
      <c r="AA181" s="49"/>
      <c r="AB181" s="49"/>
      <c r="AC181" s="49"/>
      <c r="AD181" s="49"/>
      <c r="AE181" s="49"/>
      <c r="AF181" s="50"/>
      <c r="AG181" s="49"/>
      <c r="AH181" s="49"/>
      <c r="AI181" s="49"/>
      <c r="AJ181" s="49"/>
      <c r="AK181" s="49"/>
      <c r="AL181" s="49"/>
      <c r="AM181" s="49"/>
      <c r="AN181" s="49"/>
      <c r="AO181" s="49"/>
      <c r="AP181" s="49"/>
      <c r="AQ181" s="49"/>
      <c r="AR181" s="49"/>
      <c r="AS181" s="49"/>
      <c r="AT181" s="49"/>
      <c r="AU181" s="49"/>
      <c r="AV181" s="49"/>
      <c r="AW181" s="49"/>
      <c r="AX181" s="49"/>
      <c r="AY181" s="49"/>
      <c r="AZ181" s="49"/>
      <c r="BA181" s="33">
        <f t="shared" si="2"/>
        <v>300</v>
      </c>
      <c r="BB181" s="43"/>
    </row>
    <row r="182" spans="1:54" ht="45.75" customHeight="1" x14ac:dyDescent="0.35">
      <c r="A182" s="26">
        <v>165</v>
      </c>
      <c r="B182" s="43" t="s">
        <v>2042</v>
      </c>
      <c r="C182" s="53"/>
      <c r="D182" s="300" t="s">
        <v>1770</v>
      </c>
      <c r="E182" s="95">
        <v>1</v>
      </c>
      <c r="F182" s="44" t="s">
        <v>30</v>
      </c>
      <c r="G182" s="234"/>
      <c r="H182" s="31">
        <f>ENERO!BA186</f>
        <v>0</v>
      </c>
      <c r="I182" s="45">
        <f>FEBRERO!AX184</f>
        <v>0</v>
      </c>
      <c r="J182" s="32">
        <f>MARZO!BA182</f>
        <v>0</v>
      </c>
      <c r="K182" s="32">
        <f>ABRIL!AZ190</f>
        <v>0</v>
      </c>
      <c r="L182" s="336"/>
      <c r="M182" s="336"/>
      <c r="N182" s="32"/>
      <c r="O182" s="33"/>
      <c r="P182" s="33"/>
      <c r="Q182" s="31"/>
      <c r="R182" s="31"/>
      <c r="S182" s="47">
        <f>250*E182</f>
        <v>250</v>
      </c>
      <c r="T182" s="47"/>
      <c r="U182" s="48"/>
      <c r="V182" s="49"/>
      <c r="W182" s="49"/>
      <c r="X182" s="49"/>
      <c r="Y182" s="49"/>
      <c r="Z182" s="49"/>
      <c r="AA182" s="49"/>
      <c r="AB182" s="49"/>
      <c r="AC182" s="49"/>
      <c r="AD182" s="49"/>
      <c r="AE182" s="49"/>
      <c r="AF182" s="50"/>
      <c r="AG182" s="49"/>
      <c r="AH182" s="49"/>
      <c r="AI182" s="49"/>
      <c r="AJ182" s="49"/>
      <c r="AK182" s="49"/>
      <c r="AL182" s="49"/>
      <c r="AM182" s="49"/>
      <c r="AN182" s="49"/>
      <c r="AO182" s="49"/>
      <c r="AP182" s="49"/>
      <c r="AQ182" s="49"/>
      <c r="AR182" s="49"/>
      <c r="AS182" s="49"/>
      <c r="AT182" s="49"/>
      <c r="AU182" s="49"/>
      <c r="AV182" s="49"/>
      <c r="AW182" s="49"/>
      <c r="AX182" s="49"/>
      <c r="AY182" s="49"/>
      <c r="AZ182" s="49"/>
      <c r="BA182" s="33">
        <f t="shared" si="2"/>
        <v>250</v>
      </c>
      <c r="BB182" s="43"/>
    </row>
    <row r="183" spans="1:54" ht="48" customHeight="1" x14ac:dyDescent="0.35">
      <c r="A183" s="26">
        <v>166</v>
      </c>
      <c r="B183" s="27" t="s">
        <v>120</v>
      </c>
      <c r="C183" s="28" t="s">
        <v>121</v>
      </c>
      <c r="D183" s="300" t="s">
        <v>3036</v>
      </c>
      <c r="E183" s="95">
        <v>1</v>
      </c>
      <c r="F183" s="64" t="s">
        <v>30</v>
      </c>
      <c r="G183" s="112">
        <f>[1]DICIEMBRE!$BA$181</f>
        <v>0</v>
      </c>
      <c r="H183" s="31">
        <f>ENERO!BA187</f>
        <v>0</v>
      </c>
      <c r="I183" s="31">
        <f>FEBRERO!AX185</f>
        <v>0</v>
      </c>
      <c r="J183" s="32">
        <f>MARZO!BA183</f>
        <v>0</v>
      </c>
      <c r="K183" s="33">
        <f>ABRIL!AZ191</f>
        <v>0</v>
      </c>
      <c r="L183" s="32"/>
      <c r="M183" s="32"/>
      <c r="N183" s="336"/>
      <c r="O183" s="32"/>
      <c r="P183" s="31"/>
      <c r="Q183" s="31"/>
      <c r="R183" s="31"/>
      <c r="S183" s="49">
        <f>250*E183</f>
        <v>250</v>
      </c>
      <c r="T183" s="47"/>
      <c r="U183" s="77"/>
      <c r="V183" s="49"/>
      <c r="W183" s="49"/>
      <c r="X183" s="49"/>
      <c r="Y183" s="49"/>
      <c r="Z183" s="49"/>
      <c r="AA183" s="49"/>
      <c r="AB183" s="49"/>
      <c r="AC183" s="49"/>
      <c r="AD183" s="49"/>
      <c r="AE183" s="49"/>
      <c r="AF183" s="51"/>
      <c r="AG183" s="49"/>
      <c r="AH183" s="49"/>
      <c r="AI183" s="49"/>
      <c r="AJ183" s="49"/>
      <c r="AK183" s="68"/>
      <c r="AL183" s="49"/>
      <c r="AM183" s="49"/>
      <c r="AN183" s="49"/>
      <c r="AO183" s="49"/>
      <c r="AP183" s="49"/>
      <c r="AQ183" s="49"/>
      <c r="AR183" s="49"/>
      <c r="AS183" s="49"/>
      <c r="AT183" s="49"/>
      <c r="AU183" s="49"/>
      <c r="AV183" s="49"/>
      <c r="AW183" s="49"/>
      <c r="AX183" s="49"/>
      <c r="AY183" s="49"/>
      <c r="AZ183" s="49"/>
      <c r="BA183" s="33">
        <f t="shared" si="2"/>
        <v>250</v>
      </c>
      <c r="BB183" s="269"/>
    </row>
    <row r="184" spans="1:54" ht="48" customHeight="1" x14ac:dyDescent="0.35">
      <c r="A184" s="26">
        <v>167</v>
      </c>
      <c r="B184" s="43" t="s">
        <v>1056</v>
      </c>
      <c r="C184" s="28"/>
      <c r="D184" s="300" t="s">
        <v>1181</v>
      </c>
      <c r="E184" s="95">
        <v>1</v>
      </c>
      <c r="F184" s="64" t="s">
        <v>30</v>
      </c>
      <c r="G184" s="234">
        <f>[1]DICIEMBRE!$BA$182</f>
        <v>0</v>
      </c>
      <c r="H184" s="45">
        <f>ENERO!BA188</f>
        <v>0</v>
      </c>
      <c r="I184" s="31">
        <f>FEBRERO!AX186</f>
        <v>0</v>
      </c>
      <c r="J184" s="32">
        <f>MARZO!BA184</f>
        <v>0</v>
      </c>
      <c r="K184" s="33">
        <f>ABRIL!AZ192</f>
        <v>0</v>
      </c>
      <c r="L184" s="32"/>
      <c r="M184" s="32"/>
      <c r="N184" s="32"/>
      <c r="O184" s="32"/>
      <c r="P184" s="33"/>
      <c r="Q184" s="31"/>
      <c r="R184" s="31"/>
      <c r="S184" s="49">
        <f>300*E184</f>
        <v>300</v>
      </c>
      <c r="T184" s="47"/>
      <c r="U184" s="77"/>
      <c r="V184" s="49"/>
      <c r="W184" s="49"/>
      <c r="X184" s="49"/>
      <c r="Y184" s="49"/>
      <c r="Z184" s="49"/>
      <c r="AA184" s="49"/>
      <c r="AB184" s="49"/>
      <c r="AC184" s="49"/>
      <c r="AD184" s="49"/>
      <c r="AE184" s="49"/>
      <c r="AF184" s="51"/>
      <c r="AG184" s="49"/>
      <c r="AH184" s="49"/>
      <c r="AI184" s="49"/>
      <c r="AJ184" s="49"/>
      <c r="AK184" s="68"/>
      <c r="AL184" s="49"/>
      <c r="AM184" s="49"/>
      <c r="AN184" s="49"/>
      <c r="AO184" s="49"/>
      <c r="AP184" s="49"/>
      <c r="AQ184" s="49"/>
      <c r="AR184" s="49"/>
      <c r="AS184" s="49"/>
      <c r="AT184" s="49"/>
      <c r="AU184" s="49"/>
      <c r="AV184" s="49"/>
      <c r="AW184" s="49"/>
      <c r="AX184" s="49"/>
      <c r="AY184" s="49"/>
      <c r="AZ184" s="49"/>
      <c r="BA184" s="33">
        <f t="shared" si="2"/>
        <v>300</v>
      </c>
      <c r="BB184" s="269"/>
    </row>
    <row r="185" spans="1:54" ht="48" customHeight="1" x14ac:dyDescent="0.35">
      <c r="A185" s="26">
        <v>168</v>
      </c>
      <c r="B185" s="43" t="s">
        <v>1609</v>
      </c>
      <c r="C185" s="28"/>
      <c r="D185" s="300" t="s">
        <v>1610</v>
      </c>
      <c r="E185" s="95">
        <v>3</v>
      </c>
      <c r="F185" s="64" t="s">
        <v>30</v>
      </c>
      <c r="G185" s="112">
        <f>[1]DICIEMBRE!$BA$183</f>
        <v>1.1368683772161603E-13</v>
      </c>
      <c r="H185" s="31">
        <f>ENERO!BA189</f>
        <v>0</v>
      </c>
      <c r="I185" s="31">
        <f>FEBRERO!AX187</f>
        <v>0</v>
      </c>
      <c r="J185" s="32">
        <f>MARZO!BA185</f>
        <v>0</v>
      </c>
      <c r="K185" s="32">
        <f>ABRIL!AZ193</f>
        <v>0</v>
      </c>
      <c r="L185" s="32"/>
      <c r="M185" s="32"/>
      <c r="N185" s="32"/>
      <c r="O185" s="32"/>
      <c r="P185" s="33"/>
      <c r="Q185" s="31"/>
      <c r="R185" s="31"/>
      <c r="S185" s="49">
        <f>(300*0.16+300)*E185</f>
        <v>1044</v>
      </c>
      <c r="T185" s="47"/>
      <c r="U185" s="77"/>
      <c r="V185" s="49"/>
      <c r="W185" s="49"/>
      <c r="X185" s="49"/>
      <c r="Y185" s="49"/>
      <c r="Z185" s="49"/>
      <c r="AA185" s="49"/>
      <c r="AB185" s="49"/>
      <c r="AC185" s="49"/>
      <c r="AD185" s="49"/>
      <c r="AE185" s="49"/>
      <c r="AF185" s="51"/>
      <c r="AG185" s="49"/>
      <c r="AH185" s="49"/>
      <c r="AI185" s="49"/>
      <c r="AJ185" s="49"/>
      <c r="AK185" s="68"/>
      <c r="AL185" s="49"/>
      <c r="AM185" s="49"/>
      <c r="AN185" s="49"/>
      <c r="AO185" s="49"/>
      <c r="AP185" s="49"/>
      <c r="AQ185" s="49"/>
      <c r="AR185" s="49"/>
      <c r="AS185" s="49"/>
      <c r="AT185" s="49"/>
      <c r="AU185" s="49"/>
      <c r="AV185" s="49"/>
      <c r="AW185" s="49"/>
      <c r="AX185" s="49"/>
      <c r="AY185" s="49"/>
      <c r="AZ185" s="49"/>
      <c r="BA185" s="33">
        <f t="shared" si="2"/>
        <v>1044</v>
      </c>
      <c r="BB185" s="269"/>
    </row>
    <row r="186" spans="1:54" ht="48" customHeight="1" x14ac:dyDescent="0.35">
      <c r="A186" s="26">
        <v>169</v>
      </c>
      <c r="B186" s="43" t="s">
        <v>945</v>
      </c>
      <c r="C186" s="28"/>
      <c r="D186" s="300" t="s">
        <v>3044</v>
      </c>
      <c r="E186" s="95">
        <v>1</v>
      </c>
      <c r="F186" s="64" t="s">
        <v>30</v>
      </c>
      <c r="G186" s="234">
        <f>[1]DICIEMBRE!$BA$184</f>
        <v>0</v>
      </c>
      <c r="H186" s="31">
        <f>ENERO!BA190</f>
        <v>299</v>
      </c>
      <c r="I186" s="45">
        <f>FEBRERO!AX188</f>
        <v>0</v>
      </c>
      <c r="J186" s="32">
        <f>MARZO!BA186</f>
        <v>0</v>
      </c>
      <c r="K186" s="33">
        <f>ABRIL!AZ194</f>
        <v>299</v>
      </c>
      <c r="L186" s="336"/>
      <c r="M186" s="336"/>
      <c r="N186" s="32"/>
      <c r="O186" s="33"/>
      <c r="P186" s="31"/>
      <c r="Q186" s="31"/>
      <c r="R186" s="31"/>
      <c r="S186" s="49">
        <f>299*E186</f>
        <v>299</v>
      </c>
      <c r="T186" s="47"/>
      <c r="U186" s="77"/>
      <c r="V186" s="49"/>
      <c r="W186" s="49"/>
      <c r="X186" s="49"/>
      <c r="Y186" s="49"/>
      <c r="Z186" s="49"/>
      <c r="AA186" s="49"/>
      <c r="AB186" s="49"/>
      <c r="AC186" s="49"/>
      <c r="AD186" s="49"/>
      <c r="AE186" s="49"/>
      <c r="AF186" s="51"/>
      <c r="AG186" s="49"/>
      <c r="AH186" s="49"/>
      <c r="AI186" s="49"/>
      <c r="AJ186" s="49"/>
      <c r="AK186" s="68"/>
      <c r="AL186" s="49"/>
      <c r="AM186" s="49"/>
      <c r="AN186" s="49"/>
      <c r="AO186" s="49"/>
      <c r="AP186" s="49"/>
      <c r="AQ186" s="49"/>
      <c r="AR186" s="49"/>
      <c r="AS186" s="49"/>
      <c r="AT186" s="49"/>
      <c r="AU186" s="49"/>
      <c r="AV186" s="49"/>
      <c r="AW186" s="49"/>
      <c r="AX186" s="49"/>
      <c r="AY186" s="49"/>
      <c r="AZ186" s="49"/>
      <c r="BA186" s="33">
        <f t="shared" si="2"/>
        <v>598</v>
      </c>
      <c r="BB186" s="269"/>
    </row>
    <row r="187" spans="1:54" ht="48" customHeight="1" x14ac:dyDescent="0.35">
      <c r="A187" s="26">
        <v>170</v>
      </c>
      <c r="B187" s="43" t="s">
        <v>1659</v>
      </c>
      <c r="C187" s="28"/>
      <c r="D187" s="300" t="s">
        <v>1600</v>
      </c>
      <c r="E187" s="95">
        <v>1</v>
      </c>
      <c r="F187" s="64"/>
      <c r="G187" s="112">
        <f>[1]DICIEMBRE!$BA$185</f>
        <v>0</v>
      </c>
      <c r="H187" s="45">
        <f>ENERO!BA191</f>
        <v>0</v>
      </c>
      <c r="I187" s="31">
        <f>FEBRERO!AX189</f>
        <v>0</v>
      </c>
      <c r="J187" s="32">
        <f>MARZO!BA187</f>
        <v>0</v>
      </c>
      <c r="K187" s="33">
        <f>ABRIL!AZ195</f>
        <v>0</v>
      </c>
      <c r="L187" s="336"/>
      <c r="M187" s="336"/>
      <c r="N187" s="32"/>
      <c r="O187" s="33"/>
      <c r="P187" s="31"/>
      <c r="Q187" s="31"/>
      <c r="R187" s="31"/>
      <c r="S187" s="49">
        <v>300</v>
      </c>
      <c r="T187" s="47"/>
      <c r="U187" s="77"/>
      <c r="V187" s="49"/>
      <c r="W187" s="49"/>
      <c r="X187" s="49"/>
      <c r="Y187" s="49"/>
      <c r="Z187" s="49"/>
      <c r="AA187" s="49"/>
      <c r="AB187" s="49"/>
      <c r="AC187" s="49"/>
      <c r="AD187" s="49"/>
      <c r="AE187" s="49"/>
      <c r="AF187" s="51"/>
      <c r="AG187" s="49"/>
      <c r="AH187" s="49"/>
      <c r="AI187" s="49"/>
      <c r="AJ187" s="49"/>
      <c r="AK187" s="68"/>
      <c r="AL187" s="49"/>
      <c r="AM187" s="49"/>
      <c r="AN187" s="49"/>
      <c r="AO187" s="49"/>
      <c r="AP187" s="49"/>
      <c r="AQ187" s="49"/>
      <c r="AR187" s="49"/>
      <c r="AS187" s="49"/>
      <c r="AT187" s="49"/>
      <c r="AU187" s="49"/>
      <c r="AV187" s="49"/>
      <c r="AW187" s="49"/>
      <c r="AX187" s="49"/>
      <c r="AY187" s="49"/>
      <c r="AZ187" s="49"/>
      <c r="BA187" s="33">
        <f t="shared" si="2"/>
        <v>300</v>
      </c>
      <c r="BB187" s="269"/>
    </row>
    <row r="188" spans="1:54" ht="47.25" customHeight="1" x14ac:dyDescent="0.35">
      <c r="A188" s="26">
        <v>171</v>
      </c>
      <c r="B188" s="43" t="s">
        <v>124</v>
      </c>
      <c r="C188" s="53" t="s">
        <v>125</v>
      </c>
      <c r="D188" s="300" t="s">
        <v>1183</v>
      </c>
      <c r="E188" s="95">
        <v>1</v>
      </c>
      <c r="F188" s="44" t="s">
        <v>30</v>
      </c>
      <c r="G188" s="234">
        <f>[1]DICIEMBRE!$BA$186</f>
        <v>0</v>
      </c>
      <c r="H188" s="31">
        <f>ENERO!BA192</f>
        <v>-350</v>
      </c>
      <c r="I188" s="31">
        <f>FEBRERO!AX190</f>
        <v>0</v>
      </c>
      <c r="J188" s="32">
        <f>MARZO!BA188</f>
        <v>0</v>
      </c>
      <c r="K188" s="32">
        <f>ABRIL!AZ196</f>
        <v>0</v>
      </c>
      <c r="L188" s="32"/>
      <c r="M188" s="32"/>
      <c r="N188" s="336"/>
      <c r="O188" s="32"/>
      <c r="P188" s="33"/>
      <c r="Q188" s="31"/>
      <c r="R188" s="31"/>
      <c r="S188" s="47">
        <v>350</v>
      </c>
      <c r="T188" s="47"/>
      <c r="U188" s="48"/>
      <c r="V188" s="49"/>
      <c r="W188" s="49"/>
      <c r="X188" s="49"/>
      <c r="Y188" s="49"/>
      <c r="Z188" s="49"/>
      <c r="AA188" s="49"/>
      <c r="AB188" s="49"/>
      <c r="AC188" s="49"/>
      <c r="AD188" s="49"/>
      <c r="AE188" s="49"/>
      <c r="AF188" s="49"/>
      <c r="AG188" s="49"/>
      <c r="AH188" s="49"/>
      <c r="AI188" s="49"/>
      <c r="AJ188" s="49"/>
      <c r="AK188" s="63"/>
      <c r="AL188" s="49"/>
      <c r="AM188" s="49"/>
      <c r="AN188" s="49"/>
      <c r="AO188" s="49"/>
      <c r="AP188" s="49"/>
      <c r="AQ188" s="49"/>
      <c r="AR188" s="49"/>
      <c r="AS188" s="49"/>
      <c r="AT188" s="49"/>
      <c r="AU188" s="49"/>
      <c r="AV188" s="49"/>
      <c r="AW188" s="49"/>
      <c r="AX188" s="49"/>
      <c r="AY188" s="49"/>
      <c r="AZ188" s="49"/>
      <c r="BA188" s="33">
        <f t="shared" si="2"/>
        <v>350</v>
      </c>
      <c r="BB188" s="43"/>
    </row>
    <row r="189" spans="1:54" ht="45.75" customHeight="1" x14ac:dyDescent="0.35">
      <c r="A189" s="26">
        <v>172</v>
      </c>
      <c r="B189" s="43" t="s">
        <v>1304</v>
      </c>
      <c r="C189" s="53"/>
      <c r="D189" s="300" t="s">
        <v>621</v>
      </c>
      <c r="E189" s="95">
        <v>2</v>
      </c>
      <c r="F189" s="44" t="s">
        <v>30</v>
      </c>
      <c r="G189" s="112">
        <f>[1]DICIEMBRE!$BA$187</f>
        <v>0</v>
      </c>
      <c r="H189" s="31">
        <f>ENERO!BA193</f>
        <v>0</v>
      </c>
      <c r="I189" s="31">
        <f>FEBRERO!AX191</f>
        <v>0</v>
      </c>
      <c r="J189" s="32">
        <f>MARZO!BA189</f>
        <v>0</v>
      </c>
      <c r="K189" s="33">
        <f>ABRIL!AZ197</f>
        <v>0</v>
      </c>
      <c r="L189" s="336"/>
      <c r="M189" s="32"/>
      <c r="N189" s="32"/>
      <c r="O189" s="32"/>
      <c r="P189" s="31"/>
      <c r="Q189" s="31"/>
      <c r="R189" s="31"/>
      <c r="S189" s="47">
        <f>249*E189</f>
        <v>498</v>
      </c>
      <c r="T189" s="47"/>
      <c r="U189" s="48"/>
      <c r="V189" s="49"/>
      <c r="W189" s="49"/>
      <c r="X189" s="49"/>
      <c r="Y189" s="49"/>
      <c r="Z189" s="49"/>
      <c r="AA189" s="49"/>
      <c r="AB189" s="49"/>
      <c r="AC189" s="49"/>
      <c r="AD189" s="49"/>
      <c r="AE189" s="49"/>
      <c r="AF189" s="50"/>
      <c r="AG189" s="49"/>
      <c r="AH189" s="49"/>
      <c r="AI189" s="49"/>
      <c r="AJ189" s="49"/>
      <c r="AK189" s="49"/>
      <c r="AL189" s="49"/>
      <c r="AM189" s="49"/>
      <c r="AN189" s="49"/>
      <c r="AO189" s="49"/>
      <c r="AP189" s="49"/>
      <c r="AQ189" s="49"/>
      <c r="AR189" s="49"/>
      <c r="AS189" s="49"/>
      <c r="AT189" s="49"/>
      <c r="AU189" s="49"/>
      <c r="AV189" s="49"/>
      <c r="AW189" s="49"/>
      <c r="AX189" s="49"/>
      <c r="AY189" s="49"/>
      <c r="AZ189" s="49"/>
      <c r="BA189" s="33">
        <f t="shared" si="2"/>
        <v>498</v>
      </c>
      <c r="BB189" s="43"/>
    </row>
    <row r="190" spans="1:54" ht="63.75" customHeight="1" x14ac:dyDescent="0.35">
      <c r="A190" s="26">
        <v>173</v>
      </c>
      <c r="B190" s="43" t="s">
        <v>1557</v>
      </c>
      <c r="C190" s="53"/>
      <c r="D190" s="300" t="s">
        <v>1558</v>
      </c>
      <c r="E190" s="95">
        <v>1</v>
      </c>
      <c r="F190" s="44" t="s">
        <v>30</v>
      </c>
      <c r="G190" s="112">
        <f>[1]DICIEMBRE!$BA$189</f>
        <v>0</v>
      </c>
      <c r="H190" s="31">
        <f>ENERO!BA195</f>
        <v>300</v>
      </c>
      <c r="I190" s="45">
        <f>FEBRERO!AX192</f>
        <v>0</v>
      </c>
      <c r="J190" s="32">
        <f>MARZO!BA190</f>
        <v>0</v>
      </c>
      <c r="K190" s="33">
        <f>ABRIL!AZ198</f>
        <v>300</v>
      </c>
      <c r="L190" s="32"/>
      <c r="M190" s="336"/>
      <c r="N190" s="32"/>
      <c r="O190" s="33"/>
      <c r="P190" s="33"/>
      <c r="Q190" s="31"/>
      <c r="R190" s="31"/>
      <c r="S190" s="47">
        <f>300*E190</f>
        <v>300</v>
      </c>
      <c r="T190" s="47"/>
      <c r="U190" s="48"/>
      <c r="V190" s="49"/>
      <c r="W190" s="49"/>
      <c r="X190" s="49"/>
      <c r="Y190" s="49"/>
      <c r="Z190" s="49"/>
      <c r="AA190" s="49"/>
      <c r="AB190" s="49"/>
      <c r="AC190" s="49"/>
      <c r="AD190" s="49"/>
      <c r="AE190" s="49"/>
      <c r="AF190" s="49"/>
      <c r="AG190" s="49"/>
      <c r="AH190" s="49"/>
      <c r="AI190" s="49"/>
      <c r="AJ190" s="49"/>
      <c r="AK190" s="63"/>
      <c r="AL190" s="49"/>
      <c r="AM190" s="49"/>
      <c r="AN190" s="49"/>
      <c r="AO190" s="49"/>
      <c r="AP190" s="49"/>
      <c r="AQ190" s="49"/>
      <c r="AR190" s="49"/>
      <c r="AS190" s="49"/>
      <c r="AT190" s="49"/>
      <c r="AU190" s="49"/>
      <c r="AV190" s="49"/>
      <c r="AW190" s="49"/>
      <c r="AX190" s="49"/>
      <c r="AY190" s="49"/>
      <c r="AZ190" s="49"/>
      <c r="BA190" s="33">
        <f t="shared" si="2"/>
        <v>600</v>
      </c>
      <c r="BB190" s="43"/>
    </row>
    <row r="191" spans="1:54" ht="63.75" customHeight="1" x14ac:dyDescent="0.35">
      <c r="A191" s="26">
        <v>174</v>
      </c>
      <c r="B191" s="43" t="s">
        <v>2433</v>
      </c>
      <c r="C191" s="53"/>
      <c r="D191" s="300" t="s">
        <v>2639</v>
      </c>
      <c r="E191" s="95">
        <v>1</v>
      </c>
      <c r="F191" s="44" t="s">
        <v>100</v>
      </c>
      <c r="G191" s="112"/>
      <c r="H191" s="31"/>
      <c r="I191" s="45"/>
      <c r="J191" s="32">
        <f>MARZO!BA191</f>
        <v>0</v>
      </c>
      <c r="K191" s="32">
        <f>ABRIL!AZ199</f>
        <v>0</v>
      </c>
      <c r="L191" s="32"/>
      <c r="M191" s="336"/>
      <c r="N191" s="32"/>
      <c r="O191" s="33"/>
      <c r="P191" s="33"/>
      <c r="Q191" s="31"/>
      <c r="R191" s="31"/>
      <c r="S191" s="47">
        <f>300</f>
        <v>300</v>
      </c>
      <c r="T191" s="47"/>
      <c r="U191" s="48"/>
      <c r="V191" s="49"/>
      <c r="W191" s="49"/>
      <c r="X191" s="49"/>
      <c r="Y191" s="49"/>
      <c r="Z191" s="49"/>
      <c r="AA191" s="49"/>
      <c r="AB191" s="49"/>
      <c r="AC191" s="49"/>
      <c r="AD191" s="49"/>
      <c r="AE191" s="49"/>
      <c r="AF191" s="49"/>
      <c r="AG191" s="49"/>
      <c r="AH191" s="49"/>
      <c r="AI191" s="49"/>
      <c r="AJ191" s="49"/>
      <c r="AK191" s="63"/>
      <c r="AL191" s="49"/>
      <c r="AM191" s="49"/>
      <c r="AN191" s="49"/>
      <c r="AO191" s="49"/>
      <c r="AP191" s="49"/>
      <c r="AQ191" s="49"/>
      <c r="AR191" s="49"/>
      <c r="AS191" s="49"/>
      <c r="AT191" s="49"/>
      <c r="AU191" s="49"/>
      <c r="AV191" s="49"/>
      <c r="AW191" s="49"/>
      <c r="AX191" s="49"/>
      <c r="AY191" s="49"/>
      <c r="AZ191" s="49"/>
      <c r="BA191" s="33">
        <f t="shared" si="2"/>
        <v>300</v>
      </c>
      <c r="BB191" s="43"/>
    </row>
    <row r="192" spans="1:54" ht="63.75" customHeight="1" x14ac:dyDescent="0.35">
      <c r="A192" s="26">
        <v>175</v>
      </c>
      <c r="B192" s="43" t="s">
        <v>2767</v>
      </c>
      <c r="C192" s="53"/>
      <c r="D192" s="300" t="s">
        <v>2944</v>
      </c>
      <c r="E192" s="95">
        <v>1</v>
      </c>
      <c r="F192" s="44"/>
      <c r="G192" s="112"/>
      <c r="H192" s="31"/>
      <c r="I192" s="45"/>
      <c r="J192" s="32"/>
      <c r="K192" s="33">
        <f>ABRIL!AZ200</f>
        <v>0</v>
      </c>
      <c r="L192" s="32"/>
      <c r="M192" s="336"/>
      <c r="N192" s="32"/>
      <c r="O192" s="33"/>
      <c r="P192" s="33"/>
      <c r="Q192" s="31"/>
      <c r="R192" s="31"/>
      <c r="S192" s="47">
        <f>300*E192</f>
        <v>300</v>
      </c>
      <c r="T192" s="47"/>
      <c r="U192" s="48"/>
      <c r="V192" s="49"/>
      <c r="W192" s="49"/>
      <c r="X192" s="49"/>
      <c r="Y192" s="49"/>
      <c r="Z192" s="49"/>
      <c r="AA192" s="49"/>
      <c r="AB192" s="49"/>
      <c r="AC192" s="49"/>
      <c r="AD192" s="49"/>
      <c r="AE192" s="49"/>
      <c r="AF192" s="49"/>
      <c r="AG192" s="49"/>
      <c r="AH192" s="49"/>
      <c r="AI192" s="49"/>
      <c r="AJ192" s="49"/>
      <c r="AK192" s="63"/>
      <c r="AL192" s="49"/>
      <c r="AM192" s="49"/>
      <c r="AN192" s="49"/>
      <c r="AO192" s="49"/>
      <c r="AP192" s="49"/>
      <c r="AQ192" s="49"/>
      <c r="AR192" s="49"/>
      <c r="AS192" s="49"/>
      <c r="AT192" s="49"/>
      <c r="AU192" s="49"/>
      <c r="AV192" s="49"/>
      <c r="AW192" s="49"/>
      <c r="AX192" s="49"/>
      <c r="AY192" s="49"/>
      <c r="AZ192" s="49"/>
      <c r="BA192" s="33">
        <f t="shared" si="2"/>
        <v>300</v>
      </c>
      <c r="BB192" s="43" t="s">
        <v>2768</v>
      </c>
    </row>
    <row r="193" spans="1:55" s="23" customFormat="1" ht="48.75" customHeight="1" x14ac:dyDescent="0.3">
      <c r="A193" s="26">
        <v>176</v>
      </c>
      <c r="B193" s="58" t="s">
        <v>1265</v>
      </c>
      <c r="C193" s="53"/>
      <c r="D193" s="420" t="s">
        <v>1266</v>
      </c>
      <c r="E193" s="97">
        <v>3</v>
      </c>
      <c r="F193" s="30" t="s">
        <v>30</v>
      </c>
      <c r="G193" s="234">
        <f>[1]DICIEMBRE!$BA$190</f>
        <v>0</v>
      </c>
      <c r="H193" s="31">
        <f>ENERO!BA196</f>
        <v>0</v>
      </c>
      <c r="I193" s="31">
        <f>FEBRERO!AX193</f>
        <v>0</v>
      </c>
      <c r="J193" s="32">
        <f>MARZO!BA192</f>
        <v>0</v>
      </c>
      <c r="K193" s="33">
        <f>ABRIL!AZ201</f>
        <v>0</v>
      </c>
      <c r="L193" s="336"/>
      <c r="M193" s="32"/>
      <c r="N193" s="336"/>
      <c r="O193" s="32"/>
      <c r="P193" s="33"/>
      <c r="Q193" s="31"/>
      <c r="R193" s="31"/>
      <c r="S193" s="59">
        <f>300*E193</f>
        <v>900</v>
      </c>
      <c r="T193" s="34"/>
      <c r="U193" s="34"/>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3">
        <f t="shared" si="2"/>
        <v>900</v>
      </c>
      <c r="BB193" s="43"/>
    </row>
    <row r="194" spans="1:55" ht="47.25" customHeight="1" x14ac:dyDescent="0.35">
      <c r="A194" s="26">
        <v>177</v>
      </c>
      <c r="B194" s="43" t="s">
        <v>971</v>
      </c>
      <c r="C194" s="53"/>
      <c r="D194" s="300" t="s">
        <v>972</v>
      </c>
      <c r="E194" s="95">
        <v>1</v>
      </c>
      <c r="F194" s="44" t="s">
        <v>30</v>
      </c>
      <c r="G194" s="112">
        <f>[1]DICIEMBRE!$BA$191</f>
        <v>0</v>
      </c>
      <c r="H194" s="45">
        <f>ENERO!BA197</f>
        <v>-250</v>
      </c>
      <c r="I194" s="31">
        <f>FEBRERO!AX194</f>
        <v>0</v>
      </c>
      <c r="J194" s="32">
        <f>MARZO!BA193</f>
        <v>0</v>
      </c>
      <c r="K194" s="32">
        <f>ABRIL!AZ202</f>
        <v>0</v>
      </c>
      <c r="L194" s="32"/>
      <c r="M194" s="32"/>
      <c r="N194" s="336"/>
      <c r="O194" s="32"/>
      <c r="P194" s="31"/>
      <c r="Q194" s="31"/>
      <c r="R194" s="31"/>
      <c r="S194" s="47">
        <f>250*E194</f>
        <v>250</v>
      </c>
      <c r="T194" s="47"/>
      <c r="U194" s="48"/>
      <c r="V194" s="49"/>
      <c r="W194" s="49"/>
      <c r="X194" s="49"/>
      <c r="Y194" s="49"/>
      <c r="Z194" s="49"/>
      <c r="AA194" s="49"/>
      <c r="AB194" s="49"/>
      <c r="AC194" s="49"/>
      <c r="AD194" s="49"/>
      <c r="AE194" s="49"/>
      <c r="AF194" s="49"/>
      <c r="AG194" s="49"/>
      <c r="AH194" s="49"/>
      <c r="AI194" s="49"/>
      <c r="AJ194" s="49"/>
      <c r="AK194" s="63"/>
      <c r="AL194" s="49"/>
      <c r="AM194" s="49"/>
      <c r="AN194" s="49"/>
      <c r="AO194" s="49"/>
      <c r="AP194" s="49"/>
      <c r="AQ194" s="49"/>
      <c r="AR194" s="49"/>
      <c r="AS194" s="49"/>
      <c r="AT194" s="49"/>
      <c r="AU194" s="49"/>
      <c r="AV194" s="49"/>
      <c r="AW194" s="49"/>
      <c r="AX194" s="49"/>
      <c r="AY194" s="49"/>
      <c r="AZ194" s="49"/>
      <c r="BA194" s="33">
        <f t="shared" si="2"/>
        <v>250</v>
      </c>
      <c r="BB194" s="43"/>
    </row>
    <row r="195" spans="1:55" ht="45.75" customHeight="1" x14ac:dyDescent="0.35">
      <c r="A195" s="26">
        <v>178</v>
      </c>
      <c r="B195" s="43" t="s">
        <v>1040</v>
      </c>
      <c r="C195" s="53"/>
      <c r="D195" s="300" t="s">
        <v>1184</v>
      </c>
      <c r="E195" s="95">
        <v>6</v>
      </c>
      <c r="F195" s="44" t="s">
        <v>35</v>
      </c>
      <c r="G195" s="234">
        <f>[1]DICIEMBRE!$BA$192</f>
        <v>-2.2737367544323206E-13</v>
      </c>
      <c r="H195" s="31">
        <f>ENERO!BA198</f>
        <v>1749.9999999999998</v>
      </c>
      <c r="I195" s="31">
        <f>FEBRERO!AX195</f>
        <v>3250</v>
      </c>
      <c r="J195" s="32">
        <f>MARZO!BA194</f>
        <v>2250</v>
      </c>
      <c r="K195" s="33">
        <f>ABRIL!AZ203</f>
        <v>3750</v>
      </c>
      <c r="L195" s="32"/>
      <c r="M195" s="336"/>
      <c r="N195" s="32"/>
      <c r="O195" s="33"/>
      <c r="P195" s="33"/>
      <c r="Q195" s="31"/>
      <c r="R195" s="31"/>
      <c r="S195" s="47">
        <f>250*E195</f>
        <v>1500</v>
      </c>
      <c r="T195" s="47"/>
      <c r="U195" s="48"/>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33">
        <f t="shared" si="2"/>
        <v>5250</v>
      </c>
      <c r="BB195" s="43"/>
    </row>
    <row r="196" spans="1:55" ht="66.75" customHeight="1" x14ac:dyDescent="0.35">
      <c r="A196" s="26">
        <v>179</v>
      </c>
      <c r="B196" s="43" t="s">
        <v>1357</v>
      </c>
      <c r="C196" s="53"/>
      <c r="D196" s="300" t="s">
        <v>1358</v>
      </c>
      <c r="E196" s="95">
        <v>1</v>
      </c>
      <c r="F196" s="44" t="s">
        <v>30</v>
      </c>
      <c r="G196" s="234">
        <f>[1]DICIEMBRE!$BA$194</f>
        <v>0</v>
      </c>
      <c r="H196" s="45">
        <f>ENERO!BA200</f>
        <v>0</v>
      </c>
      <c r="I196" s="45">
        <f>FEBRERO!AX196</f>
        <v>0</v>
      </c>
      <c r="J196" s="32">
        <f>MARZO!BA195</f>
        <v>0</v>
      </c>
      <c r="K196" s="33">
        <f>ABRIL!AZ204</f>
        <v>0</v>
      </c>
      <c r="L196" s="32"/>
      <c r="M196" s="32"/>
      <c r="N196" s="336"/>
      <c r="O196" s="32"/>
      <c r="P196" s="33"/>
      <c r="Q196" s="31"/>
      <c r="R196" s="31"/>
      <c r="S196" s="47">
        <f>280*E196</f>
        <v>280</v>
      </c>
      <c r="T196" s="47"/>
      <c r="U196" s="48"/>
      <c r="V196" s="50"/>
      <c r="W196" s="49"/>
      <c r="X196" s="49"/>
      <c r="Y196" s="49"/>
      <c r="Z196" s="49"/>
      <c r="AA196" s="49"/>
      <c r="AB196" s="49"/>
      <c r="AC196" s="49"/>
      <c r="AD196" s="49"/>
      <c r="AE196" s="49"/>
      <c r="AF196" s="49"/>
      <c r="AG196" s="49"/>
      <c r="AH196" s="50"/>
      <c r="AI196" s="49"/>
      <c r="AJ196" s="49"/>
      <c r="AK196" s="49"/>
      <c r="AL196" s="49"/>
      <c r="AM196" s="49"/>
      <c r="AN196" s="49"/>
      <c r="AO196" s="49"/>
      <c r="AP196" s="49"/>
      <c r="AQ196" s="49"/>
      <c r="AR196" s="49"/>
      <c r="AS196" s="49"/>
      <c r="AT196" s="49"/>
      <c r="AU196" s="49"/>
      <c r="AV196" s="49"/>
      <c r="AW196" s="49"/>
      <c r="AX196" s="49"/>
      <c r="AY196" s="49"/>
      <c r="AZ196" s="49"/>
      <c r="BA196" s="33">
        <f t="shared" si="2"/>
        <v>280</v>
      </c>
      <c r="BB196" s="43"/>
    </row>
    <row r="197" spans="1:55" ht="66.75" customHeight="1" x14ac:dyDescent="0.35">
      <c r="A197" s="26">
        <v>180</v>
      </c>
      <c r="B197" s="43" t="s">
        <v>618</v>
      </c>
      <c r="C197" s="53"/>
      <c r="D197" s="300" t="s">
        <v>1186</v>
      </c>
      <c r="E197" s="95">
        <v>3</v>
      </c>
      <c r="F197" s="44" t="s">
        <v>30</v>
      </c>
      <c r="G197" s="112">
        <f>[1]DICIEMBRE!$BA$195</f>
        <v>0</v>
      </c>
      <c r="H197" s="31">
        <f>ENERO!BA201</f>
        <v>0</v>
      </c>
      <c r="I197" s="31">
        <f>FEBRERO!AX197</f>
        <v>0</v>
      </c>
      <c r="J197" s="32">
        <f>MARZO!BA196</f>
        <v>0</v>
      </c>
      <c r="K197" s="32">
        <f>ABRIL!AZ205</f>
        <v>0</v>
      </c>
      <c r="L197" s="32"/>
      <c r="M197" s="336"/>
      <c r="N197" s="32"/>
      <c r="O197" s="33"/>
      <c r="P197" s="33"/>
      <c r="Q197" s="31"/>
      <c r="R197" s="31"/>
      <c r="S197" s="47">
        <f>300*E197</f>
        <v>900</v>
      </c>
      <c r="T197" s="47"/>
      <c r="U197" s="48"/>
      <c r="V197" s="50"/>
      <c r="W197" s="49"/>
      <c r="X197" s="49"/>
      <c r="Y197" s="49"/>
      <c r="Z197" s="49"/>
      <c r="AA197" s="49"/>
      <c r="AB197" s="49"/>
      <c r="AC197" s="49"/>
      <c r="AD197" s="49"/>
      <c r="AE197" s="49"/>
      <c r="AF197" s="49"/>
      <c r="AG197" s="49"/>
      <c r="AH197" s="50"/>
      <c r="AI197" s="49"/>
      <c r="AJ197" s="49"/>
      <c r="AK197" s="49"/>
      <c r="AL197" s="49"/>
      <c r="AM197" s="49"/>
      <c r="AN197" s="49"/>
      <c r="AO197" s="49"/>
      <c r="AP197" s="49"/>
      <c r="AQ197" s="49"/>
      <c r="AR197" s="49"/>
      <c r="AS197" s="49"/>
      <c r="AT197" s="49"/>
      <c r="AU197" s="49"/>
      <c r="AV197" s="49"/>
      <c r="AW197" s="49"/>
      <c r="AX197" s="49"/>
      <c r="AY197" s="49"/>
      <c r="AZ197" s="49"/>
      <c r="BA197" s="33">
        <f t="shared" si="2"/>
        <v>900</v>
      </c>
      <c r="BB197" s="43"/>
    </row>
    <row r="198" spans="1:55" ht="66.75" customHeight="1" x14ac:dyDescent="0.35">
      <c r="A198" s="26">
        <v>181</v>
      </c>
      <c r="B198" s="43" t="s">
        <v>2902</v>
      </c>
      <c r="C198" s="53"/>
      <c r="D198" s="300" t="s">
        <v>2903</v>
      </c>
      <c r="E198" s="98">
        <v>1</v>
      </c>
      <c r="F198" s="44"/>
      <c r="G198" s="112"/>
      <c r="H198" s="31"/>
      <c r="I198" s="31"/>
      <c r="J198" s="32"/>
      <c r="K198" s="32">
        <f>ABRIL!AZ106</f>
        <v>0</v>
      </c>
      <c r="L198" s="32"/>
      <c r="M198" s="336"/>
      <c r="N198" s="32"/>
      <c r="O198" s="33"/>
      <c r="P198" s="33"/>
      <c r="Q198" s="31"/>
      <c r="R198" s="31"/>
      <c r="S198" s="47"/>
      <c r="T198" s="47"/>
      <c r="U198" s="48"/>
      <c r="V198" s="50"/>
      <c r="W198" s="49"/>
      <c r="X198" s="49"/>
      <c r="Y198" s="49"/>
      <c r="Z198" s="49"/>
      <c r="AA198" s="49"/>
      <c r="AB198" s="49"/>
      <c r="AC198" s="49"/>
      <c r="AD198" s="49"/>
      <c r="AE198" s="49"/>
      <c r="AF198" s="49"/>
      <c r="AG198" s="49"/>
      <c r="AH198" s="50"/>
      <c r="AI198" s="49"/>
      <c r="AJ198" s="49"/>
      <c r="AK198" s="49"/>
      <c r="AL198" s="49"/>
      <c r="AM198" s="49"/>
      <c r="AN198" s="49"/>
      <c r="AO198" s="49"/>
      <c r="AP198" s="49"/>
      <c r="AQ198" s="49"/>
      <c r="AR198" s="49"/>
      <c r="AS198" s="49"/>
      <c r="AT198" s="49"/>
      <c r="AU198" s="49"/>
      <c r="AV198" s="49"/>
      <c r="AW198" s="49"/>
      <c r="AX198" s="49"/>
      <c r="AY198" s="49"/>
      <c r="BA198" s="33">
        <f>SUM(K198+S198+T198-U198-V198-W198-X198-Y198-Z198-AA198-AB198-AC198-AD198-AE198-AF198-AG198-AH198-AI198-AJ198-AK198-AL198-AM198-AN198-AO198-AP198-AQ198-AR198-AS198-AT198-AU198-AV198-AW198-AX198-AY198-AZ198)</f>
        <v>0</v>
      </c>
      <c r="BB198" s="43" t="s">
        <v>2904</v>
      </c>
    </row>
    <row r="199" spans="1:55" ht="64.5" customHeight="1" x14ac:dyDescent="0.35">
      <c r="A199" s="26">
        <v>182</v>
      </c>
      <c r="B199" s="43" t="s">
        <v>131</v>
      </c>
      <c r="C199" s="28" t="s">
        <v>132</v>
      </c>
      <c r="D199" s="300" t="s">
        <v>1187</v>
      </c>
      <c r="E199" s="98">
        <v>160</v>
      </c>
      <c r="F199" s="44" t="s">
        <v>30</v>
      </c>
      <c r="G199" s="234">
        <f>[1]DICIEMBRE!$BA$196</f>
        <v>-900</v>
      </c>
      <c r="H199" s="31">
        <f>ENERO!BA202</f>
        <v>-30</v>
      </c>
      <c r="I199" s="31">
        <f>FEBRERO!AX198</f>
        <v>-960</v>
      </c>
      <c r="J199" s="32">
        <f>MARZO!BA197</f>
        <v>370</v>
      </c>
      <c r="K199" s="33">
        <f>ABRIL!AZ206</f>
        <v>-430</v>
      </c>
      <c r="L199" s="32"/>
      <c r="M199" s="32"/>
      <c r="N199" s="336"/>
      <c r="O199" s="32"/>
      <c r="P199" s="31"/>
      <c r="Q199" s="31"/>
      <c r="R199" s="31"/>
      <c r="S199" s="49">
        <f>E199*120</f>
        <v>19200</v>
      </c>
      <c r="T199" s="47"/>
      <c r="U199" s="77"/>
      <c r="V199" s="49"/>
      <c r="W199" s="49"/>
      <c r="X199" s="49"/>
      <c r="Y199" s="49"/>
      <c r="Z199" s="49"/>
      <c r="AA199" s="49"/>
      <c r="AB199" s="49"/>
      <c r="AC199" s="49"/>
      <c r="AD199" s="49"/>
      <c r="AE199" s="49"/>
      <c r="AF199" s="49"/>
      <c r="AG199" s="49"/>
      <c r="AH199" s="49"/>
      <c r="AI199" s="49"/>
      <c r="AJ199" s="49"/>
      <c r="AK199" s="63"/>
      <c r="AL199" s="49"/>
      <c r="AM199" s="49"/>
      <c r="AN199" s="49"/>
      <c r="AO199" s="49"/>
      <c r="AP199" s="49"/>
      <c r="AQ199" s="49"/>
      <c r="AR199" s="49"/>
      <c r="AS199" s="49"/>
      <c r="AT199" s="49"/>
      <c r="AU199" s="49"/>
      <c r="AV199" s="49"/>
      <c r="AW199" s="49"/>
      <c r="AX199" s="49"/>
      <c r="AY199" s="49"/>
      <c r="AZ199" s="49"/>
      <c r="BA199" s="33">
        <f t="shared" si="2"/>
        <v>18770</v>
      </c>
      <c r="BB199" s="43"/>
    </row>
    <row r="200" spans="1:55" ht="46.5" customHeight="1" x14ac:dyDescent="0.35">
      <c r="A200" s="26">
        <v>183</v>
      </c>
      <c r="B200" s="27" t="s">
        <v>802</v>
      </c>
      <c r="C200" s="79" t="s">
        <v>134</v>
      </c>
      <c r="D200" s="300" t="s">
        <v>1188</v>
      </c>
      <c r="E200" s="98">
        <v>84</v>
      </c>
      <c r="F200" s="64" t="s">
        <v>30</v>
      </c>
      <c r="G200" s="112">
        <f>[1]DICIEMBRE!$BA$197</f>
        <v>0</v>
      </c>
      <c r="H200" s="45">
        <f>ENERO!BA203</f>
        <v>0</v>
      </c>
      <c r="I200" s="31">
        <f>FEBRERO!AX199</f>
        <v>0</v>
      </c>
      <c r="J200" s="32">
        <f>MARZO!BA198</f>
        <v>0</v>
      </c>
      <c r="K200" s="33">
        <f>ABRIL!AZ207</f>
        <v>-1000</v>
      </c>
      <c r="L200" s="32"/>
      <c r="M200" s="336"/>
      <c r="N200" s="32"/>
      <c r="O200" s="32"/>
      <c r="P200" s="33"/>
      <c r="Q200" s="31"/>
      <c r="R200" s="31"/>
      <c r="S200" s="49">
        <f>120*E200</f>
        <v>10080</v>
      </c>
      <c r="T200" s="47"/>
      <c r="U200" s="48"/>
      <c r="V200" s="49"/>
      <c r="W200" s="49"/>
      <c r="X200" s="49"/>
      <c r="Y200" s="49"/>
      <c r="Z200" s="49"/>
      <c r="AA200" s="49"/>
      <c r="AB200" s="49"/>
      <c r="AC200" s="49"/>
      <c r="AD200" s="49"/>
      <c r="AE200" s="49"/>
      <c r="AF200" s="49"/>
      <c r="AG200" s="49"/>
      <c r="AH200" s="49"/>
      <c r="AI200" s="49"/>
      <c r="AJ200" s="49"/>
      <c r="AK200" s="49"/>
      <c r="AL200" s="49"/>
      <c r="AM200" s="50"/>
      <c r="AN200" s="49"/>
      <c r="AO200" s="49"/>
      <c r="AP200" s="49"/>
      <c r="AQ200" s="49"/>
      <c r="AR200" s="49"/>
      <c r="AS200" s="49"/>
      <c r="AT200" s="49"/>
      <c r="AU200" s="49"/>
      <c r="AV200" s="49"/>
      <c r="AW200" s="49"/>
      <c r="AX200" s="49"/>
      <c r="AY200" s="49"/>
      <c r="AZ200" s="49"/>
      <c r="BA200" s="33">
        <f t="shared" si="2"/>
        <v>9080</v>
      </c>
      <c r="BB200" s="269"/>
    </row>
    <row r="201" spans="1:55" ht="64.5" customHeight="1" x14ac:dyDescent="0.35">
      <c r="A201" s="26">
        <v>184</v>
      </c>
      <c r="B201" s="43" t="s">
        <v>2854</v>
      </c>
      <c r="C201" s="409"/>
      <c r="D201" s="300" t="s">
        <v>3045</v>
      </c>
      <c r="E201" s="98">
        <v>1</v>
      </c>
      <c r="F201" s="64" t="s">
        <v>30</v>
      </c>
      <c r="G201" s="112"/>
      <c r="H201" s="45"/>
      <c r="I201" s="31"/>
      <c r="J201" s="32"/>
      <c r="K201" s="32">
        <f>ABRIL!AZ208</f>
        <v>0</v>
      </c>
      <c r="L201" s="32"/>
      <c r="M201" s="336"/>
      <c r="N201" s="32"/>
      <c r="O201" s="32"/>
      <c r="P201" s="33"/>
      <c r="Q201" s="31"/>
      <c r="R201" s="31"/>
      <c r="S201" s="49">
        <f>300*E201</f>
        <v>300</v>
      </c>
      <c r="T201" s="47"/>
      <c r="U201" s="48"/>
      <c r="V201" s="49"/>
      <c r="W201" s="49"/>
      <c r="X201" s="49"/>
      <c r="Y201" s="49"/>
      <c r="Z201" s="49"/>
      <c r="AA201" s="49"/>
      <c r="AB201" s="49"/>
      <c r="AC201" s="49"/>
      <c r="AD201" s="49"/>
      <c r="AE201" s="49"/>
      <c r="AF201" s="49"/>
      <c r="AG201" s="49"/>
      <c r="AH201" s="49"/>
      <c r="AI201" s="49"/>
      <c r="AJ201" s="49"/>
      <c r="AK201" s="49"/>
      <c r="AL201" s="49"/>
      <c r="AM201" s="50"/>
      <c r="AN201" s="49"/>
      <c r="AO201" s="49"/>
      <c r="AP201" s="49"/>
      <c r="AQ201" s="49"/>
      <c r="AR201" s="49"/>
      <c r="AS201" s="49"/>
      <c r="AT201" s="49"/>
      <c r="AU201" s="49"/>
      <c r="AV201" s="49"/>
      <c r="AW201" s="49"/>
      <c r="AX201" s="49"/>
      <c r="AY201" s="49"/>
      <c r="AZ201" s="49"/>
      <c r="BA201" s="33">
        <f t="shared" si="2"/>
        <v>300</v>
      </c>
      <c r="BB201" s="269"/>
    </row>
    <row r="202" spans="1:55" ht="51" customHeight="1" x14ac:dyDescent="0.35">
      <c r="A202" s="26">
        <v>185</v>
      </c>
      <c r="B202" s="43" t="s">
        <v>2252</v>
      </c>
      <c r="C202" s="28"/>
      <c r="D202" s="300" t="s">
        <v>2249</v>
      </c>
      <c r="E202" s="98">
        <v>1</v>
      </c>
      <c r="F202" s="44" t="s">
        <v>30</v>
      </c>
      <c r="G202" s="234"/>
      <c r="H202" s="31"/>
      <c r="I202" s="45">
        <f>FEBRERO!AX200</f>
        <v>0</v>
      </c>
      <c r="J202" s="32">
        <f>MARZO!BA199</f>
        <v>0</v>
      </c>
      <c r="K202" s="33">
        <f>ABRIL!AZ209</f>
        <v>0</v>
      </c>
      <c r="L202" s="32"/>
      <c r="M202" s="336"/>
      <c r="N202" s="32"/>
      <c r="O202" s="32"/>
      <c r="P202" s="31"/>
      <c r="Q202" s="31"/>
      <c r="R202" s="31"/>
      <c r="S202" s="47">
        <f>300*E202</f>
        <v>300</v>
      </c>
      <c r="T202" s="47"/>
      <c r="U202" s="48"/>
      <c r="V202" s="49"/>
      <c r="W202" s="51"/>
      <c r="X202" s="49"/>
      <c r="Y202" s="50"/>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33">
        <f t="shared" si="2"/>
        <v>300</v>
      </c>
      <c r="BB202" s="43"/>
      <c r="BC202" s="76"/>
    </row>
    <row r="203" spans="1:55" ht="51" customHeight="1" x14ac:dyDescent="0.35">
      <c r="A203" s="26">
        <v>186</v>
      </c>
      <c r="B203" s="43" t="s">
        <v>2934</v>
      </c>
      <c r="C203" s="28"/>
      <c r="D203" s="300" t="s">
        <v>2935</v>
      </c>
      <c r="E203" s="98">
        <v>1</v>
      </c>
      <c r="F203" s="44" t="s">
        <v>30</v>
      </c>
      <c r="G203" s="234"/>
      <c r="H203" s="31"/>
      <c r="I203" s="45"/>
      <c r="J203" s="32"/>
      <c r="K203" s="33">
        <f>ABRIL!AZ210</f>
        <v>0</v>
      </c>
      <c r="L203" s="32"/>
      <c r="M203" s="336"/>
      <c r="N203" s="32"/>
      <c r="O203" s="32"/>
      <c r="P203" s="31"/>
      <c r="Q203" s="31"/>
      <c r="R203" s="31"/>
      <c r="S203" s="47">
        <f>300*E203</f>
        <v>300</v>
      </c>
      <c r="T203" s="47"/>
      <c r="U203" s="48"/>
      <c r="V203" s="49"/>
      <c r="W203" s="51"/>
      <c r="X203" s="49"/>
      <c r="Y203" s="50"/>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33">
        <f t="shared" si="2"/>
        <v>300</v>
      </c>
      <c r="BB203" s="43" t="s">
        <v>2936</v>
      </c>
      <c r="BC203" s="76"/>
    </row>
    <row r="204" spans="1:55" ht="30" customHeight="1" x14ac:dyDescent="0.35">
      <c r="A204" s="26">
        <v>187</v>
      </c>
      <c r="B204" s="27" t="s">
        <v>135</v>
      </c>
      <c r="C204" s="28" t="s">
        <v>136</v>
      </c>
      <c r="D204" s="300" t="s">
        <v>1189</v>
      </c>
      <c r="E204" s="98">
        <v>21</v>
      </c>
      <c r="F204" s="44" t="s">
        <v>30</v>
      </c>
      <c r="G204" s="234">
        <f>[1]DICIEMBRE!$BA$198</f>
        <v>600</v>
      </c>
      <c r="H204" s="31">
        <f>ENERO!BA204</f>
        <v>2000</v>
      </c>
      <c r="I204" s="31">
        <f>FEBRERO!AX201</f>
        <v>2800</v>
      </c>
      <c r="J204" s="32">
        <f>MARZO!BA200</f>
        <v>4700</v>
      </c>
      <c r="K204" s="33">
        <f>ABRIL!AZ211</f>
        <v>0</v>
      </c>
      <c r="L204" s="32"/>
      <c r="M204" s="336"/>
      <c r="N204" s="32"/>
      <c r="O204" s="32"/>
      <c r="P204" s="31"/>
      <c r="Q204" s="31"/>
      <c r="R204" s="31"/>
      <c r="S204" s="47">
        <f>100*E204</f>
        <v>2100</v>
      </c>
      <c r="T204" s="47"/>
      <c r="U204" s="48"/>
      <c r="V204" s="49"/>
      <c r="W204" s="51"/>
      <c r="X204" s="49"/>
      <c r="Y204" s="50"/>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33">
        <f t="shared" si="2"/>
        <v>2100</v>
      </c>
      <c r="BB204" s="43"/>
      <c r="BC204" s="76"/>
    </row>
    <row r="205" spans="1:55" ht="37.5" customHeight="1" x14ac:dyDescent="0.35">
      <c r="A205" s="26">
        <v>188</v>
      </c>
      <c r="B205" s="27" t="s">
        <v>137</v>
      </c>
      <c r="C205" s="28" t="s">
        <v>138</v>
      </c>
      <c r="D205" s="300" t="s">
        <v>1190</v>
      </c>
      <c r="E205" s="98">
        <v>2</v>
      </c>
      <c r="F205" s="44" t="s">
        <v>30</v>
      </c>
      <c r="G205" s="112">
        <f>[1]DICIEMBRE!$BA$199</f>
        <v>0</v>
      </c>
      <c r="H205" s="31">
        <f>ENERO!BA205</f>
        <v>0</v>
      </c>
      <c r="I205" s="31">
        <f>FEBRERO!AX202</f>
        <v>0</v>
      </c>
      <c r="J205" s="32">
        <f>MARZO!BA201</f>
        <v>-500</v>
      </c>
      <c r="K205" s="32">
        <f>ABRIL!AZ212</f>
        <v>0</v>
      </c>
      <c r="L205" s="32"/>
      <c r="M205" s="32"/>
      <c r="N205" s="336"/>
      <c r="O205" s="33"/>
      <c r="P205" s="33"/>
      <c r="Q205" s="31"/>
      <c r="R205" s="31"/>
      <c r="S205" s="47">
        <v>500</v>
      </c>
      <c r="T205" s="47"/>
      <c r="U205" s="48"/>
      <c r="V205" s="49"/>
      <c r="W205" s="49"/>
      <c r="X205" s="49"/>
      <c r="Y205" s="49"/>
      <c r="Z205" s="49"/>
      <c r="AA205" s="49"/>
      <c r="AB205" s="49"/>
      <c r="AC205" s="49"/>
      <c r="AD205" s="50"/>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33">
        <f t="shared" si="2"/>
        <v>500</v>
      </c>
      <c r="BB205" s="43"/>
    </row>
    <row r="206" spans="1:55" ht="78.75" customHeight="1" x14ac:dyDescent="0.35">
      <c r="A206" s="26">
        <v>189</v>
      </c>
      <c r="B206" s="43" t="s">
        <v>76</v>
      </c>
      <c r="C206" s="53" t="s">
        <v>77</v>
      </c>
      <c r="D206" s="300" t="s">
        <v>3037</v>
      </c>
      <c r="E206" s="98">
        <v>8</v>
      </c>
      <c r="F206" s="60" t="s">
        <v>35</v>
      </c>
      <c r="G206" s="234">
        <f>[1]DICIEMBRE!$BA$200</f>
        <v>-0.1000000000003638</v>
      </c>
      <c r="H206" s="45">
        <f>ENERO!BA206</f>
        <v>-0.1000000000003638</v>
      </c>
      <c r="I206" s="31">
        <f>FEBRERO!AX203</f>
        <v>0</v>
      </c>
      <c r="J206" s="32">
        <f>MARZO!BA202</f>
        <v>0</v>
      </c>
      <c r="K206" s="33">
        <f>ABRIL!AZ213</f>
        <v>0</v>
      </c>
      <c r="L206" s="32"/>
      <c r="M206" s="32"/>
      <c r="N206" s="32"/>
      <c r="O206" s="32"/>
      <c r="P206" s="31"/>
      <c r="Q206" s="31"/>
      <c r="R206" s="31"/>
      <c r="S206" s="66">
        <f>250*E206</f>
        <v>2000</v>
      </c>
      <c r="T206" s="66"/>
      <c r="U206" s="67"/>
      <c r="V206" s="68"/>
      <c r="W206" s="68"/>
      <c r="X206" s="68"/>
      <c r="Y206" s="68"/>
      <c r="Z206" s="68"/>
      <c r="AA206" s="68"/>
      <c r="AB206" s="68"/>
      <c r="AC206" s="68"/>
      <c r="AD206" s="68"/>
      <c r="AE206" s="63"/>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33">
        <f t="shared" si="2"/>
        <v>2000</v>
      </c>
      <c r="BB206" s="268"/>
    </row>
    <row r="207" spans="1:55" ht="39.75" customHeight="1" x14ac:dyDescent="0.35">
      <c r="A207" s="26">
        <v>190</v>
      </c>
      <c r="B207" s="43" t="s">
        <v>140</v>
      </c>
      <c r="C207" s="53" t="s">
        <v>141</v>
      </c>
      <c r="D207" s="300" t="s">
        <v>1192</v>
      </c>
      <c r="E207" s="98">
        <v>1</v>
      </c>
      <c r="F207" s="44" t="s">
        <v>35</v>
      </c>
      <c r="G207" s="112">
        <f>[1]DICIEMBRE!$BA$201</f>
        <v>0</v>
      </c>
      <c r="H207" s="31">
        <f>ENERO!BA207</f>
        <v>250</v>
      </c>
      <c r="I207" s="45">
        <f>FEBRERO!AX204</f>
        <v>500</v>
      </c>
      <c r="J207" s="32">
        <f>MARZO!BA203</f>
        <v>750</v>
      </c>
      <c r="K207" s="33">
        <f>ABRIL!AZ214</f>
        <v>1000</v>
      </c>
      <c r="L207" s="336"/>
      <c r="M207" s="32"/>
      <c r="N207" s="336"/>
      <c r="O207" s="33"/>
      <c r="P207" s="31"/>
      <c r="Q207" s="31"/>
      <c r="R207" s="31"/>
      <c r="S207" s="66">
        <v>250</v>
      </c>
      <c r="T207" s="66"/>
      <c r="U207" s="67"/>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33">
        <f t="shared" si="2"/>
        <v>1250</v>
      </c>
      <c r="BB207" s="43"/>
    </row>
    <row r="208" spans="1:55" ht="54.75" customHeight="1" x14ac:dyDescent="0.35">
      <c r="A208" s="26">
        <v>191</v>
      </c>
      <c r="B208" s="43" t="s">
        <v>2242</v>
      </c>
      <c r="C208" s="53"/>
      <c r="D208" s="300" t="s">
        <v>2243</v>
      </c>
      <c r="E208" s="98">
        <v>3</v>
      </c>
      <c r="F208" s="44" t="s">
        <v>35</v>
      </c>
      <c r="G208" s="112"/>
      <c r="H208" s="31"/>
      <c r="I208" s="31">
        <f>FEBRERO!AX205</f>
        <v>0</v>
      </c>
      <c r="J208" s="32">
        <f>MARZO!BA204</f>
        <v>0</v>
      </c>
      <c r="K208" s="32">
        <f>ABRIL!AZ215</f>
        <v>0</v>
      </c>
      <c r="L208" s="336"/>
      <c r="M208" s="32"/>
      <c r="N208" s="336"/>
      <c r="O208" s="33"/>
      <c r="P208" s="31"/>
      <c r="Q208" s="31"/>
      <c r="R208" s="31"/>
      <c r="S208" s="66">
        <f>350*E208+650</f>
        <v>1700</v>
      </c>
      <c r="T208" s="66"/>
      <c r="U208" s="67"/>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33">
        <f t="shared" si="2"/>
        <v>1700</v>
      </c>
      <c r="BB208" s="43"/>
    </row>
    <row r="209" spans="1:54" ht="54.75" customHeight="1" x14ac:dyDescent="0.35">
      <c r="A209" s="26">
        <v>192</v>
      </c>
      <c r="B209" s="43" t="s">
        <v>2256</v>
      </c>
      <c r="C209" s="53"/>
      <c r="D209" s="300" t="s">
        <v>2260</v>
      </c>
      <c r="E209" s="98">
        <v>1</v>
      </c>
      <c r="F209" s="44" t="s">
        <v>30</v>
      </c>
      <c r="G209" s="112"/>
      <c r="H209" s="31"/>
      <c r="I209" s="31">
        <f>FEBRERO!AX206</f>
        <v>0</v>
      </c>
      <c r="J209" s="32">
        <f>MARZO!BA205</f>
        <v>0</v>
      </c>
      <c r="K209" s="33">
        <f>ABRIL!AZ216</f>
        <v>299</v>
      </c>
      <c r="L209" s="336"/>
      <c r="M209" s="32"/>
      <c r="N209" s="336"/>
      <c r="O209" s="33"/>
      <c r="P209" s="31"/>
      <c r="Q209" s="31"/>
      <c r="R209" s="31"/>
      <c r="S209" s="66">
        <f>299*E209</f>
        <v>299</v>
      </c>
      <c r="T209" s="66"/>
      <c r="U209" s="67"/>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33">
        <f t="shared" ref="BA209:BA224" si="3">SUM(K209+S209+T209-U209-V209-W209-X209-Y209-Z209-AA209-AB209-AC209-AD209-AE209-AF209-AG209-AH209-AI209-AJ209-AK209-AL209-AM209-AN209-AO209-AP209-AQ209-AR209-AS209-AT209-AU209-AV209-AW209-AX209-AY209-AZ209)</f>
        <v>598</v>
      </c>
      <c r="BB209" s="43"/>
    </row>
    <row r="210" spans="1:54" ht="54.75" customHeight="1" x14ac:dyDescent="0.35">
      <c r="A210" s="26">
        <v>193</v>
      </c>
      <c r="B210" s="43" t="s">
        <v>3048</v>
      </c>
      <c r="C210" s="53"/>
      <c r="D210" s="300" t="s">
        <v>3049</v>
      </c>
      <c r="E210" s="98">
        <v>1</v>
      </c>
      <c r="F210" s="44" t="s">
        <v>30</v>
      </c>
      <c r="G210" s="112"/>
      <c r="H210" s="31"/>
      <c r="I210" s="31"/>
      <c r="J210" s="32"/>
      <c r="K210" s="33"/>
      <c r="L210" s="336"/>
      <c r="M210" s="32"/>
      <c r="N210" s="336"/>
      <c r="O210" s="33"/>
      <c r="P210" s="31"/>
      <c r="Q210" s="31"/>
      <c r="R210" s="31"/>
      <c r="S210" s="66">
        <f>250</f>
        <v>250</v>
      </c>
      <c r="T210" s="66"/>
      <c r="U210" s="67"/>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33">
        <f t="shared" si="3"/>
        <v>250</v>
      </c>
      <c r="BB210" s="43" t="s">
        <v>3050</v>
      </c>
    </row>
    <row r="211" spans="1:54" ht="54.75" customHeight="1" x14ac:dyDescent="0.35">
      <c r="A211" s="26">
        <v>194</v>
      </c>
      <c r="B211" s="256" t="s">
        <v>2853</v>
      </c>
      <c r="C211" s="53"/>
      <c r="D211" s="300" t="s">
        <v>2837</v>
      </c>
      <c r="E211" s="98">
        <v>1</v>
      </c>
      <c r="F211" s="64" t="s">
        <v>30</v>
      </c>
      <c r="G211" s="112"/>
      <c r="H211" s="45"/>
      <c r="I211" s="31"/>
      <c r="J211" s="32"/>
      <c r="K211" s="33">
        <f>ABRIL!AZ232</f>
        <v>0</v>
      </c>
      <c r="L211" s="32"/>
      <c r="M211" s="32"/>
      <c r="N211" s="336"/>
      <c r="O211" s="32"/>
      <c r="P211" s="33"/>
      <c r="Q211" s="31"/>
      <c r="R211" s="31"/>
      <c r="S211" s="47">
        <f>300*E211</f>
        <v>300</v>
      </c>
      <c r="T211" s="61"/>
      <c r="U211" s="72"/>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33">
        <f t="shared" si="3"/>
        <v>300</v>
      </c>
      <c r="BB211" s="43"/>
    </row>
    <row r="212" spans="1:54" ht="54.75" customHeight="1" x14ac:dyDescent="0.35">
      <c r="A212" s="26">
        <v>195</v>
      </c>
      <c r="B212" s="43" t="s">
        <v>2298</v>
      </c>
      <c r="C212" s="53"/>
      <c r="D212" s="300" t="s">
        <v>2302</v>
      </c>
      <c r="E212" s="98">
        <v>1</v>
      </c>
      <c r="F212" s="44"/>
      <c r="G212" s="112"/>
      <c r="H212" s="31"/>
      <c r="I212" s="45">
        <f>FEBRERO!AX207</f>
        <v>0</v>
      </c>
      <c r="J212" s="32">
        <f>MARZO!BA206</f>
        <v>0</v>
      </c>
      <c r="K212" s="33">
        <f>ABRIL!AZ218</f>
        <v>0</v>
      </c>
      <c r="L212" s="336"/>
      <c r="M212" s="32"/>
      <c r="N212" s="336"/>
      <c r="O212" s="33"/>
      <c r="P212" s="31"/>
      <c r="Q212" s="31"/>
      <c r="R212" s="31"/>
      <c r="S212" s="66">
        <f>300*E212</f>
        <v>300</v>
      </c>
      <c r="T212" s="66"/>
      <c r="U212" s="67"/>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33">
        <f t="shared" si="3"/>
        <v>300</v>
      </c>
      <c r="BB212" s="43"/>
    </row>
    <row r="213" spans="1:54" ht="54.75" customHeight="1" x14ac:dyDescent="0.35">
      <c r="A213" s="26">
        <v>196</v>
      </c>
      <c r="B213" s="43" t="s">
        <v>2907</v>
      </c>
      <c r="C213" s="53"/>
      <c r="D213" s="300" t="s">
        <v>2909</v>
      </c>
      <c r="E213" s="98">
        <v>1</v>
      </c>
      <c r="F213" s="44" t="s">
        <v>30</v>
      </c>
      <c r="G213" s="112"/>
      <c r="H213" s="31"/>
      <c r="I213" s="45"/>
      <c r="J213" s="32"/>
      <c r="K213" s="33">
        <f>ABRIL!AZ219</f>
        <v>0</v>
      </c>
      <c r="L213" s="336"/>
      <c r="M213" s="32"/>
      <c r="N213" s="336"/>
      <c r="O213" s="33"/>
      <c r="P213" s="31"/>
      <c r="Q213" s="31"/>
      <c r="R213" s="31"/>
      <c r="S213" s="66"/>
      <c r="T213" s="66"/>
      <c r="U213" s="67"/>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BA213" s="33">
        <f t="shared" si="3"/>
        <v>0</v>
      </c>
      <c r="BB213" s="43" t="s">
        <v>2904</v>
      </c>
    </row>
    <row r="214" spans="1:54" ht="62.25" customHeight="1" x14ac:dyDescent="0.35">
      <c r="A214" s="26">
        <v>197</v>
      </c>
      <c r="B214" s="43" t="s">
        <v>2526</v>
      </c>
      <c r="C214" s="53"/>
      <c r="D214" s="300" t="s">
        <v>3038</v>
      </c>
      <c r="E214" s="98">
        <v>2</v>
      </c>
      <c r="F214" s="44" t="s">
        <v>30</v>
      </c>
      <c r="G214" s="112"/>
      <c r="H214" s="31"/>
      <c r="I214" s="45"/>
      <c r="J214" s="32">
        <f>MARZO!BA207</f>
        <v>0</v>
      </c>
      <c r="K214" s="32">
        <f>ABRIL!AZ220</f>
        <v>0</v>
      </c>
      <c r="L214" s="336"/>
      <c r="M214" s="32"/>
      <c r="N214" s="336"/>
      <c r="O214" s="33"/>
      <c r="P214" s="31"/>
      <c r="Q214" s="31"/>
      <c r="R214" s="31"/>
      <c r="S214" s="66">
        <f>300*E214</f>
        <v>600</v>
      </c>
      <c r="T214" s="66"/>
      <c r="U214" s="67"/>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33">
        <f t="shared" si="3"/>
        <v>600</v>
      </c>
      <c r="BB214" s="43" t="s">
        <v>2638</v>
      </c>
    </row>
    <row r="215" spans="1:54" ht="62.25" customHeight="1" x14ac:dyDescent="0.35">
      <c r="A215" s="26">
        <v>198</v>
      </c>
      <c r="B215" s="43" t="s">
        <v>3054</v>
      </c>
      <c r="C215" s="53"/>
      <c r="D215" s="300" t="s">
        <v>3057</v>
      </c>
      <c r="E215" s="99">
        <v>1</v>
      </c>
      <c r="F215" s="44" t="s">
        <v>30</v>
      </c>
      <c r="G215" s="112"/>
      <c r="H215" s="31"/>
      <c r="I215" s="45"/>
      <c r="J215" s="32"/>
      <c r="K215" s="32"/>
      <c r="L215" s="336"/>
      <c r="M215" s="32"/>
      <c r="N215" s="336"/>
      <c r="O215" s="33"/>
      <c r="P215" s="31"/>
      <c r="Q215" s="31"/>
      <c r="R215" s="31"/>
      <c r="S215" s="66">
        <v>300</v>
      </c>
      <c r="T215" s="66"/>
      <c r="U215" s="67"/>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33">
        <f t="shared" si="3"/>
        <v>300</v>
      </c>
      <c r="BB215" s="43" t="s">
        <v>3055</v>
      </c>
    </row>
    <row r="216" spans="1:54" ht="57.75" customHeight="1" x14ac:dyDescent="0.35">
      <c r="A216" s="26">
        <v>199</v>
      </c>
      <c r="B216" s="27" t="s">
        <v>142</v>
      </c>
      <c r="C216" s="28" t="s">
        <v>143</v>
      </c>
      <c r="D216" s="417" t="s">
        <v>2943</v>
      </c>
      <c r="E216" s="99">
        <v>4</v>
      </c>
      <c r="F216" s="44" t="s">
        <v>35</v>
      </c>
      <c r="G216" s="234">
        <f>[1]DICIEMBRE!$BA$202</f>
        <v>-0.73000000000047294</v>
      </c>
      <c r="H216" s="31">
        <f>ENERO!BA208</f>
        <v>-0.73000000000047294</v>
      </c>
      <c r="I216" s="31">
        <f>FEBRERO!AX208</f>
        <v>-4.5474735088646412E-13</v>
      </c>
      <c r="J216" s="32">
        <f>MARZO!BA208</f>
        <v>-4.5474735088646412E-13</v>
      </c>
      <c r="K216" s="33">
        <f>ABRIL!AZ222</f>
        <v>-4.5474735088646412E-13</v>
      </c>
      <c r="L216" s="32"/>
      <c r="M216" s="32"/>
      <c r="N216" s="32"/>
      <c r="O216" s="32"/>
      <c r="P216" s="33"/>
      <c r="Q216" s="31"/>
      <c r="R216" s="31"/>
      <c r="S216" s="47">
        <f>250*E216</f>
        <v>1000</v>
      </c>
      <c r="T216" s="47"/>
      <c r="U216" s="48"/>
      <c r="V216" s="49"/>
      <c r="W216" s="49"/>
      <c r="X216" s="50"/>
      <c r="Y216" s="49"/>
      <c r="Z216" s="49"/>
      <c r="AA216" s="49"/>
      <c r="AB216" s="50"/>
      <c r="AC216" s="49"/>
      <c r="AD216" s="49"/>
      <c r="AE216" s="49"/>
      <c r="AF216" s="50"/>
      <c r="AG216" s="49"/>
      <c r="AH216" s="49"/>
      <c r="AI216" s="50"/>
      <c r="AJ216" s="49"/>
      <c r="AK216" s="49"/>
      <c r="AL216" s="49"/>
      <c r="AM216" s="50"/>
      <c r="AN216" s="49"/>
      <c r="AO216" s="49"/>
      <c r="AP216" s="50"/>
      <c r="AQ216" s="49"/>
      <c r="AR216" s="49"/>
      <c r="AS216" s="49"/>
      <c r="AT216" s="49"/>
      <c r="AU216" s="49"/>
      <c r="AV216" s="49"/>
      <c r="AW216" s="49"/>
      <c r="AX216" s="49"/>
      <c r="AY216" s="49"/>
      <c r="AZ216" s="49"/>
      <c r="BA216" s="33">
        <f t="shared" si="3"/>
        <v>999.99999999999955</v>
      </c>
      <c r="BB216" s="43"/>
    </row>
    <row r="217" spans="1:54" ht="57.75" customHeight="1" x14ac:dyDescent="0.35">
      <c r="A217" s="26">
        <v>200</v>
      </c>
      <c r="B217" s="43" t="s">
        <v>2942</v>
      </c>
      <c r="C217" s="28"/>
      <c r="D217" s="308" t="s">
        <v>2941</v>
      </c>
      <c r="E217" s="99">
        <v>1</v>
      </c>
      <c r="F217" s="44" t="s">
        <v>30</v>
      </c>
      <c r="G217" s="234"/>
      <c r="H217" s="31"/>
      <c r="I217" s="31"/>
      <c r="J217" s="32"/>
      <c r="K217" s="33"/>
      <c r="L217" s="32"/>
      <c r="M217" s="32"/>
      <c r="N217" s="32"/>
      <c r="O217" s="32"/>
      <c r="P217" s="33"/>
      <c r="Q217" s="31"/>
      <c r="R217" s="31"/>
      <c r="S217" s="47">
        <f>300*E217</f>
        <v>300</v>
      </c>
      <c r="T217" s="47"/>
      <c r="U217" s="48"/>
      <c r="V217" s="49"/>
      <c r="W217" s="49"/>
      <c r="X217" s="50"/>
      <c r="Y217" s="49"/>
      <c r="Z217" s="49"/>
      <c r="AA217" s="49"/>
      <c r="AB217" s="50"/>
      <c r="AC217" s="49"/>
      <c r="AD217" s="49"/>
      <c r="AE217" s="49"/>
      <c r="AF217" s="50"/>
      <c r="AG217" s="49"/>
      <c r="AH217" s="49"/>
      <c r="AI217" s="50"/>
      <c r="AJ217" s="49"/>
      <c r="AK217" s="49"/>
      <c r="AL217" s="49"/>
      <c r="AM217" s="50"/>
      <c r="AN217" s="49"/>
      <c r="AO217" s="49"/>
      <c r="AP217" s="50"/>
      <c r="AQ217" s="49"/>
      <c r="AR217" s="49"/>
      <c r="AS217" s="49"/>
      <c r="AT217" s="49"/>
      <c r="AU217" s="49"/>
      <c r="AV217" s="49"/>
      <c r="AW217" s="49"/>
      <c r="AX217" s="49"/>
      <c r="AY217" s="49"/>
      <c r="AZ217" s="49"/>
      <c r="BA217" s="33">
        <f t="shared" si="3"/>
        <v>300</v>
      </c>
      <c r="BB217" s="43" t="s">
        <v>3055</v>
      </c>
    </row>
    <row r="218" spans="1:54" ht="57.75" customHeight="1" x14ac:dyDescent="0.35">
      <c r="A218" s="26">
        <v>201</v>
      </c>
      <c r="B218" s="43" t="s">
        <v>2575</v>
      </c>
      <c r="C218" s="28"/>
      <c r="D218" s="300" t="s">
        <v>2576</v>
      </c>
      <c r="E218" s="98">
        <v>1</v>
      </c>
      <c r="F218" s="44" t="s">
        <v>30</v>
      </c>
      <c r="G218" s="234"/>
      <c r="H218" s="31"/>
      <c r="I218" s="31"/>
      <c r="J218" s="32">
        <f>MARZO!BA209</f>
        <v>-0.15999999999996817</v>
      </c>
      <c r="K218" s="33">
        <f>ABRIL!AZ223</f>
        <v>2.8421709430404007E-14</v>
      </c>
      <c r="L218" s="32"/>
      <c r="M218" s="32"/>
      <c r="N218" s="32"/>
      <c r="O218" s="32"/>
      <c r="P218" s="33"/>
      <c r="Q218" s="31"/>
      <c r="R218" s="31"/>
      <c r="S218" s="47">
        <f>(300*0.16+300)*E218</f>
        <v>348</v>
      </c>
      <c r="T218" s="47"/>
      <c r="U218" s="48"/>
      <c r="V218" s="49"/>
      <c r="W218" s="49"/>
      <c r="X218" s="50"/>
      <c r="Y218" s="49"/>
      <c r="Z218" s="49"/>
      <c r="AA218" s="49"/>
      <c r="AB218" s="50"/>
      <c r="AC218" s="49"/>
      <c r="AD218" s="49"/>
      <c r="AE218" s="49"/>
      <c r="AF218" s="50"/>
      <c r="AG218" s="49"/>
      <c r="AH218" s="49"/>
      <c r="AI218" s="50"/>
      <c r="AJ218" s="49"/>
      <c r="AK218" s="49"/>
      <c r="AL218" s="49"/>
      <c r="AM218" s="50"/>
      <c r="AN218" s="49"/>
      <c r="AO218" s="49"/>
      <c r="AP218" s="50"/>
      <c r="AQ218" s="49"/>
      <c r="AR218" s="49"/>
      <c r="AS218" s="49"/>
      <c r="AT218" s="49"/>
      <c r="AU218" s="49"/>
      <c r="AV218" s="49"/>
      <c r="AW218" s="49"/>
      <c r="AX218" s="49"/>
      <c r="AY218" s="49"/>
      <c r="AZ218" s="49"/>
      <c r="BA218" s="33">
        <f t="shared" si="3"/>
        <v>348</v>
      </c>
      <c r="BB218" s="43" t="s">
        <v>2633</v>
      </c>
    </row>
    <row r="219" spans="1:54" s="5" customFormat="1" ht="49.5" customHeight="1" x14ac:dyDescent="0.35">
      <c r="A219" s="26">
        <v>202</v>
      </c>
      <c r="B219" s="43" t="s">
        <v>251</v>
      </c>
      <c r="C219" s="53" t="s">
        <v>1264</v>
      </c>
      <c r="D219" s="308" t="s">
        <v>1194</v>
      </c>
      <c r="E219" s="99">
        <v>1</v>
      </c>
      <c r="F219" s="44" t="s">
        <v>30</v>
      </c>
      <c r="G219" s="112">
        <f>[1]DICIEMBRE!$BA$203</f>
        <v>-3.3399999999999181</v>
      </c>
      <c r="H219" s="45">
        <f>ENERO!BA209</f>
        <v>-3.3399999999999181</v>
      </c>
      <c r="I219" s="45">
        <f>FEBRERO!AX209</f>
        <v>5.6843418860808015E-14</v>
      </c>
      <c r="J219" s="32">
        <f>MARZO!BA210</f>
        <v>5.6843418860808015E-14</v>
      </c>
      <c r="K219" s="32">
        <f>ABRIL!AZ224</f>
        <v>5.6843418860808015E-14</v>
      </c>
      <c r="L219" s="32"/>
      <c r="M219" s="336"/>
      <c r="N219" s="32"/>
      <c r="O219" s="32"/>
      <c r="P219" s="31"/>
      <c r="Q219" s="31"/>
      <c r="R219" s="31"/>
      <c r="S219" s="47">
        <f>250*E219</f>
        <v>250</v>
      </c>
      <c r="T219" s="310"/>
      <c r="U219" s="311"/>
      <c r="V219" s="86"/>
      <c r="W219" s="312"/>
      <c r="X219" s="86"/>
      <c r="Y219" s="86"/>
      <c r="Z219" s="86"/>
      <c r="AA219" s="312"/>
      <c r="AB219" s="86"/>
      <c r="AC219" s="86"/>
      <c r="AD219" s="86"/>
      <c r="AE219" s="312"/>
      <c r="AF219" s="86"/>
      <c r="AG219" s="86"/>
      <c r="AH219" s="312"/>
      <c r="AI219" s="313"/>
      <c r="AJ219" s="86"/>
      <c r="AK219" s="86"/>
      <c r="AL219" s="312"/>
      <c r="AM219" s="86"/>
      <c r="AN219" s="86"/>
      <c r="AO219" s="312"/>
      <c r="AP219" s="86"/>
      <c r="AQ219" s="86"/>
      <c r="AR219" s="86"/>
      <c r="AS219" s="86"/>
      <c r="AT219" s="86"/>
      <c r="AU219" s="86"/>
      <c r="AV219" s="86"/>
      <c r="AW219" s="86"/>
      <c r="AX219" s="86"/>
      <c r="AY219" s="86"/>
      <c r="AZ219" s="86"/>
      <c r="BA219" s="33">
        <f t="shared" si="3"/>
        <v>250.00000000000006</v>
      </c>
      <c r="BB219" s="43"/>
    </row>
    <row r="220" spans="1:54" ht="68.25" customHeight="1" x14ac:dyDescent="0.35">
      <c r="A220" s="26">
        <v>203</v>
      </c>
      <c r="B220" s="43" t="s">
        <v>144</v>
      </c>
      <c r="C220" s="43" t="s">
        <v>145</v>
      </c>
      <c r="D220" s="417" t="s">
        <v>1195</v>
      </c>
      <c r="E220" s="98">
        <v>14</v>
      </c>
      <c r="F220" s="44" t="s">
        <v>30</v>
      </c>
      <c r="G220" s="234">
        <f>[1]DICIEMBRE!$BA$204</f>
        <v>0</v>
      </c>
      <c r="H220" s="31">
        <f>ENERO!BA210</f>
        <v>0</v>
      </c>
      <c r="I220" s="31">
        <f>FEBRERO!AX210</f>
        <v>0</v>
      </c>
      <c r="J220" s="32">
        <f>MARZO!BA211</f>
        <v>0</v>
      </c>
      <c r="K220" s="33">
        <f>ABRIL!AZ225</f>
        <v>0</v>
      </c>
      <c r="L220" s="336"/>
      <c r="M220" s="32"/>
      <c r="N220" s="336"/>
      <c r="O220" s="33"/>
      <c r="P220" s="33"/>
      <c r="Q220" s="31"/>
      <c r="R220" s="31"/>
      <c r="S220" s="47">
        <f>300*E220</f>
        <v>4200</v>
      </c>
      <c r="T220" s="47"/>
      <c r="U220" s="48"/>
      <c r="V220" s="49"/>
      <c r="W220" s="49"/>
      <c r="X220" s="49"/>
      <c r="Y220" s="49"/>
      <c r="Z220" s="49"/>
      <c r="AA220" s="49"/>
      <c r="AB220" s="49"/>
      <c r="AC220" s="49"/>
      <c r="AD220" s="49"/>
      <c r="AE220" s="49"/>
      <c r="AF220" s="49"/>
      <c r="AG220" s="49"/>
      <c r="AH220" s="49"/>
      <c r="AI220" s="49"/>
      <c r="AJ220" s="49"/>
      <c r="AK220" s="63"/>
      <c r="AL220" s="49"/>
      <c r="AM220" s="49"/>
      <c r="AN220" s="49"/>
      <c r="AO220" s="49"/>
      <c r="AP220" s="49"/>
      <c r="AQ220" s="49"/>
      <c r="AR220" s="49"/>
      <c r="AS220" s="49"/>
      <c r="AT220" s="49"/>
      <c r="AU220" s="49"/>
      <c r="AV220" s="49"/>
      <c r="AW220" s="49"/>
      <c r="AX220" s="49"/>
      <c r="AY220" s="49"/>
      <c r="AZ220" s="49"/>
      <c r="BA220" s="33">
        <f t="shared" si="3"/>
        <v>4200</v>
      </c>
      <c r="BB220" s="43"/>
    </row>
    <row r="221" spans="1:54" ht="52.5" customHeight="1" x14ac:dyDescent="0.35">
      <c r="A221" s="26">
        <v>204</v>
      </c>
      <c r="B221" s="43" t="s">
        <v>413</v>
      </c>
      <c r="C221" s="43"/>
      <c r="D221" s="308" t="s">
        <v>418</v>
      </c>
      <c r="E221" s="98"/>
      <c r="F221" s="44"/>
      <c r="G221" s="234"/>
      <c r="H221" s="31"/>
      <c r="I221" s="31"/>
      <c r="J221" s="32"/>
      <c r="K221" s="33">
        <f>ABRIL!AZ226</f>
        <v>17954.86</v>
      </c>
      <c r="L221" s="336"/>
      <c r="M221" s="32"/>
      <c r="N221" s="336"/>
      <c r="O221" s="33"/>
      <c r="P221" s="33"/>
      <c r="Q221" s="31"/>
      <c r="R221" s="31"/>
      <c r="S221" s="47"/>
      <c r="T221" s="47"/>
      <c r="U221" s="48"/>
      <c r="V221" s="49"/>
      <c r="W221" s="49"/>
      <c r="X221" s="49"/>
      <c r="Y221" s="49"/>
      <c r="Z221" s="49"/>
      <c r="AA221" s="49"/>
      <c r="AB221" s="49"/>
      <c r="AC221" s="49"/>
      <c r="AD221" s="49"/>
      <c r="AE221" s="49"/>
      <c r="AF221" s="49"/>
      <c r="AG221" s="49"/>
      <c r="AH221" s="49"/>
      <c r="AI221" s="49"/>
      <c r="AJ221" s="49"/>
      <c r="AK221" s="63"/>
      <c r="AL221" s="49"/>
      <c r="AM221" s="49"/>
      <c r="AN221" s="49"/>
      <c r="AO221" s="49"/>
      <c r="AP221" s="49"/>
      <c r="AQ221" s="49"/>
      <c r="AR221" s="49"/>
      <c r="AS221" s="49"/>
      <c r="AT221" s="49"/>
      <c r="AU221" s="49"/>
      <c r="AV221" s="49"/>
      <c r="AW221" s="49"/>
      <c r="AX221" s="49"/>
      <c r="AY221" s="49"/>
      <c r="AZ221" s="49"/>
      <c r="BA221" s="33">
        <f t="shared" si="3"/>
        <v>17954.86</v>
      </c>
      <c r="BB221" s="43" t="s">
        <v>2833</v>
      </c>
    </row>
    <row r="222" spans="1:54" ht="51.75" customHeight="1" x14ac:dyDescent="0.35">
      <c r="A222" s="26">
        <v>205</v>
      </c>
      <c r="B222" s="43" t="s">
        <v>369</v>
      </c>
      <c r="C222" s="43"/>
      <c r="D222" s="300" t="s">
        <v>2439</v>
      </c>
      <c r="E222" s="385"/>
      <c r="F222" s="44"/>
      <c r="G222" s="234"/>
      <c r="H222" s="31"/>
      <c r="I222" s="31"/>
      <c r="J222" s="32">
        <f>MARZO!BA214</f>
        <v>3000</v>
      </c>
      <c r="K222" s="32">
        <f>ABRIL!AZ227</f>
        <v>3000</v>
      </c>
      <c r="L222" s="336"/>
      <c r="M222" s="32"/>
      <c r="N222" s="336"/>
      <c r="O222" s="33"/>
      <c r="P222" s="33"/>
      <c r="Q222" s="31"/>
      <c r="R222" s="31"/>
      <c r="S222" s="47"/>
      <c r="T222" s="47"/>
      <c r="U222" s="48"/>
      <c r="V222" s="49"/>
      <c r="W222" s="49"/>
      <c r="X222" s="49"/>
      <c r="Y222" s="49"/>
      <c r="Z222" s="49"/>
      <c r="AA222" s="49"/>
      <c r="AB222" s="49"/>
      <c r="AC222" s="49"/>
      <c r="AD222" s="49"/>
      <c r="AE222" s="49"/>
      <c r="AF222" s="49"/>
      <c r="AG222" s="49"/>
      <c r="AH222" s="49"/>
      <c r="AI222" s="49"/>
      <c r="AJ222" s="49"/>
      <c r="AK222" s="63"/>
      <c r="AL222" s="49"/>
      <c r="AM222" s="49"/>
      <c r="AN222" s="49"/>
      <c r="AO222" s="49"/>
      <c r="AP222" s="49"/>
      <c r="AQ222" s="49"/>
      <c r="AR222" s="49"/>
      <c r="AS222" s="49"/>
      <c r="AT222" s="49"/>
      <c r="AU222" s="49"/>
      <c r="AV222" s="49"/>
      <c r="AW222" s="49"/>
      <c r="AX222" s="49"/>
      <c r="AY222" s="49"/>
      <c r="AZ222" s="49"/>
      <c r="BA222" s="33">
        <f t="shared" si="3"/>
        <v>3000</v>
      </c>
      <c r="BB222" s="43"/>
    </row>
    <row r="223" spans="1:54" ht="45.75" customHeight="1" x14ac:dyDescent="0.35">
      <c r="A223" s="26">
        <v>206</v>
      </c>
      <c r="B223" s="256" t="s">
        <v>146</v>
      </c>
      <c r="C223" s="53" t="s">
        <v>147</v>
      </c>
      <c r="D223" s="300" t="s">
        <v>1196</v>
      </c>
      <c r="E223" s="98">
        <v>2</v>
      </c>
      <c r="F223" s="64" t="s">
        <v>30</v>
      </c>
      <c r="G223" s="112">
        <f>[1]DICIEMBRE!$BA$209</f>
        <v>0</v>
      </c>
      <c r="H223" s="45">
        <f>ENERO!BA213</f>
        <v>200</v>
      </c>
      <c r="I223" s="31">
        <f>FEBRERO!AX212</f>
        <v>0</v>
      </c>
      <c r="J223" s="32">
        <f>MARZO!BA215</f>
        <v>300</v>
      </c>
      <c r="K223" s="33">
        <f>ABRIL!AZ231</f>
        <v>500</v>
      </c>
      <c r="L223" s="32"/>
      <c r="M223" s="32"/>
      <c r="N223" s="336"/>
      <c r="O223" s="32"/>
      <c r="P223" s="33"/>
      <c r="Q223" s="31"/>
      <c r="R223" s="31"/>
      <c r="S223" s="47">
        <f>100*E223</f>
        <v>200</v>
      </c>
      <c r="T223" s="61"/>
      <c r="U223" s="72"/>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49"/>
      <c r="AU223" s="49"/>
      <c r="AV223" s="49"/>
      <c r="AW223" s="49"/>
      <c r="AX223" s="49"/>
      <c r="AY223" s="49"/>
      <c r="AZ223" s="49"/>
      <c r="BA223" s="33">
        <f t="shared" si="3"/>
        <v>700</v>
      </c>
      <c r="BB223" s="269"/>
    </row>
    <row r="224" spans="1:54" ht="45.75" customHeight="1" x14ac:dyDescent="0.35">
      <c r="A224" s="26">
        <v>207</v>
      </c>
      <c r="B224" s="256" t="s">
        <v>2914</v>
      </c>
      <c r="C224" s="53"/>
      <c r="D224" s="300" t="s">
        <v>3046</v>
      </c>
      <c r="E224" s="98">
        <v>1</v>
      </c>
      <c r="F224" s="64" t="s">
        <v>30</v>
      </c>
      <c r="G224" s="112"/>
      <c r="H224" s="45"/>
      <c r="I224" s="31"/>
      <c r="J224" s="32"/>
      <c r="K224" s="33">
        <f>ABRIL!AZ232</f>
        <v>0</v>
      </c>
      <c r="L224" s="32"/>
      <c r="M224" s="32"/>
      <c r="N224" s="336"/>
      <c r="O224" s="32"/>
      <c r="P224" s="33"/>
      <c r="Q224" s="31"/>
      <c r="R224" s="31"/>
      <c r="S224" s="47"/>
      <c r="T224" s="61"/>
      <c r="U224" s="72"/>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49"/>
      <c r="AU224" s="49"/>
      <c r="AV224" s="49"/>
      <c r="AW224" s="49"/>
      <c r="AX224" s="49"/>
      <c r="AY224" s="49"/>
      <c r="AZ224" s="49"/>
      <c r="BA224" s="33">
        <f t="shared" si="3"/>
        <v>0</v>
      </c>
      <c r="BB224" s="269" t="s">
        <v>2939</v>
      </c>
    </row>
    <row r="225" spans="1:54" ht="23.25" customHeight="1" thickBot="1" x14ac:dyDescent="0.4">
      <c r="A225" s="26"/>
      <c r="B225" s="80"/>
      <c r="C225" s="81"/>
      <c r="D225" s="421"/>
      <c r="E225" s="83">
        <f>SUM(E18:E224)</f>
        <v>1958</v>
      </c>
      <c r="F225" s="84"/>
      <c r="G225" s="85">
        <f>SUM(G18:G223)</f>
        <v>26129.561600000008</v>
      </c>
      <c r="H225" s="85">
        <f>SUM(H18:H223)</f>
        <v>39474.404000000024</v>
      </c>
      <c r="I225" s="46">
        <f>SUM(I18:I223)-H225</f>
        <v>-2772.357600000003</v>
      </c>
      <c r="J225" s="46">
        <f>SUM(J18:J223)-H225-I225</f>
        <v>-339.78200000002107</v>
      </c>
      <c r="K225" s="46">
        <f>SUM(K18:K224)-H225-I225-J225</f>
        <v>81975.184399999998</v>
      </c>
      <c r="L225" s="46">
        <f t="shared" ref="L225:R225" si="4">SUM(L18:L223)</f>
        <v>0</v>
      </c>
      <c r="M225" s="46">
        <f t="shared" si="4"/>
        <v>0</v>
      </c>
      <c r="N225" s="46">
        <f t="shared" si="4"/>
        <v>0</v>
      </c>
      <c r="O225" s="46">
        <f t="shared" si="4"/>
        <v>0</v>
      </c>
      <c r="P225" s="46">
        <f t="shared" si="4"/>
        <v>0</v>
      </c>
      <c r="Q225" s="46">
        <f t="shared" si="4"/>
        <v>0</v>
      </c>
      <c r="R225" s="46">
        <f t="shared" si="4"/>
        <v>0</v>
      </c>
      <c r="S225" s="86">
        <f>SUM(S18:S224)</f>
        <v>359990.19199999998</v>
      </c>
      <c r="T225" s="86">
        <f>SUM(T18:T224)</f>
        <v>4914.37</v>
      </c>
      <c r="U225" s="87">
        <f>-SUM(U18:U224)</f>
        <v>0</v>
      </c>
      <c r="V225" s="191">
        <f>SUM(V18:V224)</f>
        <v>0</v>
      </c>
      <c r="W225" s="191">
        <f>SUM(W18:W224)</f>
        <v>0</v>
      </c>
      <c r="X225" s="191">
        <f>SUM(X18:X224)</f>
        <v>0</v>
      </c>
      <c r="Y225" s="191">
        <f t="shared" ref="Y225:AZ225" si="5">SUM(Y18:Y224)</f>
        <v>0</v>
      </c>
      <c r="Z225" s="191">
        <f t="shared" si="5"/>
        <v>0</v>
      </c>
      <c r="AA225" s="191">
        <f t="shared" si="5"/>
        <v>0</v>
      </c>
      <c r="AB225" s="191">
        <f t="shared" si="5"/>
        <v>0</v>
      </c>
      <c r="AC225" s="191">
        <f t="shared" si="5"/>
        <v>0</v>
      </c>
      <c r="AD225" s="191">
        <f t="shared" si="5"/>
        <v>0</v>
      </c>
      <c r="AE225" s="191">
        <f t="shared" si="5"/>
        <v>0</v>
      </c>
      <c r="AF225" s="191">
        <f t="shared" si="5"/>
        <v>0</v>
      </c>
      <c r="AG225" s="191">
        <f t="shared" si="5"/>
        <v>0</v>
      </c>
      <c r="AH225" s="191">
        <f t="shared" si="5"/>
        <v>0</v>
      </c>
      <c r="AI225" s="191">
        <f t="shared" si="5"/>
        <v>0</v>
      </c>
      <c r="AJ225" s="191">
        <f t="shared" si="5"/>
        <v>0</v>
      </c>
      <c r="AK225" s="191">
        <f t="shared" si="5"/>
        <v>0</v>
      </c>
      <c r="AL225" s="191">
        <f t="shared" si="5"/>
        <v>0</v>
      </c>
      <c r="AM225" s="191">
        <f t="shared" si="5"/>
        <v>0</v>
      </c>
      <c r="AN225" s="191">
        <f t="shared" si="5"/>
        <v>0</v>
      </c>
      <c r="AO225" s="191">
        <f t="shared" si="5"/>
        <v>0</v>
      </c>
      <c r="AP225" s="191">
        <f t="shared" si="5"/>
        <v>0</v>
      </c>
      <c r="AQ225" s="191">
        <f t="shared" si="5"/>
        <v>0</v>
      </c>
      <c r="AR225" s="191">
        <f t="shared" si="5"/>
        <v>0</v>
      </c>
      <c r="AS225" s="191">
        <f t="shared" si="5"/>
        <v>0</v>
      </c>
      <c r="AT225" s="191">
        <f t="shared" si="5"/>
        <v>0</v>
      </c>
      <c r="AU225" s="191">
        <f t="shared" si="5"/>
        <v>0</v>
      </c>
      <c r="AV225" s="191">
        <f t="shared" si="5"/>
        <v>0</v>
      </c>
      <c r="AW225" s="191">
        <f t="shared" si="5"/>
        <v>0</v>
      </c>
      <c r="AX225" s="191">
        <f t="shared" si="5"/>
        <v>0</v>
      </c>
      <c r="AY225" s="191">
        <f t="shared" si="5"/>
        <v>0</v>
      </c>
      <c r="AZ225" s="191">
        <f t="shared" si="5"/>
        <v>0</v>
      </c>
      <c r="BA225" s="396">
        <f>SUM(BA18:BA224)</f>
        <v>483242.01079999999</v>
      </c>
      <c r="BB225" s="272" t="s">
        <v>148</v>
      </c>
    </row>
    <row r="226" spans="1:54" ht="21.75" customHeight="1" thickBot="1" x14ac:dyDescent="0.4">
      <c r="B226" s="439" t="s">
        <v>2274</v>
      </c>
      <c r="C226" s="440"/>
      <c r="D226" s="441"/>
    </row>
    <row r="227" spans="1:54" x14ac:dyDescent="0.35">
      <c r="B227" s="381"/>
    </row>
    <row r="228" spans="1:54" s="23" customFormat="1" ht="52.5" customHeight="1" x14ac:dyDescent="0.3">
      <c r="A228" s="26">
        <v>1</v>
      </c>
      <c r="B228" s="43" t="s">
        <v>1720</v>
      </c>
      <c r="C228" s="28"/>
      <c r="D228" s="318" t="s">
        <v>3039</v>
      </c>
      <c r="E228" s="92">
        <v>1</v>
      </c>
      <c r="F228" s="30" t="s">
        <v>30</v>
      </c>
      <c r="G228" s="112">
        <f>[1]DICIEMBRE!$BA$91</f>
        <v>290</v>
      </c>
      <c r="H228" s="31">
        <f>ENERO!BA18</f>
        <v>580</v>
      </c>
      <c r="I228" s="31">
        <f>FEBRERO!AX18</f>
        <v>870</v>
      </c>
      <c r="J228" s="32">
        <f>MARZO!BA18</f>
        <v>1160</v>
      </c>
      <c r="K228" s="33"/>
      <c r="L228" s="32"/>
      <c r="M228" s="32"/>
      <c r="N228" s="336"/>
      <c r="O228" s="32"/>
      <c r="P228" s="33"/>
      <c r="Q228" s="31"/>
      <c r="R228" s="31"/>
      <c r="S228" s="59">
        <f>(250*0.16+250)*E228</f>
        <v>290</v>
      </c>
      <c r="T228" s="34"/>
      <c r="U228" s="34"/>
      <c r="V228" s="35"/>
      <c r="W228" s="35"/>
      <c r="X228" s="35"/>
      <c r="Y228" s="35"/>
      <c r="Z228" s="36"/>
      <c r="AA228" s="35"/>
      <c r="AB228" s="35"/>
      <c r="AC228" s="54"/>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3">
        <f>SUM(J228+S228+T228-U228-V228-W228-X228-Y228-Z228-AA228-AB228-AC228-AD228-AE228-AF228-AG228-AH228-AI228-AJ228-AK228-AL228-AM228-AN228-AO228-AP228-AQ228-AR228-AS228-AT228-AU228-AV228-AW228-AX228)</f>
        <v>1450</v>
      </c>
      <c r="BB228" s="43" t="s">
        <v>456</v>
      </c>
    </row>
    <row r="229" spans="1:54" ht="62.25" customHeight="1" x14ac:dyDescent="0.35">
      <c r="A229" s="26">
        <v>82</v>
      </c>
      <c r="B229" s="43" t="s">
        <v>1541</v>
      </c>
      <c r="C229" s="53"/>
      <c r="D229" s="300" t="s">
        <v>1495</v>
      </c>
      <c r="E229" s="94">
        <v>2</v>
      </c>
      <c r="F229" s="44" t="s">
        <v>30</v>
      </c>
      <c r="G229" s="112">
        <f>[1]DICIEMBRE!$BA$97</f>
        <v>2909.6628000000001</v>
      </c>
      <c r="H229" s="31">
        <f>ENERO!BA98</f>
        <v>3895.6628000000001</v>
      </c>
      <c r="I229" s="45">
        <f>FEBRERO!AX99</f>
        <v>3248.0028000000002</v>
      </c>
      <c r="J229" s="32">
        <f>MARZO!BA101</f>
        <v>3828.0028000000002</v>
      </c>
      <c r="K229" s="32"/>
      <c r="L229" s="32"/>
      <c r="M229" s="336"/>
      <c r="N229" s="32"/>
      <c r="O229" s="32"/>
      <c r="P229" s="33"/>
      <c r="Q229" s="31"/>
      <c r="R229" s="31"/>
      <c r="S229" s="47">
        <f>(250*0.16+250)*E229</f>
        <v>580</v>
      </c>
      <c r="T229" s="47"/>
      <c r="U229" s="48"/>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33">
        <f>SUM(J229+S229+T229-U229-V229-W229-X229-Y229-Z229-AA229-AB229-AC229-AD229-AE229-AF229-AG229-AH229-AI229-AJ229-AK229-AL229-AM229-AN229-AO229-AP229-AQ229-AR229-AS229-AT229-AU229-AV229-AW229-AX229)</f>
        <v>4408.0028000000002</v>
      </c>
      <c r="BB229" s="43"/>
    </row>
    <row r="230" spans="1:54" s="23" customFormat="1" ht="36" customHeight="1" x14ac:dyDescent="0.3">
      <c r="A230" s="26">
        <v>17</v>
      </c>
      <c r="B230" s="43" t="s">
        <v>1728</v>
      </c>
      <c r="C230" s="28"/>
      <c r="D230" s="300" t="s">
        <v>3040</v>
      </c>
      <c r="E230" s="92">
        <v>2</v>
      </c>
      <c r="F230" s="30"/>
      <c r="G230" s="112">
        <f>[1]DICIEMBRE!$BA$61</f>
        <v>2598.4</v>
      </c>
      <c r="H230" s="31">
        <f>ENERO!BA33</f>
        <v>2598.4</v>
      </c>
      <c r="I230" s="31">
        <f>FEBRERO!AX34</f>
        <v>2598.4</v>
      </c>
      <c r="J230" s="32"/>
      <c r="K230" s="33"/>
      <c r="L230" s="336"/>
      <c r="M230" s="32"/>
      <c r="N230" s="336"/>
      <c r="O230" s="32"/>
      <c r="P230" s="31"/>
      <c r="Q230" s="31"/>
      <c r="R230" s="31"/>
      <c r="S230" s="34"/>
      <c r="T230" s="34"/>
      <c r="U230" s="34"/>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3">
        <f>SUM(I230+S230+T230-U230-V230-W230-X230-Y230-Z230-AA230-AB230-AC230-AD230-AE230-AF230-AG230-AH230-AI230-AJ230-AK230-AL230-AM230-AN230-AO230-AP230-AQ230-AR230-AS230-AT230-AU230-AV230-AW230-AX230-AY230)</f>
        <v>2598.4</v>
      </c>
      <c r="BB230" s="43" t="s">
        <v>456</v>
      </c>
    </row>
    <row r="231" spans="1:54" ht="45" customHeight="1" x14ac:dyDescent="0.35">
      <c r="A231" s="26">
        <v>111</v>
      </c>
      <c r="B231" s="43" t="s">
        <v>1597</v>
      </c>
      <c r="C231" s="27"/>
      <c r="D231" s="300" t="s">
        <v>1598</v>
      </c>
      <c r="E231" s="95">
        <v>1</v>
      </c>
      <c r="F231" s="44"/>
      <c r="G231" s="234">
        <f>[1]DICIEMBRE!$BA$128</f>
        <v>348</v>
      </c>
      <c r="H231" s="31">
        <f>ENERO!BA132</f>
        <v>348</v>
      </c>
      <c r="I231" s="31">
        <f>FEBRERO!AX133</f>
        <v>696</v>
      </c>
      <c r="J231" s="32"/>
      <c r="K231" s="33"/>
      <c r="L231" s="32"/>
      <c r="M231" s="32"/>
      <c r="N231" s="32"/>
      <c r="O231" s="32"/>
      <c r="P231" s="33"/>
      <c r="Q231" s="31"/>
      <c r="R231" s="31"/>
      <c r="S231" s="47">
        <v>348</v>
      </c>
      <c r="T231" s="47"/>
      <c r="U231" s="48"/>
      <c r="V231" s="50"/>
      <c r="W231" s="50"/>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49"/>
      <c r="AU231" s="49"/>
      <c r="AV231" s="49"/>
      <c r="AW231" s="49"/>
      <c r="AX231" s="49"/>
      <c r="AY231" s="49"/>
      <c r="AZ231" s="49"/>
      <c r="BA231" s="33">
        <f>SUM(I231+S231+T231-U231-V231-W231-X231-Y231-Z231-AA231-AB231-AC231-AD231-AE231-AF231-AG231-AH231-AI231-AJ231-AK231-AL231-AM231-AN231-AO231-AP231-AQ231-AR231-AS231-AT231-AU231-AV231-AW231-AX231-AY231)</f>
        <v>1044</v>
      </c>
      <c r="BB231" s="43" t="s">
        <v>456</v>
      </c>
    </row>
    <row r="232" spans="1:54" ht="34.5" customHeight="1" x14ac:dyDescent="0.35">
      <c r="A232" s="26">
        <v>116</v>
      </c>
      <c r="B232" s="43" t="s">
        <v>513</v>
      </c>
      <c r="C232" s="28"/>
      <c r="D232" s="300" t="s">
        <v>3041</v>
      </c>
      <c r="E232" s="95">
        <v>1</v>
      </c>
      <c r="F232" s="44" t="s">
        <v>30</v>
      </c>
      <c r="G232" s="112">
        <f>[1]DICIEMBRE!$BA$133</f>
        <v>2250</v>
      </c>
      <c r="H232" s="31">
        <f>ENERO!BA138</f>
        <v>2250</v>
      </c>
      <c r="I232" s="31">
        <f>FEBRERO!AX138</f>
        <v>2250</v>
      </c>
      <c r="J232" s="32"/>
      <c r="K232" s="33"/>
      <c r="L232" s="32"/>
      <c r="M232" s="336"/>
      <c r="N232" s="336"/>
      <c r="O232" s="33"/>
      <c r="P232" s="31"/>
      <c r="Q232" s="31"/>
      <c r="R232" s="31"/>
      <c r="S232" s="47"/>
      <c r="T232" s="47"/>
      <c r="U232" s="48"/>
      <c r="V232" s="49"/>
      <c r="W232" s="49"/>
      <c r="X232" s="49"/>
      <c r="Y232" s="49"/>
      <c r="Z232" s="49"/>
      <c r="AA232" s="49"/>
      <c r="AB232" s="49"/>
      <c r="AC232" s="50"/>
      <c r="AD232" s="49"/>
      <c r="AE232" s="49"/>
      <c r="AF232" s="49"/>
      <c r="AG232" s="49"/>
      <c r="AH232" s="51"/>
      <c r="AI232" s="49"/>
      <c r="AJ232" s="49"/>
      <c r="AK232" s="49"/>
      <c r="AL232" s="49"/>
      <c r="AM232" s="49"/>
      <c r="AN232" s="49"/>
      <c r="AO232" s="49"/>
      <c r="AP232" s="49"/>
      <c r="AQ232" s="49"/>
      <c r="AR232" s="49"/>
      <c r="AS232" s="49"/>
      <c r="AT232" s="49"/>
      <c r="AU232" s="49"/>
      <c r="AV232" s="49"/>
      <c r="AW232" s="49"/>
      <c r="AX232" s="49"/>
      <c r="AY232" s="49"/>
      <c r="AZ232" s="49"/>
      <c r="BA232" s="33">
        <f>SUM(I232+S232+T232-U232-V232-W232-X232-Y232-Z232-AA232-AB232-AC232-AD232-AE232-AF232-AG232-AH232-AI232-AJ232-AK232-AL232-AM232-AN232-AO232-AP232-AQ232-AR232-AS232-AT232-AU232-AV232-AW232-AX232-AY232)</f>
        <v>2250</v>
      </c>
      <c r="BB232" s="43" t="s">
        <v>456</v>
      </c>
    </row>
    <row r="233" spans="1:54" ht="40.5" customHeight="1" x14ac:dyDescent="0.35">
      <c r="A233" s="26">
        <v>133</v>
      </c>
      <c r="B233" s="43" t="s">
        <v>1110</v>
      </c>
      <c r="C233" s="43"/>
      <c r="D233" s="308" t="s">
        <v>3042</v>
      </c>
      <c r="E233" s="95">
        <v>2</v>
      </c>
      <c r="F233" s="44" t="s">
        <v>30</v>
      </c>
      <c r="G233" s="112">
        <f>[1]DICIEMBRE!$BA$153</f>
        <v>696</v>
      </c>
      <c r="H233" s="45">
        <f>ENERO!BA158</f>
        <v>1392</v>
      </c>
      <c r="I233" s="45">
        <f>FEBRERO!AX156</f>
        <v>2088</v>
      </c>
      <c r="J233" s="32"/>
      <c r="K233" s="32"/>
      <c r="L233" s="32"/>
      <c r="M233" s="336"/>
      <c r="N233" s="32"/>
      <c r="O233" s="32"/>
      <c r="P233" s="33"/>
      <c r="Q233" s="31"/>
      <c r="R233" s="31"/>
      <c r="S233" s="47">
        <f>(300*0.16+300)*E233</f>
        <v>696</v>
      </c>
      <c r="T233" s="47"/>
      <c r="U233" s="48"/>
      <c r="V233" s="47"/>
      <c r="W233" s="47"/>
      <c r="X233" s="47"/>
      <c r="Y233" s="47"/>
      <c r="Z233" s="47"/>
      <c r="AA233" s="47"/>
      <c r="AB233" s="47"/>
      <c r="AC233" s="47"/>
      <c r="AD233" s="47"/>
      <c r="AE233" s="47"/>
      <c r="AF233" s="47"/>
      <c r="AG233" s="47"/>
      <c r="AH233" s="47"/>
      <c r="AI233" s="47"/>
      <c r="AJ233" s="47"/>
      <c r="AK233" s="66"/>
      <c r="AL233" s="47"/>
      <c r="AM233" s="47"/>
      <c r="AN233" s="47"/>
      <c r="AO233" s="47"/>
      <c r="AP233" s="47"/>
      <c r="AQ233" s="47"/>
      <c r="AR233" s="47"/>
      <c r="AS233" s="47"/>
      <c r="AT233" s="47"/>
      <c r="AU233" s="47"/>
      <c r="AV233" s="47"/>
      <c r="AW233" s="47"/>
      <c r="AX233" s="47"/>
      <c r="AY233" s="47"/>
      <c r="AZ233" s="47"/>
      <c r="BA233" s="33">
        <f>SUM(I233+S233+T233-U233-V233-W233-X233-Y233-Z233-AA233-AB233-AC233-AD233-AE233-AF233-AG233-AH233-AI233-AJ233-AK233-AL233-AM233-AN233-AO233-AP233-AQ233-AR233-AS233-AT233-AU233-AV233-AW233-AX233-AY233)</f>
        <v>2784</v>
      </c>
      <c r="BB233" s="43" t="s">
        <v>456</v>
      </c>
    </row>
    <row r="234" spans="1:54" ht="45.75" customHeight="1" x14ac:dyDescent="0.35">
      <c r="A234" s="26">
        <v>159</v>
      </c>
      <c r="B234" s="43" t="s">
        <v>1250</v>
      </c>
      <c r="C234" s="53"/>
      <c r="D234" s="300" t="s">
        <v>1251</v>
      </c>
      <c r="E234" s="95">
        <v>1</v>
      </c>
      <c r="F234" s="44" t="s">
        <v>35</v>
      </c>
      <c r="G234" s="112">
        <f>[1]DICIEMBRE!$BA$179</f>
        <v>2750</v>
      </c>
      <c r="H234" s="31">
        <f>ENERO!BA184</f>
        <v>3050</v>
      </c>
      <c r="I234" s="31">
        <f>FEBRERO!AX182</f>
        <v>3350</v>
      </c>
      <c r="J234" s="32"/>
      <c r="K234" s="32"/>
      <c r="L234" s="336"/>
      <c r="M234" s="336"/>
      <c r="N234" s="32"/>
      <c r="O234" s="33"/>
      <c r="P234" s="33"/>
      <c r="Q234" s="31"/>
      <c r="R234" s="31"/>
      <c r="S234" s="47">
        <f>300*E234</f>
        <v>300</v>
      </c>
      <c r="T234" s="47"/>
      <c r="U234" s="48"/>
      <c r="V234" s="49"/>
      <c r="W234" s="49"/>
      <c r="X234" s="49"/>
      <c r="Y234" s="49"/>
      <c r="Z234" s="49"/>
      <c r="AA234" s="49"/>
      <c r="AB234" s="49"/>
      <c r="AC234" s="49"/>
      <c r="AD234" s="49"/>
      <c r="AE234" s="49"/>
      <c r="AF234" s="50"/>
      <c r="AG234" s="49"/>
      <c r="AH234" s="49"/>
      <c r="AI234" s="49"/>
      <c r="AJ234" s="49"/>
      <c r="AK234" s="49"/>
      <c r="AL234" s="49"/>
      <c r="AM234" s="49"/>
      <c r="AN234" s="49"/>
      <c r="AO234" s="49"/>
      <c r="AP234" s="49"/>
      <c r="AQ234" s="49"/>
      <c r="AR234" s="49"/>
      <c r="AS234" s="49"/>
      <c r="AT234" s="49"/>
      <c r="AU234" s="49"/>
      <c r="AV234" s="49"/>
      <c r="AW234" s="49"/>
      <c r="AX234" s="49"/>
      <c r="AY234" s="49"/>
      <c r="AZ234" s="49"/>
      <c r="BA234" s="33">
        <f>SUM(I234+S234+T234-U234-V234-W234-X234-Y234-Z234-AA234-AB234-AC234-AD234-AE234-AF234-AG234-AH234-AI234-AJ234-AK234-AL234-AM234-AN234-AO234-AP234-AQ234-AR234-AS234-AT234-AU234-AV234-AW234-AX234-AY234)</f>
        <v>3650</v>
      </c>
      <c r="BB234" s="43" t="s">
        <v>456</v>
      </c>
    </row>
  </sheetData>
  <autoFilter ref="A16:BC226" xr:uid="{00000000-0009-0000-0000-00000400000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autoFilter>
  <mergeCells count="28">
    <mergeCell ref="B226:D226"/>
    <mergeCell ref="S16:S17"/>
    <mergeCell ref="T16:T17"/>
    <mergeCell ref="U16:U17"/>
    <mergeCell ref="BA16:BA17"/>
    <mergeCell ref="BB16:BB17"/>
    <mergeCell ref="BC16:BC17"/>
    <mergeCell ref="E13:R13"/>
    <mergeCell ref="E14:R14"/>
    <mergeCell ref="A16:A17"/>
    <mergeCell ref="B16:B17"/>
    <mergeCell ref="C16:C17"/>
    <mergeCell ref="D16:D17"/>
    <mergeCell ref="E16:E17"/>
    <mergeCell ref="F16:F17"/>
    <mergeCell ref="G16:R16"/>
    <mergeCell ref="E12:R12"/>
    <mergeCell ref="E2:R2"/>
    <mergeCell ref="E3:R3"/>
    <mergeCell ref="B4:D4"/>
    <mergeCell ref="E4:R4"/>
    <mergeCell ref="E5:R5"/>
    <mergeCell ref="E6:R6"/>
    <mergeCell ref="E7:R7"/>
    <mergeCell ref="E8:R8"/>
    <mergeCell ref="E9:R9"/>
    <mergeCell ref="E10:R10"/>
    <mergeCell ref="E11:R11"/>
  </mergeCells>
  <hyperlinks>
    <hyperlink ref="D83" r:id="rId1" display="facturacion@quitakilos.com     _x000a_" xr:uid="{00000000-0004-0000-0400-000000000000}"/>
    <hyperlink ref="D89" r:id="rId2" display="daniela.ochoa@seiarquitectos.com" xr:uid="{00000000-0004-0000-0400-000001000000}"/>
    <hyperlink ref="D98" r:id="rId3" display="ernesto.gomez@sanbox.com.mx" xr:uid="{00000000-0004-0000-0400-000002000000}"/>
    <hyperlink ref="D55" r:id="rId4" display="ernesto.gomez@sanbox.com.mx" xr:uid="{00000000-0004-0000-0400-000003000000}"/>
    <hyperlink ref="D104" r:id="rId5" display="apalomino@plasarlogistic.com" xr:uid="{00000000-0004-0000-0400-000004000000}"/>
  </hyperlinks>
  <pageMargins left="0.7" right="0.7" top="0.75" bottom="0.75" header="0.3" footer="0.3"/>
  <drawing r:id="rId6"/>
  <legacyDrawing r:id="rId7"/>
  <extLst>
    <ext xmlns:x14="http://schemas.microsoft.com/office/spreadsheetml/2009/9/main" uri="{78C0D931-6437-407d-A8EE-F0AAD7539E65}">
      <x14:conditionalFormattings>
        <x14:conditionalFormatting xmlns:xm="http://schemas.microsoft.com/office/excel/2006/main">
          <x14:cfRule type="containsText" priority="9" operator="containsText" id="{9231AB96-5328-45FB-88C0-AC1CF77F6416}">
            <xm:f>NOT(ISERROR(SEARCH("-",P18)))</xm:f>
            <xm:f>"-"</xm:f>
            <x14:dxf>
              <font>
                <color rgb="FF9C6500"/>
              </font>
              <fill>
                <patternFill>
                  <bgColor rgb="FFFFEB9C"/>
                </patternFill>
              </fill>
            </x14:dxf>
          </x14:cfRule>
          <xm:sqref>P18 R18 Q19:Q20 P20 R20 P22:R24 Q25 P26 R26 Q27:Q28 P29:R29 P32:Q32 P33 Q34:R34 R35 P36:Q36 P37 P38:R38 Q39 R40 P41:Q42 P43:R44 P45 R45 P46:R46 Q48:R48 Q49:Q50 R51 Q52:R52 P53:Q53 Q54 Q55:R55 Q56 Q57:R58 P59 R59 P60:R60 Q61:Q62 Q64:R64 P65:Q65 P66:R66 P68:R68 Q69 P70 R70 P71:R71 P72:Q72 P73:R73 Q74:Q75 P76:P77 R77 Q78 P79 R79 P81:R82 Q83 Q84:R84 P85:P86 P87:R87 R88 Q89:R89 P90:R90 Q92 P93 R93 P94:R95 P96:Q97 Q101:R101 Q102:Q105 P106 R106 Q107:Q109 P109 R109 P112 R112 P123 R123 R126 Q127 P128:R129 P130 R130 Q130:Q133 P133 R133 P135 R135 Q135:Q137 P138 R138 Q139:Q140 P141 R141 Q142:Q143 R144:R145 Q146:Q147 R147 P148 R149 Q149:Q150 R151 P151:P152 Q152:Q153 R153 P154 R155 Q155:Q156 P156 Q158:Q160 P160 R160 Q162 R163 P164:Q164 P165:P170 R166 Q167:Q170 R168 R170 P172 Q172:Q177 R173:R174 P175:P176 R177 P178:P179 P180:R180 R181:R182 Q181:Q183 P183 R184 R186 P186:P187 Q186:Q188 R188 P189 Q190:Q192 R193 P194 Q194:Q195 R195 Q196:R196 P199 R199 Q199:Q201 R205 P206:Q206 R211 R218 Q218:Q219 P219 R220:R224 Q228 BA228:BA234 P230:Q230 Q231:R232 P232 Q233</xm:sqref>
        </x14:conditionalFormatting>
        <x14:conditionalFormatting xmlns:xm="http://schemas.microsoft.com/office/excel/2006/main">
          <x14:cfRule type="containsText" priority="1" operator="containsText" id="{3F9E5A94-8202-4C54-B3FF-16486E9313AB}">
            <xm:f>NOT(ISERROR(SEARCH("-",P207)))</xm:f>
            <xm:f>"-"</xm:f>
            <x14:dxf>
              <font>
                <color rgb="FF9C6500"/>
              </font>
              <fill>
                <patternFill>
                  <bgColor rgb="FFFFEB9C"/>
                </patternFill>
              </fill>
            </x14:dxf>
          </x14:cfRule>
          <xm:sqref>P207:P210</xm:sqref>
        </x14:conditionalFormatting>
        <x14:conditionalFormatting xmlns:xm="http://schemas.microsoft.com/office/excel/2006/main">
          <x14:cfRule type="containsText" priority="4" operator="containsText" id="{2E63CF16-1B71-408F-A7B2-2282BAD19B8A}">
            <xm:f>NOT(ISERROR(SEARCH("-",P212)))</xm:f>
            <xm:f>"-"</xm:f>
            <x14:dxf>
              <font>
                <color rgb="FF9C6500"/>
              </font>
              <fill>
                <patternFill>
                  <bgColor rgb="FFFFEB9C"/>
                </patternFill>
              </fill>
            </x14:dxf>
          </x14:cfRule>
          <xm:sqref>P212:P215</xm:sqref>
        </x14:conditionalFormatting>
        <x14:conditionalFormatting xmlns:xm="http://schemas.microsoft.com/office/excel/2006/main">
          <x14:cfRule type="containsText" priority="3" operator="containsText" id="{0B9377F2-9FA0-4EA4-8BCE-C96AB70EEFB8}">
            <xm:f>NOT(ISERROR(SEARCH("-",P202)))</xm:f>
            <xm:f>"-"</xm:f>
            <x14:dxf>
              <font>
                <color rgb="FF9C6500"/>
              </font>
              <fill>
                <patternFill>
                  <bgColor rgb="FFFFEB9C"/>
                </patternFill>
              </fill>
            </x14:dxf>
          </x14:cfRule>
          <xm:sqref>P202:Q204</xm:sqref>
        </x14:conditionalFormatting>
        <x14:conditionalFormatting xmlns:xm="http://schemas.microsoft.com/office/excel/2006/main">
          <x14:cfRule type="containsText" priority="6" operator="containsText" id="{667DB0DD-8831-4351-AA8C-05D785AC3786}">
            <xm:f>NOT(ISERROR(SEARCH("-",P110)))</xm:f>
            <xm:f>"-"</xm:f>
            <x14:dxf>
              <font>
                <color rgb="FF9C6500"/>
              </font>
              <fill>
                <patternFill>
                  <bgColor rgb="FFFFEB9C"/>
                </patternFill>
              </fill>
            </x14:dxf>
          </x14:cfRule>
          <xm:sqref>P110:R110</xm:sqref>
        </x14:conditionalFormatting>
        <x14:conditionalFormatting xmlns:xm="http://schemas.microsoft.com/office/excel/2006/main">
          <x14:cfRule type="containsText" priority="8" operator="containsText" id="{C4369731-8BF9-414C-9DA3-274942FD9DDF}">
            <xm:f>NOT(ISERROR(SEARCH("-",Q112)))</xm:f>
            <xm:f>"-"</xm:f>
            <x14:dxf>
              <font>
                <color rgb="FF9C6500"/>
              </font>
              <fill>
                <patternFill>
                  <bgColor rgb="FFFFEB9C"/>
                </patternFill>
              </fill>
            </x14:dxf>
          </x14:cfRule>
          <xm:sqref>Q112:Q118</xm:sqref>
        </x14:conditionalFormatting>
        <x14:conditionalFormatting xmlns:xm="http://schemas.microsoft.com/office/excel/2006/main">
          <x14:cfRule type="containsText" priority="7" operator="containsText" id="{43DBFD5C-E5BF-4108-B477-52DDB1220580}">
            <xm:f>NOT(ISERROR(SEARCH("-",Q121)))</xm:f>
            <xm:f>"-"</xm:f>
            <x14:dxf>
              <font>
                <color rgb="FF9C6500"/>
              </font>
              <fill>
                <patternFill>
                  <bgColor rgb="FFFFEB9C"/>
                </patternFill>
              </fill>
            </x14:dxf>
          </x14:cfRule>
          <xm:sqref>Q121:Q125</xm:sqref>
        </x14:conditionalFormatting>
        <x14:conditionalFormatting xmlns:xm="http://schemas.microsoft.com/office/excel/2006/main">
          <x14:cfRule type="containsText" priority="2" operator="containsText" id="{8B3437DF-D16A-49D8-83C1-3C3100EFF294}">
            <xm:f>NOT(ISERROR(SEARCH("-",Q216)))</xm:f>
            <xm:f>"-"</xm:f>
            <x14:dxf>
              <font>
                <color rgb="FF9C6500"/>
              </font>
              <fill>
                <patternFill>
                  <bgColor rgb="FFFFEB9C"/>
                </patternFill>
              </fill>
            </x14:dxf>
          </x14:cfRule>
          <xm:sqref>Q216:R217</xm:sqref>
        </x14:conditionalFormatting>
        <x14:conditionalFormatting xmlns:xm="http://schemas.microsoft.com/office/excel/2006/main">
          <x14:cfRule type="containsText" priority="5" operator="containsText" id="{0A906B40-B56D-4126-9AA0-437100CE4CDD}">
            <xm:f>NOT(ISERROR(SEARCH("-",BA16)))</xm:f>
            <xm:f>"-"</xm:f>
            <x14:dxf>
              <font>
                <color rgb="FF9C6500"/>
              </font>
              <fill>
                <patternFill>
                  <bgColor rgb="FFFFEB9C"/>
                </patternFill>
              </fill>
            </x14:dxf>
          </x14:cfRule>
          <xm:sqref>BA16:BA225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R575"/>
  <sheetViews>
    <sheetView zoomScale="78" zoomScaleNormal="78" workbookViewId="0">
      <pane xSplit="1" ySplit="1" topLeftCell="K368" activePane="bottomRight" state="frozenSplit"/>
      <selection pane="topRight" activeCell="J1" sqref="J1"/>
      <selection pane="bottomLeft" activeCell="A12" sqref="A12"/>
      <selection pane="bottomRight" activeCell="O374" sqref="O374"/>
    </sheetView>
  </sheetViews>
  <sheetFormatPr baseColWidth="10" defaultColWidth="11.453125" defaultRowHeight="14.5" x14ac:dyDescent="0.35"/>
  <cols>
    <col min="1" max="1" width="60.54296875" style="1" customWidth="1"/>
    <col min="2" max="2" width="17" style="1" customWidth="1"/>
    <col min="3" max="3" width="9" style="1" customWidth="1"/>
    <col min="4" max="4" width="28.81640625" style="1" customWidth="1"/>
    <col min="5" max="5" width="6.81640625" style="1" customWidth="1"/>
    <col min="6" max="6" width="23.1796875" style="1" customWidth="1"/>
    <col min="7" max="7" width="12.1796875" style="1" customWidth="1"/>
    <col min="8" max="8" width="6.81640625" style="1" customWidth="1"/>
    <col min="9" max="9" width="12.453125" style="1" customWidth="1"/>
    <col min="10" max="10" width="11.453125" style="1"/>
    <col min="11" max="11" width="17.7265625" style="1" customWidth="1"/>
    <col min="12" max="12" width="15.7265625" style="1" customWidth="1"/>
    <col min="13" max="13" width="19.1796875" style="1" customWidth="1"/>
    <col min="14" max="14" width="15.54296875" style="1" customWidth="1"/>
    <col min="15" max="15" width="14" style="1" customWidth="1"/>
    <col min="16" max="16" width="16.54296875" style="133" customWidth="1"/>
    <col min="17" max="17" width="12.7265625" style="161" customWidth="1"/>
    <col min="18" max="16384" width="11.453125" style="5"/>
  </cols>
  <sheetData>
    <row r="1" spans="1:17" ht="42.75" customHeight="1" x14ac:dyDescent="0.35">
      <c r="A1" s="100" t="s">
        <v>151</v>
      </c>
      <c r="B1" s="100" t="s">
        <v>152</v>
      </c>
      <c r="C1" s="170" t="s">
        <v>452</v>
      </c>
      <c r="D1" s="100" t="s">
        <v>451</v>
      </c>
      <c r="E1" s="100" t="s">
        <v>157</v>
      </c>
      <c r="F1" s="100" t="s">
        <v>153</v>
      </c>
      <c r="G1" s="100" t="s">
        <v>154</v>
      </c>
      <c r="H1" s="100" t="s">
        <v>155</v>
      </c>
      <c r="I1" s="103" t="s">
        <v>156</v>
      </c>
      <c r="J1" s="101" t="s">
        <v>158</v>
      </c>
      <c r="K1" s="102" t="s">
        <v>159</v>
      </c>
      <c r="L1" s="102" t="s">
        <v>160</v>
      </c>
      <c r="M1" s="102" t="s">
        <v>161</v>
      </c>
      <c r="N1" s="102" t="s">
        <v>163</v>
      </c>
      <c r="O1" s="198" t="s">
        <v>162</v>
      </c>
      <c r="P1" s="200" t="s">
        <v>649</v>
      </c>
      <c r="Q1" s="201" t="s">
        <v>616</v>
      </c>
    </row>
    <row r="2" spans="1:17" x14ac:dyDescent="0.35">
      <c r="A2" s="142" t="s">
        <v>903</v>
      </c>
      <c r="B2" s="244" t="s">
        <v>904</v>
      </c>
      <c r="C2" s="110">
        <v>67134</v>
      </c>
      <c r="D2" s="142" t="s">
        <v>905</v>
      </c>
      <c r="E2" s="110" t="s">
        <v>240</v>
      </c>
      <c r="F2" s="110" t="s">
        <v>1799</v>
      </c>
      <c r="G2" s="110" t="s">
        <v>1807</v>
      </c>
      <c r="H2" s="110">
        <v>6</v>
      </c>
      <c r="I2" s="110" t="s">
        <v>164</v>
      </c>
      <c r="J2" s="110">
        <v>3554</v>
      </c>
      <c r="K2" s="122">
        <v>250</v>
      </c>
      <c r="L2" s="122">
        <f>K2*0.16</f>
        <v>40</v>
      </c>
      <c r="M2" s="122">
        <f>K2+L2</f>
        <v>290</v>
      </c>
      <c r="N2" s="132" t="s">
        <v>2078</v>
      </c>
      <c r="O2" s="199"/>
      <c r="P2" s="156"/>
      <c r="Q2" s="169"/>
    </row>
    <row r="3" spans="1:17" x14ac:dyDescent="0.35">
      <c r="A3" s="248" t="s">
        <v>1318</v>
      </c>
      <c r="B3" s="244" t="s">
        <v>1319</v>
      </c>
      <c r="C3" s="169">
        <v>67250</v>
      </c>
      <c r="D3" s="120" t="s">
        <v>818</v>
      </c>
      <c r="E3" s="110" t="s">
        <v>240</v>
      </c>
      <c r="F3" s="110" t="s">
        <v>1800</v>
      </c>
      <c r="G3" s="110" t="s">
        <v>1807</v>
      </c>
      <c r="H3" s="110">
        <v>6</v>
      </c>
      <c r="I3" s="110" t="s">
        <v>164</v>
      </c>
      <c r="J3" s="110">
        <v>3555</v>
      </c>
      <c r="K3" s="122">
        <v>7500</v>
      </c>
      <c r="L3" s="117">
        <f>K3*0.16</f>
        <v>1200</v>
      </c>
      <c r="M3" s="117">
        <f>K3+L3</f>
        <v>8700</v>
      </c>
      <c r="N3" s="136" t="s">
        <v>243</v>
      </c>
      <c r="O3" s="199">
        <v>45760</v>
      </c>
      <c r="P3" s="156"/>
      <c r="Q3" s="169"/>
    </row>
    <row r="4" spans="1:17" x14ac:dyDescent="0.35">
      <c r="A4" s="248" t="s">
        <v>839</v>
      </c>
      <c r="B4" s="248" t="s">
        <v>840</v>
      </c>
      <c r="C4" s="169">
        <v>66632</v>
      </c>
      <c r="D4" s="248" t="s">
        <v>805</v>
      </c>
      <c r="E4" s="110" t="s">
        <v>240</v>
      </c>
      <c r="F4" s="110" t="s">
        <v>1801</v>
      </c>
      <c r="G4" s="110" t="s">
        <v>1807</v>
      </c>
      <c r="H4" s="110">
        <v>6</v>
      </c>
      <c r="I4" s="110" t="s">
        <v>164</v>
      </c>
      <c r="J4" s="110">
        <v>3556</v>
      </c>
      <c r="K4" s="122">
        <v>1400</v>
      </c>
      <c r="L4" s="122">
        <f t="shared" ref="L4:L67" si="0">K4*0.16</f>
        <v>224</v>
      </c>
      <c r="M4" s="122">
        <f t="shared" ref="M4:M67" si="1">K4+L4</f>
        <v>1624</v>
      </c>
      <c r="N4" s="136" t="s">
        <v>243</v>
      </c>
      <c r="O4" s="199">
        <v>45685</v>
      </c>
      <c r="P4" s="156"/>
      <c r="Q4" s="169"/>
    </row>
    <row r="5" spans="1:17" x14ac:dyDescent="0.35">
      <c r="A5" s="243" t="s">
        <v>807</v>
      </c>
      <c r="B5" s="244" t="s">
        <v>808</v>
      </c>
      <c r="C5" s="245">
        <v>66482</v>
      </c>
      <c r="D5" s="244" t="s">
        <v>809</v>
      </c>
      <c r="E5" s="110" t="s">
        <v>240</v>
      </c>
      <c r="F5" s="110" t="s">
        <v>1802</v>
      </c>
      <c r="G5" s="110" t="s">
        <v>1807</v>
      </c>
      <c r="H5" s="110">
        <v>6</v>
      </c>
      <c r="I5" s="110" t="s">
        <v>164</v>
      </c>
      <c r="J5" s="110">
        <v>3557</v>
      </c>
      <c r="K5" s="122">
        <v>897</v>
      </c>
      <c r="L5" s="117">
        <f t="shared" si="0"/>
        <v>143.52000000000001</v>
      </c>
      <c r="M5" s="117">
        <f t="shared" si="1"/>
        <v>1040.52</v>
      </c>
      <c r="N5" s="136" t="s">
        <v>243</v>
      </c>
      <c r="O5" s="199">
        <v>45672</v>
      </c>
      <c r="P5" s="156"/>
      <c r="Q5" s="169"/>
    </row>
    <row r="6" spans="1:17" x14ac:dyDescent="0.35">
      <c r="A6" s="142" t="s">
        <v>750</v>
      </c>
      <c r="B6" s="244" t="s">
        <v>810</v>
      </c>
      <c r="C6" s="110">
        <v>89560</v>
      </c>
      <c r="D6" s="142" t="s">
        <v>809</v>
      </c>
      <c r="E6" s="110" t="s">
        <v>240</v>
      </c>
      <c r="F6" s="110" t="s">
        <v>1803</v>
      </c>
      <c r="G6" s="110" t="s">
        <v>1807</v>
      </c>
      <c r="H6" s="110">
        <v>6</v>
      </c>
      <c r="I6" s="110" t="s">
        <v>164</v>
      </c>
      <c r="J6" s="110">
        <v>3558</v>
      </c>
      <c r="K6" s="122">
        <v>2700</v>
      </c>
      <c r="L6" s="122">
        <f t="shared" si="0"/>
        <v>432</v>
      </c>
      <c r="M6" s="122">
        <f t="shared" si="1"/>
        <v>3132</v>
      </c>
      <c r="N6" s="136" t="s">
        <v>243</v>
      </c>
      <c r="O6" s="199">
        <v>45663</v>
      </c>
      <c r="P6" s="156"/>
      <c r="Q6" s="169"/>
    </row>
    <row r="7" spans="1:17" x14ac:dyDescent="0.35">
      <c r="A7" s="119" t="s">
        <v>198</v>
      </c>
      <c r="B7" s="119" t="s">
        <v>199</v>
      </c>
      <c r="C7" s="242">
        <v>64000</v>
      </c>
      <c r="D7" s="119" t="s">
        <v>805</v>
      </c>
      <c r="E7" s="110" t="s">
        <v>240</v>
      </c>
      <c r="F7" s="110" t="s">
        <v>1804</v>
      </c>
      <c r="G7" s="110" t="s">
        <v>1807</v>
      </c>
      <c r="H7" s="110">
        <v>6</v>
      </c>
      <c r="I7" s="110" t="s">
        <v>164</v>
      </c>
      <c r="J7" s="110">
        <v>3559</v>
      </c>
      <c r="K7" s="122">
        <v>300</v>
      </c>
      <c r="L7" s="117">
        <f t="shared" si="0"/>
        <v>48</v>
      </c>
      <c r="M7" s="117">
        <f t="shared" si="1"/>
        <v>348</v>
      </c>
      <c r="N7" s="136" t="s">
        <v>2078</v>
      </c>
      <c r="O7" s="199">
        <v>45714</v>
      </c>
      <c r="P7" s="156"/>
      <c r="Q7" s="169"/>
    </row>
    <row r="8" spans="1:17" x14ac:dyDescent="0.35">
      <c r="A8" s="142" t="s">
        <v>1083</v>
      </c>
      <c r="B8" s="142" t="s">
        <v>1084</v>
      </c>
      <c r="C8" s="110">
        <v>64250</v>
      </c>
      <c r="D8" s="119" t="s">
        <v>806</v>
      </c>
      <c r="E8" s="110" t="s">
        <v>240</v>
      </c>
      <c r="F8" s="110" t="s">
        <v>1805</v>
      </c>
      <c r="G8" s="110" t="s">
        <v>1807</v>
      </c>
      <c r="H8" s="110">
        <v>6</v>
      </c>
      <c r="I8" s="110" t="s">
        <v>164</v>
      </c>
      <c r="J8" s="110">
        <v>3560</v>
      </c>
      <c r="K8" s="122">
        <v>1250</v>
      </c>
      <c r="L8" s="117">
        <f t="shared" si="0"/>
        <v>200</v>
      </c>
      <c r="M8" s="117">
        <f t="shared" si="1"/>
        <v>1450</v>
      </c>
      <c r="N8" s="136" t="s">
        <v>243</v>
      </c>
      <c r="O8" s="199">
        <v>45663</v>
      </c>
      <c r="P8" s="156"/>
      <c r="Q8" s="169"/>
    </row>
    <row r="9" spans="1:17" x14ac:dyDescent="0.35">
      <c r="A9" s="244" t="s">
        <v>783</v>
      </c>
      <c r="B9" s="119" t="s">
        <v>812</v>
      </c>
      <c r="C9" s="242">
        <v>64630</v>
      </c>
      <c r="D9" s="119" t="s">
        <v>805</v>
      </c>
      <c r="E9" s="110" t="s">
        <v>240</v>
      </c>
      <c r="F9" s="110" t="s">
        <v>1806</v>
      </c>
      <c r="G9" s="110" t="s">
        <v>1807</v>
      </c>
      <c r="H9" s="110">
        <v>6</v>
      </c>
      <c r="I9" s="110" t="s">
        <v>164</v>
      </c>
      <c r="J9" s="110">
        <v>3561</v>
      </c>
      <c r="K9" s="122">
        <v>1395</v>
      </c>
      <c r="L9" s="122">
        <f t="shared" si="0"/>
        <v>223.20000000000002</v>
      </c>
      <c r="M9" s="122">
        <f t="shared" si="1"/>
        <v>1618.2</v>
      </c>
      <c r="N9" s="136" t="s">
        <v>243</v>
      </c>
      <c r="O9" s="199">
        <v>45663</v>
      </c>
      <c r="P9" s="156"/>
      <c r="Q9" s="169"/>
    </row>
    <row r="10" spans="1:17" x14ac:dyDescent="0.35">
      <c r="A10" s="244" t="s">
        <v>779</v>
      </c>
      <c r="B10" s="244" t="s">
        <v>811</v>
      </c>
      <c r="C10" s="242">
        <v>66266</v>
      </c>
      <c r="D10" s="119" t="s">
        <v>805</v>
      </c>
      <c r="E10" s="110" t="s">
        <v>240</v>
      </c>
      <c r="F10" s="110" t="s">
        <v>1808</v>
      </c>
      <c r="G10" s="110" t="s">
        <v>1807</v>
      </c>
      <c r="H10" s="110">
        <v>6</v>
      </c>
      <c r="I10" s="110" t="s">
        <v>164</v>
      </c>
      <c r="J10" s="110">
        <v>3562</v>
      </c>
      <c r="K10" s="122">
        <v>250</v>
      </c>
      <c r="L10" s="122">
        <f>K10*0.16</f>
        <v>40</v>
      </c>
      <c r="M10" s="122">
        <f>K10+L10</f>
        <v>290</v>
      </c>
      <c r="N10" s="136" t="s">
        <v>243</v>
      </c>
      <c r="O10" s="199">
        <v>45663</v>
      </c>
      <c r="P10" s="156"/>
      <c r="Q10" s="169"/>
    </row>
    <row r="11" spans="1:17" x14ac:dyDescent="0.35">
      <c r="A11" s="246" t="s">
        <v>194</v>
      </c>
      <c r="B11" s="119" t="s">
        <v>195</v>
      </c>
      <c r="C11" s="242">
        <v>67190</v>
      </c>
      <c r="D11" s="119" t="s">
        <v>805</v>
      </c>
      <c r="E11" s="110" t="s">
        <v>240</v>
      </c>
      <c r="F11" s="110" t="s">
        <v>1809</v>
      </c>
      <c r="G11" s="110" t="s">
        <v>1807</v>
      </c>
      <c r="H11" s="110">
        <v>6</v>
      </c>
      <c r="I11" s="110" t="s">
        <v>164</v>
      </c>
      <c r="J11" s="110">
        <v>3563</v>
      </c>
      <c r="K11" s="122">
        <v>1620</v>
      </c>
      <c r="L11" s="117">
        <f t="shared" si="0"/>
        <v>259.2</v>
      </c>
      <c r="M11" s="117">
        <f t="shared" si="1"/>
        <v>1879.2</v>
      </c>
      <c r="N11" s="136" t="s">
        <v>243</v>
      </c>
      <c r="O11" s="199">
        <v>45672</v>
      </c>
      <c r="P11" s="156"/>
      <c r="Q11" s="169"/>
    </row>
    <row r="12" spans="1:17" x14ac:dyDescent="0.35">
      <c r="A12" s="119" t="s">
        <v>274</v>
      </c>
      <c r="B12" s="119" t="s">
        <v>275</v>
      </c>
      <c r="C12" s="242">
        <v>66023</v>
      </c>
      <c r="D12" s="119" t="s">
        <v>805</v>
      </c>
      <c r="E12" s="110" t="s">
        <v>240</v>
      </c>
      <c r="F12" s="110" t="s">
        <v>1810</v>
      </c>
      <c r="G12" s="110" t="s">
        <v>1807</v>
      </c>
      <c r="H12" s="110">
        <v>6</v>
      </c>
      <c r="I12" s="110" t="s">
        <v>164</v>
      </c>
      <c r="J12" s="110">
        <v>3564</v>
      </c>
      <c r="K12" s="122">
        <v>1200</v>
      </c>
      <c r="L12" s="122">
        <f t="shared" si="0"/>
        <v>192</v>
      </c>
      <c r="M12" s="122">
        <f t="shared" si="1"/>
        <v>1392</v>
      </c>
      <c r="N12" s="136" t="s">
        <v>243</v>
      </c>
      <c r="O12" s="199">
        <v>45664</v>
      </c>
      <c r="P12" s="156"/>
      <c r="Q12" s="169"/>
    </row>
    <row r="13" spans="1:17" x14ac:dyDescent="0.35">
      <c r="A13" s="119" t="s">
        <v>803</v>
      </c>
      <c r="B13" s="119" t="s">
        <v>804</v>
      </c>
      <c r="C13" s="242">
        <v>66469</v>
      </c>
      <c r="D13" s="119" t="s">
        <v>805</v>
      </c>
      <c r="E13" s="110" t="s">
        <v>240</v>
      </c>
      <c r="F13" s="110" t="s">
        <v>1811</v>
      </c>
      <c r="G13" s="110" t="s">
        <v>1807</v>
      </c>
      <c r="H13" s="110">
        <v>6</v>
      </c>
      <c r="I13" s="110" t="s">
        <v>164</v>
      </c>
      <c r="J13" s="110">
        <v>3565</v>
      </c>
      <c r="K13" s="117">
        <v>1750</v>
      </c>
      <c r="L13" s="122">
        <f t="shared" si="0"/>
        <v>280</v>
      </c>
      <c r="M13" s="122">
        <f t="shared" si="1"/>
        <v>2030</v>
      </c>
      <c r="N13" s="136" t="s">
        <v>243</v>
      </c>
      <c r="O13" s="199">
        <v>45681</v>
      </c>
      <c r="P13" s="282"/>
      <c r="Q13" s="169"/>
    </row>
    <row r="14" spans="1:17" x14ac:dyDescent="0.35">
      <c r="A14" s="119" t="s">
        <v>859</v>
      </c>
      <c r="B14" s="119" t="s">
        <v>860</v>
      </c>
      <c r="C14" s="242">
        <v>64710</v>
      </c>
      <c r="D14" s="119" t="s">
        <v>805</v>
      </c>
      <c r="E14" s="110" t="s">
        <v>240</v>
      </c>
      <c r="F14" s="110" t="s">
        <v>1812</v>
      </c>
      <c r="G14" s="110" t="s">
        <v>1807</v>
      </c>
      <c r="H14" s="110">
        <v>6</v>
      </c>
      <c r="I14" s="110" t="s">
        <v>164</v>
      </c>
      <c r="J14" s="110">
        <v>3566</v>
      </c>
      <c r="K14" s="122">
        <v>1300</v>
      </c>
      <c r="L14" s="117">
        <f t="shared" si="0"/>
        <v>208</v>
      </c>
      <c r="M14" s="117">
        <f t="shared" si="1"/>
        <v>1508</v>
      </c>
      <c r="N14" s="136" t="s">
        <v>243</v>
      </c>
      <c r="O14" s="199">
        <v>45663</v>
      </c>
      <c r="P14" s="156"/>
      <c r="Q14" s="169"/>
    </row>
    <row r="15" spans="1:17" x14ac:dyDescent="0.35">
      <c r="A15" s="244" t="s">
        <v>1631</v>
      </c>
      <c r="B15" s="244" t="s">
        <v>1630</v>
      </c>
      <c r="C15" s="242">
        <v>64710</v>
      </c>
      <c r="D15" s="119" t="s">
        <v>818</v>
      </c>
      <c r="E15" s="110" t="s">
        <v>240</v>
      </c>
      <c r="F15" s="123" t="s">
        <v>1813</v>
      </c>
      <c r="G15" s="110" t="s">
        <v>1807</v>
      </c>
      <c r="H15" s="110">
        <v>6</v>
      </c>
      <c r="I15" s="110" t="s">
        <v>164</v>
      </c>
      <c r="J15" s="110">
        <v>3567</v>
      </c>
      <c r="K15" s="122">
        <v>3332.1</v>
      </c>
      <c r="L15" s="122">
        <f t="shared" si="0"/>
        <v>533.13599999999997</v>
      </c>
      <c r="M15" s="122">
        <f t="shared" si="1"/>
        <v>3865.2359999999999</v>
      </c>
      <c r="N15" s="136" t="s">
        <v>243</v>
      </c>
      <c r="O15" s="124">
        <v>45664</v>
      </c>
      <c r="P15" s="241"/>
      <c r="Q15" s="169" t="s">
        <v>615</v>
      </c>
    </row>
    <row r="16" spans="1:17" x14ac:dyDescent="0.35">
      <c r="A16" s="119" t="s">
        <v>1274</v>
      </c>
      <c r="B16" s="119" t="s">
        <v>1275</v>
      </c>
      <c r="C16" s="242">
        <v>64349</v>
      </c>
      <c r="D16" s="119" t="s">
        <v>818</v>
      </c>
      <c r="E16" s="110" t="s">
        <v>240</v>
      </c>
      <c r="F16" s="110" t="s">
        <v>1814</v>
      </c>
      <c r="G16" s="110" t="s">
        <v>1807</v>
      </c>
      <c r="H16" s="110">
        <v>6</v>
      </c>
      <c r="I16" s="110" t="s">
        <v>164</v>
      </c>
      <c r="J16" s="110">
        <v>3568</v>
      </c>
      <c r="K16" s="122">
        <v>250</v>
      </c>
      <c r="L16" s="117">
        <f t="shared" si="0"/>
        <v>40</v>
      </c>
      <c r="M16" s="117">
        <f t="shared" si="1"/>
        <v>290</v>
      </c>
      <c r="N16" s="136" t="s">
        <v>243</v>
      </c>
      <c r="O16" s="199">
        <v>45667</v>
      </c>
      <c r="P16" s="156"/>
      <c r="Q16" s="169"/>
    </row>
    <row r="17" spans="1:17" x14ac:dyDescent="0.35">
      <c r="A17" s="119" t="s">
        <v>196</v>
      </c>
      <c r="B17" s="119" t="s">
        <v>197</v>
      </c>
      <c r="C17" s="242">
        <v>64530</v>
      </c>
      <c r="D17" s="119" t="s">
        <v>806</v>
      </c>
      <c r="E17" s="110" t="s">
        <v>240</v>
      </c>
      <c r="F17" s="110" t="s">
        <v>1815</v>
      </c>
      <c r="G17" s="110" t="s">
        <v>1807</v>
      </c>
      <c r="H17" s="110">
        <v>6</v>
      </c>
      <c r="I17" s="110" t="s">
        <v>164</v>
      </c>
      <c r="J17" s="110">
        <v>3569</v>
      </c>
      <c r="K17" s="122">
        <v>250</v>
      </c>
      <c r="L17" s="122">
        <f t="shared" si="0"/>
        <v>40</v>
      </c>
      <c r="M17" s="122">
        <f t="shared" si="1"/>
        <v>290</v>
      </c>
      <c r="N17" s="136" t="s">
        <v>243</v>
      </c>
      <c r="O17" s="199">
        <v>45667</v>
      </c>
      <c r="P17" s="156"/>
      <c r="Q17" s="169"/>
    </row>
    <row r="18" spans="1:17" x14ac:dyDescent="0.35">
      <c r="A18" s="244" t="s">
        <v>815</v>
      </c>
      <c r="B18" s="244" t="s">
        <v>219</v>
      </c>
      <c r="C18" s="245">
        <v>64000</v>
      </c>
      <c r="D18" s="247" t="s">
        <v>805</v>
      </c>
      <c r="E18" s="110" t="s">
        <v>240</v>
      </c>
      <c r="F18" s="110" t="s">
        <v>1816</v>
      </c>
      <c r="G18" s="110" t="s">
        <v>1807</v>
      </c>
      <c r="H18" s="110">
        <v>6</v>
      </c>
      <c r="I18" s="110" t="s">
        <v>164</v>
      </c>
      <c r="J18" s="110">
        <v>3570</v>
      </c>
      <c r="K18" s="122">
        <v>2450</v>
      </c>
      <c r="L18" s="117">
        <f t="shared" si="0"/>
        <v>392</v>
      </c>
      <c r="M18" s="117">
        <f t="shared" si="1"/>
        <v>2842</v>
      </c>
      <c r="N18" s="136" t="s">
        <v>243</v>
      </c>
      <c r="O18" s="199">
        <v>45667</v>
      </c>
      <c r="P18" s="156"/>
      <c r="Q18" s="169"/>
    </row>
    <row r="19" spans="1:17" x14ac:dyDescent="0.35">
      <c r="A19" s="243" t="s">
        <v>876</v>
      </c>
      <c r="B19" s="243" t="s">
        <v>877</v>
      </c>
      <c r="C19" s="242">
        <v>64718</v>
      </c>
      <c r="D19" s="119" t="s">
        <v>805</v>
      </c>
      <c r="E19" s="110" t="s">
        <v>240</v>
      </c>
      <c r="F19" s="110" t="s">
        <v>1817</v>
      </c>
      <c r="G19" s="110" t="s">
        <v>1807</v>
      </c>
      <c r="H19" s="110">
        <v>6</v>
      </c>
      <c r="I19" s="110" t="s">
        <v>164</v>
      </c>
      <c r="J19" s="110">
        <v>3571</v>
      </c>
      <c r="K19" s="122">
        <v>996</v>
      </c>
      <c r="L19" s="122">
        <f t="shared" si="0"/>
        <v>159.36000000000001</v>
      </c>
      <c r="M19" s="122">
        <f t="shared" si="1"/>
        <v>1155.3600000000001</v>
      </c>
      <c r="N19" s="136" t="s">
        <v>243</v>
      </c>
      <c r="O19" s="199">
        <v>45667</v>
      </c>
      <c r="P19" s="156"/>
      <c r="Q19" s="169"/>
    </row>
    <row r="20" spans="1:17" x14ac:dyDescent="0.35">
      <c r="A20" s="244" t="s">
        <v>1444</v>
      </c>
      <c r="B20" s="244" t="s">
        <v>1445</v>
      </c>
      <c r="C20" s="242">
        <v>64000</v>
      </c>
      <c r="D20" s="119" t="s">
        <v>818</v>
      </c>
      <c r="E20" s="110" t="s">
        <v>240</v>
      </c>
      <c r="F20" s="123" t="s">
        <v>1818</v>
      </c>
      <c r="G20" s="110" t="s">
        <v>1807</v>
      </c>
      <c r="H20" s="110">
        <v>6</v>
      </c>
      <c r="I20" s="110" t="s">
        <v>164</v>
      </c>
      <c r="J20" s="110">
        <v>3572</v>
      </c>
      <c r="K20" s="122">
        <v>600</v>
      </c>
      <c r="L20" s="117">
        <f t="shared" si="0"/>
        <v>96</v>
      </c>
      <c r="M20" s="117">
        <f t="shared" si="1"/>
        <v>696</v>
      </c>
      <c r="N20" s="136" t="s">
        <v>243</v>
      </c>
      <c r="O20" s="199">
        <v>45670</v>
      </c>
      <c r="P20" s="156"/>
      <c r="Q20" s="169"/>
    </row>
    <row r="21" spans="1:17" x14ac:dyDescent="0.35">
      <c r="A21" s="119" t="s">
        <v>1451</v>
      </c>
      <c r="B21" s="119" t="s">
        <v>1452</v>
      </c>
      <c r="C21" s="242">
        <v>64760</v>
      </c>
      <c r="D21" s="119" t="s">
        <v>806</v>
      </c>
      <c r="E21" s="110" t="s">
        <v>240</v>
      </c>
      <c r="F21" s="123" t="s">
        <v>1819</v>
      </c>
      <c r="G21" s="110" t="s">
        <v>1807</v>
      </c>
      <c r="H21" s="110">
        <v>6</v>
      </c>
      <c r="I21" s="110" t="s">
        <v>164</v>
      </c>
      <c r="J21" s="110">
        <v>3573</v>
      </c>
      <c r="K21" s="122">
        <v>300</v>
      </c>
      <c r="L21" s="122">
        <f t="shared" si="0"/>
        <v>48</v>
      </c>
      <c r="M21" s="122">
        <f t="shared" si="1"/>
        <v>348</v>
      </c>
      <c r="N21" s="136" t="s">
        <v>243</v>
      </c>
      <c r="O21" s="199">
        <v>45664</v>
      </c>
      <c r="P21" s="156"/>
      <c r="Q21" s="169"/>
    </row>
    <row r="22" spans="1:17" x14ac:dyDescent="0.35">
      <c r="A22" s="119" t="s">
        <v>821</v>
      </c>
      <c r="B22" s="119" t="s">
        <v>822</v>
      </c>
      <c r="C22" s="242">
        <v>64000</v>
      </c>
      <c r="D22" s="119" t="s">
        <v>805</v>
      </c>
      <c r="E22" s="110" t="s">
        <v>240</v>
      </c>
      <c r="F22" s="110" t="s">
        <v>1820</v>
      </c>
      <c r="G22" s="110" t="s">
        <v>1807</v>
      </c>
      <c r="H22" s="110">
        <v>6</v>
      </c>
      <c r="I22" s="110" t="s">
        <v>164</v>
      </c>
      <c r="J22" s="110">
        <v>3574</v>
      </c>
      <c r="K22" s="122">
        <v>2490</v>
      </c>
      <c r="L22" s="117">
        <f t="shared" si="0"/>
        <v>398.40000000000003</v>
      </c>
      <c r="M22" s="117">
        <f t="shared" si="1"/>
        <v>2888.4</v>
      </c>
      <c r="N22" s="136" t="s">
        <v>2078</v>
      </c>
      <c r="O22" s="199">
        <v>45770</v>
      </c>
      <c r="P22" s="156"/>
      <c r="Q22" s="169"/>
    </row>
    <row r="23" spans="1:17" x14ac:dyDescent="0.35">
      <c r="A23" s="244" t="s">
        <v>1683</v>
      </c>
      <c r="B23" s="244" t="s">
        <v>1684</v>
      </c>
      <c r="C23" s="242">
        <v>64000</v>
      </c>
      <c r="D23" s="119" t="s">
        <v>805</v>
      </c>
      <c r="E23" s="110" t="s">
        <v>240</v>
      </c>
      <c r="F23" s="120" t="s">
        <v>1821</v>
      </c>
      <c r="G23" s="110" t="s">
        <v>1807</v>
      </c>
      <c r="H23" s="110">
        <v>6</v>
      </c>
      <c r="I23" s="110" t="s">
        <v>164</v>
      </c>
      <c r="J23" s="110">
        <v>3575</v>
      </c>
      <c r="K23" s="122">
        <v>309.32</v>
      </c>
      <c r="L23" s="122">
        <f t="shared" si="0"/>
        <v>49.491199999999999</v>
      </c>
      <c r="M23" s="122">
        <f t="shared" si="1"/>
        <v>358.81119999999999</v>
      </c>
      <c r="N23" s="136" t="s">
        <v>243</v>
      </c>
      <c r="O23" s="124">
        <v>45664</v>
      </c>
      <c r="P23" s="241"/>
      <c r="Q23" s="169"/>
    </row>
    <row r="24" spans="1:17" x14ac:dyDescent="0.35">
      <c r="A24" s="244" t="s">
        <v>1491</v>
      </c>
      <c r="B24" s="244" t="s">
        <v>1492</v>
      </c>
      <c r="C24" s="242">
        <v>64010</v>
      </c>
      <c r="D24" s="247" t="s">
        <v>805</v>
      </c>
      <c r="E24" s="110" t="s">
        <v>240</v>
      </c>
      <c r="F24" s="110" t="s">
        <v>1822</v>
      </c>
      <c r="G24" s="110" t="s">
        <v>1807</v>
      </c>
      <c r="H24" s="110">
        <v>6</v>
      </c>
      <c r="I24" s="110" t="s">
        <v>164</v>
      </c>
      <c r="J24" s="110">
        <v>3576</v>
      </c>
      <c r="K24" s="139">
        <v>4200</v>
      </c>
      <c r="L24" s="117">
        <f t="shared" si="0"/>
        <v>672</v>
      </c>
      <c r="M24" s="117">
        <f t="shared" si="1"/>
        <v>4872</v>
      </c>
      <c r="N24" s="136" t="s">
        <v>243</v>
      </c>
      <c r="O24" s="199">
        <v>45667</v>
      </c>
      <c r="P24" s="156"/>
      <c r="Q24" s="169"/>
    </row>
    <row r="25" spans="1:17" x14ac:dyDescent="0.35">
      <c r="A25" s="119" t="s">
        <v>204</v>
      </c>
      <c r="B25" s="119" t="s">
        <v>205</v>
      </c>
      <c r="C25" s="242">
        <v>89515</v>
      </c>
      <c r="D25" s="119" t="s">
        <v>806</v>
      </c>
      <c r="E25" s="110" t="s">
        <v>240</v>
      </c>
      <c r="F25" s="110" t="s">
        <v>1823</v>
      </c>
      <c r="G25" s="110" t="s">
        <v>1807</v>
      </c>
      <c r="H25" s="110">
        <v>6</v>
      </c>
      <c r="I25" s="110" t="s">
        <v>164</v>
      </c>
      <c r="J25" s="110">
        <v>3577</v>
      </c>
      <c r="K25" s="122">
        <v>3500</v>
      </c>
      <c r="L25" s="122">
        <f t="shared" si="0"/>
        <v>560</v>
      </c>
      <c r="M25" s="122">
        <f t="shared" si="1"/>
        <v>4060</v>
      </c>
      <c r="N25" s="136" t="s">
        <v>243</v>
      </c>
      <c r="O25" s="199">
        <v>45664</v>
      </c>
      <c r="P25" s="156"/>
      <c r="Q25" s="169"/>
    </row>
    <row r="26" spans="1:17" x14ac:dyDescent="0.35">
      <c r="A26" s="119" t="s">
        <v>206</v>
      </c>
      <c r="B26" s="119" t="s">
        <v>207</v>
      </c>
      <c r="C26" s="242">
        <v>64020</v>
      </c>
      <c r="D26" s="119" t="s">
        <v>805</v>
      </c>
      <c r="E26" s="411" t="s">
        <v>241</v>
      </c>
      <c r="F26" s="110" t="s">
        <v>1824</v>
      </c>
      <c r="G26" s="110" t="s">
        <v>1807</v>
      </c>
      <c r="H26" s="110">
        <v>6</v>
      </c>
      <c r="I26" s="110" t="s">
        <v>164</v>
      </c>
      <c r="J26" s="110">
        <v>3578</v>
      </c>
      <c r="K26" s="122">
        <v>300</v>
      </c>
      <c r="L26" s="117">
        <f t="shared" si="0"/>
        <v>48</v>
      </c>
      <c r="M26" s="117">
        <f t="shared" si="1"/>
        <v>348</v>
      </c>
      <c r="N26" s="136" t="s">
        <v>243</v>
      </c>
      <c r="O26" s="199">
        <v>45678</v>
      </c>
      <c r="P26" s="156"/>
      <c r="Q26" s="169"/>
    </row>
    <row r="27" spans="1:17" x14ac:dyDescent="0.35">
      <c r="A27" s="119" t="s">
        <v>823</v>
      </c>
      <c r="B27" s="119" t="s">
        <v>208</v>
      </c>
      <c r="C27" s="242">
        <v>64020</v>
      </c>
      <c r="D27" s="119" t="s">
        <v>805</v>
      </c>
      <c r="E27" s="411" t="s">
        <v>241</v>
      </c>
      <c r="F27" s="110" t="s">
        <v>1825</v>
      </c>
      <c r="G27" s="110" t="s">
        <v>1807</v>
      </c>
      <c r="H27" s="110">
        <v>6</v>
      </c>
      <c r="I27" s="110" t="s">
        <v>164</v>
      </c>
      <c r="J27" s="110">
        <v>3579</v>
      </c>
      <c r="K27" s="122">
        <v>600</v>
      </c>
      <c r="L27" s="122">
        <f t="shared" si="0"/>
        <v>96</v>
      </c>
      <c r="M27" s="122">
        <f t="shared" si="1"/>
        <v>696</v>
      </c>
      <c r="N27" s="136" t="s">
        <v>243</v>
      </c>
      <c r="O27" s="199">
        <v>45674</v>
      </c>
      <c r="P27" s="156"/>
      <c r="Q27" s="169"/>
    </row>
    <row r="28" spans="1:17" x14ac:dyDescent="0.35">
      <c r="A28" s="243" t="s">
        <v>1457</v>
      </c>
      <c r="B28" s="243" t="s">
        <v>1456</v>
      </c>
      <c r="C28" s="242">
        <v>66024</v>
      </c>
      <c r="D28" s="142" t="s">
        <v>806</v>
      </c>
      <c r="E28" s="110" t="s">
        <v>240</v>
      </c>
      <c r="F28" s="110" t="s">
        <v>1826</v>
      </c>
      <c r="G28" s="110" t="s">
        <v>1856</v>
      </c>
      <c r="H28" s="110">
        <v>7</v>
      </c>
      <c r="I28" s="110" t="s">
        <v>164</v>
      </c>
      <c r="J28" s="110">
        <v>3580</v>
      </c>
      <c r="K28" s="122">
        <v>900</v>
      </c>
      <c r="L28" s="117">
        <f t="shared" si="0"/>
        <v>144</v>
      </c>
      <c r="M28" s="117">
        <f t="shared" si="1"/>
        <v>1044</v>
      </c>
      <c r="N28" s="136" t="s">
        <v>243</v>
      </c>
      <c r="O28" s="199">
        <v>45664</v>
      </c>
      <c r="P28" s="156"/>
      <c r="Q28" s="169"/>
    </row>
    <row r="29" spans="1:17" x14ac:dyDescent="0.35">
      <c r="A29" s="119" t="s">
        <v>200</v>
      </c>
      <c r="B29" s="119" t="s">
        <v>201</v>
      </c>
      <c r="C29" s="242">
        <v>66052</v>
      </c>
      <c r="D29" s="119" t="s">
        <v>805</v>
      </c>
      <c r="E29" s="110" t="s">
        <v>240</v>
      </c>
      <c r="F29" s="110" t="s">
        <v>1827</v>
      </c>
      <c r="G29" s="110" t="s">
        <v>1856</v>
      </c>
      <c r="H29" s="110">
        <v>7</v>
      </c>
      <c r="I29" s="110" t="s">
        <v>164</v>
      </c>
      <c r="J29" s="110">
        <v>3581</v>
      </c>
      <c r="K29" s="122">
        <v>900</v>
      </c>
      <c r="L29" s="122">
        <f t="shared" si="0"/>
        <v>144</v>
      </c>
      <c r="M29" s="122">
        <f t="shared" si="1"/>
        <v>1044</v>
      </c>
      <c r="N29" s="136" t="s">
        <v>243</v>
      </c>
      <c r="O29" s="199">
        <v>45674</v>
      </c>
      <c r="P29" s="156"/>
      <c r="Q29" s="169"/>
    </row>
    <row r="30" spans="1:17" x14ac:dyDescent="0.35">
      <c r="A30" s="119" t="s">
        <v>780</v>
      </c>
      <c r="B30" s="119" t="s">
        <v>826</v>
      </c>
      <c r="C30" s="242">
        <v>45019</v>
      </c>
      <c r="D30" s="119" t="s">
        <v>805</v>
      </c>
      <c r="E30" s="110" t="s">
        <v>240</v>
      </c>
      <c r="F30" s="110" t="s">
        <v>1828</v>
      </c>
      <c r="G30" s="110" t="s">
        <v>1856</v>
      </c>
      <c r="H30" s="110">
        <v>7</v>
      </c>
      <c r="I30" s="110" t="s">
        <v>164</v>
      </c>
      <c r="J30" s="110">
        <v>3582</v>
      </c>
      <c r="K30" s="122">
        <v>1200</v>
      </c>
      <c r="L30" s="117">
        <f t="shared" si="0"/>
        <v>192</v>
      </c>
      <c r="M30" s="117">
        <f t="shared" si="1"/>
        <v>1392</v>
      </c>
      <c r="N30" s="136" t="s">
        <v>243</v>
      </c>
      <c r="O30" s="199">
        <v>45664</v>
      </c>
      <c r="P30" s="156"/>
      <c r="Q30" s="169"/>
    </row>
    <row r="31" spans="1:17" x14ac:dyDescent="0.35">
      <c r="A31" s="244" t="s">
        <v>816</v>
      </c>
      <c r="B31" s="244" t="s">
        <v>817</v>
      </c>
      <c r="C31" s="245">
        <v>64000</v>
      </c>
      <c r="D31" s="247" t="s">
        <v>818</v>
      </c>
      <c r="E31" s="110" t="s">
        <v>240</v>
      </c>
      <c r="F31" s="123" t="s">
        <v>1829</v>
      </c>
      <c r="G31" s="110" t="s">
        <v>1856</v>
      </c>
      <c r="H31" s="110">
        <v>7</v>
      </c>
      <c r="I31" s="110" t="s">
        <v>164</v>
      </c>
      <c r="J31" s="110">
        <v>3583</v>
      </c>
      <c r="K31" s="122">
        <v>750</v>
      </c>
      <c r="L31" s="122">
        <f t="shared" si="0"/>
        <v>120</v>
      </c>
      <c r="M31" s="122">
        <f t="shared" si="1"/>
        <v>870</v>
      </c>
      <c r="N31" s="136" t="s">
        <v>243</v>
      </c>
      <c r="O31" s="199">
        <v>45665</v>
      </c>
      <c r="P31" s="156"/>
      <c r="Q31" s="169"/>
    </row>
    <row r="32" spans="1:17" x14ac:dyDescent="0.35">
      <c r="A32" s="142" t="s">
        <v>833</v>
      </c>
      <c r="B32" s="142" t="s">
        <v>834</v>
      </c>
      <c r="C32" s="110">
        <v>67250</v>
      </c>
      <c r="D32" s="142" t="s">
        <v>806</v>
      </c>
      <c r="E32" s="110" t="s">
        <v>240</v>
      </c>
      <c r="F32" s="110" t="s">
        <v>1830</v>
      </c>
      <c r="G32" s="110" t="s">
        <v>1856</v>
      </c>
      <c r="H32" s="110">
        <v>7</v>
      </c>
      <c r="I32" s="110" t="s">
        <v>164</v>
      </c>
      <c r="J32" s="110">
        <v>3584</v>
      </c>
      <c r="K32" s="122">
        <v>300</v>
      </c>
      <c r="L32" s="117">
        <f t="shared" si="0"/>
        <v>48</v>
      </c>
      <c r="M32" s="117">
        <f t="shared" si="1"/>
        <v>348</v>
      </c>
      <c r="N32" s="136" t="s">
        <v>243</v>
      </c>
      <c r="O32" s="199">
        <v>45677</v>
      </c>
      <c r="P32" s="156"/>
      <c r="Q32" s="169"/>
    </row>
    <row r="33" spans="1:17" x14ac:dyDescent="0.35">
      <c r="A33" s="120" t="s">
        <v>245</v>
      </c>
      <c r="B33" s="120" t="s">
        <v>247</v>
      </c>
      <c r="C33" s="169">
        <v>66650</v>
      </c>
      <c r="D33" s="120" t="s">
        <v>805</v>
      </c>
      <c r="E33" s="110" t="s">
        <v>240</v>
      </c>
      <c r="F33" s="110" t="s">
        <v>1831</v>
      </c>
      <c r="G33" s="110" t="s">
        <v>1856</v>
      </c>
      <c r="H33" s="110">
        <v>7</v>
      </c>
      <c r="I33" s="110" t="s">
        <v>164</v>
      </c>
      <c r="J33" s="110">
        <v>3585</v>
      </c>
      <c r="K33" s="122">
        <v>1396</v>
      </c>
      <c r="L33" s="122">
        <f t="shared" si="0"/>
        <v>223.36</v>
      </c>
      <c r="M33" s="122">
        <f t="shared" si="1"/>
        <v>1619.3600000000001</v>
      </c>
      <c r="N33" s="136" t="s">
        <v>243</v>
      </c>
      <c r="O33" s="199">
        <v>45680</v>
      </c>
      <c r="P33" s="156"/>
      <c r="Q33" s="169"/>
    </row>
    <row r="34" spans="1:17" x14ac:dyDescent="0.35">
      <c r="A34" s="243" t="s">
        <v>1403</v>
      </c>
      <c r="B34" s="243" t="s">
        <v>1404</v>
      </c>
      <c r="C34" s="242">
        <v>64410</v>
      </c>
      <c r="D34" s="119" t="s">
        <v>805</v>
      </c>
      <c r="E34" s="110" t="s">
        <v>240</v>
      </c>
      <c r="F34" s="110" t="s">
        <v>1832</v>
      </c>
      <c r="G34" s="110" t="s">
        <v>1856</v>
      </c>
      <c r="H34" s="110">
        <v>7</v>
      </c>
      <c r="I34" s="110" t="s">
        <v>164</v>
      </c>
      <c r="J34" s="110">
        <v>3586</v>
      </c>
      <c r="K34" s="122">
        <v>3000</v>
      </c>
      <c r="L34" s="117">
        <f t="shared" si="0"/>
        <v>480</v>
      </c>
      <c r="M34" s="117">
        <f t="shared" si="1"/>
        <v>3480</v>
      </c>
      <c r="N34" s="136" t="s">
        <v>243</v>
      </c>
      <c r="O34" s="199">
        <v>45665</v>
      </c>
      <c r="P34" s="156"/>
      <c r="Q34" s="169"/>
    </row>
    <row r="35" spans="1:17" x14ac:dyDescent="0.35">
      <c r="A35" s="248" t="s">
        <v>1067</v>
      </c>
      <c r="B35" s="244" t="s">
        <v>1068</v>
      </c>
      <c r="C35" s="169">
        <v>64030</v>
      </c>
      <c r="D35" s="120" t="s">
        <v>805</v>
      </c>
      <c r="E35" s="110" t="s">
        <v>240</v>
      </c>
      <c r="F35" s="110" t="s">
        <v>1833</v>
      </c>
      <c r="G35" s="110" t="s">
        <v>1856</v>
      </c>
      <c r="H35" s="110">
        <v>7</v>
      </c>
      <c r="I35" s="110" t="s">
        <v>164</v>
      </c>
      <c r="J35" s="110">
        <v>3587</v>
      </c>
      <c r="K35" s="122">
        <v>0</v>
      </c>
      <c r="L35" s="117">
        <f t="shared" si="0"/>
        <v>0</v>
      </c>
      <c r="M35" s="117">
        <f t="shared" si="1"/>
        <v>0</v>
      </c>
      <c r="N35" s="132" t="s">
        <v>1890</v>
      </c>
      <c r="O35" s="199">
        <v>45666</v>
      </c>
      <c r="P35" s="156">
        <f>6514*0.16+6514</f>
        <v>7556.24</v>
      </c>
      <c r="Q35" s="169"/>
    </row>
    <row r="36" spans="1:17" x14ac:dyDescent="0.35">
      <c r="A36" s="119" t="s">
        <v>209</v>
      </c>
      <c r="B36" s="119" t="s">
        <v>210</v>
      </c>
      <c r="C36" s="242">
        <v>67110</v>
      </c>
      <c r="D36" s="119" t="s">
        <v>806</v>
      </c>
      <c r="E36" s="411" t="s">
        <v>241</v>
      </c>
      <c r="F36" s="123" t="s">
        <v>1834</v>
      </c>
      <c r="G36" s="110" t="s">
        <v>1856</v>
      </c>
      <c r="H36" s="110">
        <v>7</v>
      </c>
      <c r="I36" s="110" t="s">
        <v>164</v>
      </c>
      <c r="J36" s="110">
        <v>3588</v>
      </c>
      <c r="K36" s="122">
        <v>1320</v>
      </c>
      <c r="L36" s="122">
        <f t="shared" si="0"/>
        <v>211.20000000000002</v>
      </c>
      <c r="M36" s="122">
        <f t="shared" si="1"/>
        <v>1531.2</v>
      </c>
      <c r="N36" s="136" t="s">
        <v>243</v>
      </c>
      <c r="O36" s="199">
        <v>45663</v>
      </c>
      <c r="P36" s="156"/>
      <c r="Q36" s="169"/>
    </row>
    <row r="37" spans="1:17" x14ac:dyDescent="0.35">
      <c r="A37" s="244" t="s">
        <v>1028</v>
      </c>
      <c r="B37" s="244" t="s">
        <v>1029</v>
      </c>
      <c r="C37" s="245">
        <v>66607</v>
      </c>
      <c r="D37" s="119" t="s">
        <v>915</v>
      </c>
      <c r="E37" s="110" t="s">
        <v>240</v>
      </c>
      <c r="F37" s="110" t="s">
        <v>1835</v>
      </c>
      <c r="G37" s="110" t="s">
        <v>1856</v>
      </c>
      <c r="H37" s="110">
        <v>7</v>
      </c>
      <c r="I37" s="110" t="s">
        <v>164</v>
      </c>
      <c r="J37" s="110">
        <v>3589</v>
      </c>
      <c r="K37" s="122">
        <v>300</v>
      </c>
      <c r="L37" s="117">
        <f t="shared" si="0"/>
        <v>48</v>
      </c>
      <c r="M37" s="117">
        <f t="shared" si="1"/>
        <v>348</v>
      </c>
      <c r="N37" s="136" t="s">
        <v>243</v>
      </c>
      <c r="O37" s="199">
        <v>45665</v>
      </c>
      <c r="P37" s="156"/>
      <c r="Q37" s="169"/>
    </row>
    <row r="38" spans="1:17" x14ac:dyDescent="0.35">
      <c r="A38" s="244" t="s">
        <v>913</v>
      </c>
      <c r="B38" s="244" t="s">
        <v>914</v>
      </c>
      <c r="C38" s="245">
        <v>67150</v>
      </c>
      <c r="D38" s="247" t="s">
        <v>915</v>
      </c>
      <c r="E38" s="110" t="s">
        <v>240</v>
      </c>
      <c r="F38" s="110" t="s">
        <v>1836</v>
      </c>
      <c r="G38" s="110" t="s">
        <v>1856</v>
      </c>
      <c r="H38" s="110">
        <v>7</v>
      </c>
      <c r="I38" s="110" t="s">
        <v>164</v>
      </c>
      <c r="J38" s="110">
        <v>3590</v>
      </c>
      <c r="K38" s="122">
        <v>1200</v>
      </c>
      <c r="L38" s="122">
        <f t="shared" si="0"/>
        <v>192</v>
      </c>
      <c r="M38" s="122">
        <f t="shared" si="1"/>
        <v>1392</v>
      </c>
      <c r="N38" s="136" t="s">
        <v>243</v>
      </c>
      <c r="O38" s="199">
        <v>45664</v>
      </c>
      <c r="P38" s="275"/>
      <c r="Q38" s="169"/>
    </row>
    <row r="39" spans="1:17" x14ac:dyDescent="0.35">
      <c r="A39" s="119" t="s">
        <v>827</v>
      </c>
      <c r="B39" s="119" t="s">
        <v>828</v>
      </c>
      <c r="C39" s="242">
        <v>66477</v>
      </c>
      <c r="D39" s="119" t="s">
        <v>901</v>
      </c>
      <c r="E39" s="411" t="s">
        <v>848</v>
      </c>
      <c r="F39" s="123" t="s">
        <v>1837</v>
      </c>
      <c r="G39" s="110" t="s">
        <v>1856</v>
      </c>
      <c r="H39" s="110">
        <v>7</v>
      </c>
      <c r="I39" s="110" t="s">
        <v>164</v>
      </c>
      <c r="J39" s="110">
        <v>3591</v>
      </c>
      <c r="K39" s="122">
        <v>660</v>
      </c>
      <c r="L39" s="117">
        <f t="shared" si="0"/>
        <v>105.60000000000001</v>
      </c>
      <c r="M39" s="117">
        <f t="shared" si="1"/>
        <v>765.6</v>
      </c>
      <c r="N39" s="136" t="s">
        <v>243</v>
      </c>
      <c r="O39" s="199">
        <v>45665</v>
      </c>
      <c r="P39" s="156"/>
      <c r="Q39" s="169"/>
    </row>
    <row r="40" spans="1:17" x14ac:dyDescent="0.35">
      <c r="A40" s="119" t="s">
        <v>220</v>
      </c>
      <c r="B40" s="119" t="s">
        <v>221</v>
      </c>
      <c r="C40" s="242">
        <v>66460</v>
      </c>
      <c r="D40" s="119" t="s">
        <v>806</v>
      </c>
      <c r="E40" s="110" t="s">
        <v>240</v>
      </c>
      <c r="F40" s="110" t="s">
        <v>1838</v>
      </c>
      <c r="G40" s="110" t="s">
        <v>1856</v>
      </c>
      <c r="H40" s="110">
        <v>7</v>
      </c>
      <c r="I40" s="110" t="s">
        <v>164</v>
      </c>
      <c r="J40" s="110">
        <v>3592</v>
      </c>
      <c r="K40" s="122">
        <v>4046</v>
      </c>
      <c r="L40" s="122">
        <f t="shared" si="0"/>
        <v>647.36</v>
      </c>
      <c r="M40" s="122">
        <f t="shared" si="1"/>
        <v>4693.3599999999997</v>
      </c>
      <c r="N40" s="136" t="s">
        <v>2078</v>
      </c>
      <c r="O40" s="199">
        <v>45699</v>
      </c>
      <c r="P40" s="275"/>
      <c r="Q40" s="169"/>
    </row>
    <row r="41" spans="1:17" x14ac:dyDescent="0.35">
      <c r="A41" s="119" t="s">
        <v>712</v>
      </c>
      <c r="B41" s="119" t="s">
        <v>829</v>
      </c>
      <c r="C41" s="242">
        <v>66070</v>
      </c>
      <c r="D41" s="119" t="s">
        <v>830</v>
      </c>
      <c r="E41" s="110" t="s">
        <v>240</v>
      </c>
      <c r="F41" s="123" t="s">
        <v>1839</v>
      </c>
      <c r="G41" s="110" t="s">
        <v>1856</v>
      </c>
      <c r="H41" s="110">
        <v>7</v>
      </c>
      <c r="I41" s="110" t="s">
        <v>164</v>
      </c>
      <c r="J41" s="110">
        <v>3593</v>
      </c>
      <c r="K41" s="122">
        <v>3220</v>
      </c>
      <c r="L41" s="117">
        <f t="shared" si="0"/>
        <v>515.20000000000005</v>
      </c>
      <c r="M41" s="117">
        <f t="shared" si="1"/>
        <v>3735.2</v>
      </c>
      <c r="N41" s="136" t="s">
        <v>243</v>
      </c>
      <c r="O41" s="199">
        <v>45664</v>
      </c>
      <c r="P41" s="156"/>
      <c r="Q41" s="169"/>
    </row>
    <row r="42" spans="1:17" x14ac:dyDescent="0.35">
      <c r="A42" s="244" t="s">
        <v>1551</v>
      </c>
      <c r="B42" s="244" t="s">
        <v>1553</v>
      </c>
      <c r="C42" s="242">
        <v>76079</v>
      </c>
      <c r="D42" s="247" t="s">
        <v>915</v>
      </c>
      <c r="E42" s="110" t="s">
        <v>240</v>
      </c>
      <c r="F42" s="123" t="s">
        <v>1840</v>
      </c>
      <c r="G42" s="110" t="s">
        <v>1856</v>
      </c>
      <c r="H42" s="110">
        <v>7</v>
      </c>
      <c r="I42" s="110" t="s">
        <v>164</v>
      </c>
      <c r="J42" s="110">
        <v>3594</v>
      </c>
      <c r="K42" s="122">
        <v>200</v>
      </c>
      <c r="L42" s="122">
        <f t="shared" si="0"/>
        <v>32</v>
      </c>
      <c r="M42" s="122">
        <f t="shared" si="1"/>
        <v>232</v>
      </c>
      <c r="N42" s="136" t="s">
        <v>243</v>
      </c>
      <c r="O42" s="199">
        <v>45671</v>
      </c>
      <c r="P42" s="156"/>
      <c r="Q42" s="169"/>
    </row>
    <row r="43" spans="1:17" x14ac:dyDescent="0.35">
      <c r="A43" s="244" t="s">
        <v>831</v>
      </c>
      <c r="B43" s="244" t="s">
        <v>832</v>
      </c>
      <c r="C43" s="110">
        <v>64530</v>
      </c>
      <c r="D43" s="142" t="s">
        <v>805</v>
      </c>
      <c r="E43" s="110" t="s">
        <v>240</v>
      </c>
      <c r="F43" s="123" t="s">
        <v>1841</v>
      </c>
      <c r="G43" s="110" t="s">
        <v>1856</v>
      </c>
      <c r="H43" s="110">
        <v>7</v>
      </c>
      <c r="I43" s="110" t="s">
        <v>164</v>
      </c>
      <c r="J43" s="110">
        <v>3595</v>
      </c>
      <c r="K43" s="122">
        <v>300</v>
      </c>
      <c r="L43" s="117">
        <f t="shared" si="0"/>
        <v>48</v>
      </c>
      <c r="M43" s="117">
        <f t="shared" si="1"/>
        <v>348</v>
      </c>
      <c r="N43" s="136" t="s">
        <v>243</v>
      </c>
      <c r="O43" s="124">
        <v>45665</v>
      </c>
      <c r="P43" s="156"/>
      <c r="Q43" s="169"/>
    </row>
    <row r="44" spans="1:17" x14ac:dyDescent="0.35">
      <c r="A44" s="244" t="s">
        <v>1619</v>
      </c>
      <c r="B44" s="244" t="s">
        <v>1620</v>
      </c>
      <c r="C44" s="110">
        <v>67196</v>
      </c>
      <c r="D44" s="119" t="s">
        <v>806</v>
      </c>
      <c r="E44" s="110" t="s">
        <v>240</v>
      </c>
      <c r="F44" s="1" t="s">
        <v>1842</v>
      </c>
      <c r="G44" s="110" t="s">
        <v>1856</v>
      </c>
      <c r="H44" s="110">
        <v>7</v>
      </c>
      <c r="I44" s="110" t="s">
        <v>164</v>
      </c>
      <c r="J44" s="110">
        <v>3596</v>
      </c>
      <c r="K44" s="139">
        <v>250</v>
      </c>
      <c r="L44" s="122">
        <f t="shared" si="0"/>
        <v>40</v>
      </c>
      <c r="M44" s="122">
        <f t="shared" si="1"/>
        <v>290</v>
      </c>
      <c r="N44" s="136" t="s">
        <v>243</v>
      </c>
      <c r="O44" s="124">
        <v>45670</v>
      </c>
      <c r="P44" s="156"/>
      <c r="Q44" s="169"/>
    </row>
    <row r="45" spans="1:17" x14ac:dyDescent="0.35">
      <c r="A45" s="244" t="s">
        <v>533</v>
      </c>
      <c r="B45" s="244" t="s">
        <v>835</v>
      </c>
      <c r="C45" s="245">
        <v>89110</v>
      </c>
      <c r="D45" s="119" t="s">
        <v>805</v>
      </c>
      <c r="E45" s="110" t="s">
        <v>240</v>
      </c>
      <c r="F45" s="110" t="s">
        <v>1843</v>
      </c>
      <c r="G45" s="110" t="s">
        <v>1856</v>
      </c>
      <c r="H45" s="110">
        <v>7</v>
      </c>
      <c r="I45" s="110" t="s">
        <v>164</v>
      </c>
      <c r="J45" s="110">
        <v>3597</v>
      </c>
      <c r="K45" s="122">
        <v>8030</v>
      </c>
      <c r="L45" s="117">
        <f t="shared" si="0"/>
        <v>1284.8</v>
      </c>
      <c r="M45" s="117">
        <f t="shared" si="1"/>
        <v>9314.7999999999993</v>
      </c>
      <c r="N45" s="136" t="s">
        <v>243</v>
      </c>
      <c r="O45" s="199">
        <v>45674</v>
      </c>
      <c r="P45" s="156"/>
      <c r="Q45" s="169"/>
    </row>
    <row r="46" spans="1:17" x14ac:dyDescent="0.35">
      <c r="A46" s="142" t="s">
        <v>1670</v>
      </c>
      <c r="B46" s="142" t="s">
        <v>1671</v>
      </c>
      <c r="C46" s="110">
        <v>76000</v>
      </c>
      <c r="D46" s="119" t="s">
        <v>805</v>
      </c>
      <c r="E46" s="110" t="s">
        <v>240</v>
      </c>
      <c r="F46" s="123" t="s">
        <v>1844</v>
      </c>
      <c r="G46" s="110" t="s">
        <v>1856</v>
      </c>
      <c r="H46" s="110">
        <v>7</v>
      </c>
      <c r="I46" s="110" t="s">
        <v>164</v>
      </c>
      <c r="J46" s="110">
        <v>3598</v>
      </c>
      <c r="K46" s="122">
        <v>420</v>
      </c>
      <c r="L46" s="122">
        <f t="shared" si="0"/>
        <v>67.2</v>
      </c>
      <c r="M46" s="122">
        <f t="shared" si="1"/>
        <v>487.2</v>
      </c>
      <c r="N46" s="136" t="s">
        <v>243</v>
      </c>
      <c r="O46" s="124">
        <v>45666</v>
      </c>
      <c r="P46" s="241"/>
      <c r="Q46" s="169"/>
    </row>
    <row r="47" spans="1:17" x14ac:dyDescent="0.35">
      <c r="A47" s="248" t="s">
        <v>836</v>
      </c>
      <c r="B47" s="244" t="s">
        <v>837</v>
      </c>
      <c r="C47" s="110">
        <v>66062</v>
      </c>
      <c r="D47" s="248" t="s">
        <v>805</v>
      </c>
      <c r="E47" s="110" t="s">
        <v>240</v>
      </c>
      <c r="F47" s="1" t="s">
        <v>1845</v>
      </c>
      <c r="G47" s="110" t="s">
        <v>1856</v>
      </c>
      <c r="H47" s="110">
        <v>7</v>
      </c>
      <c r="I47" s="110" t="s">
        <v>164</v>
      </c>
      <c r="J47" s="110">
        <v>3599</v>
      </c>
      <c r="K47" s="122">
        <v>498</v>
      </c>
      <c r="L47" s="117">
        <f t="shared" si="0"/>
        <v>79.680000000000007</v>
      </c>
      <c r="M47" s="117">
        <f t="shared" si="1"/>
        <v>577.68000000000006</v>
      </c>
      <c r="N47" s="136" t="s">
        <v>243</v>
      </c>
      <c r="O47" s="199">
        <v>45682</v>
      </c>
      <c r="P47" s="156"/>
      <c r="Q47" s="169"/>
    </row>
    <row r="48" spans="1:17" x14ac:dyDescent="0.35">
      <c r="A48" s="119" t="s">
        <v>838</v>
      </c>
      <c r="B48" s="119" t="s">
        <v>211</v>
      </c>
      <c r="C48" s="242">
        <v>64350</v>
      </c>
      <c r="D48" s="119" t="s">
        <v>806</v>
      </c>
      <c r="E48" s="110" t="s">
        <v>240</v>
      </c>
      <c r="F48" s="110" t="s">
        <v>1846</v>
      </c>
      <c r="G48" s="110" t="s">
        <v>1856</v>
      </c>
      <c r="H48" s="110">
        <v>7</v>
      </c>
      <c r="I48" s="110" t="s">
        <v>164</v>
      </c>
      <c r="J48" s="110">
        <v>3600</v>
      </c>
      <c r="K48" s="122">
        <v>300</v>
      </c>
      <c r="L48" s="122">
        <f t="shared" si="0"/>
        <v>48</v>
      </c>
      <c r="M48" s="122">
        <f t="shared" si="1"/>
        <v>348</v>
      </c>
      <c r="N48" s="136" t="s">
        <v>243</v>
      </c>
      <c r="O48" s="199">
        <v>45674</v>
      </c>
      <c r="P48" s="156"/>
      <c r="Q48" s="169"/>
    </row>
    <row r="49" spans="1:17" x14ac:dyDescent="0.35">
      <c r="A49" s="119" t="s">
        <v>53</v>
      </c>
      <c r="B49" s="119" t="s">
        <v>212</v>
      </c>
      <c r="C49" s="242">
        <v>64850</v>
      </c>
      <c r="D49" s="119" t="s">
        <v>806</v>
      </c>
      <c r="E49" s="110" t="s">
        <v>240</v>
      </c>
      <c r="F49" s="123" t="s">
        <v>1847</v>
      </c>
      <c r="G49" s="110" t="s">
        <v>1856</v>
      </c>
      <c r="H49" s="110">
        <v>7</v>
      </c>
      <c r="I49" s="110" t="s">
        <v>164</v>
      </c>
      <c r="J49" s="110">
        <v>3601</v>
      </c>
      <c r="K49" s="122">
        <v>300</v>
      </c>
      <c r="L49" s="117">
        <f t="shared" si="0"/>
        <v>48</v>
      </c>
      <c r="M49" s="117">
        <f t="shared" si="1"/>
        <v>348</v>
      </c>
      <c r="N49" s="136" t="s">
        <v>243</v>
      </c>
      <c r="O49" s="199">
        <v>45671</v>
      </c>
      <c r="P49" s="156"/>
      <c r="Q49" s="169"/>
    </row>
    <row r="50" spans="1:17" x14ac:dyDescent="0.35">
      <c r="A50" s="119" t="s">
        <v>1032</v>
      </c>
      <c r="B50" s="119" t="s">
        <v>1033</v>
      </c>
      <c r="C50" s="242">
        <v>64610</v>
      </c>
      <c r="D50" s="119" t="s">
        <v>915</v>
      </c>
      <c r="E50" s="110" t="s">
        <v>240</v>
      </c>
      <c r="F50" s="123" t="s">
        <v>1848</v>
      </c>
      <c r="G50" s="110" t="s">
        <v>1856</v>
      </c>
      <c r="H50" s="110">
        <v>7</v>
      </c>
      <c r="I50" s="110" t="s">
        <v>164</v>
      </c>
      <c r="J50" s="110">
        <v>3602</v>
      </c>
      <c r="K50" s="122">
        <v>10308.32</v>
      </c>
      <c r="L50" s="122">
        <f t="shared" si="0"/>
        <v>1649.3312000000001</v>
      </c>
      <c r="M50" s="122">
        <f t="shared" si="1"/>
        <v>11957.6512</v>
      </c>
      <c r="N50" s="136" t="s">
        <v>243</v>
      </c>
      <c r="O50" s="199">
        <v>45663</v>
      </c>
      <c r="P50" s="156"/>
      <c r="Q50" s="169"/>
    </row>
    <row r="51" spans="1:17" x14ac:dyDescent="0.35">
      <c r="A51" s="119" t="s">
        <v>1061</v>
      </c>
      <c r="B51" s="119" t="s">
        <v>1060</v>
      </c>
      <c r="C51" s="242">
        <v>66614</v>
      </c>
      <c r="D51" s="119" t="s">
        <v>806</v>
      </c>
      <c r="E51" s="110" t="s">
        <v>240</v>
      </c>
      <c r="F51" s="110" t="s">
        <v>1849</v>
      </c>
      <c r="G51" s="110" t="s">
        <v>1856</v>
      </c>
      <c r="H51" s="110">
        <v>7</v>
      </c>
      <c r="I51" s="110" t="s">
        <v>164</v>
      </c>
      <c r="J51" s="110">
        <v>3603</v>
      </c>
      <c r="K51" s="122">
        <v>750</v>
      </c>
      <c r="L51" s="117">
        <f t="shared" si="0"/>
        <v>120</v>
      </c>
      <c r="M51" s="117">
        <f t="shared" si="1"/>
        <v>870</v>
      </c>
      <c r="N51" s="136" t="s">
        <v>243</v>
      </c>
      <c r="O51" s="199">
        <v>45664</v>
      </c>
      <c r="P51" s="156"/>
      <c r="Q51" s="169"/>
    </row>
    <row r="52" spans="1:17" x14ac:dyDescent="0.35">
      <c r="A52" s="248" t="s">
        <v>964</v>
      </c>
      <c r="B52" s="248" t="s">
        <v>965</v>
      </c>
      <c r="C52" s="169">
        <v>64000</v>
      </c>
      <c r="D52" s="248" t="s">
        <v>805</v>
      </c>
      <c r="E52" s="110" t="s">
        <v>240</v>
      </c>
      <c r="F52" s="123" t="s">
        <v>1850</v>
      </c>
      <c r="G52" s="110" t="s">
        <v>1856</v>
      </c>
      <c r="H52" s="110">
        <v>7</v>
      </c>
      <c r="I52" s="110" t="s">
        <v>164</v>
      </c>
      <c r="J52" s="110">
        <v>3604</v>
      </c>
      <c r="K52" s="122">
        <v>1500</v>
      </c>
      <c r="L52" s="122">
        <f t="shared" si="0"/>
        <v>240</v>
      </c>
      <c r="M52" s="122">
        <f t="shared" si="1"/>
        <v>1740</v>
      </c>
      <c r="N52" s="136" t="s">
        <v>243</v>
      </c>
      <c r="O52" s="199">
        <v>45666</v>
      </c>
      <c r="P52" s="156"/>
      <c r="Q52" s="169"/>
    </row>
    <row r="53" spans="1:17" x14ac:dyDescent="0.35">
      <c r="A53" s="243" t="s">
        <v>1022</v>
      </c>
      <c r="B53" s="243" t="s">
        <v>1023</v>
      </c>
      <c r="C53" s="242">
        <v>66630</v>
      </c>
      <c r="D53" s="119" t="s">
        <v>805</v>
      </c>
      <c r="E53" s="110" t="s">
        <v>240</v>
      </c>
      <c r="F53" s="110" t="s">
        <v>1851</v>
      </c>
      <c r="G53" s="110" t="s">
        <v>1856</v>
      </c>
      <c r="H53" s="110">
        <v>7</v>
      </c>
      <c r="I53" s="110" t="s">
        <v>164</v>
      </c>
      <c r="J53" s="110">
        <v>3605</v>
      </c>
      <c r="K53" s="122">
        <v>4508.3</v>
      </c>
      <c r="L53" s="117">
        <f t="shared" si="0"/>
        <v>721.32800000000009</v>
      </c>
      <c r="M53" s="117">
        <f t="shared" si="1"/>
        <v>5229.6280000000006</v>
      </c>
      <c r="N53" s="136" t="s">
        <v>243</v>
      </c>
      <c r="O53" s="199">
        <v>45665</v>
      </c>
      <c r="P53" s="156"/>
      <c r="Q53" s="169"/>
    </row>
    <row r="54" spans="1:17" x14ac:dyDescent="0.35">
      <c r="A54" s="244" t="s">
        <v>819</v>
      </c>
      <c r="B54" s="244" t="s">
        <v>820</v>
      </c>
      <c r="C54" s="242">
        <v>67113</v>
      </c>
      <c r="D54" s="119" t="s">
        <v>805</v>
      </c>
      <c r="E54" s="110" t="s">
        <v>240</v>
      </c>
      <c r="F54" s="123" t="s">
        <v>1852</v>
      </c>
      <c r="G54" s="110" t="s">
        <v>1856</v>
      </c>
      <c r="H54" s="110">
        <v>7</v>
      </c>
      <c r="I54" s="110" t="s">
        <v>164</v>
      </c>
      <c r="J54" s="110">
        <v>3606</v>
      </c>
      <c r="K54" s="122">
        <v>2152</v>
      </c>
      <c r="L54" s="122">
        <f t="shared" si="0"/>
        <v>344.32</v>
      </c>
      <c r="M54" s="122">
        <f t="shared" si="1"/>
        <v>2496.3200000000002</v>
      </c>
      <c r="N54" s="136" t="s">
        <v>243</v>
      </c>
      <c r="O54" s="199">
        <v>45671</v>
      </c>
      <c r="P54" s="156"/>
      <c r="Q54" s="169"/>
    </row>
    <row r="55" spans="1:17" x14ac:dyDescent="0.35">
      <c r="A55" s="119" t="s">
        <v>213</v>
      </c>
      <c r="B55" s="119" t="s">
        <v>214</v>
      </c>
      <c r="C55" s="242">
        <v>64984</v>
      </c>
      <c r="D55" s="119" t="s">
        <v>806</v>
      </c>
      <c r="E55" s="110" t="s">
        <v>240</v>
      </c>
      <c r="F55" s="123" t="s">
        <v>1853</v>
      </c>
      <c r="G55" s="110" t="s">
        <v>1856</v>
      </c>
      <c r="H55" s="110">
        <v>7</v>
      </c>
      <c r="I55" s="110" t="s">
        <v>164</v>
      </c>
      <c r="J55" s="110">
        <v>3607</v>
      </c>
      <c r="K55" s="122">
        <v>4335</v>
      </c>
      <c r="L55" s="117">
        <f t="shared" si="0"/>
        <v>693.6</v>
      </c>
      <c r="M55" s="117">
        <f t="shared" si="1"/>
        <v>5028.6000000000004</v>
      </c>
      <c r="N55" s="136" t="s">
        <v>243</v>
      </c>
      <c r="O55" s="199">
        <v>45667</v>
      </c>
      <c r="P55" s="156"/>
      <c r="Q55" s="169"/>
    </row>
    <row r="56" spans="1:17" x14ac:dyDescent="0.35">
      <c r="A56" s="121" t="s">
        <v>215</v>
      </c>
      <c r="B56" s="119" t="s">
        <v>216</v>
      </c>
      <c r="C56" s="242">
        <v>64500</v>
      </c>
      <c r="D56" s="119" t="s">
        <v>818</v>
      </c>
      <c r="E56" s="110" t="s">
        <v>240</v>
      </c>
      <c r="F56" s="110" t="s">
        <v>1854</v>
      </c>
      <c r="G56" s="110" t="s">
        <v>1856</v>
      </c>
      <c r="H56" s="110">
        <v>7</v>
      </c>
      <c r="I56" s="110" t="s">
        <v>164</v>
      </c>
      <c r="J56" s="110">
        <v>3608</v>
      </c>
      <c r="K56" s="122">
        <v>5550</v>
      </c>
      <c r="L56" s="122">
        <f t="shared" si="0"/>
        <v>888</v>
      </c>
      <c r="M56" s="122">
        <f t="shared" si="1"/>
        <v>6438</v>
      </c>
      <c r="N56" s="136" t="s">
        <v>243</v>
      </c>
      <c r="O56" s="199">
        <v>45687</v>
      </c>
      <c r="P56" s="156"/>
      <c r="Q56" s="169"/>
    </row>
    <row r="57" spans="1:17" x14ac:dyDescent="0.35">
      <c r="A57" s="244" t="s">
        <v>1437</v>
      </c>
      <c r="B57" s="244" t="s">
        <v>1438</v>
      </c>
      <c r="C57" s="242">
        <v>66460</v>
      </c>
      <c r="D57" s="119" t="s">
        <v>818</v>
      </c>
      <c r="E57" s="110" t="s">
        <v>240</v>
      </c>
      <c r="F57" s="110" t="s">
        <v>1855</v>
      </c>
      <c r="G57" s="110" t="s">
        <v>1856</v>
      </c>
      <c r="H57" s="110">
        <v>7</v>
      </c>
      <c r="I57" s="110" t="s">
        <v>164</v>
      </c>
      <c r="J57" s="110">
        <v>3609</v>
      </c>
      <c r="K57" s="122">
        <v>1359</v>
      </c>
      <c r="L57" s="117">
        <f t="shared" si="0"/>
        <v>217.44</v>
      </c>
      <c r="M57" s="117">
        <f t="shared" si="1"/>
        <v>1576.44</v>
      </c>
      <c r="N57" s="136" t="s">
        <v>243</v>
      </c>
      <c r="O57" s="199">
        <v>45680</v>
      </c>
      <c r="P57" s="156"/>
      <c r="Q57" s="169"/>
    </row>
    <row r="58" spans="1:17" x14ac:dyDescent="0.35">
      <c r="A58" s="119" t="s">
        <v>217</v>
      </c>
      <c r="B58" s="119" t="s">
        <v>218</v>
      </c>
      <c r="C58" s="242">
        <v>66400</v>
      </c>
      <c r="D58" s="119" t="s">
        <v>818</v>
      </c>
      <c r="E58" s="110" t="s">
        <v>240</v>
      </c>
      <c r="F58" s="110" t="s">
        <v>1857</v>
      </c>
      <c r="G58" s="110" t="s">
        <v>1856</v>
      </c>
      <c r="H58" s="110">
        <v>7</v>
      </c>
      <c r="I58" s="110" t="s">
        <v>164</v>
      </c>
      <c r="J58" s="110">
        <v>3610</v>
      </c>
      <c r="K58" s="122">
        <v>2400</v>
      </c>
      <c r="L58" s="122">
        <f t="shared" si="0"/>
        <v>384</v>
      </c>
      <c r="M58" s="122">
        <f t="shared" si="1"/>
        <v>2784</v>
      </c>
      <c r="N58" s="136" t="s">
        <v>243</v>
      </c>
      <c r="O58" s="199">
        <v>45674</v>
      </c>
      <c r="P58" s="156"/>
      <c r="Q58" s="169"/>
    </row>
    <row r="59" spans="1:17" x14ac:dyDescent="0.35">
      <c r="A59" s="5" t="s">
        <v>1062</v>
      </c>
      <c r="B59" s="120" t="s">
        <v>1063</v>
      </c>
      <c r="C59" s="169">
        <v>66350</v>
      </c>
      <c r="D59" s="120" t="s">
        <v>805</v>
      </c>
      <c r="E59" s="110" t="s">
        <v>240</v>
      </c>
      <c r="F59" s="110" t="s">
        <v>1858</v>
      </c>
      <c r="G59" s="110" t="s">
        <v>1856</v>
      </c>
      <c r="H59" s="110">
        <v>7</v>
      </c>
      <c r="I59" s="110" t="s">
        <v>164</v>
      </c>
      <c r="J59" s="110">
        <v>3611</v>
      </c>
      <c r="K59" s="122">
        <v>880</v>
      </c>
      <c r="L59" s="117">
        <f t="shared" si="0"/>
        <v>140.80000000000001</v>
      </c>
      <c r="M59" s="117">
        <f t="shared" si="1"/>
        <v>1020.8</v>
      </c>
      <c r="N59" s="136" t="s">
        <v>243</v>
      </c>
      <c r="O59" s="199">
        <v>45670</v>
      </c>
      <c r="P59" s="156"/>
      <c r="Q59" s="169"/>
    </row>
    <row r="60" spans="1:17" x14ac:dyDescent="0.35">
      <c r="A60" s="244" t="s">
        <v>1332</v>
      </c>
      <c r="B60" s="244" t="s">
        <v>1333</v>
      </c>
      <c r="C60" s="245">
        <v>88720</v>
      </c>
      <c r="D60" s="119" t="s">
        <v>805</v>
      </c>
      <c r="E60" s="110" t="s">
        <v>240</v>
      </c>
      <c r="F60" s="110" t="s">
        <v>1859</v>
      </c>
      <c r="G60" s="110" t="s">
        <v>1856</v>
      </c>
      <c r="H60" s="110">
        <v>7</v>
      </c>
      <c r="I60" s="110" t="s">
        <v>164</v>
      </c>
      <c r="J60" s="110">
        <v>3612</v>
      </c>
      <c r="K60" s="122">
        <v>1200</v>
      </c>
      <c r="L60" s="122">
        <f t="shared" si="0"/>
        <v>192</v>
      </c>
      <c r="M60" s="122">
        <f t="shared" si="1"/>
        <v>1392</v>
      </c>
      <c r="N60" s="132" t="s">
        <v>2078</v>
      </c>
      <c r="O60" s="199"/>
      <c r="P60" s="156"/>
      <c r="Q60" s="169"/>
    </row>
    <row r="61" spans="1:17" x14ac:dyDescent="0.35">
      <c r="A61" s="119" t="s">
        <v>841</v>
      </c>
      <c r="B61" s="119" t="s">
        <v>842</v>
      </c>
      <c r="C61" s="242">
        <v>64700</v>
      </c>
      <c r="D61" s="119" t="s">
        <v>805</v>
      </c>
      <c r="E61" s="110" t="s">
        <v>240</v>
      </c>
      <c r="F61" s="110" t="s">
        <v>1860</v>
      </c>
      <c r="G61" s="110" t="s">
        <v>1856</v>
      </c>
      <c r="H61" s="110">
        <v>7</v>
      </c>
      <c r="I61" s="110" t="s">
        <v>164</v>
      </c>
      <c r="J61" s="110">
        <v>3613</v>
      </c>
      <c r="K61" s="122">
        <v>750</v>
      </c>
      <c r="L61" s="117">
        <f t="shared" si="0"/>
        <v>120</v>
      </c>
      <c r="M61" s="117">
        <f t="shared" si="1"/>
        <v>870</v>
      </c>
      <c r="N61" s="136" t="s">
        <v>243</v>
      </c>
      <c r="O61" s="199">
        <v>45667</v>
      </c>
      <c r="P61" s="156"/>
      <c r="Q61" s="169"/>
    </row>
    <row r="62" spans="1:17" x14ac:dyDescent="0.35">
      <c r="A62" s="244" t="s">
        <v>1539</v>
      </c>
      <c r="B62" s="244" t="s">
        <v>1540</v>
      </c>
      <c r="C62" s="242">
        <v>66646</v>
      </c>
      <c r="D62" s="247" t="s">
        <v>915</v>
      </c>
      <c r="E62" s="110" t="s">
        <v>240</v>
      </c>
      <c r="F62" s="110" t="s">
        <v>1861</v>
      </c>
      <c r="G62" s="110" t="s">
        <v>1856</v>
      </c>
      <c r="H62" s="110">
        <v>7</v>
      </c>
      <c r="I62" s="110" t="s">
        <v>164</v>
      </c>
      <c r="J62" s="110">
        <v>3614</v>
      </c>
      <c r="K62" s="122">
        <v>900</v>
      </c>
      <c r="L62" s="122">
        <f t="shared" si="0"/>
        <v>144</v>
      </c>
      <c r="M62" s="122">
        <f t="shared" si="1"/>
        <v>1044</v>
      </c>
      <c r="N62" s="136" t="s">
        <v>243</v>
      </c>
      <c r="O62" s="199">
        <v>45670</v>
      </c>
      <c r="P62" s="156"/>
      <c r="Q62" s="169"/>
    </row>
    <row r="63" spans="1:17" x14ac:dyDescent="0.35">
      <c r="A63" s="142" t="s">
        <v>869</v>
      </c>
      <c r="B63" s="244" t="s">
        <v>870</v>
      </c>
      <c r="C63" s="110">
        <v>25034</v>
      </c>
      <c r="D63" s="142" t="s">
        <v>805</v>
      </c>
      <c r="E63" s="110" t="s">
        <v>240</v>
      </c>
      <c r="F63" s="110" t="s">
        <v>1862</v>
      </c>
      <c r="G63" s="110" t="s">
        <v>1856</v>
      </c>
      <c r="H63" s="110">
        <v>7</v>
      </c>
      <c r="I63" s="110" t="s">
        <v>164</v>
      </c>
      <c r="J63" s="110">
        <v>3615</v>
      </c>
      <c r="K63" s="122">
        <v>1500</v>
      </c>
      <c r="L63" s="117">
        <f t="shared" si="0"/>
        <v>240</v>
      </c>
      <c r="M63" s="117">
        <f t="shared" si="1"/>
        <v>1740</v>
      </c>
      <c r="N63" s="136" t="s">
        <v>243</v>
      </c>
      <c r="O63" s="199">
        <v>45674</v>
      </c>
      <c r="P63" s="156"/>
      <c r="Q63" s="169"/>
    </row>
    <row r="64" spans="1:17" x14ac:dyDescent="0.35">
      <c r="A64" s="244" t="s">
        <v>1471</v>
      </c>
      <c r="B64" s="244" t="s">
        <v>1472</v>
      </c>
      <c r="C64" s="245">
        <v>66050</v>
      </c>
      <c r="D64" s="247" t="s">
        <v>915</v>
      </c>
      <c r="E64" s="110" t="s">
        <v>240</v>
      </c>
      <c r="F64" s="110" t="s">
        <v>1863</v>
      </c>
      <c r="G64" s="110" t="s">
        <v>1856</v>
      </c>
      <c r="H64" s="110">
        <v>7</v>
      </c>
      <c r="I64" s="110" t="s">
        <v>164</v>
      </c>
      <c r="J64" s="110">
        <v>3616</v>
      </c>
      <c r="K64" s="122">
        <v>3478</v>
      </c>
      <c r="L64" s="122">
        <f t="shared" si="0"/>
        <v>556.48</v>
      </c>
      <c r="M64" s="122">
        <f t="shared" si="1"/>
        <v>4034.48</v>
      </c>
      <c r="N64" s="136" t="s">
        <v>243</v>
      </c>
      <c r="O64" s="199">
        <v>45666</v>
      </c>
      <c r="P64" s="156"/>
      <c r="Q64" s="169"/>
    </row>
    <row r="65" spans="1:17" x14ac:dyDescent="0.35">
      <c r="A65" s="244" t="s">
        <v>1468</v>
      </c>
      <c r="B65" s="244" t="s">
        <v>1469</v>
      </c>
      <c r="C65" s="245">
        <v>25720</v>
      </c>
      <c r="D65" s="247" t="s">
        <v>915</v>
      </c>
      <c r="E65" s="110" t="s">
        <v>240</v>
      </c>
      <c r="F65" s="110" t="s">
        <v>1864</v>
      </c>
      <c r="G65" s="110" t="s">
        <v>1856</v>
      </c>
      <c r="H65" s="110">
        <v>7</v>
      </c>
      <c r="I65" s="110" t="s">
        <v>164</v>
      </c>
      <c r="J65" s="110">
        <v>3617</v>
      </c>
      <c r="K65" s="122">
        <v>900</v>
      </c>
      <c r="L65" s="117">
        <f t="shared" si="0"/>
        <v>144</v>
      </c>
      <c r="M65" s="117">
        <f t="shared" si="1"/>
        <v>1044</v>
      </c>
      <c r="N65" s="136" t="s">
        <v>243</v>
      </c>
      <c r="O65" s="199">
        <v>45667</v>
      </c>
      <c r="P65" s="156"/>
      <c r="Q65" s="169"/>
    </row>
    <row r="66" spans="1:17" x14ac:dyDescent="0.35">
      <c r="A66" s="119" t="s">
        <v>813</v>
      </c>
      <c r="B66" s="244" t="s">
        <v>814</v>
      </c>
      <c r="C66" s="242">
        <v>64850</v>
      </c>
      <c r="D66" s="119" t="s">
        <v>805</v>
      </c>
      <c r="E66" s="110" t="s">
        <v>240</v>
      </c>
      <c r="F66" s="110" t="s">
        <v>1865</v>
      </c>
      <c r="G66" s="110" t="s">
        <v>1856</v>
      </c>
      <c r="H66" s="110">
        <v>7</v>
      </c>
      <c r="I66" s="110" t="s">
        <v>164</v>
      </c>
      <c r="J66" s="110">
        <v>3618</v>
      </c>
      <c r="K66" s="122">
        <v>500</v>
      </c>
      <c r="L66" s="122">
        <f t="shared" si="0"/>
        <v>80</v>
      </c>
      <c r="M66" s="122">
        <f t="shared" si="1"/>
        <v>580</v>
      </c>
      <c r="N66" s="136" t="s">
        <v>243</v>
      </c>
      <c r="O66" s="199">
        <v>45681</v>
      </c>
      <c r="P66" s="156"/>
      <c r="Q66" s="169"/>
    </row>
    <row r="67" spans="1:17" x14ac:dyDescent="0.35">
      <c r="A67" s="119" t="s">
        <v>857</v>
      </c>
      <c r="B67" s="119" t="s">
        <v>858</v>
      </c>
      <c r="C67" s="242">
        <v>64510</v>
      </c>
      <c r="D67" s="119" t="s">
        <v>805</v>
      </c>
      <c r="E67" s="110" t="s">
        <v>240</v>
      </c>
      <c r="F67" s="110" t="s">
        <v>1866</v>
      </c>
      <c r="G67" s="110" t="s">
        <v>1856</v>
      </c>
      <c r="H67" s="110">
        <v>7</v>
      </c>
      <c r="I67" s="110" t="s">
        <v>164</v>
      </c>
      <c r="J67" s="110">
        <v>3619</v>
      </c>
      <c r="K67" s="122">
        <v>1250</v>
      </c>
      <c r="L67" s="117">
        <f t="shared" si="0"/>
        <v>200</v>
      </c>
      <c r="M67" s="117">
        <f t="shared" si="1"/>
        <v>1450</v>
      </c>
      <c r="N67" s="136" t="s">
        <v>2078</v>
      </c>
      <c r="O67" s="124">
        <v>45706</v>
      </c>
      <c r="P67" s="241"/>
      <c r="Q67" s="169"/>
    </row>
    <row r="68" spans="1:17" x14ac:dyDescent="0.35">
      <c r="A68" s="345" t="s">
        <v>1447</v>
      </c>
      <c r="B68" s="344" t="s">
        <v>1448</v>
      </c>
      <c r="C68" s="110">
        <v>67195</v>
      </c>
      <c r="D68" s="142" t="s">
        <v>818</v>
      </c>
      <c r="E68" s="110" t="s">
        <v>240</v>
      </c>
      <c r="F68" s="110" t="s">
        <v>1867</v>
      </c>
      <c r="G68" s="110" t="s">
        <v>1856</v>
      </c>
      <c r="H68" s="110">
        <v>7</v>
      </c>
      <c r="I68" s="110" t="s">
        <v>164</v>
      </c>
      <c r="J68" s="110">
        <v>3620</v>
      </c>
      <c r="K68" s="122">
        <v>3000</v>
      </c>
      <c r="L68" s="122">
        <f t="shared" ref="L68:L106" si="2">K68*0.16</f>
        <v>480</v>
      </c>
      <c r="M68" s="122">
        <f t="shared" ref="M68:M106" si="3">K68+L68</f>
        <v>3480</v>
      </c>
      <c r="N68" s="136" t="s">
        <v>243</v>
      </c>
      <c r="O68" s="199">
        <v>45670</v>
      </c>
      <c r="P68" s="156"/>
      <c r="Q68" s="169"/>
    </row>
    <row r="69" spans="1:17" x14ac:dyDescent="0.35">
      <c r="A69" s="244" t="s">
        <v>1868</v>
      </c>
      <c r="B69" s="244" t="s">
        <v>1869</v>
      </c>
      <c r="C69" s="110">
        <v>66647</v>
      </c>
      <c r="D69" s="142" t="s">
        <v>805</v>
      </c>
      <c r="E69" s="110" t="s">
        <v>240</v>
      </c>
      <c r="F69" s="110" t="s">
        <v>1870</v>
      </c>
      <c r="G69" s="110" t="s">
        <v>1891</v>
      </c>
      <c r="H69" s="110">
        <v>9</v>
      </c>
      <c r="I69" s="110" t="s">
        <v>164</v>
      </c>
      <c r="J69" s="110">
        <v>3621</v>
      </c>
      <c r="K69" s="122">
        <v>2099</v>
      </c>
      <c r="L69" s="122">
        <f t="shared" si="2"/>
        <v>335.84000000000003</v>
      </c>
      <c r="M69" s="122">
        <f t="shared" si="3"/>
        <v>2434.84</v>
      </c>
      <c r="N69" s="136" t="s">
        <v>243</v>
      </c>
      <c r="O69" s="199">
        <v>45666</v>
      </c>
      <c r="P69" s="156"/>
      <c r="Q69" s="169"/>
    </row>
    <row r="70" spans="1:17" x14ac:dyDescent="0.35">
      <c r="A70" s="244" t="s">
        <v>843</v>
      </c>
      <c r="B70" s="244" t="s">
        <v>844</v>
      </c>
      <c r="C70" s="245">
        <v>66350</v>
      </c>
      <c r="D70" s="247" t="s">
        <v>805</v>
      </c>
      <c r="E70" s="110" t="s">
        <v>240</v>
      </c>
      <c r="F70" s="110" t="s">
        <v>1871</v>
      </c>
      <c r="G70" s="110" t="s">
        <v>1891</v>
      </c>
      <c r="H70" s="110">
        <v>9</v>
      </c>
      <c r="I70" s="110" t="s">
        <v>164</v>
      </c>
      <c r="J70" s="110">
        <v>3622</v>
      </c>
      <c r="K70" s="122">
        <v>5800</v>
      </c>
      <c r="L70" s="117">
        <f t="shared" si="2"/>
        <v>928</v>
      </c>
      <c r="M70" s="117">
        <f t="shared" si="3"/>
        <v>6728</v>
      </c>
      <c r="N70" s="136" t="s">
        <v>243</v>
      </c>
      <c r="O70" s="199">
        <v>45672</v>
      </c>
      <c r="P70" s="156"/>
      <c r="Q70" s="169"/>
    </row>
    <row r="71" spans="1:17" x14ac:dyDescent="0.35">
      <c r="A71" s="142" t="s">
        <v>845</v>
      </c>
      <c r="B71" s="244" t="s">
        <v>846</v>
      </c>
      <c r="C71" s="245">
        <v>64440</v>
      </c>
      <c r="D71" s="247" t="s">
        <v>847</v>
      </c>
      <c r="E71" s="411" t="s">
        <v>848</v>
      </c>
      <c r="F71" s="110" t="s">
        <v>1872</v>
      </c>
      <c r="G71" s="110" t="s">
        <v>1891</v>
      </c>
      <c r="H71" s="110">
        <v>9</v>
      </c>
      <c r="I71" s="110" t="s">
        <v>164</v>
      </c>
      <c r="J71" s="110">
        <v>3623</v>
      </c>
      <c r="K71" s="122">
        <v>1050</v>
      </c>
      <c r="L71" s="122">
        <f t="shared" si="2"/>
        <v>168</v>
      </c>
      <c r="M71" s="122">
        <f t="shared" si="3"/>
        <v>1218</v>
      </c>
      <c r="N71" s="136" t="s">
        <v>243</v>
      </c>
      <c r="O71" s="199">
        <v>45672</v>
      </c>
      <c r="P71" s="156"/>
      <c r="Q71" s="169"/>
    </row>
    <row r="72" spans="1:17" x14ac:dyDescent="0.35">
      <c r="A72" s="119" t="s">
        <v>192</v>
      </c>
      <c r="B72" s="119" t="s">
        <v>193</v>
      </c>
      <c r="C72" s="242">
        <v>66649</v>
      </c>
      <c r="D72" s="119" t="s">
        <v>806</v>
      </c>
      <c r="E72" s="110" t="s">
        <v>240</v>
      </c>
      <c r="F72" s="110" t="s">
        <v>1873</v>
      </c>
      <c r="G72" s="110" t="s">
        <v>1891</v>
      </c>
      <c r="H72" s="110">
        <v>9</v>
      </c>
      <c r="I72" s="110" t="s">
        <v>164</v>
      </c>
      <c r="J72" s="110">
        <v>3624</v>
      </c>
      <c r="K72" s="122">
        <v>1750</v>
      </c>
      <c r="L72" s="117">
        <f t="shared" si="2"/>
        <v>280</v>
      </c>
      <c r="M72" s="117">
        <f t="shared" si="3"/>
        <v>2030</v>
      </c>
      <c r="N72" s="136" t="s">
        <v>243</v>
      </c>
      <c r="O72" s="199">
        <v>45668</v>
      </c>
      <c r="P72" s="156"/>
      <c r="Q72" s="169"/>
    </row>
    <row r="73" spans="1:17" x14ac:dyDescent="0.35">
      <c r="A73" s="244" t="s">
        <v>1548</v>
      </c>
      <c r="B73" s="244" t="s">
        <v>1549</v>
      </c>
      <c r="C73" s="242">
        <v>42985</v>
      </c>
      <c r="D73" s="247" t="s">
        <v>805</v>
      </c>
      <c r="E73" s="110" t="s">
        <v>240</v>
      </c>
      <c r="F73" s="110" t="s">
        <v>1874</v>
      </c>
      <c r="G73" s="110" t="s">
        <v>1891</v>
      </c>
      <c r="H73" s="110">
        <v>9</v>
      </c>
      <c r="I73" s="110" t="s">
        <v>164</v>
      </c>
      <c r="J73" s="110">
        <v>3625</v>
      </c>
      <c r="K73" s="122">
        <v>2700</v>
      </c>
      <c r="L73" s="122">
        <f t="shared" si="2"/>
        <v>432</v>
      </c>
      <c r="M73" s="122">
        <f t="shared" si="3"/>
        <v>3132</v>
      </c>
      <c r="N73" s="136" t="s">
        <v>243</v>
      </c>
      <c r="O73" s="199">
        <v>45687</v>
      </c>
      <c r="P73" s="156"/>
      <c r="Q73" s="169"/>
    </row>
    <row r="74" spans="1:17" x14ac:dyDescent="0.35">
      <c r="A74" s="244" t="s">
        <v>824</v>
      </c>
      <c r="B74" s="244" t="s">
        <v>825</v>
      </c>
      <c r="C74" s="245">
        <v>66080</v>
      </c>
      <c r="D74" s="247" t="s">
        <v>805</v>
      </c>
      <c r="E74" s="110" t="s">
        <v>240</v>
      </c>
      <c r="F74" s="110" t="s">
        <v>1875</v>
      </c>
      <c r="G74" s="110" t="s">
        <v>1891</v>
      </c>
      <c r="H74" s="110">
        <v>9</v>
      </c>
      <c r="I74" s="110" t="s">
        <v>164</v>
      </c>
      <c r="J74" s="110">
        <v>3626</v>
      </c>
      <c r="K74" s="122">
        <v>3900</v>
      </c>
      <c r="L74" s="117">
        <f t="shared" si="2"/>
        <v>624</v>
      </c>
      <c r="M74" s="117">
        <f t="shared" si="3"/>
        <v>4524</v>
      </c>
      <c r="N74" s="136" t="s">
        <v>243</v>
      </c>
      <c r="O74" s="199">
        <v>45681</v>
      </c>
      <c r="P74" s="156"/>
      <c r="Q74" s="169"/>
    </row>
    <row r="75" spans="1:17" x14ac:dyDescent="0.35">
      <c r="A75" s="244" t="s">
        <v>1542</v>
      </c>
      <c r="B75" s="244" t="s">
        <v>1591</v>
      </c>
      <c r="C75" s="245">
        <v>66470</v>
      </c>
      <c r="D75" s="247" t="s">
        <v>818</v>
      </c>
      <c r="E75" s="110" t="s">
        <v>240</v>
      </c>
      <c r="F75" s="110" t="s">
        <v>1876</v>
      </c>
      <c r="G75" s="110" t="s">
        <v>1891</v>
      </c>
      <c r="H75" s="110">
        <v>9</v>
      </c>
      <c r="I75" s="110" t="s">
        <v>164</v>
      </c>
      <c r="J75" s="110">
        <v>3627</v>
      </c>
      <c r="K75" s="122">
        <v>850</v>
      </c>
      <c r="L75" s="122">
        <f t="shared" si="2"/>
        <v>136</v>
      </c>
      <c r="M75" s="122">
        <f t="shared" si="3"/>
        <v>986</v>
      </c>
      <c r="N75" s="132" t="s">
        <v>2078</v>
      </c>
      <c r="O75" s="199"/>
      <c r="P75" s="156"/>
      <c r="Q75" s="169"/>
    </row>
    <row r="76" spans="1:17" x14ac:dyDescent="0.35">
      <c r="A76" s="119" t="s">
        <v>202</v>
      </c>
      <c r="B76" s="119" t="s">
        <v>203</v>
      </c>
      <c r="C76" s="242">
        <v>65760</v>
      </c>
      <c r="D76" s="119" t="s">
        <v>818</v>
      </c>
      <c r="E76" s="110" t="s">
        <v>240</v>
      </c>
      <c r="F76" s="110" t="s">
        <v>1877</v>
      </c>
      <c r="G76" s="110" t="s">
        <v>1891</v>
      </c>
      <c r="H76" s="110">
        <v>9</v>
      </c>
      <c r="I76" s="110" t="s">
        <v>164</v>
      </c>
      <c r="J76" s="110">
        <v>3628</v>
      </c>
      <c r="K76" s="122">
        <v>3125</v>
      </c>
      <c r="L76" s="117">
        <f t="shared" si="2"/>
        <v>500</v>
      </c>
      <c r="M76" s="117">
        <f t="shared" si="3"/>
        <v>3625</v>
      </c>
      <c r="N76" s="136" t="s">
        <v>243</v>
      </c>
      <c r="O76" s="199">
        <v>45680</v>
      </c>
      <c r="P76" s="156"/>
      <c r="Q76" s="169" t="s">
        <v>615</v>
      </c>
    </row>
    <row r="77" spans="1:17" x14ac:dyDescent="0.35">
      <c r="A77" s="248" t="s">
        <v>1345</v>
      </c>
      <c r="B77" s="244" t="s">
        <v>1344</v>
      </c>
      <c r="C77" s="169">
        <v>66645</v>
      </c>
      <c r="D77" s="119" t="s">
        <v>806</v>
      </c>
      <c r="E77" s="110" t="s">
        <v>240</v>
      </c>
      <c r="F77" s="110" t="s">
        <v>1878</v>
      </c>
      <c r="G77" s="110" t="s">
        <v>1891</v>
      </c>
      <c r="H77" s="110">
        <v>9</v>
      </c>
      <c r="I77" s="110" t="s">
        <v>164</v>
      </c>
      <c r="J77" s="110">
        <v>3629</v>
      </c>
      <c r="K77" s="122">
        <v>3900</v>
      </c>
      <c r="L77" s="122">
        <f t="shared" si="2"/>
        <v>624</v>
      </c>
      <c r="M77" s="122">
        <f t="shared" si="3"/>
        <v>4524</v>
      </c>
      <c r="N77" s="136" t="s">
        <v>243</v>
      </c>
      <c r="O77" s="199">
        <v>45681</v>
      </c>
      <c r="P77" s="156"/>
      <c r="Q77" s="169"/>
    </row>
    <row r="78" spans="1:17" x14ac:dyDescent="0.35">
      <c r="A78" s="120" t="s">
        <v>849</v>
      </c>
      <c r="B78" s="120" t="s">
        <v>850</v>
      </c>
      <c r="C78" s="169">
        <v>64580</v>
      </c>
      <c r="D78" s="120" t="s">
        <v>806</v>
      </c>
      <c r="E78" s="110" t="s">
        <v>240</v>
      </c>
      <c r="F78" s="110" t="s">
        <v>1879</v>
      </c>
      <c r="G78" s="110" t="s">
        <v>1891</v>
      </c>
      <c r="H78" s="110">
        <v>9</v>
      </c>
      <c r="I78" s="110" t="s">
        <v>164</v>
      </c>
      <c r="J78" s="110">
        <v>3630</v>
      </c>
      <c r="K78" s="122">
        <v>1750</v>
      </c>
      <c r="L78" s="117">
        <f t="shared" si="2"/>
        <v>280</v>
      </c>
      <c r="M78" s="117">
        <f t="shared" si="3"/>
        <v>2030</v>
      </c>
      <c r="N78" s="136" t="s">
        <v>243</v>
      </c>
      <c r="O78" s="199">
        <v>45670</v>
      </c>
      <c r="P78" s="156"/>
      <c r="Q78" s="169"/>
    </row>
    <row r="79" spans="1:17" x14ac:dyDescent="0.35">
      <c r="A79" s="119" t="s">
        <v>224</v>
      </c>
      <c r="B79" s="119" t="s">
        <v>225</v>
      </c>
      <c r="C79" s="242">
        <v>64440</v>
      </c>
      <c r="D79" s="119" t="s">
        <v>805</v>
      </c>
      <c r="E79" s="110" t="s">
        <v>240</v>
      </c>
      <c r="F79" s="123" t="s">
        <v>1880</v>
      </c>
      <c r="G79" s="110" t="s">
        <v>1891</v>
      </c>
      <c r="H79" s="110">
        <v>9</v>
      </c>
      <c r="I79" s="110" t="s">
        <v>164</v>
      </c>
      <c r="J79" s="110">
        <v>3631</v>
      </c>
      <c r="K79" s="122">
        <v>600</v>
      </c>
      <c r="L79" s="122">
        <f t="shared" si="2"/>
        <v>96</v>
      </c>
      <c r="M79" s="122">
        <f t="shared" si="3"/>
        <v>696</v>
      </c>
      <c r="N79" s="136" t="s">
        <v>243</v>
      </c>
      <c r="O79" s="199">
        <v>45680</v>
      </c>
      <c r="P79" s="156"/>
      <c r="Q79" s="169"/>
    </row>
    <row r="80" spans="1:17" x14ac:dyDescent="0.35">
      <c r="A80" s="244" t="s">
        <v>851</v>
      </c>
      <c r="B80" s="119" t="s">
        <v>226</v>
      </c>
      <c r="C80" s="242">
        <v>66220</v>
      </c>
      <c r="D80" s="119" t="s">
        <v>852</v>
      </c>
      <c r="E80" s="411" t="s">
        <v>241</v>
      </c>
      <c r="F80" s="123" t="s">
        <v>1881</v>
      </c>
      <c r="G80" s="110" t="s">
        <v>1891</v>
      </c>
      <c r="H80" s="110">
        <v>9</v>
      </c>
      <c r="I80" s="110" t="s">
        <v>164</v>
      </c>
      <c r="J80" s="110">
        <v>3632</v>
      </c>
      <c r="K80" s="122">
        <v>350</v>
      </c>
      <c r="L80" s="117">
        <f t="shared" si="2"/>
        <v>56</v>
      </c>
      <c r="M80" s="117">
        <f t="shared" si="3"/>
        <v>406</v>
      </c>
      <c r="N80" s="136" t="s">
        <v>243</v>
      </c>
      <c r="O80" s="199">
        <v>45673</v>
      </c>
      <c r="P80" s="156"/>
      <c r="Q80" s="169"/>
    </row>
    <row r="81" spans="1:17" x14ac:dyDescent="0.35">
      <c r="A81" s="119" t="s">
        <v>227</v>
      </c>
      <c r="B81" s="119" t="s">
        <v>228</v>
      </c>
      <c r="C81" s="242">
        <v>64010</v>
      </c>
      <c r="D81" s="119" t="s">
        <v>805</v>
      </c>
      <c r="E81" s="110" t="s">
        <v>240</v>
      </c>
      <c r="F81" s="110" t="s">
        <v>1882</v>
      </c>
      <c r="G81" s="110" t="s">
        <v>1891</v>
      </c>
      <c r="H81" s="110">
        <v>9</v>
      </c>
      <c r="I81" s="110" t="s">
        <v>164</v>
      </c>
      <c r="J81" s="110">
        <v>3633</v>
      </c>
      <c r="K81" s="122">
        <v>1000</v>
      </c>
      <c r="L81" s="122">
        <f t="shared" si="2"/>
        <v>160</v>
      </c>
      <c r="M81" s="122">
        <f t="shared" si="3"/>
        <v>1160</v>
      </c>
      <c r="N81" s="136" t="s">
        <v>243</v>
      </c>
      <c r="O81" s="124">
        <v>45680</v>
      </c>
      <c r="P81" s="156"/>
      <c r="Q81" s="169" t="s">
        <v>615</v>
      </c>
    </row>
    <row r="82" spans="1:17" x14ac:dyDescent="0.35">
      <c r="A82" s="119" t="s">
        <v>229</v>
      </c>
      <c r="B82" s="119" t="s">
        <v>230</v>
      </c>
      <c r="C82" s="242">
        <v>64030</v>
      </c>
      <c r="D82" s="119" t="s">
        <v>805</v>
      </c>
      <c r="E82" s="110" t="s">
        <v>240</v>
      </c>
      <c r="F82" s="110" t="s">
        <v>1883</v>
      </c>
      <c r="G82" s="110" t="s">
        <v>1891</v>
      </c>
      <c r="H82" s="110">
        <v>9</v>
      </c>
      <c r="I82" s="110" t="s">
        <v>164</v>
      </c>
      <c r="J82" s="110">
        <v>3634</v>
      </c>
      <c r="K82" s="122">
        <v>8425.35</v>
      </c>
      <c r="L82" s="117">
        <f t="shared" si="2"/>
        <v>1348.056</v>
      </c>
      <c r="M82" s="117">
        <f t="shared" si="3"/>
        <v>9773.4060000000009</v>
      </c>
      <c r="N82" s="136" t="s">
        <v>243</v>
      </c>
      <c r="O82" s="124">
        <v>45677</v>
      </c>
      <c r="P82" s="241"/>
      <c r="Q82" s="169"/>
    </row>
    <row r="83" spans="1:17" x14ac:dyDescent="0.35">
      <c r="A83" s="119" t="s">
        <v>231</v>
      </c>
      <c r="B83" s="119" t="s">
        <v>232</v>
      </c>
      <c r="C83" s="242">
        <v>66655</v>
      </c>
      <c r="D83" s="119" t="s">
        <v>806</v>
      </c>
      <c r="E83" s="110" t="s">
        <v>240</v>
      </c>
      <c r="F83" s="110" t="s">
        <v>1884</v>
      </c>
      <c r="G83" s="110" t="s">
        <v>1891</v>
      </c>
      <c r="H83" s="110">
        <v>9</v>
      </c>
      <c r="I83" s="110" t="s">
        <v>164</v>
      </c>
      <c r="J83" s="110">
        <v>3635</v>
      </c>
      <c r="K83" s="122">
        <v>660</v>
      </c>
      <c r="L83" s="122">
        <f t="shared" si="2"/>
        <v>105.60000000000001</v>
      </c>
      <c r="M83" s="122">
        <f t="shared" si="3"/>
        <v>765.6</v>
      </c>
      <c r="N83" s="136" t="s">
        <v>243</v>
      </c>
      <c r="O83" s="124">
        <v>45673</v>
      </c>
      <c r="P83" s="241"/>
      <c r="Q83" s="169"/>
    </row>
    <row r="84" spans="1:17" x14ac:dyDescent="0.35">
      <c r="A84" s="119" t="s">
        <v>233</v>
      </c>
      <c r="B84" s="119" t="s">
        <v>234</v>
      </c>
      <c r="C84" s="242">
        <v>67310</v>
      </c>
      <c r="D84" s="119" t="s">
        <v>806</v>
      </c>
      <c r="E84" s="110" t="s">
        <v>240</v>
      </c>
      <c r="F84" s="110" t="s">
        <v>1885</v>
      </c>
      <c r="G84" s="110" t="s">
        <v>1891</v>
      </c>
      <c r="H84" s="110">
        <v>9</v>
      </c>
      <c r="I84" s="110" t="s">
        <v>164</v>
      </c>
      <c r="J84" s="110">
        <v>3636</v>
      </c>
      <c r="K84" s="122">
        <v>810</v>
      </c>
      <c r="L84" s="117">
        <f t="shared" si="2"/>
        <v>129.6</v>
      </c>
      <c r="M84" s="117">
        <f t="shared" si="3"/>
        <v>939.6</v>
      </c>
      <c r="N84" s="136" t="s">
        <v>243</v>
      </c>
      <c r="O84" s="124">
        <v>45670</v>
      </c>
      <c r="P84" s="241"/>
      <c r="Q84" s="169"/>
    </row>
    <row r="85" spans="1:17" x14ac:dyDescent="0.35">
      <c r="A85" s="142" t="s">
        <v>853</v>
      </c>
      <c r="B85" s="142" t="s">
        <v>854</v>
      </c>
      <c r="C85" s="110">
        <v>66610</v>
      </c>
      <c r="D85" s="142" t="s">
        <v>805</v>
      </c>
      <c r="E85" s="110" t="s">
        <v>240</v>
      </c>
      <c r="F85" s="110" t="s">
        <v>1886</v>
      </c>
      <c r="G85" s="110" t="s">
        <v>1891</v>
      </c>
      <c r="H85" s="110">
        <v>9</v>
      </c>
      <c r="I85" s="110" t="s">
        <v>164</v>
      </c>
      <c r="J85" s="110">
        <v>3637</v>
      </c>
      <c r="K85" s="122">
        <v>8450</v>
      </c>
      <c r="L85" s="122">
        <f t="shared" si="2"/>
        <v>1352</v>
      </c>
      <c r="M85" s="122">
        <f t="shared" si="3"/>
        <v>9802</v>
      </c>
      <c r="N85" s="136" t="s">
        <v>243</v>
      </c>
      <c r="O85" s="124">
        <v>45685</v>
      </c>
      <c r="P85" s="241"/>
      <c r="Q85" s="169"/>
    </row>
    <row r="86" spans="1:17" x14ac:dyDescent="0.35">
      <c r="A86" s="119" t="s">
        <v>235</v>
      </c>
      <c r="B86" s="119" t="s">
        <v>236</v>
      </c>
      <c r="C86" s="242">
        <v>67180</v>
      </c>
      <c r="D86" s="119" t="s">
        <v>818</v>
      </c>
      <c r="E86" s="110" t="s">
        <v>240</v>
      </c>
      <c r="F86" s="110" t="s">
        <v>1887</v>
      </c>
      <c r="G86" s="110" t="s">
        <v>1891</v>
      </c>
      <c r="H86" s="110">
        <v>9</v>
      </c>
      <c r="I86" s="110" t="s">
        <v>164</v>
      </c>
      <c r="J86" s="110">
        <v>3638</v>
      </c>
      <c r="K86" s="122">
        <v>1250</v>
      </c>
      <c r="L86" s="117">
        <f t="shared" si="2"/>
        <v>200</v>
      </c>
      <c r="M86" s="117">
        <f t="shared" si="3"/>
        <v>1450</v>
      </c>
      <c r="N86" s="136" t="s">
        <v>243</v>
      </c>
      <c r="O86" s="124">
        <v>45663</v>
      </c>
      <c r="P86" s="241"/>
      <c r="Q86" s="169" t="s">
        <v>615</v>
      </c>
    </row>
    <row r="87" spans="1:17" x14ac:dyDescent="0.35">
      <c r="A87" s="119" t="s">
        <v>238</v>
      </c>
      <c r="B87" s="119" t="s">
        <v>239</v>
      </c>
      <c r="C87" s="242">
        <v>66023</v>
      </c>
      <c r="D87" s="119" t="s">
        <v>806</v>
      </c>
      <c r="E87" s="110" t="s">
        <v>240</v>
      </c>
      <c r="F87" s="110" t="s">
        <v>1888</v>
      </c>
      <c r="G87" s="110" t="s">
        <v>1891</v>
      </c>
      <c r="H87" s="110">
        <v>9</v>
      </c>
      <c r="I87" s="110" t="s">
        <v>164</v>
      </c>
      <c r="J87" s="110">
        <v>3639</v>
      </c>
      <c r="K87" s="122">
        <v>1500</v>
      </c>
      <c r="L87" s="117">
        <f t="shared" si="2"/>
        <v>240</v>
      </c>
      <c r="M87" s="117">
        <f t="shared" si="3"/>
        <v>1740</v>
      </c>
      <c r="N87" s="136" t="s">
        <v>243</v>
      </c>
      <c r="O87" s="124">
        <v>45671</v>
      </c>
      <c r="P87" s="241"/>
      <c r="Q87" s="169"/>
    </row>
    <row r="88" spans="1:17" x14ac:dyDescent="0.35">
      <c r="A88" s="248" t="s">
        <v>1067</v>
      </c>
      <c r="B88" s="244" t="s">
        <v>1068</v>
      </c>
      <c r="C88" s="169">
        <v>64030</v>
      </c>
      <c r="D88" s="120" t="s">
        <v>805</v>
      </c>
      <c r="E88" s="110" t="s">
        <v>240</v>
      </c>
      <c r="F88" s="110" t="s">
        <v>1889</v>
      </c>
      <c r="G88" s="110" t="s">
        <v>1891</v>
      </c>
      <c r="H88" s="110">
        <v>9</v>
      </c>
      <c r="I88" s="110" t="s">
        <v>164</v>
      </c>
      <c r="J88" s="110">
        <v>3640</v>
      </c>
      <c r="K88" s="122">
        <v>5440</v>
      </c>
      <c r="L88" s="117">
        <f t="shared" si="2"/>
        <v>870.4</v>
      </c>
      <c r="M88" s="117">
        <f t="shared" si="3"/>
        <v>6310.4</v>
      </c>
      <c r="N88" s="136" t="s">
        <v>243</v>
      </c>
      <c r="O88" s="124">
        <v>45667</v>
      </c>
      <c r="P88" s="241"/>
      <c r="Q88" s="169"/>
    </row>
    <row r="89" spans="1:17" x14ac:dyDescent="0.35">
      <c r="A89" s="244" t="s">
        <v>1893</v>
      </c>
      <c r="B89" s="244" t="s">
        <v>1894</v>
      </c>
      <c r="C89" s="110">
        <v>64720</v>
      </c>
      <c r="D89" s="142" t="s">
        <v>805</v>
      </c>
      <c r="E89" s="110" t="s">
        <v>240</v>
      </c>
      <c r="F89" s="110" t="s">
        <v>1895</v>
      </c>
      <c r="G89" s="110" t="s">
        <v>1897</v>
      </c>
      <c r="H89" s="110">
        <v>10</v>
      </c>
      <c r="I89" s="110" t="s">
        <v>164</v>
      </c>
      <c r="J89" s="110">
        <v>3641</v>
      </c>
      <c r="K89" s="122">
        <v>4240</v>
      </c>
      <c r="L89" s="117">
        <f t="shared" si="2"/>
        <v>678.4</v>
      </c>
      <c r="M89" s="117">
        <f t="shared" si="3"/>
        <v>4918.3999999999996</v>
      </c>
      <c r="N89" s="136" t="s">
        <v>243</v>
      </c>
      <c r="O89" s="124">
        <v>45667</v>
      </c>
      <c r="P89" s="241"/>
      <c r="Q89" s="169"/>
    </row>
    <row r="90" spans="1:17" x14ac:dyDescent="0.35">
      <c r="A90" s="119" t="s">
        <v>196</v>
      </c>
      <c r="B90" s="119" t="s">
        <v>197</v>
      </c>
      <c r="C90" s="242">
        <v>64530</v>
      </c>
      <c r="D90" s="119" t="s">
        <v>806</v>
      </c>
      <c r="E90" s="110" t="s">
        <v>240</v>
      </c>
      <c r="F90" s="110" t="s">
        <v>1896</v>
      </c>
      <c r="G90" s="110" t="s">
        <v>1897</v>
      </c>
      <c r="H90" s="110">
        <v>10</v>
      </c>
      <c r="I90" s="110" t="s">
        <v>164</v>
      </c>
      <c r="J90" s="110">
        <v>3642</v>
      </c>
      <c r="K90" s="122">
        <v>2100</v>
      </c>
      <c r="L90" s="117">
        <f t="shared" si="2"/>
        <v>336</v>
      </c>
      <c r="M90" s="117">
        <f t="shared" si="3"/>
        <v>2436</v>
      </c>
      <c r="N90" s="136" t="s">
        <v>243</v>
      </c>
      <c r="O90" s="124">
        <v>45667</v>
      </c>
      <c r="P90" s="241"/>
      <c r="Q90" s="169"/>
    </row>
    <row r="91" spans="1:17" x14ac:dyDescent="0.35">
      <c r="A91" s="119" t="s">
        <v>1898</v>
      </c>
      <c r="B91" s="244" t="s">
        <v>1899</v>
      </c>
      <c r="C91" s="242">
        <v>66649</v>
      </c>
      <c r="D91" s="142" t="s">
        <v>806</v>
      </c>
      <c r="E91" s="110" t="s">
        <v>240</v>
      </c>
      <c r="F91" s="110" t="s">
        <v>1900</v>
      </c>
      <c r="G91" s="110" t="s">
        <v>1897</v>
      </c>
      <c r="H91" s="110">
        <v>10</v>
      </c>
      <c r="I91" s="110" t="s">
        <v>164</v>
      </c>
      <c r="J91" s="110">
        <v>3643</v>
      </c>
      <c r="K91" s="122">
        <v>18396</v>
      </c>
      <c r="L91" s="117">
        <f t="shared" si="2"/>
        <v>2943.36</v>
      </c>
      <c r="M91" s="117">
        <f t="shared" si="3"/>
        <v>21339.360000000001</v>
      </c>
      <c r="N91" s="136" t="s">
        <v>243</v>
      </c>
      <c r="O91" s="124">
        <v>45667</v>
      </c>
      <c r="P91" s="241"/>
      <c r="Q91" s="169"/>
    </row>
    <row r="92" spans="1:17" x14ac:dyDescent="0.35">
      <c r="A92" s="119" t="s">
        <v>1929</v>
      </c>
      <c r="B92" s="244" t="s">
        <v>1930</v>
      </c>
      <c r="C92" s="242">
        <v>64610</v>
      </c>
      <c r="D92" s="142" t="s">
        <v>809</v>
      </c>
      <c r="E92" s="110" t="s">
        <v>240</v>
      </c>
      <c r="F92" s="110" t="s">
        <v>1932</v>
      </c>
      <c r="G92" s="110" t="s">
        <v>1807</v>
      </c>
      <c r="H92" s="110">
        <v>13</v>
      </c>
      <c r="I92" s="110" t="s">
        <v>164</v>
      </c>
      <c r="J92" s="110">
        <v>3644</v>
      </c>
      <c r="K92" s="122">
        <v>0</v>
      </c>
      <c r="L92" s="117">
        <f t="shared" si="2"/>
        <v>0</v>
      </c>
      <c r="M92" s="117">
        <f t="shared" si="3"/>
        <v>0</v>
      </c>
      <c r="N92" s="132" t="s">
        <v>1890</v>
      </c>
      <c r="O92" s="124">
        <v>45670</v>
      </c>
      <c r="P92" s="241">
        <f>28980*0.16+28980</f>
        <v>33616.800000000003</v>
      </c>
      <c r="Q92" s="169"/>
    </row>
    <row r="93" spans="1:17" x14ac:dyDescent="0.35">
      <c r="A93" s="349" t="s">
        <v>1927</v>
      </c>
      <c r="B93" s="349" t="s">
        <v>1926</v>
      </c>
      <c r="C93" s="242">
        <v>64410</v>
      </c>
      <c r="D93" s="142" t="s">
        <v>805</v>
      </c>
      <c r="E93" s="110" t="s">
        <v>240</v>
      </c>
      <c r="F93" s="110" t="s">
        <v>1933</v>
      </c>
      <c r="G93" s="110" t="s">
        <v>1807</v>
      </c>
      <c r="H93" s="110">
        <v>13</v>
      </c>
      <c r="I93" s="110" t="s">
        <v>164</v>
      </c>
      <c r="J93" s="110">
        <v>3645</v>
      </c>
      <c r="K93" s="122">
        <v>3995</v>
      </c>
      <c r="L93" s="117">
        <f t="shared" si="2"/>
        <v>639.20000000000005</v>
      </c>
      <c r="M93" s="117">
        <f t="shared" si="3"/>
        <v>4634.2</v>
      </c>
      <c r="N93" s="136" t="s">
        <v>243</v>
      </c>
      <c r="O93" s="124">
        <v>45671</v>
      </c>
      <c r="P93" s="241"/>
      <c r="Q93" s="169"/>
    </row>
    <row r="94" spans="1:17" x14ac:dyDescent="0.35">
      <c r="A94" s="142" t="s">
        <v>891</v>
      </c>
      <c r="B94" s="244" t="s">
        <v>892</v>
      </c>
      <c r="C94" s="110">
        <v>66054</v>
      </c>
      <c r="D94" s="142" t="s">
        <v>806</v>
      </c>
      <c r="E94" s="110" t="s">
        <v>240</v>
      </c>
      <c r="F94" s="123" t="s">
        <v>1934</v>
      </c>
      <c r="G94" s="110" t="s">
        <v>1807</v>
      </c>
      <c r="H94" s="110">
        <v>13</v>
      </c>
      <c r="I94" s="110" t="s">
        <v>164</v>
      </c>
      <c r="J94" s="110">
        <v>3646</v>
      </c>
      <c r="K94" s="122">
        <v>26190</v>
      </c>
      <c r="L94" s="117">
        <f t="shared" si="2"/>
        <v>4190.3999999999996</v>
      </c>
      <c r="M94" s="117">
        <f t="shared" si="3"/>
        <v>30380.400000000001</v>
      </c>
      <c r="N94" s="136" t="s">
        <v>243</v>
      </c>
      <c r="O94" s="124">
        <v>45677</v>
      </c>
      <c r="P94" s="241"/>
      <c r="Q94" s="169"/>
    </row>
    <row r="95" spans="1:17" x14ac:dyDescent="0.35">
      <c r="A95" s="244" t="s">
        <v>222</v>
      </c>
      <c r="B95" s="244" t="s">
        <v>223</v>
      </c>
      <c r="C95" s="110">
        <v>67185</v>
      </c>
      <c r="D95" s="142" t="s">
        <v>805</v>
      </c>
      <c r="E95" s="110" t="s">
        <v>240</v>
      </c>
      <c r="F95" s="123" t="s">
        <v>1935</v>
      </c>
      <c r="G95" s="110" t="s">
        <v>1807</v>
      </c>
      <c r="H95" s="110">
        <v>13</v>
      </c>
      <c r="I95" s="110" t="s">
        <v>164</v>
      </c>
      <c r="J95" s="110">
        <v>3647</v>
      </c>
      <c r="K95" s="122">
        <v>7949.44</v>
      </c>
      <c r="L95" s="117">
        <f t="shared" si="2"/>
        <v>1271.9104</v>
      </c>
      <c r="M95" s="117">
        <f t="shared" si="3"/>
        <v>9221.3503999999994</v>
      </c>
      <c r="N95" s="136" t="s">
        <v>243</v>
      </c>
      <c r="O95" s="124">
        <v>45674</v>
      </c>
      <c r="P95" s="241"/>
      <c r="Q95" s="169"/>
    </row>
    <row r="96" spans="1:17" x14ac:dyDescent="0.35">
      <c r="A96" s="119" t="s">
        <v>1929</v>
      </c>
      <c r="B96" s="244" t="s">
        <v>1930</v>
      </c>
      <c r="C96" s="242">
        <v>64610</v>
      </c>
      <c r="D96" s="142" t="s">
        <v>809</v>
      </c>
      <c r="E96" s="110" t="s">
        <v>240</v>
      </c>
      <c r="F96" s="123" t="s">
        <v>1940</v>
      </c>
      <c r="G96" s="110" t="s">
        <v>1807</v>
      </c>
      <c r="H96" s="110">
        <v>13</v>
      </c>
      <c r="I96" s="110" t="s">
        <v>164</v>
      </c>
      <c r="J96" s="110">
        <v>3648</v>
      </c>
      <c r="K96" s="122">
        <v>8280</v>
      </c>
      <c r="L96" s="117">
        <f t="shared" si="2"/>
        <v>1324.8</v>
      </c>
      <c r="M96" s="117">
        <f t="shared" si="3"/>
        <v>9604.7999999999993</v>
      </c>
      <c r="N96" s="136" t="s">
        <v>243</v>
      </c>
      <c r="O96" s="124">
        <v>45677</v>
      </c>
      <c r="P96" s="241"/>
      <c r="Q96" s="169"/>
    </row>
    <row r="97" spans="1:17" x14ac:dyDescent="0.35">
      <c r="A97" s="244" t="s">
        <v>1941</v>
      </c>
      <c r="B97" s="244" t="s">
        <v>1942</v>
      </c>
      <c r="C97" s="245">
        <v>66633</v>
      </c>
      <c r="D97" s="119" t="s">
        <v>805</v>
      </c>
      <c r="E97" s="110" t="s">
        <v>240</v>
      </c>
      <c r="F97" s="123" t="s">
        <v>1944</v>
      </c>
      <c r="G97" s="110" t="s">
        <v>1856</v>
      </c>
      <c r="H97" s="110">
        <v>14</v>
      </c>
      <c r="I97" s="110" t="s">
        <v>164</v>
      </c>
      <c r="J97" s="110">
        <v>3649</v>
      </c>
      <c r="K97" s="122">
        <v>1986</v>
      </c>
      <c r="L97" s="117">
        <f t="shared" si="2"/>
        <v>317.76</v>
      </c>
      <c r="M97" s="117">
        <f t="shared" si="3"/>
        <v>2303.7600000000002</v>
      </c>
      <c r="N97" s="136" t="s">
        <v>243</v>
      </c>
      <c r="O97" s="124">
        <v>45685</v>
      </c>
      <c r="P97" s="241"/>
      <c r="Q97" s="169"/>
    </row>
    <row r="98" spans="1:17" x14ac:dyDescent="0.35">
      <c r="A98" s="119" t="s">
        <v>855</v>
      </c>
      <c r="B98" s="119" t="s">
        <v>237</v>
      </c>
      <c r="C98" s="242">
        <v>66052</v>
      </c>
      <c r="D98" s="119" t="s">
        <v>805</v>
      </c>
      <c r="E98" s="110" t="s">
        <v>240</v>
      </c>
      <c r="F98" s="110" t="s">
        <v>1945</v>
      </c>
      <c r="G98" s="110" t="s">
        <v>1856</v>
      </c>
      <c r="H98" s="110">
        <v>14</v>
      </c>
      <c r="I98" s="110" t="s">
        <v>164</v>
      </c>
      <c r="J98" s="110">
        <v>3650</v>
      </c>
      <c r="K98" s="122">
        <v>0</v>
      </c>
      <c r="L98" s="122">
        <f>K98*0.16</f>
        <v>0</v>
      </c>
      <c r="M98" s="122">
        <f>K98+L98</f>
        <v>0</v>
      </c>
      <c r="N98" s="132" t="s">
        <v>1890</v>
      </c>
      <c r="O98" s="124">
        <v>45671</v>
      </c>
      <c r="P98" s="241">
        <f>13799*0.16+13799</f>
        <v>16006.84</v>
      </c>
      <c r="Q98" s="169"/>
    </row>
    <row r="99" spans="1:17" x14ac:dyDescent="0.35">
      <c r="A99" s="243" t="s">
        <v>865</v>
      </c>
      <c r="B99" s="243" t="s">
        <v>866</v>
      </c>
      <c r="C99" s="242">
        <v>64103</v>
      </c>
      <c r="D99" s="119" t="s">
        <v>805</v>
      </c>
      <c r="E99" s="110" t="s">
        <v>240</v>
      </c>
      <c r="F99" s="110" t="s">
        <v>1946</v>
      </c>
      <c r="G99" s="110" t="s">
        <v>1856</v>
      </c>
      <c r="H99" s="110">
        <v>14</v>
      </c>
      <c r="I99" s="110" t="s">
        <v>164</v>
      </c>
      <c r="J99" s="110">
        <v>3651</v>
      </c>
      <c r="K99" s="122">
        <v>13900</v>
      </c>
      <c r="L99" s="122">
        <f>K99*0.16</f>
        <v>2224</v>
      </c>
      <c r="M99" s="122">
        <f>K99+L99</f>
        <v>16124</v>
      </c>
      <c r="N99" s="136" t="s">
        <v>243</v>
      </c>
      <c r="O99" s="124">
        <v>45671</v>
      </c>
      <c r="P99" s="241"/>
      <c r="Q99" s="169"/>
    </row>
    <row r="100" spans="1:17" x14ac:dyDescent="0.35">
      <c r="A100" s="119" t="s">
        <v>855</v>
      </c>
      <c r="B100" s="119" t="s">
        <v>237</v>
      </c>
      <c r="C100" s="242">
        <v>66052</v>
      </c>
      <c r="D100" s="119" t="s">
        <v>805</v>
      </c>
      <c r="E100" s="110" t="s">
        <v>240</v>
      </c>
      <c r="F100" s="110" t="s">
        <v>1948</v>
      </c>
      <c r="G100" s="110" t="s">
        <v>1856</v>
      </c>
      <c r="H100" s="110">
        <v>14</v>
      </c>
      <c r="I100" s="110" t="s">
        <v>164</v>
      </c>
      <c r="J100" s="110">
        <v>3652</v>
      </c>
      <c r="K100" s="122">
        <v>6888</v>
      </c>
      <c r="L100" s="122">
        <f>K100*0.16</f>
        <v>1102.08</v>
      </c>
      <c r="M100" s="122">
        <f>K100+L100</f>
        <v>7990.08</v>
      </c>
      <c r="N100" s="136" t="s">
        <v>243</v>
      </c>
      <c r="O100" s="124">
        <v>45671</v>
      </c>
      <c r="P100" s="241"/>
      <c r="Q100" s="169"/>
    </row>
    <row r="101" spans="1:17" x14ac:dyDescent="0.35">
      <c r="A101" s="119" t="s">
        <v>856</v>
      </c>
      <c r="B101" s="119" t="s">
        <v>270</v>
      </c>
      <c r="C101" s="242">
        <v>66200</v>
      </c>
      <c r="D101" s="119" t="s">
        <v>805</v>
      </c>
      <c r="E101" s="110" t="s">
        <v>240</v>
      </c>
      <c r="F101" s="110" t="s">
        <v>1956</v>
      </c>
      <c r="G101" s="110" t="s">
        <v>1957</v>
      </c>
      <c r="H101" s="110">
        <v>15</v>
      </c>
      <c r="I101" s="110" t="s">
        <v>164</v>
      </c>
      <c r="J101" s="110">
        <v>3653</v>
      </c>
      <c r="K101" s="122">
        <v>79098</v>
      </c>
      <c r="L101" s="117">
        <f t="shared" si="2"/>
        <v>12655.68</v>
      </c>
      <c r="M101" s="117">
        <f t="shared" si="3"/>
        <v>91753.68</v>
      </c>
      <c r="N101" s="136" t="s">
        <v>243</v>
      </c>
      <c r="O101" s="124">
        <v>45672</v>
      </c>
      <c r="P101" s="241"/>
      <c r="Q101" s="169"/>
    </row>
    <row r="102" spans="1:17" x14ac:dyDescent="0.35">
      <c r="A102" s="244" t="s">
        <v>1483</v>
      </c>
      <c r="B102" s="244" t="s">
        <v>1484</v>
      </c>
      <c r="C102" s="242">
        <v>25295</v>
      </c>
      <c r="D102" s="119" t="s">
        <v>805</v>
      </c>
      <c r="E102" s="110" t="s">
        <v>240</v>
      </c>
      <c r="F102" s="351" t="s">
        <v>1958</v>
      </c>
      <c r="G102" s="110" t="s">
        <v>1957</v>
      </c>
      <c r="H102" s="110">
        <v>15</v>
      </c>
      <c r="I102" s="110" t="s">
        <v>164</v>
      </c>
      <c r="J102" s="110">
        <v>3654</v>
      </c>
      <c r="K102" s="122">
        <v>4300</v>
      </c>
      <c r="L102" s="117">
        <f t="shared" si="2"/>
        <v>688</v>
      </c>
      <c r="M102" s="117">
        <f t="shared" si="3"/>
        <v>4988</v>
      </c>
      <c r="N102" s="136" t="s">
        <v>243</v>
      </c>
      <c r="O102" s="124">
        <v>45672</v>
      </c>
      <c r="P102" s="241"/>
      <c r="Q102" s="169"/>
    </row>
    <row r="103" spans="1:17" x14ac:dyDescent="0.35">
      <c r="A103" s="244" t="s">
        <v>1483</v>
      </c>
      <c r="B103" s="244" t="s">
        <v>1484</v>
      </c>
      <c r="C103" s="242">
        <v>25295</v>
      </c>
      <c r="D103" s="119" t="s">
        <v>805</v>
      </c>
      <c r="E103" s="110" t="s">
        <v>240</v>
      </c>
      <c r="F103" s="120" t="s">
        <v>1959</v>
      </c>
      <c r="G103" s="110" t="s">
        <v>1957</v>
      </c>
      <c r="H103" s="110">
        <v>15</v>
      </c>
      <c r="I103" s="110" t="s">
        <v>164</v>
      </c>
      <c r="J103" s="110">
        <v>3655</v>
      </c>
      <c r="K103" s="122">
        <v>8000</v>
      </c>
      <c r="L103" s="122">
        <f t="shared" si="2"/>
        <v>1280</v>
      </c>
      <c r="M103" s="122">
        <f t="shared" si="3"/>
        <v>9280</v>
      </c>
      <c r="N103" s="136" t="s">
        <v>243</v>
      </c>
      <c r="O103" s="124">
        <v>45672</v>
      </c>
      <c r="P103" s="241"/>
      <c r="Q103" s="169"/>
    </row>
    <row r="104" spans="1:17" x14ac:dyDescent="0.35">
      <c r="A104" s="244" t="s">
        <v>1683</v>
      </c>
      <c r="B104" s="244" t="s">
        <v>1684</v>
      </c>
      <c r="C104" s="242">
        <v>64000</v>
      </c>
      <c r="D104" s="119" t="s">
        <v>805</v>
      </c>
      <c r="E104" s="110" t="s">
        <v>240</v>
      </c>
      <c r="F104" s="120" t="s">
        <v>1962</v>
      </c>
      <c r="G104" s="110" t="s">
        <v>1897</v>
      </c>
      <c r="H104" s="110">
        <v>17</v>
      </c>
      <c r="I104" s="110" t="s">
        <v>164</v>
      </c>
      <c r="J104" s="110">
        <v>3656</v>
      </c>
      <c r="K104" s="122">
        <v>2490</v>
      </c>
      <c r="L104" s="122">
        <f t="shared" si="2"/>
        <v>398.40000000000003</v>
      </c>
      <c r="M104" s="122">
        <f t="shared" si="3"/>
        <v>2888.4</v>
      </c>
      <c r="N104" s="136" t="s">
        <v>243</v>
      </c>
      <c r="O104" s="124">
        <v>45674</v>
      </c>
      <c r="P104" s="241"/>
      <c r="Q104" s="169"/>
    </row>
    <row r="105" spans="1:17" x14ac:dyDescent="0.35">
      <c r="A105" s="119" t="s">
        <v>1929</v>
      </c>
      <c r="B105" s="244" t="s">
        <v>1930</v>
      </c>
      <c r="C105" s="242">
        <v>64610</v>
      </c>
      <c r="D105" s="142" t="s">
        <v>809</v>
      </c>
      <c r="E105" s="110" t="s">
        <v>240</v>
      </c>
      <c r="F105" s="120" t="s">
        <v>2022</v>
      </c>
      <c r="G105" s="110" t="s">
        <v>1897</v>
      </c>
      <c r="H105" s="110">
        <v>24</v>
      </c>
      <c r="I105" s="110" t="s">
        <v>164</v>
      </c>
      <c r="J105" s="110">
        <v>3657</v>
      </c>
      <c r="K105" s="122">
        <v>8280</v>
      </c>
      <c r="L105" s="122">
        <f t="shared" si="2"/>
        <v>1324.8</v>
      </c>
      <c r="M105" s="122">
        <f t="shared" si="3"/>
        <v>9604.7999999999993</v>
      </c>
      <c r="N105" s="136" t="s">
        <v>2078</v>
      </c>
      <c r="O105" s="124">
        <v>45689</v>
      </c>
      <c r="P105" s="241"/>
      <c r="Q105" s="169"/>
    </row>
    <row r="106" spans="1:17" ht="15.75" customHeight="1" x14ac:dyDescent="0.35">
      <c r="A106" s="119" t="s">
        <v>856</v>
      </c>
      <c r="B106" s="119" t="s">
        <v>270</v>
      </c>
      <c r="C106" s="242">
        <v>66200</v>
      </c>
      <c r="D106" s="119" t="s">
        <v>805</v>
      </c>
      <c r="E106" s="110" t="s">
        <v>240</v>
      </c>
      <c r="F106" s="248" t="s">
        <v>2067</v>
      </c>
      <c r="G106" s="110" t="s">
        <v>1897</v>
      </c>
      <c r="H106" s="110">
        <v>31</v>
      </c>
      <c r="I106" s="110" t="s">
        <v>164</v>
      </c>
      <c r="J106" s="110">
        <v>3658</v>
      </c>
      <c r="K106" s="122">
        <v>11248</v>
      </c>
      <c r="L106" s="117">
        <f t="shared" si="2"/>
        <v>1799.68</v>
      </c>
      <c r="M106" s="117">
        <f t="shared" si="3"/>
        <v>13047.68</v>
      </c>
      <c r="N106" s="136" t="s">
        <v>243</v>
      </c>
      <c r="O106" s="124">
        <v>45688</v>
      </c>
      <c r="P106" s="241"/>
      <c r="Q106" s="169"/>
    </row>
    <row r="107" spans="1:17" ht="18.5" x14ac:dyDescent="0.45">
      <c r="A107" s="338" t="s">
        <v>1717</v>
      </c>
      <c r="B107" s="235"/>
      <c r="C107" s="235"/>
      <c r="D107" s="235"/>
      <c r="E107" s="235"/>
      <c r="F107" s="235"/>
      <c r="G107" s="273"/>
      <c r="H107" s="236"/>
      <c r="I107" s="237" t="s">
        <v>242</v>
      </c>
      <c r="J107" s="238">
        <f>COUNT(J2:J106)</f>
        <v>105</v>
      </c>
      <c r="K107" s="239">
        <f>SUM(K2:K106)</f>
        <v>380849.82999999996</v>
      </c>
      <c r="L107" s="239">
        <f>SUM(L2:L106)</f>
        <v>60935.97280000001</v>
      </c>
      <c r="M107" s="239">
        <f>SUM(M2:M106)</f>
        <v>441785.8028</v>
      </c>
      <c r="N107" s="338"/>
      <c r="O107" s="339"/>
      <c r="P107" s="327">
        <f>COUNT(P7:P106)</f>
        <v>3</v>
      </c>
      <c r="Q107" s="240">
        <v>4</v>
      </c>
    </row>
    <row r="108" spans="1:17" x14ac:dyDescent="0.35">
      <c r="A108" s="142" t="s">
        <v>903</v>
      </c>
      <c r="B108" s="244" t="s">
        <v>904</v>
      </c>
      <c r="C108" s="110">
        <v>67134</v>
      </c>
      <c r="D108" s="142" t="s">
        <v>905</v>
      </c>
      <c r="E108" s="110" t="s">
        <v>240</v>
      </c>
      <c r="F108" s="110" t="s">
        <v>2081</v>
      </c>
      <c r="G108" s="110" t="s">
        <v>1856</v>
      </c>
      <c r="H108" s="110">
        <v>4</v>
      </c>
      <c r="I108" s="110" t="s">
        <v>290</v>
      </c>
      <c r="J108" s="110">
        <v>3659</v>
      </c>
      <c r="K108" s="122">
        <v>250</v>
      </c>
      <c r="L108" s="122">
        <f>K108*0.16</f>
        <v>40</v>
      </c>
      <c r="M108" s="122">
        <f>K108+L108</f>
        <v>290</v>
      </c>
      <c r="N108" s="132" t="s">
        <v>2078</v>
      </c>
      <c r="O108" s="199"/>
      <c r="P108" s="156"/>
      <c r="Q108" s="169"/>
    </row>
    <row r="109" spans="1:17" x14ac:dyDescent="0.35">
      <c r="A109" s="248" t="s">
        <v>1318</v>
      </c>
      <c r="B109" s="244" t="s">
        <v>1319</v>
      </c>
      <c r="C109" s="169">
        <v>67250</v>
      </c>
      <c r="D109" s="120" t="s">
        <v>818</v>
      </c>
      <c r="E109" s="110" t="s">
        <v>240</v>
      </c>
      <c r="F109" s="110" t="s">
        <v>2082</v>
      </c>
      <c r="G109" s="110" t="s">
        <v>1856</v>
      </c>
      <c r="H109" s="110">
        <v>4</v>
      </c>
      <c r="I109" s="110" t="s">
        <v>290</v>
      </c>
      <c r="J109" s="110">
        <v>3660</v>
      </c>
      <c r="K109" s="122">
        <v>5400</v>
      </c>
      <c r="L109" s="122">
        <f t="shared" ref="L109:L213" si="4">K109*0.16</f>
        <v>864</v>
      </c>
      <c r="M109" s="122">
        <f t="shared" ref="M109:M213" si="5">K109+L109</f>
        <v>6264</v>
      </c>
      <c r="N109" s="136" t="s">
        <v>243</v>
      </c>
      <c r="O109" s="199">
        <v>45695</v>
      </c>
      <c r="P109" s="156"/>
      <c r="Q109" s="169"/>
    </row>
    <row r="110" spans="1:17" x14ac:dyDescent="0.35">
      <c r="A110" s="248" t="s">
        <v>839</v>
      </c>
      <c r="B110" s="248" t="s">
        <v>840</v>
      </c>
      <c r="C110" s="169">
        <v>66632</v>
      </c>
      <c r="D110" s="248" t="s">
        <v>805</v>
      </c>
      <c r="E110" s="110" t="s">
        <v>240</v>
      </c>
      <c r="F110" s="110" t="s">
        <v>2083</v>
      </c>
      <c r="G110" s="110" t="s">
        <v>1856</v>
      </c>
      <c r="H110" s="110">
        <v>4</v>
      </c>
      <c r="I110" s="110" t="s">
        <v>290</v>
      </c>
      <c r="J110" s="110">
        <v>3661</v>
      </c>
      <c r="K110" s="122">
        <v>1400</v>
      </c>
      <c r="L110" s="122">
        <f t="shared" si="4"/>
        <v>224</v>
      </c>
      <c r="M110" s="122">
        <f t="shared" si="5"/>
        <v>1624</v>
      </c>
      <c r="N110" s="136" t="s">
        <v>243</v>
      </c>
      <c r="O110" s="199">
        <v>45693</v>
      </c>
      <c r="P110" s="156"/>
      <c r="Q110" s="169"/>
    </row>
    <row r="111" spans="1:17" x14ac:dyDescent="0.35">
      <c r="A111" s="243" t="s">
        <v>807</v>
      </c>
      <c r="B111" s="244" t="s">
        <v>808</v>
      </c>
      <c r="C111" s="245">
        <v>66482</v>
      </c>
      <c r="D111" s="244" t="s">
        <v>809</v>
      </c>
      <c r="E111" s="110" t="s">
        <v>240</v>
      </c>
      <c r="F111" s="110" t="s">
        <v>2084</v>
      </c>
      <c r="G111" s="110" t="s">
        <v>1856</v>
      </c>
      <c r="H111" s="110">
        <v>4</v>
      </c>
      <c r="I111" s="110" t="s">
        <v>290</v>
      </c>
      <c r="J111" s="110">
        <v>3662</v>
      </c>
      <c r="K111" s="122">
        <v>897</v>
      </c>
      <c r="L111" s="122">
        <f t="shared" si="4"/>
        <v>143.52000000000001</v>
      </c>
      <c r="M111" s="122">
        <f t="shared" si="5"/>
        <v>1040.52</v>
      </c>
      <c r="N111" s="136" t="s">
        <v>243</v>
      </c>
      <c r="O111" s="199">
        <v>45706</v>
      </c>
      <c r="P111" s="156"/>
      <c r="Q111" s="169"/>
    </row>
    <row r="112" spans="1:17" x14ac:dyDescent="0.35">
      <c r="A112" s="142" t="s">
        <v>750</v>
      </c>
      <c r="B112" s="244" t="s">
        <v>810</v>
      </c>
      <c r="C112" s="110">
        <v>89560</v>
      </c>
      <c r="D112" s="142" t="s">
        <v>809</v>
      </c>
      <c r="E112" s="110" t="s">
        <v>240</v>
      </c>
      <c r="F112" s="110" t="s">
        <v>2085</v>
      </c>
      <c r="G112" s="110" t="s">
        <v>1856</v>
      </c>
      <c r="H112" s="110">
        <v>4</v>
      </c>
      <c r="I112" s="110" t="s">
        <v>290</v>
      </c>
      <c r="J112" s="110">
        <v>3663</v>
      </c>
      <c r="K112" s="122">
        <v>2700</v>
      </c>
      <c r="L112" s="122">
        <f t="shared" si="4"/>
        <v>432</v>
      </c>
      <c r="M112" s="122">
        <f t="shared" si="5"/>
        <v>3132</v>
      </c>
      <c r="N112" s="136" t="s">
        <v>243</v>
      </c>
      <c r="O112" s="199">
        <v>45695</v>
      </c>
      <c r="P112" s="156"/>
      <c r="Q112" s="169"/>
    </row>
    <row r="113" spans="1:17" x14ac:dyDescent="0.35">
      <c r="A113" s="119" t="s">
        <v>198</v>
      </c>
      <c r="B113" s="119" t="s">
        <v>199</v>
      </c>
      <c r="C113" s="242">
        <v>64000</v>
      </c>
      <c r="D113" s="119" t="s">
        <v>805</v>
      </c>
      <c r="E113" s="110" t="s">
        <v>240</v>
      </c>
      <c r="F113" s="110" t="s">
        <v>2086</v>
      </c>
      <c r="G113" s="110" t="s">
        <v>1856</v>
      </c>
      <c r="H113" s="110">
        <v>4</v>
      </c>
      <c r="I113" s="110" t="s">
        <v>290</v>
      </c>
      <c r="J113" s="110">
        <v>3664</v>
      </c>
      <c r="K113" s="122">
        <v>300</v>
      </c>
      <c r="L113" s="122">
        <f t="shared" si="4"/>
        <v>48</v>
      </c>
      <c r="M113" s="122">
        <f t="shared" si="5"/>
        <v>348</v>
      </c>
      <c r="N113" s="136" t="s">
        <v>243</v>
      </c>
      <c r="O113" s="199">
        <v>45714</v>
      </c>
      <c r="P113" s="156"/>
      <c r="Q113" s="169"/>
    </row>
    <row r="114" spans="1:17" x14ac:dyDescent="0.35">
      <c r="A114" s="142" t="s">
        <v>1083</v>
      </c>
      <c r="B114" s="142" t="s">
        <v>1084</v>
      </c>
      <c r="C114" s="110">
        <v>64250</v>
      </c>
      <c r="D114" s="119" t="s">
        <v>806</v>
      </c>
      <c r="E114" s="110" t="s">
        <v>240</v>
      </c>
      <c r="F114" s="110" t="s">
        <v>2087</v>
      </c>
      <c r="G114" s="110" t="s">
        <v>1856</v>
      </c>
      <c r="H114" s="110">
        <v>4</v>
      </c>
      <c r="I114" s="110" t="s">
        <v>290</v>
      </c>
      <c r="J114" s="110">
        <v>3665</v>
      </c>
      <c r="K114" s="122">
        <v>0</v>
      </c>
      <c r="L114" s="122">
        <f t="shared" si="4"/>
        <v>0</v>
      </c>
      <c r="M114" s="122">
        <f t="shared" si="5"/>
        <v>0</v>
      </c>
      <c r="N114" s="132" t="s">
        <v>1890</v>
      </c>
      <c r="O114" s="199">
        <v>45693</v>
      </c>
      <c r="P114" s="156">
        <f>250*0.16+250</f>
        <v>290</v>
      </c>
      <c r="Q114" s="169"/>
    </row>
    <row r="115" spans="1:17" x14ac:dyDescent="0.35">
      <c r="A115" s="244" t="s">
        <v>779</v>
      </c>
      <c r="B115" s="244" t="s">
        <v>811</v>
      </c>
      <c r="C115" s="242">
        <v>66266</v>
      </c>
      <c r="D115" s="119" t="s">
        <v>805</v>
      </c>
      <c r="E115" s="110" t="s">
        <v>240</v>
      </c>
      <c r="F115" s="110" t="s">
        <v>2088</v>
      </c>
      <c r="G115" s="110" t="s">
        <v>1856</v>
      </c>
      <c r="H115" s="110">
        <v>4</v>
      </c>
      <c r="I115" s="110" t="s">
        <v>290</v>
      </c>
      <c r="J115" s="110">
        <v>3666</v>
      </c>
      <c r="K115" s="122">
        <v>250</v>
      </c>
      <c r="L115" s="122">
        <f>K115*0.16</f>
        <v>40</v>
      </c>
      <c r="M115" s="122">
        <f>K115+L115</f>
        <v>290</v>
      </c>
      <c r="N115" s="136" t="s">
        <v>243</v>
      </c>
      <c r="O115" s="199">
        <v>45692</v>
      </c>
      <c r="P115" s="156"/>
      <c r="Q115" s="169"/>
    </row>
    <row r="116" spans="1:17" x14ac:dyDescent="0.35">
      <c r="A116" s="142" t="s">
        <v>1083</v>
      </c>
      <c r="B116" s="142" t="s">
        <v>1084</v>
      </c>
      <c r="C116" s="110">
        <v>64250</v>
      </c>
      <c r="D116" s="119" t="s">
        <v>806</v>
      </c>
      <c r="E116" s="110" t="s">
        <v>240</v>
      </c>
      <c r="F116" s="110" t="s">
        <v>2089</v>
      </c>
      <c r="G116" s="110" t="s">
        <v>1856</v>
      </c>
      <c r="H116" s="110">
        <v>4</v>
      </c>
      <c r="I116" s="110" t="s">
        <v>290</v>
      </c>
      <c r="J116" s="110">
        <v>3667</v>
      </c>
      <c r="K116" s="122">
        <v>1250</v>
      </c>
      <c r="L116" s="122">
        <f>K116*0.16</f>
        <v>200</v>
      </c>
      <c r="M116" s="122">
        <f>K116+L116</f>
        <v>1450</v>
      </c>
      <c r="N116" s="136" t="s">
        <v>243</v>
      </c>
      <c r="O116" s="199">
        <v>45695</v>
      </c>
      <c r="P116" s="156"/>
      <c r="Q116" s="169"/>
    </row>
    <row r="117" spans="1:17" x14ac:dyDescent="0.35">
      <c r="A117" s="244" t="s">
        <v>783</v>
      </c>
      <c r="B117" s="119" t="s">
        <v>812</v>
      </c>
      <c r="C117" s="242">
        <v>64630</v>
      </c>
      <c r="D117" s="119" t="s">
        <v>805</v>
      </c>
      <c r="E117" s="110" t="s">
        <v>240</v>
      </c>
      <c r="F117" s="110" t="s">
        <v>2090</v>
      </c>
      <c r="G117" s="110" t="s">
        <v>1856</v>
      </c>
      <c r="H117" s="110">
        <v>4</v>
      </c>
      <c r="I117" s="110" t="s">
        <v>290</v>
      </c>
      <c r="J117" s="110">
        <v>3668</v>
      </c>
      <c r="K117" s="122">
        <v>1395</v>
      </c>
      <c r="L117" s="122">
        <f t="shared" si="4"/>
        <v>223.20000000000002</v>
      </c>
      <c r="M117" s="122">
        <f t="shared" si="5"/>
        <v>1618.2</v>
      </c>
      <c r="N117" s="136" t="s">
        <v>243</v>
      </c>
      <c r="O117" s="199">
        <v>45693</v>
      </c>
      <c r="P117" s="156"/>
      <c r="Q117" s="169"/>
    </row>
    <row r="118" spans="1:17" x14ac:dyDescent="0.35">
      <c r="A118" s="246" t="s">
        <v>194</v>
      </c>
      <c r="B118" s="119" t="s">
        <v>195</v>
      </c>
      <c r="C118" s="242">
        <v>67190</v>
      </c>
      <c r="D118" s="119" t="s">
        <v>805</v>
      </c>
      <c r="E118" s="110" t="s">
        <v>240</v>
      </c>
      <c r="F118" s="110" t="s">
        <v>2091</v>
      </c>
      <c r="G118" s="110" t="s">
        <v>1856</v>
      </c>
      <c r="H118" s="110">
        <v>4</v>
      </c>
      <c r="I118" s="110" t="s">
        <v>290</v>
      </c>
      <c r="J118" s="110">
        <v>3669</v>
      </c>
      <c r="K118" s="122">
        <v>1400</v>
      </c>
      <c r="L118" s="122">
        <f t="shared" si="4"/>
        <v>224</v>
      </c>
      <c r="M118" s="122">
        <f t="shared" si="5"/>
        <v>1624</v>
      </c>
      <c r="N118" s="136" t="s">
        <v>243</v>
      </c>
      <c r="O118" s="199">
        <v>45693</v>
      </c>
      <c r="P118" s="156"/>
      <c r="Q118" s="169"/>
    </row>
    <row r="119" spans="1:17" x14ac:dyDescent="0.35">
      <c r="A119" s="119" t="s">
        <v>274</v>
      </c>
      <c r="B119" s="119" t="s">
        <v>275</v>
      </c>
      <c r="C119" s="242">
        <v>66023</v>
      </c>
      <c r="D119" s="119" t="s">
        <v>805</v>
      </c>
      <c r="E119" s="110" t="s">
        <v>240</v>
      </c>
      <c r="F119" s="110" t="s">
        <v>2092</v>
      </c>
      <c r="G119" s="110" t="s">
        <v>1856</v>
      </c>
      <c r="H119" s="110">
        <v>4</v>
      </c>
      <c r="I119" s="110" t="s">
        <v>290</v>
      </c>
      <c r="J119" s="110">
        <v>3670</v>
      </c>
      <c r="K119" s="122">
        <v>1200</v>
      </c>
      <c r="L119" s="122">
        <f t="shared" si="4"/>
        <v>192</v>
      </c>
      <c r="M119" s="122">
        <f t="shared" si="5"/>
        <v>1392</v>
      </c>
      <c r="N119" s="136" t="s">
        <v>243</v>
      </c>
      <c r="O119" s="199">
        <v>45695</v>
      </c>
      <c r="P119" s="156"/>
      <c r="Q119" s="169"/>
    </row>
    <row r="120" spans="1:17" x14ac:dyDescent="0.35">
      <c r="A120" s="119" t="s">
        <v>803</v>
      </c>
      <c r="B120" s="119" t="s">
        <v>804</v>
      </c>
      <c r="C120" s="242">
        <v>66469</v>
      </c>
      <c r="D120" s="119" t="s">
        <v>805</v>
      </c>
      <c r="E120" s="110" t="s">
        <v>240</v>
      </c>
      <c r="F120" s="110" t="s">
        <v>2093</v>
      </c>
      <c r="G120" s="110" t="s">
        <v>1856</v>
      </c>
      <c r="H120" s="110">
        <v>4</v>
      </c>
      <c r="I120" s="110" t="s">
        <v>290</v>
      </c>
      <c r="J120" s="110">
        <v>3671</v>
      </c>
      <c r="K120" s="117">
        <v>1750</v>
      </c>
      <c r="L120" s="122">
        <f t="shared" si="4"/>
        <v>280</v>
      </c>
      <c r="M120" s="122">
        <f t="shared" si="5"/>
        <v>2030</v>
      </c>
      <c r="N120" s="136" t="s">
        <v>243</v>
      </c>
      <c r="O120" s="199">
        <v>45708</v>
      </c>
      <c r="P120" s="282"/>
      <c r="Q120" s="169"/>
    </row>
    <row r="121" spans="1:17" x14ac:dyDescent="0.35">
      <c r="A121" s="119" t="s">
        <v>859</v>
      </c>
      <c r="B121" s="119" t="s">
        <v>860</v>
      </c>
      <c r="C121" s="242">
        <v>64710</v>
      </c>
      <c r="D121" s="119" t="s">
        <v>805</v>
      </c>
      <c r="E121" s="110" t="s">
        <v>240</v>
      </c>
      <c r="F121" s="110" t="s">
        <v>2094</v>
      </c>
      <c r="G121" s="110" t="s">
        <v>1856</v>
      </c>
      <c r="H121" s="110">
        <v>4</v>
      </c>
      <c r="I121" s="110" t="s">
        <v>290</v>
      </c>
      <c r="J121" s="110">
        <v>3672</v>
      </c>
      <c r="K121" s="122">
        <v>1300</v>
      </c>
      <c r="L121" s="122">
        <f t="shared" si="4"/>
        <v>208</v>
      </c>
      <c r="M121" s="122">
        <f t="shared" si="5"/>
        <v>1508</v>
      </c>
      <c r="N121" s="136" t="s">
        <v>243</v>
      </c>
      <c r="O121" s="199">
        <v>45692</v>
      </c>
      <c r="P121" s="156"/>
      <c r="Q121" s="169"/>
    </row>
    <row r="122" spans="1:17" x14ac:dyDescent="0.35">
      <c r="A122" s="244" t="s">
        <v>1631</v>
      </c>
      <c r="B122" s="244" t="s">
        <v>1630</v>
      </c>
      <c r="C122" s="242">
        <v>64710</v>
      </c>
      <c r="D122" s="119" t="s">
        <v>818</v>
      </c>
      <c r="E122" s="110" t="s">
        <v>240</v>
      </c>
      <c r="F122" s="123" t="s">
        <v>2095</v>
      </c>
      <c r="G122" s="110" t="s">
        <v>1856</v>
      </c>
      <c r="H122" s="110">
        <v>4</v>
      </c>
      <c r="I122" s="110" t="s">
        <v>290</v>
      </c>
      <c r="J122" s="110">
        <v>3673</v>
      </c>
      <c r="K122" s="122">
        <v>1674</v>
      </c>
      <c r="L122" s="122">
        <f t="shared" si="4"/>
        <v>267.84000000000003</v>
      </c>
      <c r="M122" s="122">
        <f t="shared" si="5"/>
        <v>1941.8400000000001</v>
      </c>
      <c r="N122" s="136" t="s">
        <v>243</v>
      </c>
      <c r="O122" s="124">
        <v>45695</v>
      </c>
      <c r="P122" s="241"/>
      <c r="Q122" s="169" t="s">
        <v>615</v>
      </c>
    </row>
    <row r="123" spans="1:17" x14ac:dyDescent="0.35">
      <c r="A123" s="119" t="s">
        <v>1274</v>
      </c>
      <c r="B123" s="119" t="s">
        <v>1275</v>
      </c>
      <c r="C123" s="242">
        <v>64349</v>
      </c>
      <c r="D123" s="119" t="s">
        <v>818</v>
      </c>
      <c r="E123" s="110" t="s">
        <v>240</v>
      </c>
      <c r="F123" s="110" t="s">
        <v>2096</v>
      </c>
      <c r="G123" s="110" t="s">
        <v>1856</v>
      </c>
      <c r="H123" s="110">
        <v>4</v>
      </c>
      <c r="I123" s="110" t="s">
        <v>290</v>
      </c>
      <c r="J123" s="110">
        <v>3674</v>
      </c>
      <c r="K123" s="122">
        <v>250</v>
      </c>
      <c r="L123" s="122">
        <f t="shared" si="4"/>
        <v>40</v>
      </c>
      <c r="M123" s="122">
        <f t="shared" si="5"/>
        <v>290</v>
      </c>
      <c r="N123" s="136" t="s">
        <v>243</v>
      </c>
      <c r="O123" s="199">
        <v>45696</v>
      </c>
      <c r="P123" s="156"/>
      <c r="Q123" s="169"/>
    </row>
    <row r="124" spans="1:17" x14ac:dyDescent="0.35">
      <c r="A124" s="119" t="s">
        <v>196</v>
      </c>
      <c r="B124" s="119" t="s">
        <v>197</v>
      </c>
      <c r="C124" s="242">
        <v>64530</v>
      </c>
      <c r="D124" s="119" t="s">
        <v>806</v>
      </c>
      <c r="E124" s="110" t="s">
        <v>240</v>
      </c>
      <c r="F124" s="110" t="s">
        <v>2097</v>
      </c>
      <c r="G124" s="110" t="s">
        <v>1856</v>
      </c>
      <c r="H124" s="110">
        <v>4</v>
      </c>
      <c r="I124" s="110" t="s">
        <v>290</v>
      </c>
      <c r="J124" s="110">
        <v>3675</v>
      </c>
      <c r="K124" s="122">
        <v>416.66</v>
      </c>
      <c r="L124" s="122">
        <f t="shared" si="4"/>
        <v>66.665600000000012</v>
      </c>
      <c r="M124" s="122">
        <f t="shared" si="5"/>
        <v>483.32560000000001</v>
      </c>
      <c r="N124" s="136" t="s">
        <v>243</v>
      </c>
      <c r="O124" s="199">
        <v>45701</v>
      </c>
      <c r="P124" s="156"/>
      <c r="Q124" s="169"/>
    </row>
    <row r="125" spans="1:17" x14ac:dyDescent="0.35">
      <c r="A125" s="244" t="s">
        <v>815</v>
      </c>
      <c r="B125" s="244" t="s">
        <v>219</v>
      </c>
      <c r="C125" s="245">
        <v>64000</v>
      </c>
      <c r="D125" s="247" t="s">
        <v>805</v>
      </c>
      <c r="E125" s="110" t="s">
        <v>240</v>
      </c>
      <c r="F125" s="110" t="s">
        <v>2098</v>
      </c>
      <c r="G125" s="110" t="s">
        <v>1856</v>
      </c>
      <c r="H125" s="110">
        <v>4</v>
      </c>
      <c r="I125" s="110" t="s">
        <v>290</v>
      </c>
      <c r="J125" s="110">
        <v>3676</v>
      </c>
      <c r="K125" s="122">
        <v>2450</v>
      </c>
      <c r="L125" s="122">
        <f t="shared" si="4"/>
        <v>392</v>
      </c>
      <c r="M125" s="122">
        <f t="shared" si="5"/>
        <v>2842</v>
      </c>
      <c r="N125" s="136" t="s">
        <v>243</v>
      </c>
      <c r="O125" s="199">
        <v>45694</v>
      </c>
      <c r="P125" s="156"/>
      <c r="Q125" s="169"/>
    </row>
    <row r="126" spans="1:17" x14ac:dyDescent="0.35">
      <c r="A126" s="243" t="s">
        <v>876</v>
      </c>
      <c r="B126" s="243" t="s">
        <v>877</v>
      </c>
      <c r="C126" s="242">
        <v>64718</v>
      </c>
      <c r="D126" s="119" t="s">
        <v>805</v>
      </c>
      <c r="E126" s="110" t="s">
        <v>240</v>
      </c>
      <c r="F126" s="110" t="s">
        <v>2099</v>
      </c>
      <c r="G126" s="110" t="s">
        <v>1856</v>
      </c>
      <c r="H126" s="110">
        <v>4</v>
      </c>
      <c r="I126" s="110" t="s">
        <v>290</v>
      </c>
      <c r="J126" s="110">
        <v>3677</v>
      </c>
      <c r="K126" s="122">
        <v>996</v>
      </c>
      <c r="L126" s="122">
        <f t="shared" si="4"/>
        <v>159.36000000000001</v>
      </c>
      <c r="M126" s="122">
        <f t="shared" si="5"/>
        <v>1155.3600000000001</v>
      </c>
      <c r="N126" s="136" t="s">
        <v>243</v>
      </c>
      <c r="O126" s="199">
        <v>45702</v>
      </c>
      <c r="P126" s="156"/>
      <c r="Q126" s="169"/>
    </row>
    <row r="127" spans="1:17" x14ac:dyDescent="0.35">
      <c r="A127" s="244" t="s">
        <v>1444</v>
      </c>
      <c r="B127" s="244" t="s">
        <v>1445</v>
      </c>
      <c r="C127" s="242">
        <v>64000</v>
      </c>
      <c r="D127" s="119" t="s">
        <v>818</v>
      </c>
      <c r="E127" s="110" t="s">
        <v>240</v>
      </c>
      <c r="F127" s="123" t="s">
        <v>2100</v>
      </c>
      <c r="G127" s="110" t="s">
        <v>1856</v>
      </c>
      <c r="H127" s="110">
        <v>4</v>
      </c>
      <c r="I127" s="110" t="s">
        <v>290</v>
      </c>
      <c r="J127" s="110">
        <v>3678</v>
      </c>
      <c r="K127" s="122">
        <v>600</v>
      </c>
      <c r="L127" s="122">
        <f t="shared" si="4"/>
        <v>96</v>
      </c>
      <c r="M127" s="122">
        <f t="shared" si="5"/>
        <v>696</v>
      </c>
      <c r="N127" s="136" t="s">
        <v>243</v>
      </c>
      <c r="O127" s="199">
        <v>45695</v>
      </c>
      <c r="P127" s="156"/>
      <c r="Q127" s="169"/>
    </row>
    <row r="128" spans="1:17" x14ac:dyDescent="0.35">
      <c r="A128" s="119" t="s">
        <v>1451</v>
      </c>
      <c r="B128" s="119" t="s">
        <v>1452</v>
      </c>
      <c r="C128" s="242">
        <v>64760</v>
      </c>
      <c r="D128" s="119" t="s">
        <v>806</v>
      </c>
      <c r="E128" s="110" t="s">
        <v>240</v>
      </c>
      <c r="F128" s="123" t="s">
        <v>2101</v>
      </c>
      <c r="G128" s="110" t="s">
        <v>1856</v>
      </c>
      <c r="H128" s="110">
        <v>4</v>
      </c>
      <c r="I128" s="110" t="s">
        <v>290</v>
      </c>
      <c r="J128" s="110">
        <v>3679</v>
      </c>
      <c r="K128" s="122">
        <v>300</v>
      </c>
      <c r="L128" s="122">
        <f t="shared" si="4"/>
        <v>48</v>
      </c>
      <c r="M128" s="122">
        <f t="shared" si="5"/>
        <v>348</v>
      </c>
      <c r="N128" s="136" t="s">
        <v>243</v>
      </c>
      <c r="O128" s="199">
        <v>45698</v>
      </c>
      <c r="P128" s="156"/>
      <c r="Q128" s="169"/>
    </row>
    <row r="129" spans="1:17" x14ac:dyDescent="0.35">
      <c r="A129" s="119" t="s">
        <v>821</v>
      </c>
      <c r="B129" s="119" t="s">
        <v>822</v>
      </c>
      <c r="C129" s="242">
        <v>64000</v>
      </c>
      <c r="D129" s="119" t="s">
        <v>805</v>
      </c>
      <c r="E129" s="110" t="s">
        <v>240</v>
      </c>
      <c r="F129" s="110" t="s">
        <v>2102</v>
      </c>
      <c r="G129" s="110" t="s">
        <v>1856</v>
      </c>
      <c r="H129" s="110">
        <v>4</v>
      </c>
      <c r="I129" s="110" t="s">
        <v>290</v>
      </c>
      <c r="J129" s="110">
        <v>3680</v>
      </c>
      <c r="K129" s="122">
        <v>2240</v>
      </c>
      <c r="L129" s="122">
        <f t="shared" si="4"/>
        <v>358.40000000000003</v>
      </c>
      <c r="M129" s="122">
        <f t="shared" si="5"/>
        <v>2598.4</v>
      </c>
      <c r="N129" s="136" t="s">
        <v>2078</v>
      </c>
      <c r="O129" s="199">
        <v>45770</v>
      </c>
      <c r="P129" s="156"/>
      <c r="Q129" s="169"/>
    </row>
    <row r="130" spans="1:17" x14ac:dyDescent="0.35">
      <c r="A130" s="244" t="s">
        <v>1683</v>
      </c>
      <c r="B130" s="244" t="s">
        <v>1684</v>
      </c>
      <c r="C130" s="242">
        <v>64000</v>
      </c>
      <c r="D130" s="119" t="s">
        <v>805</v>
      </c>
      <c r="E130" s="110" t="s">
        <v>240</v>
      </c>
      <c r="F130" s="120" t="s">
        <v>2103</v>
      </c>
      <c r="G130" s="110" t="s">
        <v>1856</v>
      </c>
      <c r="H130" s="110">
        <v>4</v>
      </c>
      <c r="I130" s="110" t="s">
        <v>290</v>
      </c>
      <c r="J130" s="110">
        <v>3681</v>
      </c>
      <c r="K130" s="122">
        <v>5965.99</v>
      </c>
      <c r="L130" s="122">
        <f t="shared" si="4"/>
        <v>954.55840000000001</v>
      </c>
      <c r="M130" s="122">
        <f t="shared" si="5"/>
        <v>6920.5483999999997</v>
      </c>
      <c r="N130" s="136" t="s">
        <v>243</v>
      </c>
      <c r="O130" s="124">
        <v>45695</v>
      </c>
      <c r="P130" s="241"/>
      <c r="Q130" s="169"/>
    </row>
    <row r="131" spans="1:17" x14ac:dyDescent="0.35">
      <c r="A131" s="244" t="s">
        <v>1491</v>
      </c>
      <c r="B131" s="244" t="s">
        <v>1492</v>
      </c>
      <c r="C131" s="242">
        <v>64010</v>
      </c>
      <c r="D131" s="247" t="s">
        <v>805</v>
      </c>
      <c r="E131" s="110" t="s">
        <v>240</v>
      </c>
      <c r="F131" s="110" t="s">
        <v>2104</v>
      </c>
      <c r="G131" s="110" t="s">
        <v>1856</v>
      </c>
      <c r="H131" s="110">
        <v>4</v>
      </c>
      <c r="I131" s="110" t="s">
        <v>290</v>
      </c>
      <c r="J131" s="110">
        <v>3682</v>
      </c>
      <c r="K131" s="139">
        <v>7317.2</v>
      </c>
      <c r="L131" s="122">
        <f t="shared" si="4"/>
        <v>1170.752</v>
      </c>
      <c r="M131" s="122">
        <f t="shared" si="5"/>
        <v>8487.9519999999993</v>
      </c>
      <c r="N131" s="136" t="s">
        <v>243</v>
      </c>
      <c r="O131" s="199">
        <v>45695</v>
      </c>
      <c r="P131" s="156"/>
      <c r="Q131" s="169"/>
    </row>
    <row r="132" spans="1:17" x14ac:dyDescent="0.35">
      <c r="A132" s="119" t="s">
        <v>204</v>
      </c>
      <c r="B132" s="119" t="s">
        <v>205</v>
      </c>
      <c r="C132" s="242">
        <v>89515</v>
      </c>
      <c r="D132" s="119" t="s">
        <v>806</v>
      </c>
      <c r="E132" s="110" t="s">
        <v>240</v>
      </c>
      <c r="F132" s="110" t="s">
        <v>2105</v>
      </c>
      <c r="G132" s="110" t="s">
        <v>1856</v>
      </c>
      <c r="H132" s="110">
        <v>4</v>
      </c>
      <c r="I132" s="110" t="s">
        <v>290</v>
      </c>
      <c r="J132" s="110">
        <v>3683</v>
      </c>
      <c r="K132" s="122">
        <v>3500</v>
      </c>
      <c r="L132" s="122">
        <f t="shared" si="4"/>
        <v>560</v>
      </c>
      <c r="M132" s="122">
        <f t="shared" si="5"/>
        <v>4060</v>
      </c>
      <c r="N132" s="136" t="s">
        <v>243</v>
      </c>
      <c r="O132" s="199">
        <v>45698</v>
      </c>
      <c r="P132" s="156"/>
      <c r="Q132" s="169"/>
    </row>
    <row r="133" spans="1:17" x14ac:dyDescent="0.35">
      <c r="A133" s="119" t="s">
        <v>206</v>
      </c>
      <c r="B133" s="119" t="s">
        <v>207</v>
      </c>
      <c r="C133" s="242">
        <v>64020</v>
      </c>
      <c r="D133" s="119" t="s">
        <v>805</v>
      </c>
      <c r="E133" s="411" t="s">
        <v>241</v>
      </c>
      <c r="F133" s="110" t="s">
        <v>2106</v>
      </c>
      <c r="G133" s="110" t="s">
        <v>1856</v>
      </c>
      <c r="H133" s="110">
        <v>4</v>
      </c>
      <c r="I133" s="110" t="s">
        <v>290</v>
      </c>
      <c r="J133" s="110">
        <v>3684</v>
      </c>
      <c r="K133" s="122">
        <v>300</v>
      </c>
      <c r="L133" s="117">
        <f t="shared" si="4"/>
        <v>48</v>
      </c>
      <c r="M133" s="117">
        <f t="shared" si="5"/>
        <v>348</v>
      </c>
      <c r="N133" s="136" t="s">
        <v>243</v>
      </c>
      <c r="O133" s="199">
        <v>45695</v>
      </c>
      <c r="P133" s="156"/>
      <c r="Q133" s="169"/>
    </row>
    <row r="134" spans="1:17" x14ac:dyDescent="0.35">
      <c r="A134" s="119" t="s">
        <v>823</v>
      </c>
      <c r="B134" s="119" t="s">
        <v>208</v>
      </c>
      <c r="C134" s="242">
        <v>64020</v>
      </c>
      <c r="D134" s="119" t="s">
        <v>805</v>
      </c>
      <c r="E134" s="411" t="s">
        <v>241</v>
      </c>
      <c r="F134" s="110" t="s">
        <v>2107</v>
      </c>
      <c r="G134" s="110" t="s">
        <v>1856</v>
      </c>
      <c r="H134" s="110">
        <v>4</v>
      </c>
      <c r="I134" s="110" t="s">
        <v>290</v>
      </c>
      <c r="J134" s="110">
        <v>3685</v>
      </c>
      <c r="K134" s="122">
        <v>600</v>
      </c>
      <c r="L134" s="122">
        <f t="shared" si="4"/>
        <v>96</v>
      </c>
      <c r="M134" s="122">
        <f t="shared" si="5"/>
        <v>696</v>
      </c>
      <c r="N134" s="136" t="s">
        <v>243</v>
      </c>
      <c r="O134" s="199">
        <v>45695</v>
      </c>
      <c r="P134" s="156"/>
      <c r="Q134" s="169"/>
    </row>
    <row r="135" spans="1:17" x14ac:dyDescent="0.35">
      <c r="A135" s="243" t="s">
        <v>1457</v>
      </c>
      <c r="B135" s="243" t="s">
        <v>1456</v>
      </c>
      <c r="C135" s="242">
        <v>66024</v>
      </c>
      <c r="D135" s="142" t="s">
        <v>806</v>
      </c>
      <c r="E135" s="110" t="s">
        <v>240</v>
      </c>
      <c r="F135" s="110" t="s">
        <v>2108</v>
      </c>
      <c r="G135" s="110" t="s">
        <v>1856</v>
      </c>
      <c r="H135" s="110">
        <v>4</v>
      </c>
      <c r="I135" s="110" t="s">
        <v>290</v>
      </c>
      <c r="J135" s="110">
        <v>3686</v>
      </c>
      <c r="K135" s="122">
        <v>900</v>
      </c>
      <c r="L135" s="117">
        <f t="shared" si="4"/>
        <v>144</v>
      </c>
      <c r="M135" s="117">
        <f t="shared" si="5"/>
        <v>1044</v>
      </c>
      <c r="N135" s="136" t="s">
        <v>243</v>
      </c>
      <c r="O135" s="199">
        <v>45695</v>
      </c>
      <c r="P135" s="156"/>
      <c r="Q135" s="169"/>
    </row>
    <row r="136" spans="1:17" x14ac:dyDescent="0.35">
      <c r="A136" s="119" t="s">
        <v>200</v>
      </c>
      <c r="B136" s="119" t="s">
        <v>201</v>
      </c>
      <c r="C136" s="242">
        <v>66052</v>
      </c>
      <c r="D136" s="119" t="s">
        <v>805</v>
      </c>
      <c r="E136" s="110" t="s">
        <v>240</v>
      </c>
      <c r="F136" s="110" t="s">
        <v>2109</v>
      </c>
      <c r="G136" s="110" t="s">
        <v>1856</v>
      </c>
      <c r="H136" s="110">
        <v>4</v>
      </c>
      <c r="I136" s="110" t="s">
        <v>290</v>
      </c>
      <c r="J136" s="110">
        <v>3687</v>
      </c>
      <c r="K136" s="122">
        <v>900</v>
      </c>
      <c r="L136" s="122">
        <f t="shared" si="4"/>
        <v>144</v>
      </c>
      <c r="M136" s="122">
        <f t="shared" si="5"/>
        <v>1044</v>
      </c>
      <c r="N136" s="136" t="s">
        <v>243</v>
      </c>
      <c r="O136" s="199">
        <v>45698</v>
      </c>
      <c r="P136" s="156"/>
      <c r="Q136" s="169"/>
    </row>
    <row r="137" spans="1:17" x14ac:dyDescent="0.35">
      <c r="A137" s="119" t="s">
        <v>780</v>
      </c>
      <c r="B137" s="119" t="s">
        <v>826</v>
      </c>
      <c r="C137" s="242">
        <v>45019</v>
      </c>
      <c r="D137" s="119" t="s">
        <v>805</v>
      </c>
      <c r="E137" s="110" t="s">
        <v>240</v>
      </c>
      <c r="F137" s="110" t="s">
        <v>2110</v>
      </c>
      <c r="G137" s="110" t="s">
        <v>1856</v>
      </c>
      <c r="H137" s="110">
        <v>4</v>
      </c>
      <c r="I137" s="110" t="s">
        <v>290</v>
      </c>
      <c r="J137" s="110">
        <v>3688</v>
      </c>
      <c r="K137" s="122">
        <v>1200</v>
      </c>
      <c r="L137" s="117">
        <f t="shared" si="4"/>
        <v>192</v>
      </c>
      <c r="M137" s="117">
        <f t="shared" si="5"/>
        <v>1392</v>
      </c>
      <c r="N137" s="136" t="s">
        <v>243</v>
      </c>
      <c r="O137" s="199">
        <v>45692</v>
      </c>
      <c r="P137" s="156"/>
      <c r="Q137" s="169"/>
    </row>
    <row r="138" spans="1:17" x14ac:dyDescent="0.35">
      <c r="A138" s="244" t="s">
        <v>816</v>
      </c>
      <c r="B138" s="244" t="s">
        <v>817</v>
      </c>
      <c r="C138" s="245">
        <v>64000</v>
      </c>
      <c r="D138" s="247" t="s">
        <v>818</v>
      </c>
      <c r="E138" s="110" t="s">
        <v>240</v>
      </c>
      <c r="F138" s="123" t="s">
        <v>2111</v>
      </c>
      <c r="G138" s="110" t="s">
        <v>1856</v>
      </c>
      <c r="H138" s="110">
        <v>4</v>
      </c>
      <c r="I138" s="110" t="s">
        <v>290</v>
      </c>
      <c r="J138" s="110">
        <v>3689</v>
      </c>
      <c r="K138" s="122">
        <v>750</v>
      </c>
      <c r="L138" s="122">
        <f t="shared" si="4"/>
        <v>120</v>
      </c>
      <c r="M138" s="122">
        <f t="shared" si="5"/>
        <v>870</v>
      </c>
      <c r="N138" s="136" t="s">
        <v>243</v>
      </c>
      <c r="O138" s="199">
        <v>45698</v>
      </c>
      <c r="P138" s="156"/>
      <c r="Q138" s="169"/>
    </row>
    <row r="139" spans="1:17" x14ac:dyDescent="0.35">
      <c r="A139" s="142" t="s">
        <v>833</v>
      </c>
      <c r="B139" s="142" t="s">
        <v>834</v>
      </c>
      <c r="C139" s="110">
        <v>67250</v>
      </c>
      <c r="D139" s="142" t="s">
        <v>806</v>
      </c>
      <c r="E139" s="110" t="s">
        <v>240</v>
      </c>
      <c r="F139" s="110" t="s">
        <v>2112</v>
      </c>
      <c r="G139" s="110" t="s">
        <v>1856</v>
      </c>
      <c r="H139" s="110">
        <v>4</v>
      </c>
      <c r="I139" s="110" t="s">
        <v>290</v>
      </c>
      <c r="J139" s="110">
        <v>3690</v>
      </c>
      <c r="K139" s="122">
        <v>300</v>
      </c>
      <c r="L139" s="117">
        <f t="shared" si="4"/>
        <v>48</v>
      </c>
      <c r="M139" s="117">
        <f t="shared" si="5"/>
        <v>348</v>
      </c>
      <c r="N139" s="136" t="s">
        <v>243</v>
      </c>
      <c r="O139" s="199">
        <v>45698</v>
      </c>
      <c r="P139" s="156"/>
      <c r="Q139" s="169"/>
    </row>
    <row r="140" spans="1:17" x14ac:dyDescent="0.35">
      <c r="A140" s="120" t="s">
        <v>245</v>
      </c>
      <c r="B140" s="120" t="s">
        <v>247</v>
      </c>
      <c r="C140" s="169">
        <v>66650</v>
      </c>
      <c r="D140" s="120" t="s">
        <v>805</v>
      </c>
      <c r="E140" s="110" t="s">
        <v>240</v>
      </c>
      <c r="F140" s="110" t="s">
        <v>2113</v>
      </c>
      <c r="G140" s="110" t="s">
        <v>1856</v>
      </c>
      <c r="H140" s="110">
        <v>4</v>
      </c>
      <c r="I140" s="110" t="s">
        <v>290</v>
      </c>
      <c r="J140" s="110">
        <v>3691</v>
      </c>
      <c r="K140" s="122">
        <v>1396</v>
      </c>
      <c r="L140" s="122">
        <f t="shared" si="4"/>
        <v>223.36</v>
      </c>
      <c r="M140" s="122">
        <f t="shared" si="5"/>
        <v>1619.3600000000001</v>
      </c>
      <c r="N140" s="136" t="s">
        <v>243</v>
      </c>
      <c r="O140" s="199">
        <v>45701</v>
      </c>
      <c r="P140" s="156"/>
      <c r="Q140" s="169"/>
    </row>
    <row r="141" spans="1:17" ht="15.75" customHeight="1" x14ac:dyDescent="0.35">
      <c r="A141" s="243" t="s">
        <v>1403</v>
      </c>
      <c r="B141" s="243" t="s">
        <v>1404</v>
      </c>
      <c r="C141" s="242">
        <v>64410</v>
      </c>
      <c r="D141" s="119" t="s">
        <v>805</v>
      </c>
      <c r="E141" s="110" t="s">
        <v>240</v>
      </c>
      <c r="F141" s="110" t="s">
        <v>2114</v>
      </c>
      <c r="G141" s="110" t="s">
        <v>1856</v>
      </c>
      <c r="H141" s="110">
        <v>4</v>
      </c>
      <c r="I141" s="110" t="s">
        <v>290</v>
      </c>
      <c r="J141" s="110">
        <v>3692</v>
      </c>
      <c r="K141" s="122">
        <v>3799</v>
      </c>
      <c r="L141" s="117">
        <f t="shared" si="4"/>
        <v>607.84</v>
      </c>
      <c r="M141" s="117">
        <f t="shared" si="5"/>
        <v>4406.84</v>
      </c>
      <c r="N141" s="136" t="s">
        <v>243</v>
      </c>
      <c r="O141" s="199">
        <v>45692</v>
      </c>
      <c r="P141" s="156"/>
      <c r="Q141" s="169"/>
    </row>
    <row r="142" spans="1:17" x14ac:dyDescent="0.35">
      <c r="A142" s="248" t="s">
        <v>1067</v>
      </c>
      <c r="B142" s="244" t="s">
        <v>1068</v>
      </c>
      <c r="C142" s="169">
        <v>64030</v>
      </c>
      <c r="D142" s="120" t="s">
        <v>805</v>
      </c>
      <c r="E142" s="110" t="s">
        <v>240</v>
      </c>
      <c r="F142" s="110" t="s">
        <v>2115</v>
      </c>
      <c r="G142" s="110" t="s">
        <v>1856</v>
      </c>
      <c r="H142" s="110">
        <v>4</v>
      </c>
      <c r="I142" s="110" t="s">
        <v>290</v>
      </c>
      <c r="J142" s="110">
        <v>3693</v>
      </c>
      <c r="K142" s="122">
        <v>3490</v>
      </c>
      <c r="L142" s="117">
        <f t="shared" si="4"/>
        <v>558.4</v>
      </c>
      <c r="M142" s="117">
        <f t="shared" si="5"/>
        <v>4048.4</v>
      </c>
      <c r="N142" s="136" t="s">
        <v>243</v>
      </c>
      <c r="O142" s="199">
        <v>45695</v>
      </c>
      <c r="P142" s="156"/>
      <c r="Q142" s="169"/>
    </row>
    <row r="143" spans="1:17" x14ac:dyDescent="0.35">
      <c r="A143" s="119" t="s">
        <v>209</v>
      </c>
      <c r="B143" s="119" t="s">
        <v>210</v>
      </c>
      <c r="C143" s="242">
        <v>67110</v>
      </c>
      <c r="D143" s="119" t="s">
        <v>806</v>
      </c>
      <c r="E143" s="411" t="s">
        <v>241</v>
      </c>
      <c r="F143" s="123" t="s">
        <v>2116</v>
      </c>
      <c r="G143" s="110" t="s">
        <v>1856</v>
      </c>
      <c r="H143" s="110">
        <v>4</v>
      </c>
      <c r="I143" s="110" t="s">
        <v>290</v>
      </c>
      <c r="J143" s="110">
        <v>3694</v>
      </c>
      <c r="K143" s="122">
        <v>1320</v>
      </c>
      <c r="L143" s="122">
        <f t="shared" si="4"/>
        <v>211.20000000000002</v>
      </c>
      <c r="M143" s="122">
        <f t="shared" si="5"/>
        <v>1531.2</v>
      </c>
      <c r="N143" s="136" t="s">
        <v>243</v>
      </c>
      <c r="O143" s="199">
        <v>45694</v>
      </c>
      <c r="P143" s="156"/>
      <c r="Q143" s="169"/>
    </row>
    <row r="144" spans="1:17" x14ac:dyDescent="0.35">
      <c r="A144" s="244" t="s">
        <v>1028</v>
      </c>
      <c r="B144" s="244" t="s">
        <v>1029</v>
      </c>
      <c r="C144" s="245">
        <v>66607</v>
      </c>
      <c r="D144" s="119" t="s">
        <v>915</v>
      </c>
      <c r="E144" s="110" t="s">
        <v>240</v>
      </c>
      <c r="F144" s="110" t="s">
        <v>2117</v>
      </c>
      <c r="G144" s="110" t="s">
        <v>1856</v>
      </c>
      <c r="H144" s="110">
        <v>4</v>
      </c>
      <c r="I144" s="110" t="s">
        <v>290</v>
      </c>
      <c r="J144" s="110">
        <v>3695</v>
      </c>
      <c r="K144" s="122">
        <v>300</v>
      </c>
      <c r="L144" s="117">
        <f t="shared" si="4"/>
        <v>48</v>
      </c>
      <c r="M144" s="117">
        <f t="shared" si="5"/>
        <v>348</v>
      </c>
      <c r="N144" s="136" t="s">
        <v>243</v>
      </c>
      <c r="O144" s="199">
        <v>45692</v>
      </c>
      <c r="P144" s="156"/>
      <c r="Q144" s="169"/>
    </row>
    <row r="145" spans="1:17" x14ac:dyDescent="0.35">
      <c r="A145" s="244" t="s">
        <v>913</v>
      </c>
      <c r="B145" s="244" t="s">
        <v>914</v>
      </c>
      <c r="C145" s="245">
        <v>67150</v>
      </c>
      <c r="D145" s="247" t="s">
        <v>915</v>
      </c>
      <c r="E145" s="110" t="s">
        <v>240</v>
      </c>
      <c r="F145" s="110" t="s">
        <v>2118</v>
      </c>
      <c r="G145" s="110" t="s">
        <v>1856</v>
      </c>
      <c r="H145" s="110">
        <v>4</v>
      </c>
      <c r="I145" s="110" t="s">
        <v>290</v>
      </c>
      <c r="J145" s="110">
        <v>3696</v>
      </c>
      <c r="K145" s="122">
        <v>1200</v>
      </c>
      <c r="L145" s="122">
        <f t="shared" si="4"/>
        <v>192</v>
      </c>
      <c r="M145" s="122">
        <f t="shared" si="5"/>
        <v>1392</v>
      </c>
      <c r="N145" s="136" t="s">
        <v>243</v>
      </c>
      <c r="O145" s="199">
        <v>45695</v>
      </c>
      <c r="P145" s="275"/>
      <c r="Q145" s="169"/>
    </row>
    <row r="146" spans="1:17" x14ac:dyDescent="0.35">
      <c r="A146" s="119" t="s">
        <v>827</v>
      </c>
      <c r="B146" s="119" t="s">
        <v>828</v>
      </c>
      <c r="C146" s="242">
        <v>66477</v>
      </c>
      <c r="D146" s="119" t="s">
        <v>901</v>
      </c>
      <c r="E146" s="411" t="s">
        <v>848</v>
      </c>
      <c r="F146" s="123" t="s">
        <v>2119</v>
      </c>
      <c r="G146" s="110" t="s">
        <v>1856</v>
      </c>
      <c r="H146" s="110">
        <v>4</v>
      </c>
      <c r="I146" s="110" t="s">
        <v>290</v>
      </c>
      <c r="J146" s="110">
        <v>3697</v>
      </c>
      <c r="K146" s="122">
        <v>660</v>
      </c>
      <c r="L146" s="117">
        <f t="shared" si="4"/>
        <v>105.60000000000001</v>
      </c>
      <c r="M146" s="117">
        <f t="shared" si="5"/>
        <v>765.6</v>
      </c>
      <c r="N146" s="136" t="s">
        <v>243</v>
      </c>
      <c r="O146" s="199">
        <v>45694</v>
      </c>
      <c r="P146" s="156"/>
      <c r="Q146" s="169"/>
    </row>
    <row r="147" spans="1:17" x14ac:dyDescent="0.35">
      <c r="A147" s="119" t="s">
        <v>220</v>
      </c>
      <c r="B147" s="119" t="s">
        <v>221</v>
      </c>
      <c r="C147" s="242">
        <v>66460</v>
      </c>
      <c r="D147" s="119" t="s">
        <v>806</v>
      </c>
      <c r="E147" s="110" t="s">
        <v>240</v>
      </c>
      <c r="F147" s="110" t="s">
        <v>2120</v>
      </c>
      <c r="G147" s="110" t="s">
        <v>1856</v>
      </c>
      <c r="H147" s="110">
        <v>4</v>
      </c>
      <c r="I147" s="110" t="s">
        <v>290</v>
      </c>
      <c r="J147" s="110">
        <v>3698</v>
      </c>
      <c r="K147" s="122">
        <v>4046</v>
      </c>
      <c r="L147" s="122">
        <f t="shared" si="4"/>
        <v>647.36</v>
      </c>
      <c r="M147" s="122">
        <f t="shared" si="5"/>
        <v>4693.3599999999997</v>
      </c>
      <c r="N147" s="136" t="s">
        <v>243</v>
      </c>
      <c r="O147" s="199">
        <v>45699</v>
      </c>
      <c r="P147" s="275"/>
      <c r="Q147" s="169"/>
    </row>
    <row r="148" spans="1:17" x14ac:dyDescent="0.35">
      <c r="A148" s="119" t="s">
        <v>712</v>
      </c>
      <c r="B148" s="119" t="s">
        <v>829</v>
      </c>
      <c r="C148" s="242">
        <v>66070</v>
      </c>
      <c r="D148" s="119" t="s">
        <v>830</v>
      </c>
      <c r="E148" s="110" t="s">
        <v>240</v>
      </c>
      <c r="F148" s="123" t="s">
        <v>2121</v>
      </c>
      <c r="G148" s="110" t="s">
        <v>1856</v>
      </c>
      <c r="H148" s="110">
        <v>4</v>
      </c>
      <c r="I148" s="110" t="s">
        <v>290</v>
      </c>
      <c r="J148" s="110">
        <v>3699</v>
      </c>
      <c r="K148" s="122">
        <v>1200</v>
      </c>
      <c r="L148" s="117">
        <f t="shared" si="4"/>
        <v>192</v>
      </c>
      <c r="M148" s="117">
        <f t="shared" si="5"/>
        <v>1392</v>
      </c>
      <c r="N148" s="136" t="s">
        <v>243</v>
      </c>
      <c r="O148" s="199">
        <v>45694</v>
      </c>
      <c r="P148" s="156"/>
      <c r="Q148" s="169"/>
    </row>
    <row r="149" spans="1:17" x14ac:dyDescent="0.35">
      <c r="A149" s="244" t="s">
        <v>1551</v>
      </c>
      <c r="B149" s="244" t="s">
        <v>1553</v>
      </c>
      <c r="C149" s="242">
        <v>76079</v>
      </c>
      <c r="D149" s="247" t="s">
        <v>915</v>
      </c>
      <c r="E149" s="110" t="s">
        <v>240</v>
      </c>
      <c r="F149" s="123" t="s">
        <v>2122</v>
      </c>
      <c r="G149" s="110" t="s">
        <v>1856</v>
      </c>
      <c r="H149" s="110">
        <v>4</v>
      </c>
      <c r="I149" s="110" t="s">
        <v>290</v>
      </c>
      <c r="J149" s="110">
        <v>3700</v>
      </c>
      <c r="K149" s="122">
        <v>850</v>
      </c>
      <c r="L149" s="122">
        <f t="shared" si="4"/>
        <v>136</v>
      </c>
      <c r="M149" s="122">
        <f t="shared" si="5"/>
        <v>986</v>
      </c>
      <c r="N149" s="136" t="s">
        <v>243</v>
      </c>
      <c r="O149" s="199">
        <v>45699</v>
      </c>
      <c r="P149" s="156"/>
      <c r="Q149" s="169"/>
    </row>
    <row r="150" spans="1:17" x14ac:dyDescent="0.35">
      <c r="A150" s="244" t="s">
        <v>831</v>
      </c>
      <c r="B150" s="244" t="s">
        <v>832</v>
      </c>
      <c r="C150" s="110">
        <v>64530</v>
      </c>
      <c r="D150" s="142" t="s">
        <v>805</v>
      </c>
      <c r="E150" s="110" t="s">
        <v>240</v>
      </c>
      <c r="F150" s="123" t="s">
        <v>2124</v>
      </c>
      <c r="G150" s="110" t="s">
        <v>1856</v>
      </c>
      <c r="H150" s="110">
        <v>4</v>
      </c>
      <c r="I150" s="110" t="s">
        <v>290</v>
      </c>
      <c r="J150" s="110">
        <v>3701</v>
      </c>
      <c r="K150" s="122">
        <v>300</v>
      </c>
      <c r="L150" s="117">
        <f t="shared" si="4"/>
        <v>48</v>
      </c>
      <c r="M150" s="117">
        <f t="shared" si="5"/>
        <v>348</v>
      </c>
      <c r="N150" s="136" t="s">
        <v>243</v>
      </c>
      <c r="O150" s="124">
        <v>45694</v>
      </c>
      <c r="P150" s="156"/>
      <c r="Q150" s="169"/>
    </row>
    <row r="151" spans="1:17" x14ac:dyDescent="0.35">
      <c r="A151" s="244" t="s">
        <v>1619</v>
      </c>
      <c r="B151" s="244" t="s">
        <v>1620</v>
      </c>
      <c r="C151" s="110">
        <v>67196</v>
      </c>
      <c r="D151" s="119" t="s">
        <v>806</v>
      </c>
      <c r="E151" s="110" t="s">
        <v>240</v>
      </c>
      <c r="F151" s="1" t="s">
        <v>2125</v>
      </c>
      <c r="G151" s="110" t="s">
        <v>1856</v>
      </c>
      <c r="H151" s="110">
        <v>4</v>
      </c>
      <c r="I151" s="110" t="s">
        <v>290</v>
      </c>
      <c r="J151" s="110">
        <v>3702</v>
      </c>
      <c r="K151" s="139">
        <v>250</v>
      </c>
      <c r="L151" s="122">
        <f t="shared" si="4"/>
        <v>40</v>
      </c>
      <c r="M151" s="122">
        <f t="shared" si="5"/>
        <v>290</v>
      </c>
      <c r="N151" s="136" t="s">
        <v>243</v>
      </c>
      <c r="O151" s="124">
        <v>45699</v>
      </c>
      <c r="P151" s="156"/>
      <c r="Q151" s="169"/>
    </row>
    <row r="152" spans="1:17" x14ac:dyDescent="0.35">
      <c r="A152" s="244" t="s">
        <v>533</v>
      </c>
      <c r="B152" s="244" t="s">
        <v>835</v>
      </c>
      <c r="C152" s="245">
        <v>89110</v>
      </c>
      <c r="D152" s="119" t="s">
        <v>805</v>
      </c>
      <c r="E152" s="110" t="s">
        <v>240</v>
      </c>
      <c r="F152" s="110" t="s">
        <v>2126</v>
      </c>
      <c r="G152" s="110" t="s">
        <v>1856</v>
      </c>
      <c r="H152" s="110">
        <v>4</v>
      </c>
      <c r="I152" s="110" t="s">
        <v>290</v>
      </c>
      <c r="J152" s="110">
        <v>3703</v>
      </c>
      <c r="K152" s="122">
        <v>4731</v>
      </c>
      <c r="L152" s="117">
        <f t="shared" si="4"/>
        <v>756.96</v>
      </c>
      <c r="M152" s="117">
        <f t="shared" si="5"/>
        <v>5487.96</v>
      </c>
      <c r="N152" s="136" t="s">
        <v>243</v>
      </c>
      <c r="O152" s="199">
        <v>45693</v>
      </c>
      <c r="P152" s="156"/>
      <c r="Q152" s="169"/>
    </row>
    <row r="153" spans="1:17" x14ac:dyDescent="0.35">
      <c r="A153" s="142" t="s">
        <v>1670</v>
      </c>
      <c r="B153" s="142" t="s">
        <v>1671</v>
      </c>
      <c r="C153" s="110">
        <v>76000</v>
      </c>
      <c r="D153" s="119" t="s">
        <v>805</v>
      </c>
      <c r="E153" s="110" t="s">
        <v>240</v>
      </c>
      <c r="F153" s="123" t="s">
        <v>2127</v>
      </c>
      <c r="G153" s="110" t="s">
        <v>1856</v>
      </c>
      <c r="H153" s="110">
        <v>4</v>
      </c>
      <c r="I153" s="110" t="s">
        <v>290</v>
      </c>
      <c r="J153" s="110">
        <v>3704</v>
      </c>
      <c r="K153" s="122">
        <v>5080</v>
      </c>
      <c r="L153" s="122">
        <f t="shared" si="4"/>
        <v>812.80000000000007</v>
      </c>
      <c r="M153" s="122">
        <f t="shared" si="5"/>
        <v>5892.8</v>
      </c>
      <c r="N153" s="136" t="s">
        <v>243</v>
      </c>
      <c r="O153" s="124">
        <v>45692</v>
      </c>
      <c r="P153" s="241"/>
      <c r="Q153" s="169"/>
    </row>
    <row r="154" spans="1:17" x14ac:dyDescent="0.35">
      <c r="A154" s="248" t="s">
        <v>836</v>
      </c>
      <c r="B154" s="244" t="s">
        <v>837</v>
      </c>
      <c r="C154" s="110">
        <v>66062</v>
      </c>
      <c r="D154" s="248" t="s">
        <v>805</v>
      </c>
      <c r="E154" s="110" t="s">
        <v>240</v>
      </c>
      <c r="F154" s="1" t="s">
        <v>2128</v>
      </c>
      <c r="G154" s="110" t="s">
        <v>1856</v>
      </c>
      <c r="H154" s="110">
        <v>4</v>
      </c>
      <c r="I154" s="110" t="s">
        <v>290</v>
      </c>
      <c r="J154" s="110">
        <v>3705</v>
      </c>
      <c r="K154" s="122">
        <v>498</v>
      </c>
      <c r="L154" s="117">
        <f t="shared" si="4"/>
        <v>79.680000000000007</v>
      </c>
      <c r="M154" s="117">
        <f t="shared" si="5"/>
        <v>577.68000000000006</v>
      </c>
      <c r="N154" s="136" t="s">
        <v>243</v>
      </c>
      <c r="O154" s="199">
        <v>45701</v>
      </c>
      <c r="P154" s="156"/>
      <c r="Q154" s="169"/>
    </row>
    <row r="155" spans="1:17" x14ac:dyDescent="0.35">
      <c r="A155" s="119" t="s">
        <v>838</v>
      </c>
      <c r="B155" s="119" t="s">
        <v>211</v>
      </c>
      <c r="C155" s="242">
        <v>64350</v>
      </c>
      <c r="D155" s="119" t="s">
        <v>806</v>
      </c>
      <c r="E155" s="110" t="s">
        <v>240</v>
      </c>
      <c r="F155" s="110" t="s">
        <v>2129</v>
      </c>
      <c r="G155" s="110" t="s">
        <v>1856</v>
      </c>
      <c r="H155" s="110">
        <v>4</v>
      </c>
      <c r="I155" s="110" t="s">
        <v>290</v>
      </c>
      <c r="J155" s="110">
        <v>3706</v>
      </c>
      <c r="K155" s="122">
        <v>300</v>
      </c>
      <c r="L155" s="122">
        <f t="shared" si="4"/>
        <v>48</v>
      </c>
      <c r="M155" s="122">
        <f t="shared" si="5"/>
        <v>348</v>
      </c>
      <c r="N155" s="136" t="s">
        <v>243</v>
      </c>
      <c r="O155" s="199">
        <v>45695</v>
      </c>
      <c r="P155" s="156"/>
      <c r="Q155" s="169"/>
    </row>
    <row r="156" spans="1:17" x14ac:dyDescent="0.35">
      <c r="A156" s="119" t="s">
        <v>53</v>
      </c>
      <c r="B156" s="119" t="s">
        <v>212</v>
      </c>
      <c r="C156" s="242">
        <v>64850</v>
      </c>
      <c r="D156" s="119" t="s">
        <v>806</v>
      </c>
      <c r="E156" s="110" t="s">
        <v>240</v>
      </c>
      <c r="F156" s="123" t="s">
        <v>2130</v>
      </c>
      <c r="G156" s="110" t="s">
        <v>1856</v>
      </c>
      <c r="H156" s="110">
        <v>4</v>
      </c>
      <c r="I156" s="110" t="s">
        <v>290</v>
      </c>
      <c r="J156" s="110">
        <v>3707</v>
      </c>
      <c r="K156" s="122">
        <v>300</v>
      </c>
      <c r="L156" s="117">
        <f t="shared" si="4"/>
        <v>48</v>
      </c>
      <c r="M156" s="117">
        <f t="shared" si="5"/>
        <v>348</v>
      </c>
      <c r="N156" s="136" t="s">
        <v>243</v>
      </c>
      <c r="O156" s="199">
        <v>45698</v>
      </c>
      <c r="P156" s="156"/>
      <c r="Q156" s="169"/>
    </row>
    <row r="157" spans="1:17" x14ac:dyDescent="0.35">
      <c r="A157" s="119" t="s">
        <v>1032</v>
      </c>
      <c r="B157" s="119" t="s">
        <v>1033</v>
      </c>
      <c r="C157" s="242">
        <v>64610</v>
      </c>
      <c r="D157" s="119" t="s">
        <v>915</v>
      </c>
      <c r="E157" s="110" t="s">
        <v>240</v>
      </c>
      <c r="F157" s="123" t="s">
        <v>2131</v>
      </c>
      <c r="G157" s="110" t="s">
        <v>1856</v>
      </c>
      <c r="H157" s="110">
        <v>4</v>
      </c>
      <c r="I157" s="110" t="s">
        <v>290</v>
      </c>
      <c r="J157" s="110">
        <v>3708</v>
      </c>
      <c r="K157" s="122">
        <v>2750</v>
      </c>
      <c r="L157" s="122">
        <f t="shared" si="4"/>
        <v>440</v>
      </c>
      <c r="M157" s="122">
        <f t="shared" si="5"/>
        <v>3190</v>
      </c>
      <c r="N157" s="136" t="s">
        <v>243</v>
      </c>
      <c r="O157" s="199">
        <v>45693</v>
      </c>
      <c r="P157" s="156"/>
      <c r="Q157" s="169"/>
    </row>
    <row r="158" spans="1:17" x14ac:dyDescent="0.35">
      <c r="A158" s="119" t="s">
        <v>1061</v>
      </c>
      <c r="B158" s="119" t="s">
        <v>1060</v>
      </c>
      <c r="C158" s="242">
        <v>66614</v>
      </c>
      <c r="D158" s="119" t="s">
        <v>806</v>
      </c>
      <c r="E158" s="110" t="s">
        <v>240</v>
      </c>
      <c r="F158" s="110" t="s">
        <v>2132</v>
      </c>
      <c r="G158" s="110" t="s">
        <v>1856</v>
      </c>
      <c r="H158" s="110">
        <v>4</v>
      </c>
      <c r="I158" s="110" t="s">
        <v>290</v>
      </c>
      <c r="J158" s="110">
        <v>3709</v>
      </c>
      <c r="K158" s="122">
        <v>750</v>
      </c>
      <c r="L158" s="117">
        <f t="shared" si="4"/>
        <v>120</v>
      </c>
      <c r="M158" s="117">
        <f t="shared" si="5"/>
        <v>870</v>
      </c>
      <c r="N158" s="136" t="s">
        <v>243</v>
      </c>
      <c r="O158" s="199">
        <v>45696</v>
      </c>
      <c r="P158" s="156"/>
      <c r="Q158" s="169"/>
    </row>
    <row r="159" spans="1:17" x14ac:dyDescent="0.35">
      <c r="A159" s="248" t="s">
        <v>964</v>
      </c>
      <c r="B159" s="248" t="s">
        <v>965</v>
      </c>
      <c r="C159" s="169">
        <v>64000</v>
      </c>
      <c r="D159" s="248" t="s">
        <v>805</v>
      </c>
      <c r="E159" s="110" t="s">
        <v>240</v>
      </c>
      <c r="F159" s="123" t="s">
        <v>2133</v>
      </c>
      <c r="G159" s="110" t="s">
        <v>1856</v>
      </c>
      <c r="H159" s="110">
        <v>4</v>
      </c>
      <c r="I159" s="110" t="s">
        <v>290</v>
      </c>
      <c r="J159" s="110">
        <v>3710</v>
      </c>
      <c r="K159" s="122">
        <v>1500</v>
      </c>
      <c r="L159" s="122">
        <f t="shared" si="4"/>
        <v>240</v>
      </c>
      <c r="M159" s="122">
        <f t="shared" si="5"/>
        <v>1740</v>
      </c>
      <c r="N159" s="136" t="s">
        <v>243</v>
      </c>
      <c r="O159" s="199">
        <v>45693</v>
      </c>
      <c r="P159" s="156"/>
      <c r="Q159" s="169"/>
    </row>
    <row r="160" spans="1:17" x14ac:dyDescent="0.35">
      <c r="A160" s="243" t="s">
        <v>1022</v>
      </c>
      <c r="B160" s="243" t="s">
        <v>1023</v>
      </c>
      <c r="C160" s="242">
        <v>66630</v>
      </c>
      <c r="D160" s="119" t="s">
        <v>805</v>
      </c>
      <c r="E160" s="110" t="s">
        <v>240</v>
      </c>
      <c r="F160" s="110" t="s">
        <v>2134</v>
      </c>
      <c r="G160" s="110" t="s">
        <v>1856</v>
      </c>
      <c r="H160" s="110">
        <v>4</v>
      </c>
      <c r="I160" s="110" t="s">
        <v>290</v>
      </c>
      <c r="J160" s="110">
        <v>3711</v>
      </c>
      <c r="K160" s="122">
        <v>3906</v>
      </c>
      <c r="L160" s="117">
        <f t="shared" si="4"/>
        <v>624.96</v>
      </c>
      <c r="M160" s="117">
        <f t="shared" si="5"/>
        <v>4530.96</v>
      </c>
      <c r="N160" s="136" t="s">
        <v>243</v>
      </c>
      <c r="O160" s="199">
        <v>45693</v>
      </c>
      <c r="P160" s="156"/>
      <c r="Q160" s="169"/>
    </row>
    <row r="161" spans="1:17" x14ac:dyDescent="0.35">
      <c r="A161" s="244" t="s">
        <v>819</v>
      </c>
      <c r="B161" s="244" t="s">
        <v>820</v>
      </c>
      <c r="C161" s="242">
        <v>67113</v>
      </c>
      <c r="D161" s="119" t="s">
        <v>805</v>
      </c>
      <c r="E161" s="110" t="s">
        <v>240</v>
      </c>
      <c r="F161" s="123" t="s">
        <v>2135</v>
      </c>
      <c r="G161" s="110" t="s">
        <v>1856</v>
      </c>
      <c r="H161" s="110">
        <v>4</v>
      </c>
      <c r="I161" s="110" t="s">
        <v>290</v>
      </c>
      <c r="J161" s="110">
        <v>3712</v>
      </c>
      <c r="K161" s="122">
        <v>2921</v>
      </c>
      <c r="L161" s="122">
        <f t="shared" si="4"/>
        <v>467.36</v>
      </c>
      <c r="M161" s="122">
        <f t="shared" si="5"/>
        <v>3388.36</v>
      </c>
      <c r="N161" s="136" t="s">
        <v>243</v>
      </c>
      <c r="O161" s="199">
        <v>45693</v>
      </c>
      <c r="P161" s="156"/>
      <c r="Q161" s="169"/>
    </row>
    <row r="162" spans="1:17" x14ac:dyDescent="0.35">
      <c r="A162" s="119" t="s">
        <v>213</v>
      </c>
      <c r="B162" s="119" t="s">
        <v>214</v>
      </c>
      <c r="C162" s="242">
        <v>64984</v>
      </c>
      <c r="D162" s="119" t="s">
        <v>806</v>
      </c>
      <c r="E162" s="110" t="s">
        <v>240</v>
      </c>
      <c r="F162" s="123" t="s">
        <v>2136</v>
      </c>
      <c r="G162" s="110" t="s">
        <v>1856</v>
      </c>
      <c r="H162" s="110">
        <v>4</v>
      </c>
      <c r="I162" s="110" t="s">
        <v>290</v>
      </c>
      <c r="J162" s="110">
        <v>3713</v>
      </c>
      <c r="K162" s="122">
        <v>5769.86</v>
      </c>
      <c r="L162" s="117">
        <f t="shared" si="4"/>
        <v>923.17759999999998</v>
      </c>
      <c r="M162" s="117">
        <f t="shared" si="5"/>
        <v>6693.0375999999997</v>
      </c>
      <c r="N162" s="136" t="s">
        <v>243</v>
      </c>
      <c r="O162" s="199">
        <v>45716</v>
      </c>
      <c r="P162" s="156"/>
      <c r="Q162" s="169"/>
    </row>
    <row r="163" spans="1:17" x14ac:dyDescent="0.35">
      <c r="A163" s="246" t="s">
        <v>215</v>
      </c>
      <c r="B163" s="119" t="s">
        <v>216</v>
      </c>
      <c r="C163" s="242">
        <v>64500</v>
      </c>
      <c r="D163" s="119" t="s">
        <v>818</v>
      </c>
      <c r="E163" s="110" t="s">
        <v>240</v>
      </c>
      <c r="F163" s="110" t="s">
        <v>2137</v>
      </c>
      <c r="G163" s="110" t="s">
        <v>1856</v>
      </c>
      <c r="H163" s="110">
        <v>4</v>
      </c>
      <c r="I163" s="110" t="s">
        <v>290</v>
      </c>
      <c r="J163" s="110">
        <v>3714</v>
      </c>
      <c r="K163" s="122">
        <v>5550</v>
      </c>
      <c r="L163" s="122">
        <f t="shared" si="4"/>
        <v>888</v>
      </c>
      <c r="M163" s="122">
        <f t="shared" si="5"/>
        <v>6438</v>
      </c>
      <c r="N163" s="136" t="s">
        <v>243</v>
      </c>
      <c r="O163" s="199">
        <v>45715</v>
      </c>
      <c r="P163" s="156"/>
      <c r="Q163" s="169"/>
    </row>
    <row r="164" spans="1:17" x14ac:dyDescent="0.35">
      <c r="A164" s="244" t="s">
        <v>1437</v>
      </c>
      <c r="B164" s="244" t="s">
        <v>1438</v>
      </c>
      <c r="C164" s="242">
        <v>66460</v>
      </c>
      <c r="D164" s="119" t="s">
        <v>818</v>
      </c>
      <c r="E164" s="110" t="s">
        <v>240</v>
      </c>
      <c r="F164" s="110" t="s">
        <v>2138</v>
      </c>
      <c r="G164" s="110" t="s">
        <v>1856</v>
      </c>
      <c r="H164" s="110">
        <v>4</v>
      </c>
      <c r="I164" s="110" t="s">
        <v>290</v>
      </c>
      <c r="J164" s="110">
        <v>3715</v>
      </c>
      <c r="K164" s="122">
        <v>600</v>
      </c>
      <c r="L164" s="117">
        <f t="shared" si="4"/>
        <v>96</v>
      </c>
      <c r="M164" s="117">
        <f t="shared" si="5"/>
        <v>696</v>
      </c>
      <c r="N164" s="136" t="s">
        <v>243</v>
      </c>
      <c r="O164" s="199">
        <v>45702</v>
      </c>
      <c r="P164" s="156"/>
      <c r="Q164" s="169"/>
    </row>
    <row r="165" spans="1:17" x14ac:dyDescent="0.35">
      <c r="A165" s="119" t="s">
        <v>217</v>
      </c>
      <c r="B165" s="119" t="s">
        <v>218</v>
      </c>
      <c r="C165" s="242">
        <v>66400</v>
      </c>
      <c r="D165" s="119" t="s">
        <v>818</v>
      </c>
      <c r="E165" s="110" t="s">
        <v>240</v>
      </c>
      <c r="F165" s="110" t="s">
        <v>2139</v>
      </c>
      <c r="G165" s="110" t="s">
        <v>1856</v>
      </c>
      <c r="H165" s="110">
        <v>4</v>
      </c>
      <c r="I165" s="110" t="s">
        <v>290</v>
      </c>
      <c r="J165" s="110">
        <v>3716</v>
      </c>
      <c r="K165" s="122">
        <v>2400</v>
      </c>
      <c r="L165" s="122">
        <f t="shared" si="4"/>
        <v>384</v>
      </c>
      <c r="M165" s="122">
        <f t="shared" si="5"/>
        <v>2784</v>
      </c>
      <c r="N165" s="136" t="s">
        <v>243</v>
      </c>
      <c r="O165" s="199">
        <v>45695</v>
      </c>
      <c r="P165" s="156"/>
      <c r="Q165" s="169"/>
    </row>
    <row r="166" spans="1:17" x14ac:dyDescent="0.35">
      <c r="A166" s="5" t="s">
        <v>1062</v>
      </c>
      <c r="B166" s="120" t="s">
        <v>1063</v>
      </c>
      <c r="C166" s="169">
        <v>66350</v>
      </c>
      <c r="D166" s="120" t="s">
        <v>805</v>
      </c>
      <c r="E166" s="110" t="s">
        <v>240</v>
      </c>
      <c r="F166" s="110" t="s">
        <v>2140</v>
      </c>
      <c r="G166" s="110" t="s">
        <v>1856</v>
      </c>
      <c r="H166" s="110">
        <v>4</v>
      </c>
      <c r="I166" s="110" t="s">
        <v>290</v>
      </c>
      <c r="J166" s="110">
        <v>3717</v>
      </c>
      <c r="K166" s="122">
        <v>880</v>
      </c>
      <c r="L166" s="117">
        <f t="shared" si="4"/>
        <v>140.80000000000001</v>
      </c>
      <c r="M166" s="117">
        <f t="shared" si="5"/>
        <v>1020.8</v>
      </c>
      <c r="N166" s="136" t="s">
        <v>243</v>
      </c>
      <c r="O166" s="199">
        <v>45698</v>
      </c>
      <c r="P166" s="156"/>
      <c r="Q166" s="169"/>
    </row>
    <row r="167" spans="1:17" x14ac:dyDescent="0.35">
      <c r="A167" s="244" t="s">
        <v>1332</v>
      </c>
      <c r="B167" s="244" t="s">
        <v>1333</v>
      </c>
      <c r="C167" s="245">
        <v>88720</v>
      </c>
      <c r="D167" s="119" t="s">
        <v>805</v>
      </c>
      <c r="E167" s="110" t="s">
        <v>240</v>
      </c>
      <c r="F167" s="110" t="s">
        <v>2141</v>
      </c>
      <c r="G167" s="110" t="s">
        <v>1856</v>
      </c>
      <c r="H167" s="110">
        <v>4</v>
      </c>
      <c r="I167" s="110" t="s">
        <v>290</v>
      </c>
      <c r="J167" s="110">
        <v>3718</v>
      </c>
      <c r="K167" s="122">
        <v>0</v>
      </c>
      <c r="L167" s="122">
        <f t="shared" si="4"/>
        <v>0</v>
      </c>
      <c r="M167" s="122">
        <f t="shared" si="5"/>
        <v>0</v>
      </c>
      <c r="N167" s="132" t="s">
        <v>1890</v>
      </c>
      <c r="O167" s="199">
        <v>45693</v>
      </c>
      <c r="P167" s="156">
        <f>750*0.16+750</f>
        <v>870</v>
      </c>
      <c r="Q167" s="169"/>
    </row>
    <row r="168" spans="1:17" x14ac:dyDescent="0.35">
      <c r="A168" s="119" t="s">
        <v>841</v>
      </c>
      <c r="B168" s="119" t="s">
        <v>842</v>
      </c>
      <c r="C168" s="242">
        <v>64700</v>
      </c>
      <c r="D168" s="119" t="s">
        <v>805</v>
      </c>
      <c r="E168" s="110" t="s">
        <v>240</v>
      </c>
      <c r="F168" s="110" t="s">
        <v>2142</v>
      </c>
      <c r="G168" s="110" t="s">
        <v>1856</v>
      </c>
      <c r="H168" s="110">
        <v>4</v>
      </c>
      <c r="I168" s="110" t="s">
        <v>290</v>
      </c>
      <c r="J168" s="110">
        <v>3719</v>
      </c>
      <c r="K168" s="122">
        <v>750</v>
      </c>
      <c r="L168" s="117">
        <f t="shared" si="4"/>
        <v>120</v>
      </c>
      <c r="M168" s="117">
        <f t="shared" si="5"/>
        <v>870</v>
      </c>
      <c r="N168" s="136" t="s">
        <v>243</v>
      </c>
      <c r="O168" s="199">
        <v>45695</v>
      </c>
      <c r="P168" s="156"/>
      <c r="Q168" s="169"/>
    </row>
    <row r="169" spans="1:17" x14ac:dyDescent="0.35">
      <c r="A169" s="244" t="s">
        <v>1539</v>
      </c>
      <c r="B169" s="244" t="s">
        <v>1540</v>
      </c>
      <c r="C169" s="242">
        <v>66646</v>
      </c>
      <c r="D169" s="247" t="s">
        <v>915</v>
      </c>
      <c r="E169" s="110" t="s">
        <v>240</v>
      </c>
      <c r="F169" s="110" t="s">
        <v>2143</v>
      </c>
      <c r="G169" s="110" t="s">
        <v>1957</v>
      </c>
      <c r="H169" s="110">
        <v>5</v>
      </c>
      <c r="I169" s="110" t="s">
        <v>290</v>
      </c>
      <c r="J169" s="110">
        <v>3720</v>
      </c>
      <c r="K169" s="122">
        <v>900</v>
      </c>
      <c r="L169" s="122">
        <f t="shared" si="4"/>
        <v>144</v>
      </c>
      <c r="M169" s="122">
        <f t="shared" si="5"/>
        <v>1044</v>
      </c>
      <c r="N169" s="136" t="s">
        <v>243</v>
      </c>
      <c r="O169" s="199">
        <v>45698</v>
      </c>
      <c r="P169" s="156"/>
      <c r="Q169" s="169"/>
    </row>
    <row r="170" spans="1:17" x14ac:dyDescent="0.35">
      <c r="A170" s="142" t="s">
        <v>869</v>
      </c>
      <c r="B170" s="244" t="s">
        <v>870</v>
      </c>
      <c r="C170" s="110">
        <v>25034</v>
      </c>
      <c r="D170" s="142" t="s">
        <v>805</v>
      </c>
      <c r="E170" s="110" t="s">
        <v>240</v>
      </c>
      <c r="F170" s="110" t="s">
        <v>2144</v>
      </c>
      <c r="G170" s="110" t="s">
        <v>1957</v>
      </c>
      <c r="H170" s="110">
        <v>5</v>
      </c>
      <c r="I170" s="110" t="s">
        <v>290</v>
      </c>
      <c r="J170" s="110">
        <v>3721</v>
      </c>
      <c r="K170" s="122">
        <v>1500</v>
      </c>
      <c r="L170" s="117">
        <f t="shared" si="4"/>
        <v>240</v>
      </c>
      <c r="M170" s="117">
        <f t="shared" si="5"/>
        <v>1740</v>
      </c>
      <c r="N170" s="136" t="s">
        <v>243</v>
      </c>
      <c r="O170" s="199">
        <v>45696</v>
      </c>
      <c r="P170" s="156"/>
      <c r="Q170" s="169"/>
    </row>
    <row r="171" spans="1:17" x14ac:dyDescent="0.35">
      <c r="A171" s="244" t="s">
        <v>1471</v>
      </c>
      <c r="B171" s="244" t="s">
        <v>1472</v>
      </c>
      <c r="C171" s="245">
        <v>66050</v>
      </c>
      <c r="D171" s="247" t="s">
        <v>915</v>
      </c>
      <c r="E171" s="110" t="s">
        <v>240</v>
      </c>
      <c r="F171" s="110" t="s">
        <v>2145</v>
      </c>
      <c r="G171" s="110" t="s">
        <v>1957</v>
      </c>
      <c r="H171" s="110">
        <v>5</v>
      </c>
      <c r="I171" s="110" t="s">
        <v>290</v>
      </c>
      <c r="J171" s="110">
        <v>3722</v>
      </c>
      <c r="K171" s="122">
        <v>2400</v>
      </c>
      <c r="L171" s="122">
        <f t="shared" si="4"/>
        <v>384</v>
      </c>
      <c r="M171" s="122">
        <f t="shared" si="5"/>
        <v>2784</v>
      </c>
      <c r="N171" s="136" t="s">
        <v>243</v>
      </c>
      <c r="O171" s="199">
        <v>45696</v>
      </c>
      <c r="P171" s="156"/>
      <c r="Q171" s="169"/>
    </row>
    <row r="172" spans="1:17" x14ac:dyDescent="0.35">
      <c r="A172" s="244" t="s">
        <v>1468</v>
      </c>
      <c r="B172" s="244" t="s">
        <v>1469</v>
      </c>
      <c r="C172" s="245">
        <v>25720</v>
      </c>
      <c r="D172" s="247" t="s">
        <v>915</v>
      </c>
      <c r="E172" s="110" t="s">
        <v>240</v>
      </c>
      <c r="F172" s="110" t="s">
        <v>2146</v>
      </c>
      <c r="G172" s="110" t="s">
        <v>1957</v>
      </c>
      <c r="H172" s="110">
        <v>5</v>
      </c>
      <c r="I172" s="110" t="s">
        <v>290</v>
      </c>
      <c r="J172" s="110">
        <v>3723</v>
      </c>
      <c r="K172" s="122">
        <v>900</v>
      </c>
      <c r="L172" s="117">
        <f t="shared" si="4"/>
        <v>144</v>
      </c>
      <c r="M172" s="117">
        <f t="shared" si="5"/>
        <v>1044</v>
      </c>
      <c r="N172" s="136" t="s">
        <v>243</v>
      </c>
      <c r="O172" s="199">
        <v>45699</v>
      </c>
      <c r="P172" s="156"/>
      <c r="Q172" s="169"/>
    </row>
    <row r="173" spans="1:17" x14ac:dyDescent="0.35">
      <c r="A173" s="119" t="s">
        <v>813</v>
      </c>
      <c r="B173" s="244" t="s">
        <v>814</v>
      </c>
      <c r="C173" s="242">
        <v>64850</v>
      </c>
      <c r="D173" s="119" t="s">
        <v>805</v>
      </c>
      <c r="E173" s="110" t="s">
        <v>240</v>
      </c>
      <c r="F173" s="110" t="s">
        <v>2147</v>
      </c>
      <c r="G173" s="110" t="s">
        <v>1957</v>
      </c>
      <c r="H173" s="110">
        <v>5</v>
      </c>
      <c r="I173" s="110" t="s">
        <v>290</v>
      </c>
      <c r="J173" s="110">
        <v>3724</v>
      </c>
      <c r="K173" s="122">
        <v>500</v>
      </c>
      <c r="L173" s="122">
        <f t="shared" si="4"/>
        <v>80</v>
      </c>
      <c r="M173" s="122">
        <f t="shared" si="5"/>
        <v>580</v>
      </c>
      <c r="N173" s="136" t="s">
        <v>243</v>
      </c>
      <c r="O173" s="199">
        <v>45695</v>
      </c>
      <c r="P173" s="156"/>
      <c r="Q173" s="169"/>
    </row>
    <row r="174" spans="1:17" x14ac:dyDescent="0.35">
      <c r="A174" s="345" t="s">
        <v>1447</v>
      </c>
      <c r="B174" s="344" t="s">
        <v>1448</v>
      </c>
      <c r="C174" s="110">
        <v>67195</v>
      </c>
      <c r="D174" s="142" t="s">
        <v>818</v>
      </c>
      <c r="E174" s="110" t="s">
        <v>240</v>
      </c>
      <c r="F174" s="123" t="s">
        <v>2148</v>
      </c>
      <c r="G174" s="110" t="s">
        <v>1957</v>
      </c>
      <c r="H174" s="110">
        <v>5</v>
      </c>
      <c r="I174" s="110" t="s">
        <v>290</v>
      </c>
      <c r="J174" s="110">
        <v>3725</v>
      </c>
      <c r="K174" s="122">
        <v>3000</v>
      </c>
      <c r="L174" s="122">
        <f t="shared" si="4"/>
        <v>480</v>
      </c>
      <c r="M174" s="122">
        <f t="shared" si="5"/>
        <v>3480</v>
      </c>
      <c r="N174" s="136" t="s">
        <v>243</v>
      </c>
      <c r="O174" s="199">
        <v>45694</v>
      </c>
      <c r="P174" s="156"/>
      <c r="Q174" s="169"/>
    </row>
    <row r="175" spans="1:17" x14ac:dyDescent="0.35">
      <c r="A175" s="244" t="s">
        <v>843</v>
      </c>
      <c r="B175" s="244" t="s">
        <v>844</v>
      </c>
      <c r="C175" s="245">
        <v>66350</v>
      </c>
      <c r="D175" s="247" t="s">
        <v>805</v>
      </c>
      <c r="E175" s="110" t="s">
        <v>240</v>
      </c>
      <c r="F175" s="110" t="s">
        <v>2149</v>
      </c>
      <c r="G175" s="110" t="s">
        <v>1957</v>
      </c>
      <c r="H175" s="110">
        <v>5</v>
      </c>
      <c r="I175" s="110" t="s">
        <v>290</v>
      </c>
      <c r="J175" s="110">
        <v>3726</v>
      </c>
      <c r="K175" s="122">
        <v>2500</v>
      </c>
      <c r="L175" s="117">
        <f t="shared" si="4"/>
        <v>400</v>
      </c>
      <c r="M175" s="117">
        <f t="shared" si="5"/>
        <v>2900</v>
      </c>
      <c r="N175" s="136" t="s">
        <v>243</v>
      </c>
      <c r="O175" s="199">
        <v>45699</v>
      </c>
      <c r="P175" s="156"/>
      <c r="Q175" s="169"/>
    </row>
    <row r="176" spans="1:17" x14ac:dyDescent="0.35">
      <c r="A176" s="142" t="s">
        <v>845</v>
      </c>
      <c r="B176" s="244" t="s">
        <v>846</v>
      </c>
      <c r="C176" s="245">
        <v>64440</v>
      </c>
      <c r="D176" s="247" t="s">
        <v>847</v>
      </c>
      <c r="E176" s="411" t="s">
        <v>848</v>
      </c>
      <c r="F176" s="110" t="s">
        <v>2150</v>
      </c>
      <c r="G176" s="110" t="s">
        <v>1957</v>
      </c>
      <c r="H176" s="110">
        <v>5</v>
      </c>
      <c r="I176" s="110" t="s">
        <v>290</v>
      </c>
      <c r="J176" s="110">
        <v>3727</v>
      </c>
      <c r="K176" s="122">
        <v>2800</v>
      </c>
      <c r="L176" s="122">
        <f t="shared" si="4"/>
        <v>448</v>
      </c>
      <c r="M176" s="122">
        <f t="shared" si="5"/>
        <v>3248</v>
      </c>
      <c r="N176" s="136" t="s">
        <v>243</v>
      </c>
      <c r="O176" s="199">
        <v>45699</v>
      </c>
      <c r="P176" s="156"/>
      <c r="Q176" s="169"/>
    </row>
    <row r="177" spans="1:17" x14ac:dyDescent="0.35">
      <c r="A177" s="119" t="s">
        <v>192</v>
      </c>
      <c r="B177" s="119" t="s">
        <v>193</v>
      </c>
      <c r="C177" s="242">
        <v>66649</v>
      </c>
      <c r="D177" s="119" t="s">
        <v>806</v>
      </c>
      <c r="E177" s="110" t="s">
        <v>240</v>
      </c>
      <c r="F177" s="110" t="s">
        <v>2151</v>
      </c>
      <c r="G177" s="110" t="s">
        <v>1957</v>
      </c>
      <c r="H177" s="110">
        <v>5</v>
      </c>
      <c r="I177" s="110" t="s">
        <v>290</v>
      </c>
      <c r="J177" s="110">
        <v>3728</v>
      </c>
      <c r="K177" s="122">
        <v>4005</v>
      </c>
      <c r="L177" s="117">
        <f t="shared" si="4"/>
        <v>640.80000000000007</v>
      </c>
      <c r="M177" s="117">
        <f t="shared" si="5"/>
        <v>4645.8</v>
      </c>
      <c r="N177" s="136" t="s">
        <v>243</v>
      </c>
      <c r="O177" s="199">
        <v>45693</v>
      </c>
      <c r="P177" s="156"/>
      <c r="Q177" s="169"/>
    </row>
    <row r="178" spans="1:17" x14ac:dyDescent="0.35">
      <c r="A178" s="244" t="s">
        <v>1868</v>
      </c>
      <c r="B178" s="244" t="s">
        <v>1869</v>
      </c>
      <c r="C178" s="110">
        <v>66647</v>
      </c>
      <c r="D178" s="142" t="s">
        <v>805</v>
      </c>
      <c r="E178" s="110" t="s">
        <v>240</v>
      </c>
      <c r="F178" s="110" t="s">
        <v>2152</v>
      </c>
      <c r="G178" s="110" t="s">
        <v>1957</v>
      </c>
      <c r="H178" s="110">
        <v>5</v>
      </c>
      <c r="I178" s="110" t="s">
        <v>290</v>
      </c>
      <c r="J178" s="110">
        <v>3729</v>
      </c>
      <c r="K178" s="122">
        <v>249</v>
      </c>
      <c r="L178" s="117">
        <f t="shared" si="4"/>
        <v>39.840000000000003</v>
      </c>
      <c r="M178" s="117">
        <f t="shared" si="5"/>
        <v>288.84000000000003</v>
      </c>
      <c r="N178" s="136" t="s">
        <v>243</v>
      </c>
      <c r="O178" s="199">
        <v>45693</v>
      </c>
      <c r="P178" s="156"/>
      <c r="Q178" s="169"/>
    </row>
    <row r="179" spans="1:17" x14ac:dyDescent="0.35">
      <c r="A179" s="244" t="s">
        <v>1548</v>
      </c>
      <c r="B179" s="244" t="s">
        <v>1549</v>
      </c>
      <c r="C179" s="242">
        <v>42985</v>
      </c>
      <c r="D179" s="247" t="s">
        <v>805</v>
      </c>
      <c r="E179" s="110" t="s">
        <v>240</v>
      </c>
      <c r="F179" s="110" t="s">
        <v>2153</v>
      </c>
      <c r="G179" s="110" t="s">
        <v>1957</v>
      </c>
      <c r="H179" s="110">
        <v>5</v>
      </c>
      <c r="I179" s="110" t="s">
        <v>290</v>
      </c>
      <c r="J179" s="110">
        <v>3730</v>
      </c>
      <c r="K179" s="122">
        <v>2700</v>
      </c>
      <c r="L179" s="122">
        <f t="shared" si="4"/>
        <v>432</v>
      </c>
      <c r="M179" s="122">
        <f t="shared" si="5"/>
        <v>3132</v>
      </c>
      <c r="N179" s="136" t="s">
        <v>243</v>
      </c>
      <c r="O179" s="199">
        <v>45695</v>
      </c>
      <c r="P179" s="156"/>
      <c r="Q179" s="169"/>
    </row>
    <row r="180" spans="1:17" x14ac:dyDescent="0.35">
      <c r="A180" s="244" t="s">
        <v>824</v>
      </c>
      <c r="B180" s="244" t="s">
        <v>825</v>
      </c>
      <c r="C180" s="245">
        <v>66080</v>
      </c>
      <c r="D180" s="247" t="s">
        <v>805</v>
      </c>
      <c r="E180" s="110" t="s">
        <v>240</v>
      </c>
      <c r="F180" s="110" t="s">
        <v>2154</v>
      </c>
      <c r="G180" s="110" t="s">
        <v>1957</v>
      </c>
      <c r="H180" s="110">
        <v>5</v>
      </c>
      <c r="I180" s="110" t="s">
        <v>290</v>
      </c>
      <c r="J180" s="110">
        <v>3731</v>
      </c>
      <c r="K180" s="122">
        <v>4900</v>
      </c>
      <c r="L180" s="117">
        <f t="shared" si="4"/>
        <v>784</v>
      </c>
      <c r="M180" s="117">
        <f t="shared" si="5"/>
        <v>5684</v>
      </c>
      <c r="N180" s="136" t="s">
        <v>243</v>
      </c>
      <c r="O180" s="199">
        <v>45700</v>
      </c>
      <c r="P180" s="156"/>
      <c r="Q180" s="169"/>
    </row>
    <row r="181" spans="1:17" x14ac:dyDescent="0.35">
      <c r="A181" s="349" t="s">
        <v>1927</v>
      </c>
      <c r="B181" s="349" t="s">
        <v>1926</v>
      </c>
      <c r="C181" s="242">
        <v>64410</v>
      </c>
      <c r="D181" s="142" t="s">
        <v>805</v>
      </c>
      <c r="E181" s="110" t="s">
        <v>240</v>
      </c>
      <c r="F181" s="110" t="s">
        <v>2155</v>
      </c>
      <c r="G181" s="110" t="s">
        <v>1957</v>
      </c>
      <c r="H181" s="110">
        <v>5</v>
      </c>
      <c r="I181" s="110" t="s">
        <v>290</v>
      </c>
      <c r="J181" s="110">
        <v>3732</v>
      </c>
      <c r="K181" s="122">
        <v>875</v>
      </c>
      <c r="L181" s="122">
        <f t="shared" si="4"/>
        <v>140</v>
      </c>
      <c r="M181" s="122">
        <f t="shared" si="5"/>
        <v>1015</v>
      </c>
      <c r="N181" s="136" t="s">
        <v>243</v>
      </c>
      <c r="O181" s="199">
        <v>45693</v>
      </c>
      <c r="P181" s="156"/>
      <c r="Q181" s="169"/>
    </row>
    <row r="182" spans="1:17" x14ac:dyDescent="0.35">
      <c r="A182" s="119" t="s">
        <v>202</v>
      </c>
      <c r="B182" s="119" t="s">
        <v>203</v>
      </c>
      <c r="C182" s="242">
        <v>65760</v>
      </c>
      <c r="D182" s="119" t="s">
        <v>818</v>
      </c>
      <c r="E182" s="110" t="s">
        <v>240</v>
      </c>
      <c r="F182" s="110" t="s">
        <v>2156</v>
      </c>
      <c r="G182" s="110" t="s">
        <v>1957</v>
      </c>
      <c r="H182" s="110">
        <v>5</v>
      </c>
      <c r="I182" s="110" t="s">
        <v>290</v>
      </c>
      <c r="J182" s="110">
        <v>3733</v>
      </c>
      <c r="K182" s="122">
        <v>2475</v>
      </c>
      <c r="L182" s="117">
        <f t="shared" si="4"/>
        <v>396</v>
      </c>
      <c r="M182" s="117">
        <f t="shared" si="5"/>
        <v>2871</v>
      </c>
      <c r="N182" s="136" t="s">
        <v>243</v>
      </c>
      <c r="O182" s="199">
        <v>45702</v>
      </c>
      <c r="P182" s="156"/>
      <c r="Q182" s="169" t="s">
        <v>615</v>
      </c>
    </row>
    <row r="183" spans="1:17" x14ac:dyDescent="0.35">
      <c r="A183" s="244" t="s">
        <v>1893</v>
      </c>
      <c r="B183" s="244" t="s">
        <v>1894</v>
      </c>
      <c r="C183" s="110">
        <v>64720</v>
      </c>
      <c r="D183" s="142" t="s">
        <v>805</v>
      </c>
      <c r="E183" s="110" t="s">
        <v>240</v>
      </c>
      <c r="F183" s="110" t="s">
        <v>2157</v>
      </c>
      <c r="G183" s="110" t="s">
        <v>1957</v>
      </c>
      <c r="H183" s="110">
        <v>5</v>
      </c>
      <c r="I183" s="110" t="s">
        <v>290</v>
      </c>
      <c r="J183" s="110">
        <v>3734</v>
      </c>
      <c r="K183" s="122">
        <v>568.08000000000004</v>
      </c>
      <c r="L183" s="117">
        <f t="shared" si="4"/>
        <v>90.892800000000008</v>
      </c>
      <c r="M183" s="117">
        <f t="shared" si="5"/>
        <v>658.97280000000001</v>
      </c>
      <c r="N183" s="136" t="s">
        <v>243</v>
      </c>
      <c r="O183" s="199">
        <v>45695</v>
      </c>
      <c r="P183" s="156"/>
      <c r="Q183" s="169"/>
    </row>
    <row r="184" spans="1:17" x14ac:dyDescent="0.35">
      <c r="A184" s="248" t="s">
        <v>1345</v>
      </c>
      <c r="B184" s="244" t="s">
        <v>1344</v>
      </c>
      <c r="C184" s="169">
        <v>66645</v>
      </c>
      <c r="D184" s="119" t="s">
        <v>806</v>
      </c>
      <c r="E184" s="110" t="s">
        <v>240</v>
      </c>
      <c r="F184" s="110" t="s">
        <v>2158</v>
      </c>
      <c r="G184" s="110" t="s">
        <v>1957</v>
      </c>
      <c r="H184" s="110">
        <v>5</v>
      </c>
      <c r="I184" s="110" t="s">
        <v>290</v>
      </c>
      <c r="J184" s="110">
        <v>3735</v>
      </c>
      <c r="K184" s="122">
        <v>3900</v>
      </c>
      <c r="L184" s="122">
        <f t="shared" si="4"/>
        <v>624</v>
      </c>
      <c r="M184" s="122">
        <f t="shared" si="5"/>
        <v>4524</v>
      </c>
      <c r="N184" s="136" t="s">
        <v>243</v>
      </c>
      <c r="O184" s="199">
        <v>45712</v>
      </c>
      <c r="P184" s="156"/>
      <c r="Q184" s="169"/>
    </row>
    <row r="185" spans="1:17" x14ac:dyDescent="0.35">
      <c r="A185" s="120" t="s">
        <v>849</v>
      </c>
      <c r="B185" s="120" t="s">
        <v>850</v>
      </c>
      <c r="C185" s="169">
        <v>64580</v>
      </c>
      <c r="D185" s="120" t="s">
        <v>806</v>
      </c>
      <c r="E185" s="110" t="s">
        <v>240</v>
      </c>
      <c r="F185" s="110" t="s">
        <v>2159</v>
      </c>
      <c r="G185" s="110" t="s">
        <v>1957</v>
      </c>
      <c r="H185" s="110">
        <v>5</v>
      </c>
      <c r="I185" s="110" t="s">
        <v>290</v>
      </c>
      <c r="J185" s="110">
        <v>3736</v>
      </c>
      <c r="K185" s="122">
        <v>1750</v>
      </c>
      <c r="L185" s="117">
        <f t="shared" si="4"/>
        <v>280</v>
      </c>
      <c r="M185" s="117">
        <f t="shared" si="5"/>
        <v>2030</v>
      </c>
      <c r="N185" s="136" t="s">
        <v>243</v>
      </c>
      <c r="O185" s="199">
        <v>45699</v>
      </c>
      <c r="P185" s="156"/>
      <c r="Q185" s="169"/>
    </row>
    <row r="186" spans="1:17" x14ac:dyDescent="0.35">
      <c r="A186" s="119" t="s">
        <v>224</v>
      </c>
      <c r="B186" s="119" t="s">
        <v>225</v>
      </c>
      <c r="C186" s="242">
        <v>64440</v>
      </c>
      <c r="D186" s="119" t="s">
        <v>805</v>
      </c>
      <c r="E186" s="110" t="s">
        <v>240</v>
      </c>
      <c r="F186" s="123" t="s">
        <v>2160</v>
      </c>
      <c r="G186" s="110" t="s">
        <v>1957</v>
      </c>
      <c r="H186" s="110">
        <v>5</v>
      </c>
      <c r="I186" s="110" t="s">
        <v>290</v>
      </c>
      <c r="J186" s="110">
        <v>3737</v>
      </c>
      <c r="K186" s="122">
        <v>600</v>
      </c>
      <c r="L186" s="122">
        <f t="shared" si="4"/>
        <v>96</v>
      </c>
      <c r="M186" s="122">
        <f t="shared" si="5"/>
        <v>696</v>
      </c>
      <c r="N186" s="136" t="s">
        <v>243</v>
      </c>
      <c r="O186" s="199">
        <v>45715</v>
      </c>
      <c r="P186" s="156"/>
      <c r="Q186" s="169"/>
    </row>
    <row r="187" spans="1:17" x14ac:dyDescent="0.35">
      <c r="A187" s="244" t="s">
        <v>851</v>
      </c>
      <c r="B187" s="119" t="s">
        <v>226</v>
      </c>
      <c r="C187" s="242">
        <v>66220</v>
      </c>
      <c r="D187" s="119" t="s">
        <v>852</v>
      </c>
      <c r="E187" s="411" t="s">
        <v>241</v>
      </c>
      <c r="F187" s="123" t="s">
        <v>2161</v>
      </c>
      <c r="G187" s="110" t="s">
        <v>1957</v>
      </c>
      <c r="H187" s="110">
        <v>5</v>
      </c>
      <c r="I187" s="110" t="s">
        <v>290</v>
      </c>
      <c r="J187" s="110">
        <v>3738</v>
      </c>
      <c r="K187" s="122">
        <v>350</v>
      </c>
      <c r="L187" s="117">
        <f t="shared" si="4"/>
        <v>56</v>
      </c>
      <c r="M187" s="117">
        <f t="shared" si="5"/>
        <v>406</v>
      </c>
      <c r="N187" s="136" t="s">
        <v>243</v>
      </c>
      <c r="O187" s="199">
        <v>45702</v>
      </c>
      <c r="P187" s="156"/>
      <c r="Q187" s="169"/>
    </row>
    <row r="188" spans="1:17" x14ac:dyDescent="0.35">
      <c r="A188" s="119" t="s">
        <v>227</v>
      </c>
      <c r="B188" s="119" t="s">
        <v>228</v>
      </c>
      <c r="C188" s="242">
        <v>64010</v>
      </c>
      <c r="D188" s="119" t="s">
        <v>805</v>
      </c>
      <c r="E188" s="110" t="s">
        <v>240</v>
      </c>
      <c r="F188" s="110" t="s">
        <v>2162</v>
      </c>
      <c r="G188" s="110" t="s">
        <v>1957</v>
      </c>
      <c r="H188" s="110">
        <v>5</v>
      </c>
      <c r="I188" s="110" t="s">
        <v>290</v>
      </c>
      <c r="J188" s="110">
        <v>3739</v>
      </c>
      <c r="K188" s="122">
        <v>1000</v>
      </c>
      <c r="L188" s="122">
        <f t="shared" si="4"/>
        <v>160</v>
      </c>
      <c r="M188" s="122">
        <f t="shared" si="5"/>
        <v>1160</v>
      </c>
      <c r="N188" s="136" t="s">
        <v>243</v>
      </c>
      <c r="O188" s="124">
        <v>45710</v>
      </c>
      <c r="P188" s="156"/>
      <c r="Q188" s="169" t="s">
        <v>615</v>
      </c>
    </row>
    <row r="189" spans="1:17" x14ac:dyDescent="0.35">
      <c r="A189" s="119" t="s">
        <v>229</v>
      </c>
      <c r="B189" s="119" t="s">
        <v>230</v>
      </c>
      <c r="C189" s="242">
        <v>64030</v>
      </c>
      <c r="D189" s="119" t="s">
        <v>805</v>
      </c>
      <c r="E189" s="110" t="s">
        <v>240</v>
      </c>
      <c r="F189" s="110" t="s">
        <v>2163</v>
      </c>
      <c r="G189" s="110" t="s">
        <v>1957</v>
      </c>
      <c r="H189" s="110">
        <v>5</v>
      </c>
      <c r="I189" s="110" t="s">
        <v>290</v>
      </c>
      <c r="J189" s="110">
        <v>3740</v>
      </c>
      <c r="K189" s="122">
        <v>6615</v>
      </c>
      <c r="L189" s="117">
        <f t="shared" si="4"/>
        <v>1058.4000000000001</v>
      </c>
      <c r="M189" s="117">
        <f t="shared" si="5"/>
        <v>7673.4</v>
      </c>
      <c r="N189" s="136" t="s">
        <v>243</v>
      </c>
      <c r="O189" s="124">
        <v>45708</v>
      </c>
      <c r="P189" s="241"/>
      <c r="Q189" s="169"/>
    </row>
    <row r="190" spans="1:17" x14ac:dyDescent="0.35">
      <c r="A190" s="119" t="s">
        <v>231</v>
      </c>
      <c r="B190" s="119" t="s">
        <v>232</v>
      </c>
      <c r="C190" s="242">
        <v>66655</v>
      </c>
      <c r="D190" s="119" t="s">
        <v>806</v>
      </c>
      <c r="E190" s="110" t="s">
        <v>240</v>
      </c>
      <c r="F190" s="110" t="s">
        <v>2164</v>
      </c>
      <c r="G190" s="110" t="s">
        <v>1957</v>
      </c>
      <c r="H190" s="110">
        <v>5</v>
      </c>
      <c r="I190" s="110" t="s">
        <v>290</v>
      </c>
      <c r="J190" s="110">
        <v>3741</v>
      </c>
      <c r="K190" s="122">
        <v>660</v>
      </c>
      <c r="L190" s="122">
        <f t="shared" si="4"/>
        <v>105.60000000000001</v>
      </c>
      <c r="M190" s="122">
        <f t="shared" si="5"/>
        <v>765.6</v>
      </c>
      <c r="N190" s="136" t="s">
        <v>243</v>
      </c>
      <c r="O190" s="124">
        <v>45703</v>
      </c>
      <c r="P190" s="241"/>
      <c r="Q190" s="169"/>
    </row>
    <row r="191" spans="1:17" x14ac:dyDescent="0.35">
      <c r="A191" s="119" t="s">
        <v>233</v>
      </c>
      <c r="B191" s="119" t="s">
        <v>234</v>
      </c>
      <c r="C191" s="242">
        <v>67310</v>
      </c>
      <c r="D191" s="119" t="s">
        <v>806</v>
      </c>
      <c r="E191" s="110" t="s">
        <v>240</v>
      </c>
      <c r="F191" s="110" t="s">
        <v>2165</v>
      </c>
      <c r="G191" s="110" t="s">
        <v>1957</v>
      </c>
      <c r="H191" s="110">
        <v>5</v>
      </c>
      <c r="I191" s="110" t="s">
        <v>290</v>
      </c>
      <c r="J191" s="110">
        <v>3742</v>
      </c>
      <c r="K191" s="122">
        <v>810</v>
      </c>
      <c r="L191" s="117">
        <f t="shared" si="4"/>
        <v>129.6</v>
      </c>
      <c r="M191" s="117">
        <f t="shared" si="5"/>
        <v>939.6</v>
      </c>
      <c r="N191" s="132" t="s">
        <v>2078</v>
      </c>
      <c r="O191" s="124"/>
      <c r="P191" s="241"/>
      <c r="Q191" s="169"/>
    </row>
    <row r="192" spans="1:17" x14ac:dyDescent="0.35">
      <c r="A192" s="142" t="s">
        <v>853</v>
      </c>
      <c r="B192" s="142" t="s">
        <v>854</v>
      </c>
      <c r="C192" s="110">
        <v>66610</v>
      </c>
      <c r="D192" s="142" t="s">
        <v>805</v>
      </c>
      <c r="E192" s="110" t="s">
        <v>240</v>
      </c>
      <c r="F192" s="110" t="s">
        <v>2166</v>
      </c>
      <c r="G192" s="110" t="s">
        <v>1957</v>
      </c>
      <c r="H192" s="110">
        <v>5</v>
      </c>
      <c r="I192" s="110" t="s">
        <v>290</v>
      </c>
      <c r="J192" s="110">
        <v>3743</v>
      </c>
      <c r="K192" s="122">
        <v>1150</v>
      </c>
      <c r="L192" s="122">
        <f t="shared" si="4"/>
        <v>184</v>
      </c>
      <c r="M192" s="122">
        <f t="shared" si="5"/>
        <v>1334</v>
      </c>
      <c r="N192" s="136" t="s">
        <v>243</v>
      </c>
      <c r="O192" s="124">
        <v>45699</v>
      </c>
      <c r="P192" s="241"/>
      <c r="Q192" s="169"/>
    </row>
    <row r="193" spans="1:17" x14ac:dyDescent="0.35">
      <c r="A193" s="162" t="s">
        <v>2019</v>
      </c>
      <c r="B193" s="162" t="s">
        <v>2020</v>
      </c>
      <c r="C193" s="110">
        <v>66610</v>
      </c>
      <c r="D193" s="142" t="s">
        <v>806</v>
      </c>
      <c r="E193" s="110" t="s">
        <v>240</v>
      </c>
      <c r="F193" s="110" t="s">
        <v>2167</v>
      </c>
      <c r="G193" s="110" t="s">
        <v>1957</v>
      </c>
      <c r="H193" s="110">
        <v>5</v>
      </c>
      <c r="I193" s="110" t="s">
        <v>290</v>
      </c>
      <c r="J193" s="110">
        <v>3744</v>
      </c>
      <c r="K193" s="122">
        <v>750</v>
      </c>
      <c r="L193" s="122">
        <f t="shared" si="4"/>
        <v>120</v>
      </c>
      <c r="M193" s="122">
        <f t="shared" si="5"/>
        <v>870</v>
      </c>
      <c r="N193" s="136" t="s">
        <v>243</v>
      </c>
      <c r="O193" s="124">
        <v>45712</v>
      </c>
      <c r="P193" s="241"/>
      <c r="Q193" s="169"/>
    </row>
    <row r="194" spans="1:17" x14ac:dyDescent="0.35">
      <c r="A194" s="119" t="s">
        <v>235</v>
      </c>
      <c r="B194" s="119" t="s">
        <v>236</v>
      </c>
      <c r="C194" s="242">
        <v>67180</v>
      </c>
      <c r="D194" s="119" t="s">
        <v>818</v>
      </c>
      <c r="E194" s="110" t="s">
        <v>240</v>
      </c>
      <c r="F194" s="110" t="s">
        <v>2168</v>
      </c>
      <c r="G194" s="110" t="s">
        <v>1957</v>
      </c>
      <c r="H194" s="110">
        <v>5</v>
      </c>
      <c r="I194" s="110" t="s">
        <v>290</v>
      </c>
      <c r="J194" s="110">
        <v>3745</v>
      </c>
      <c r="K194" s="122">
        <v>1250</v>
      </c>
      <c r="L194" s="117">
        <f t="shared" si="4"/>
        <v>200</v>
      </c>
      <c r="M194" s="117">
        <f t="shared" si="5"/>
        <v>1450</v>
      </c>
      <c r="N194" s="136" t="s">
        <v>243</v>
      </c>
      <c r="O194" s="124">
        <v>45693</v>
      </c>
      <c r="P194" s="241"/>
      <c r="Q194" s="169" t="s">
        <v>615</v>
      </c>
    </row>
    <row r="195" spans="1:17" x14ac:dyDescent="0.35">
      <c r="A195" s="119" t="s">
        <v>855</v>
      </c>
      <c r="B195" s="119" t="s">
        <v>237</v>
      </c>
      <c r="C195" s="242">
        <v>66052</v>
      </c>
      <c r="D195" s="119" t="s">
        <v>805</v>
      </c>
      <c r="E195" s="110" t="s">
        <v>240</v>
      </c>
      <c r="F195" s="110" t="s">
        <v>2169</v>
      </c>
      <c r="G195" s="110" t="s">
        <v>1957</v>
      </c>
      <c r="H195" s="110">
        <v>5</v>
      </c>
      <c r="I195" s="110" t="s">
        <v>290</v>
      </c>
      <c r="J195" s="110">
        <v>3746</v>
      </c>
      <c r="K195" s="122">
        <v>4279</v>
      </c>
      <c r="L195" s="122">
        <f t="shared" si="4"/>
        <v>684.64</v>
      </c>
      <c r="M195" s="122">
        <f t="shared" si="5"/>
        <v>4963.6400000000003</v>
      </c>
      <c r="N195" s="136" t="s">
        <v>243</v>
      </c>
      <c r="O195" s="124">
        <v>45701</v>
      </c>
      <c r="P195" s="241"/>
      <c r="Q195" s="169"/>
    </row>
    <row r="196" spans="1:17" x14ac:dyDescent="0.35">
      <c r="A196" s="119" t="s">
        <v>238</v>
      </c>
      <c r="B196" s="119" t="s">
        <v>239</v>
      </c>
      <c r="C196" s="242">
        <v>66023</v>
      </c>
      <c r="D196" s="119" t="s">
        <v>806</v>
      </c>
      <c r="E196" s="110" t="s">
        <v>240</v>
      </c>
      <c r="F196" s="110" t="s">
        <v>2170</v>
      </c>
      <c r="G196" s="110" t="s">
        <v>1957</v>
      </c>
      <c r="H196" s="110">
        <v>5</v>
      </c>
      <c r="I196" s="110" t="s">
        <v>290</v>
      </c>
      <c r="J196" s="110">
        <v>3747</v>
      </c>
      <c r="K196" s="122">
        <v>1500</v>
      </c>
      <c r="L196" s="117">
        <f t="shared" si="4"/>
        <v>240</v>
      </c>
      <c r="M196" s="117">
        <f t="shared" si="5"/>
        <v>1740</v>
      </c>
      <c r="N196" s="136" t="s">
        <v>243</v>
      </c>
      <c r="O196" s="124">
        <v>45702</v>
      </c>
      <c r="P196" s="241"/>
      <c r="Q196" s="169"/>
    </row>
    <row r="197" spans="1:17" x14ac:dyDescent="0.35">
      <c r="A197" s="119" t="s">
        <v>1578</v>
      </c>
      <c r="B197" s="119" t="s">
        <v>2171</v>
      </c>
      <c r="C197" s="242">
        <v>67190</v>
      </c>
      <c r="D197" s="142" t="s">
        <v>806</v>
      </c>
      <c r="E197" s="110" t="s">
        <v>240</v>
      </c>
      <c r="F197" s="110" t="s">
        <v>2175</v>
      </c>
      <c r="G197" s="110" t="s">
        <v>1957</v>
      </c>
      <c r="H197" s="110">
        <v>5</v>
      </c>
      <c r="I197" s="110" t="s">
        <v>290</v>
      </c>
      <c r="J197" s="110">
        <v>3748</v>
      </c>
      <c r="K197" s="122">
        <v>300</v>
      </c>
      <c r="L197" s="117">
        <f t="shared" si="4"/>
        <v>48</v>
      </c>
      <c r="M197" s="117">
        <f t="shared" si="5"/>
        <v>348</v>
      </c>
      <c r="N197" s="136" t="s">
        <v>243</v>
      </c>
      <c r="O197" s="124">
        <v>45693</v>
      </c>
      <c r="P197" s="241"/>
      <c r="Q197" s="169"/>
    </row>
    <row r="198" spans="1:17" x14ac:dyDescent="0.35">
      <c r="A198" s="119" t="s">
        <v>2173</v>
      </c>
      <c r="B198" s="119" t="s">
        <v>2172</v>
      </c>
      <c r="C198" s="242">
        <v>66612</v>
      </c>
      <c r="D198" s="119" t="s">
        <v>830</v>
      </c>
      <c r="E198" s="110" t="s">
        <v>240</v>
      </c>
      <c r="F198" s="110" t="s">
        <v>2176</v>
      </c>
      <c r="G198" s="110" t="s">
        <v>1957</v>
      </c>
      <c r="H198" s="110">
        <v>5</v>
      </c>
      <c r="I198" s="110" t="s">
        <v>290</v>
      </c>
      <c r="J198" s="110">
        <v>3749</v>
      </c>
      <c r="K198" s="122">
        <v>3147</v>
      </c>
      <c r="L198" s="117">
        <f t="shared" si="4"/>
        <v>503.52000000000004</v>
      </c>
      <c r="M198" s="117">
        <f t="shared" si="5"/>
        <v>3650.52</v>
      </c>
      <c r="N198" s="136" t="s">
        <v>243</v>
      </c>
      <c r="O198" s="124">
        <v>45692</v>
      </c>
      <c r="P198" s="241"/>
      <c r="Q198" s="169"/>
    </row>
    <row r="199" spans="1:17" x14ac:dyDescent="0.35">
      <c r="A199" s="119" t="s">
        <v>2059</v>
      </c>
      <c r="B199" s="119" t="s">
        <v>2174</v>
      </c>
      <c r="C199" s="242">
        <v>67190</v>
      </c>
      <c r="D199" s="119" t="s">
        <v>805</v>
      </c>
      <c r="E199" s="110" t="s">
        <v>240</v>
      </c>
      <c r="F199" s="110" t="s">
        <v>2177</v>
      </c>
      <c r="G199" s="110" t="s">
        <v>1957</v>
      </c>
      <c r="H199" s="110">
        <v>5</v>
      </c>
      <c r="I199" s="110" t="s">
        <v>290</v>
      </c>
      <c r="J199" s="110">
        <v>3750</v>
      </c>
      <c r="K199" s="122">
        <v>5400</v>
      </c>
      <c r="L199" s="117">
        <f t="shared" si="4"/>
        <v>864</v>
      </c>
      <c r="M199" s="117">
        <f t="shared" si="5"/>
        <v>6264</v>
      </c>
      <c r="N199" s="136" t="s">
        <v>243</v>
      </c>
      <c r="O199" s="124">
        <v>45695</v>
      </c>
      <c r="P199" s="241"/>
      <c r="Q199" s="169"/>
    </row>
    <row r="200" spans="1:17" x14ac:dyDescent="0.35">
      <c r="A200" s="244" t="s">
        <v>1941</v>
      </c>
      <c r="B200" s="244" t="s">
        <v>1942</v>
      </c>
      <c r="C200" s="245">
        <v>66633</v>
      </c>
      <c r="D200" s="119" t="s">
        <v>805</v>
      </c>
      <c r="E200" s="110" t="s">
        <v>240</v>
      </c>
      <c r="F200" s="110" t="s">
        <v>2178</v>
      </c>
      <c r="G200" s="110" t="s">
        <v>1957</v>
      </c>
      <c r="H200" s="110">
        <v>5</v>
      </c>
      <c r="I200" s="110" t="s">
        <v>290</v>
      </c>
      <c r="J200" s="110">
        <v>3751</v>
      </c>
      <c r="K200" s="122">
        <v>0</v>
      </c>
      <c r="L200" s="117">
        <f t="shared" si="4"/>
        <v>0</v>
      </c>
      <c r="M200" s="117">
        <f t="shared" si="5"/>
        <v>0</v>
      </c>
      <c r="N200" s="132" t="s">
        <v>1890</v>
      </c>
      <c r="O200" s="124">
        <v>45705</v>
      </c>
      <c r="P200" s="241">
        <f>38967.5*0.16+38967.5</f>
        <v>45202.3</v>
      </c>
      <c r="Q200" s="169"/>
    </row>
    <row r="201" spans="1:17" x14ac:dyDescent="0.35">
      <c r="A201" s="244" t="s">
        <v>2180</v>
      </c>
      <c r="B201" s="244" t="s">
        <v>2179</v>
      </c>
      <c r="C201" s="245">
        <v>66633</v>
      </c>
      <c r="D201" s="119" t="s">
        <v>805</v>
      </c>
      <c r="E201" s="110" t="s">
        <v>240</v>
      </c>
      <c r="F201" s="110" t="s">
        <v>2181</v>
      </c>
      <c r="G201" s="110" t="s">
        <v>1957</v>
      </c>
      <c r="H201" s="110">
        <v>5</v>
      </c>
      <c r="I201" s="110" t="s">
        <v>290</v>
      </c>
      <c r="J201" s="110">
        <v>3752</v>
      </c>
      <c r="K201" s="122">
        <v>8370</v>
      </c>
      <c r="L201" s="117">
        <f t="shared" si="4"/>
        <v>1339.2</v>
      </c>
      <c r="M201" s="117">
        <f t="shared" si="5"/>
        <v>9709.2000000000007</v>
      </c>
      <c r="N201" s="136" t="s">
        <v>2078</v>
      </c>
      <c r="O201" s="124">
        <v>45721</v>
      </c>
      <c r="P201" s="241"/>
      <c r="Q201" s="169"/>
    </row>
    <row r="202" spans="1:17" x14ac:dyDescent="0.35">
      <c r="A202" s="142" t="s">
        <v>891</v>
      </c>
      <c r="B202" s="244" t="s">
        <v>892</v>
      </c>
      <c r="C202" s="110">
        <v>66054</v>
      </c>
      <c r="D202" s="142" t="s">
        <v>806</v>
      </c>
      <c r="E202" s="110" t="s">
        <v>240</v>
      </c>
      <c r="F202" s="123" t="s">
        <v>2207</v>
      </c>
      <c r="G202" s="110" t="s">
        <v>1897</v>
      </c>
      <c r="H202" s="110">
        <v>7</v>
      </c>
      <c r="I202" s="110" t="s">
        <v>290</v>
      </c>
      <c r="J202" s="110">
        <v>3753</v>
      </c>
      <c r="K202" s="122">
        <v>26151.200000000001</v>
      </c>
      <c r="L202" s="117">
        <f t="shared" si="4"/>
        <v>4184.192</v>
      </c>
      <c r="M202" s="117">
        <f t="shared" si="5"/>
        <v>30335.392</v>
      </c>
      <c r="N202" s="136" t="s">
        <v>243</v>
      </c>
      <c r="O202" s="124">
        <v>45706</v>
      </c>
      <c r="P202" s="241"/>
      <c r="Q202" s="169"/>
    </row>
    <row r="203" spans="1:17" x14ac:dyDescent="0.35">
      <c r="A203" s="119" t="s">
        <v>1929</v>
      </c>
      <c r="B203" s="244" t="s">
        <v>1930</v>
      </c>
      <c r="C203" s="242">
        <v>64610</v>
      </c>
      <c r="D203" s="142" t="s">
        <v>809</v>
      </c>
      <c r="E203" s="110" t="s">
        <v>240</v>
      </c>
      <c r="F203" s="123" t="s">
        <v>2208</v>
      </c>
      <c r="G203" s="110" t="s">
        <v>1897</v>
      </c>
      <c r="H203" s="110">
        <v>7</v>
      </c>
      <c r="I203" s="110" t="s">
        <v>290</v>
      </c>
      <c r="J203" s="110">
        <v>3754</v>
      </c>
      <c r="K203" s="122">
        <v>1190.4000000000001</v>
      </c>
      <c r="L203" s="117">
        <f t="shared" si="4"/>
        <v>190.46400000000003</v>
      </c>
      <c r="M203" s="117">
        <f t="shared" si="5"/>
        <v>1380.864</v>
      </c>
      <c r="N203" s="136" t="s">
        <v>2078</v>
      </c>
      <c r="O203" s="124">
        <v>45717</v>
      </c>
      <c r="P203" s="241"/>
      <c r="Q203" s="169"/>
    </row>
    <row r="204" spans="1:17" x14ac:dyDescent="0.35">
      <c r="A204" s="244" t="s">
        <v>1542</v>
      </c>
      <c r="B204" s="244" t="s">
        <v>1591</v>
      </c>
      <c r="C204" s="245">
        <v>66470</v>
      </c>
      <c r="D204" s="247" t="s">
        <v>818</v>
      </c>
      <c r="E204" s="110" t="s">
        <v>240</v>
      </c>
      <c r="F204" s="123" t="s">
        <v>2209</v>
      </c>
      <c r="G204" s="110" t="s">
        <v>1897</v>
      </c>
      <c r="H204" s="110">
        <v>7</v>
      </c>
      <c r="I204" s="110" t="s">
        <v>290</v>
      </c>
      <c r="J204" s="110">
        <v>3755</v>
      </c>
      <c r="K204" s="122">
        <v>500</v>
      </c>
      <c r="L204" s="117">
        <f t="shared" si="4"/>
        <v>80</v>
      </c>
      <c r="M204" s="117">
        <f t="shared" si="5"/>
        <v>580</v>
      </c>
      <c r="N204" s="136" t="s">
        <v>243</v>
      </c>
      <c r="O204" s="124">
        <v>45712</v>
      </c>
      <c r="P204" s="241"/>
      <c r="Q204" s="169"/>
    </row>
    <row r="205" spans="1:17" x14ac:dyDescent="0.35">
      <c r="A205" s="243" t="s">
        <v>865</v>
      </c>
      <c r="B205" s="243" t="s">
        <v>866</v>
      </c>
      <c r="C205" s="242">
        <v>64103</v>
      </c>
      <c r="D205" s="119" t="s">
        <v>805</v>
      </c>
      <c r="E205" s="110" t="s">
        <v>240</v>
      </c>
      <c r="F205" s="110" t="s">
        <v>2213</v>
      </c>
      <c r="G205" s="110" t="s">
        <v>1856</v>
      </c>
      <c r="H205" s="110">
        <v>11</v>
      </c>
      <c r="I205" s="110" t="s">
        <v>290</v>
      </c>
      <c r="J205" s="110">
        <v>3756</v>
      </c>
      <c r="K205" s="122">
        <v>9850</v>
      </c>
      <c r="L205" s="122">
        <f t="shared" si="4"/>
        <v>1576</v>
      </c>
      <c r="M205" s="122">
        <f t="shared" si="5"/>
        <v>11426</v>
      </c>
      <c r="N205" s="136" t="s">
        <v>243</v>
      </c>
      <c r="O205" s="124">
        <v>45715</v>
      </c>
      <c r="P205" s="241"/>
      <c r="Q205" s="169"/>
    </row>
    <row r="206" spans="1:17" x14ac:dyDescent="0.35">
      <c r="A206" s="248" t="s">
        <v>2185</v>
      </c>
      <c r="B206" s="248" t="s">
        <v>2182</v>
      </c>
      <c r="C206" s="110">
        <v>67132</v>
      </c>
      <c r="D206" s="248" t="s">
        <v>2183</v>
      </c>
      <c r="E206" s="169" t="s">
        <v>2184</v>
      </c>
      <c r="F206" s="110" t="s">
        <v>2225</v>
      </c>
      <c r="G206" s="110" t="s">
        <v>1957</v>
      </c>
      <c r="H206" s="110">
        <v>12</v>
      </c>
      <c r="I206" s="110" t="s">
        <v>290</v>
      </c>
      <c r="J206" s="110">
        <v>3757</v>
      </c>
      <c r="K206" s="122">
        <v>35298</v>
      </c>
      <c r="L206" s="122">
        <f t="shared" si="4"/>
        <v>5647.68</v>
      </c>
      <c r="M206" s="122">
        <f t="shared" si="5"/>
        <v>40945.68</v>
      </c>
      <c r="N206" s="136" t="s">
        <v>243</v>
      </c>
      <c r="O206" s="124">
        <v>45706</v>
      </c>
      <c r="P206" s="241"/>
      <c r="Q206" s="169"/>
    </row>
    <row r="207" spans="1:17" x14ac:dyDescent="0.35">
      <c r="A207" s="119" t="s">
        <v>856</v>
      </c>
      <c r="B207" s="119" t="s">
        <v>270</v>
      </c>
      <c r="C207" s="242">
        <v>66200</v>
      </c>
      <c r="D207" s="119" t="s">
        <v>805</v>
      </c>
      <c r="E207" s="110" t="s">
        <v>240</v>
      </c>
      <c r="F207" s="123" t="s">
        <v>2234</v>
      </c>
      <c r="G207" s="110" t="s">
        <v>2237</v>
      </c>
      <c r="H207" s="110">
        <v>15</v>
      </c>
      <c r="I207" s="110" t="s">
        <v>290</v>
      </c>
      <c r="J207" s="110">
        <v>3758</v>
      </c>
      <c r="K207" s="122">
        <v>80770</v>
      </c>
      <c r="L207" s="117">
        <f t="shared" si="4"/>
        <v>12923.2</v>
      </c>
      <c r="M207" s="117">
        <f t="shared" si="5"/>
        <v>93693.2</v>
      </c>
      <c r="N207" s="136" t="s">
        <v>243</v>
      </c>
      <c r="O207" s="124">
        <v>45702</v>
      </c>
      <c r="P207" s="241"/>
      <c r="Q207" s="169"/>
    </row>
    <row r="208" spans="1:17" x14ac:dyDescent="0.35">
      <c r="A208" s="244" t="s">
        <v>1483</v>
      </c>
      <c r="B208" s="244" t="s">
        <v>1484</v>
      </c>
      <c r="C208" s="242">
        <v>25295</v>
      </c>
      <c r="D208" s="119" t="s">
        <v>805</v>
      </c>
      <c r="E208" s="110" t="s">
        <v>240</v>
      </c>
      <c r="F208" s="351" t="s">
        <v>2235</v>
      </c>
      <c r="G208" s="110" t="s">
        <v>2237</v>
      </c>
      <c r="H208" s="110">
        <v>15</v>
      </c>
      <c r="I208" s="110" t="s">
        <v>290</v>
      </c>
      <c r="J208" s="110">
        <v>3759</v>
      </c>
      <c r="K208" s="122">
        <v>4800</v>
      </c>
      <c r="L208" s="117">
        <f t="shared" si="4"/>
        <v>768</v>
      </c>
      <c r="M208" s="117">
        <f t="shared" si="5"/>
        <v>5568</v>
      </c>
      <c r="N208" s="136" t="s">
        <v>243</v>
      </c>
      <c r="O208" s="124">
        <v>45705</v>
      </c>
      <c r="P208" s="241"/>
      <c r="Q208" s="169"/>
    </row>
    <row r="209" spans="1:18" x14ac:dyDescent="0.35">
      <c r="A209" s="244" t="s">
        <v>1483</v>
      </c>
      <c r="B209" s="244" t="s">
        <v>1484</v>
      </c>
      <c r="C209" s="242">
        <v>25295</v>
      </c>
      <c r="D209" s="119" t="s">
        <v>805</v>
      </c>
      <c r="E209" s="110" t="s">
        <v>240</v>
      </c>
      <c r="F209" s="120" t="s">
        <v>2236</v>
      </c>
      <c r="G209" s="110" t="s">
        <v>2237</v>
      </c>
      <c r="H209" s="110">
        <v>15</v>
      </c>
      <c r="I209" s="110" t="s">
        <v>290</v>
      </c>
      <c r="J209" s="110">
        <v>3760</v>
      </c>
      <c r="K209" s="122">
        <v>8500</v>
      </c>
      <c r="L209" s="122">
        <f t="shared" si="4"/>
        <v>1360</v>
      </c>
      <c r="M209" s="122">
        <f t="shared" si="5"/>
        <v>9860</v>
      </c>
      <c r="N209" s="136" t="s">
        <v>243</v>
      </c>
      <c r="O209" s="124">
        <v>45705</v>
      </c>
      <c r="P209" s="241"/>
      <c r="Q209" s="169"/>
    </row>
    <row r="210" spans="1:18" x14ac:dyDescent="0.35">
      <c r="A210" s="244" t="s">
        <v>1941</v>
      </c>
      <c r="B210" s="244" t="s">
        <v>1942</v>
      </c>
      <c r="C210" s="245">
        <v>66633</v>
      </c>
      <c r="D210" s="119" t="s">
        <v>805</v>
      </c>
      <c r="E210" s="110" t="s">
        <v>240</v>
      </c>
      <c r="F210" s="120" t="s">
        <v>2240</v>
      </c>
      <c r="G210" s="110" t="s">
        <v>1807</v>
      </c>
      <c r="H210" s="110">
        <v>17</v>
      </c>
      <c r="I210" s="110" t="s">
        <v>290</v>
      </c>
      <c r="J210" s="110">
        <v>3761</v>
      </c>
      <c r="K210" s="122">
        <v>33480</v>
      </c>
      <c r="L210" s="122">
        <f t="shared" si="4"/>
        <v>5356.8</v>
      </c>
      <c r="M210" s="122">
        <f t="shared" si="5"/>
        <v>38836.800000000003</v>
      </c>
      <c r="N210" s="136" t="s">
        <v>243</v>
      </c>
      <c r="O210" s="124">
        <v>45707</v>
      </c>
      <c r="P210" s="241"/>
      <c r="Q210" s="169"/>
    </row>
    <row r="211" spans="1:18" x14ac:dyDescent="0.35">
      <c r="A211" s="119" t="s">
        <v>857</v>
      </c>
      <c r="B211" s="119" t="s">
        <v>858</v>
      </c>
      <c r="C211" s="242">
        <v>64510</v>
      </c>
      <c r="D211" s="119" t="s">
        <v>805</v>
      </c>
      <c r="E211" s="110" t="s">
        <v>240</v>
      </c>
      <c r="F211" s="120" t="s">
        <v>2254</v>
      </c>
      <c r="G211" s="110" t="s">
        <v>1856</v>
      </c>
      <c r="H211" s="110">
        <v>18</v>
      </c>
      <c r="I211" s="110" t="s">
        <v>290</v>
      </c>
      <c r="J211" s="110">
        <v>3762</v>
      </c>
      <c r="K211" s="122">
        <v>1250</v>
      </c>
      <c r="L211" s="122">
        <f t="shared" si="4"/>
        <v>200</v>
      </c>
      <c r="M211" s="122">
        <f t="shared" si="5"/>
        <v>1450</v>
      </c>
      <c r="N211" s="136" t="s">
        <v>243</v>
      </c>
      <c r="O211" s="124">
        <v>45706</v>
      </c>
      <c r="P211" s="241"/>
      <c r="Q211" s="169"/>
    </row>
    <row r="212" spans="1:18" x14ac:dyDescent="0.35">
      <c r="A212" s="119" t="s">
        <v>2288</v>
      </c>
      <c r="B212" s="244" t="s">
        <v>2289</v>
      </c>
      <c r="C212" s="242">
        <v>3900</v>
      </c>
      <c r="D212" s="119" t="s">
        <v>805</v>
      </c>
      <c r="E212" s="110" t="s">
        <v>240</v>
      </c>
      <c r="F212" s="120" t="s">
        <v>2290</v>
      </c>
      <c r="G212" s="110" t="s">
        <v>1957</v>
      </c>
      <c r="H212" s="110">
        <v>26</v>
      </c>
      <c r="I212" s="110" t="s">
        <v>290</v>
      </c>
      <c r="J212" s="110">
        <v>3763</v>
      </c>
      <c r="K212" s="122">
        <v>17300</v>
      </c>
      <c r="L212" s="122">
        <f t="shared" si="4"/>
        <v>2768</v>
      </c>
      <c r="M212" s="122">
        <f t="shared" si="5"/>
        <v>20068</v>
      </c>
      <c r="N212" s="136" t="s">
        <v>243</v>
      </c>
      <c r="O212" s="124">
        <v>45714</v>
      </c>
      <c r="P212" s="241"/>
      <c r="Q212" s="169"/>
    </row>
    <row r="213" spans="1:18" x14ac:dyDescent="0.35">
      <c r="A213" s="119" t="s">
        <v>856</v>
      </c>
      <c r="B213" s="119" t="s">
        <v>270</v>
      </c>
      <c r="C213" s="242">
        <v>66200</v>
      </c>
      <c r="D213" s="119" t="s">
        <v>805</v>
      </c>
      <c r="E213" s="110" t="s">
        <v>240</v>
      </c>
      <c r="F213" s="248" t="s">
        <v>2314</v>
      </c>
      <c r="G213" s="110" t="s">
        <v>1897</v>
      </c>
      <c r="H213" s="110">
        <v>28</v>
      </c>
      <c r="I213" s="110" t="s">
        <v>290</v>
      </c>
      <c r="J213" s="110">
        <v>3764</v>
      </c>
      <c r="K213" s="122">
        <v>12544</v>
      </c>
      <c r="L213" s="117">
        <f t="shared" si="4"/>
        <v>2007.04</v>
      </c>
      <c r="M213" s="117">
        <f t="shared" si="5"/>
        <v>14551.04</v>
      </c>
      <c r="N213" s="136" t="s">
        <v>2078</v>
      </c>
      <c r="O213" s="124">
        <v>45736</v>
      </c>
      <c r="P213" s="241"/>
      <c r="Q213" s="169"/>
    </row>
    <row r="214" spans="1:18" ht="18.5" x14ac:dyDescent="0.45">
      <c r="A214" s="338" t="s">
        <v>2021</v>
      </c>
      <c r="B214" s="235"/>
      <c r="C214" s="235"/>
      <c r="D214" s="235"/>
      <c r="E214" s="235"/>
      <c r="F214" s="235"/>
      <c r="G214" s="273"/>
      <c r="H214" s="236"/>
      <c r="I214" s="237" t="s">
        <v>242</v>
      </c>
      <c r="J214" s="238">
        <f>COUNT(J108:J213)</f>
        <v>106</v>
      </c>
      <c r="K214" s="239">
        <f>SUM(K108:K213)</f>
        <v>411385.39</v>
      </c>
      <c r="L214" s="239">
        <f>SUM(L108:L213)</f>
        <v>65821.662400000001</v>
      </c>
      <c r="M214" s="239">
        <f>SUM(M108:M213)</f>
        <v>477207.05239999999</v>
      </c>
      <c r="N214" s="338"/>
      <c r="O214" s="339"/>
      <c r="P214" s="327">
        <f>COUNT(P113:P213)</f>
        <v>3</v>
      </c>
      <c r="Q214" s="240">
        <v>4</v>
      </c>
    </row>
    <row r="215" spans="1:18" x14ac:dyDescent="0.35">
      <c r="A215" s="142" t="s">
        <v>903</v>
      </c>
      <c r="B215" s="244" t="s">
        <v>904</v>
      </c>
      <c r="C215" s="110">
        <v>67134</v>
      </c>
      <c r="D215" s="142" t="s">
        <v>905</v>
      </c>
      <c r="E215" s="110" t="s">
        <v>240</v>
      </c>
      <c r="F215" s="110" t="s">
        <v>2323</v>
      </c>
      <c r="G215" s="110" t="s">
        <v>1807</v>
      </c>
      <c r="H215" s="110">
        <v>3</v>
      </c>
      <c r="I215" s="110" t="s">
        <v>318</v>
      </c>
      <c r="J215" s="110">
        <v>3765</v>
      </c>
      <c r="K215" s="122">
        <v>250</v>
      </c>
      <c r="L215" s="122">
        <f>K215*0.16</f>
        <v>40</v>
      </c>
      <c r="M215" s="122">
        <f>K215+L215</f>
        <v>290</v>
      </c>
      <c r="N215" s="132" t="s">
        <v>2078</v>
      </c>
      <c r="O215" s="199"/>
      <c r="P215" s="156"/>
      <c r="Q215" s="169"/>
    </row>
    <row r="216" spans="1:18" x14ac:dyDescent="0.35">
      <c r="A216" s="248" t="s">
        <v>1318</v>
      </c>
      <c r="B216" s="244" t="s">
        <v>1319</v>
      </c>
      <c r="C216" s="169">
        <v>67250</v>
      </c>
      <c r="D216" s="120" t="s">
        <v>818</v>
      </c>
      <c r="E216" s="110" t="s">
        <v>240</v>
      </c>
      <c r="F216" s="110" t="s">
        <v>2324</v>
      </c>
      <c r="G216" s="110" t="s">
        <v>1807</v>
      </c>
      <c r="H216" s="110">
        <v>3</v>
      </c>
      <c r="I216" s="110" t="s">
        <v>318</v>
      </c>
      <c r="J216" s="110">
        <v>3766</v>
      </c>
      <c r="K216" s="122">
        <v>5900</v>
      </c>
      <c r="L216" s="122">
        <f t="shared" ref="L216:L265" si="6">K216*0.16</f>
        <v>944</v>
      </c>
      <c r="M216" s="122">
        <f t="shared" ref="M216:M265" si="7">K216+L216</f>
        <v>6844</v>
      </c>
      <c r="N216" s="136" t="s">
        <v>243</v>
      </c>
      <c r="O216" s="199">
        <v>45721</v>
      </c>
      <c r="P216" s="156"/>
      <c r="Q216" s="169"/>
    </row>
    <row r="217" spans="1:18" x14ac:dyDescent="0.35">
      <c r="A217" s="248" t="s">
        <v>839</v>
      </c>
      <c r="B217" s="248" t="s">
        <v>840</v>
      </c>
      <c r="C217" s="169">
        <v>66632</v>
      </c>
      <c r="D217" s="248" t="s">
        <v>805</v>
      </c>
      <c r="E217" s="110" t="s">
        <v>240</v>
      </c>
      <c r="F217" s="110" t="s">
        <v>2325</v>
      </c>
      <c r="G217" s="110" t="s">
        <v>1807</v>
      </c>
      <c r="H217" s="110">
        <v>3</v>
      </c>
      <c r="I217" s="110" t="s">
        <v>318</v>
      </c>
      <c r="J217" s="110">
        <v>3767</v>
      </c>
      <c r="K217" s="122">
        <v>1400</v>
      </c>
      <c r="L217" s="122">
        <f t="shared" si="6"/>
        <v>224</v>
      </c>
      <c r="M217" s="122">
        <f t="shared" si="7"/>
        <v>1624</v>
      </c>
      <c r="N217" s="136" t="s">
        <v>243</v>
      </c>
      <c r="O217" s="199">
        <v>45736</v>
      </c>
      <c r="P217" s="156"/>
      <c r="Q217" s="169"/>
    </row>
    <row r="218" spans="1:18" x14ac:dyDescent="0.35">
      <c r="A218" s="243" t="s">
        <v>807</v>
      </c>
      <c r="B218" s="244" t="s">
        <v>808</v>
      </c>
      <c r="C218" s="245">
        <v>66482</v>
      </c>
      <c r="D218" s="244" t="s">
        <v>809</v>
      </c>
      <c r="E218" s="110" t="s">
        <v>240</v>
      </c>
      <c r="F218" s="110" t="s">
        <v>2326</v>
      </c>
      <c r="G218" s="110" t="s">
        <v>1807</v>
      </c>
      <c r="H218" s="110">
        <v>3</v>
      </c>
      <c r="I218" s="110" t="s">
        <v>318</v>
      </c>
      <c r="J218" s="110">
        <v>3768</v>
      </c>
      <c r="K218" s="122">
        <v>1696</v>
      </c>
      <c r="L218" s="122">
        <f t="shared" si="6"/>
        <v>271.36</v>
      </c>
      <c r="M218" s="122">
        <f t="shared" si="7"/>
        <v>1967.3600000000001</v>
      </c>
      <c r="N218" s="136" t="s">
        <v>243</v>
      </c>
      <c r="O218" s="199">
        <v>45737</v>
      </c>
      <c r="P218" s="156"/>
      <c r="Q218" s="169"/>
    </row>
    <row r="219" spans="1:18" x14ac:dyDescent="0.35">
      <c r="A219" s="142" t="s">
        <v>750</v>
      </c>
      <c r="B219" s="244" t="s">
        <v>810</v>
      </c>
      <c r="C219" s="110">
        <v>89560</v>
      </c>
      <c r="D219" s="142" t="s">
        <v>809</v>
      </c>
      <c r="E219" s="110" t="s">
        <v>240</v>
      </c>
      <c r="F219" s="110" t="s">
        <v>2327</v>
      </c>
      <c r="G219" s="110" t="s">
        <v>1807</v>
      </c>
      <c r="H219" s="110">
        <v>3</v>
      </c>
      <c r="I219" s="110" t="s">
        <v>318</v>
      </c>
      <c r="J219" s="110">
        <v>3769</v>
      </c>
      <c r="K219" s="122">
        <v>2700</v>
      </c>
      <c r="L219" s="122">
        <f t="shared" si="6"/>
        <v>432</v>
      </c>
      <c r="M219" s="122">
        <f t="shared" si="7"/>
        <v>3132</v>
      </c>
      <c r="N219" s="136" t="s">
        <v>243</v>
      </c>
      <c r="O219" s="199">
        <v>45719</v>
      </c>
      <c r="P219" s="156"/>
      <c r="Q219" s="169"/>
    </row>
    <row r="220" spans="1:18" x14ac:dyDescent="0.35">
      <c r="A220" s="119" t="s">
        <v>198</v>
      </c>
      <c r="B220" s="119" t="s">
        <v>199</v>
      </c>
      <c r="C220" s="242">
        <v>64000</v>
      </c>
      <c r="D220" s="119" t="s">
        <v>805</v>
      </c>
      <c r="E220" s="110" t="s">
        <v>240</v>
      </c>
      <c r="F220" s="110" t="s">
        <v>2328</v>
      </c>
      <c r="G220" s="110" t="s">
        <v>1807</v>
      </c>
      <c r="H220" s="110">
        <v>3</v>
      </c>
      <c r="I220" s="110" t="s">
        <v>318</v>
      </c>
      <c r="J220" s="110">
        <v>3770</v>
      </c>
      <c r="K220" s="122">
        <v>300</v>
      </c>
      <c r="L220" s="122">
        <f t="shared" si="6"/>
        <v>48</v>
      </c>
      <c r="M220" s="122">
        <f t="shared" si="7"/>
        <v>348</v>
      </c>
      <c r="N220" s="136" t="s">
        <v>243</v>
      </c>
      <c r="O220" s="199">
        <v>45737</v>
      </c>
      <c r="P220" s="156"/>
      <c r="Q220" s="169"/>
      <c r="R220" s="5" t="s">
        <v>2432</v>
      </c>
    </row>
    <row r="221" spans="1:18" x14ac:dyDescent="0.35">
      <c r="A221" s="244" t="s">
        <v>779</v>
      </c>
      <c r="B221" s="244" t="s">
        <v>811</v>
      </c>
      <c r="C221" s="242">
        <v>66266</v>
      </c>
      <c r="D221" s="119" t="s">
        <v>805</v>
      </c>
      <c r="E221" s="110" t="s">
        <v>240</v>
      </c>
      <c r="F221" s="110" t="s">
        <v>2329</v>
      </c>
      <c r="G221" s="110" t="s">
        <v>1807</v>
      </c>
      <c r="H221" s="110">
        <v>3</v>
      </c>
      <c r="I221" s="110" t="s">
        <v>318</v>
      </c>
      <c r="J221" s="110">
        <v>3772</v>
      </c>
      <c r="K221" s="122">
        <v>250</v>
      </c>
      <c r="L221" s="122">
        <f t="shared" si="6"/>
        <v>40</v>
      </c>
      <c r="M221" s="122">
        <f t="shared" si="7"/>
        <v>290</v>
      </c>
      <c r="N221" s="136" t="s">
        <v>243</v>
      </c>
      <c r="O221" s="199">
        <v>45719</v>
      </c>
      <c r="P221" s="156"/>
      <c r="Q221" s="169"/>
    </row>
    <row r="222" spans="1:18" x14ac:dyDescent="0.35">
      <c r="A222" s="142" t="s">
        <v>1083</v>
      </c>
      <c r="B222" s="142" t="s">
        <v>1084</v>
      </c>
      <c r="C222" s="110">
        <v>64250</v>
      </c>
      <c r="D222" s="119" t="s">
        <v>806</v>
      </c>
      <c r="E222" s="110" t="s">
        <v>240</v>
      </c>
      <c r="F222" s="110" t="s">
        <v>2330</v>
      </c>
      <c r="G222" s="110" t="s">
        <v>1807</v>
      </c>
      <c r="H222" s="110">
        <v>3</v>
      </c>
      <c r="I222" s="110" t="s">
        <v>318</v>
      </c>
      <c r="J222" s="110">
        <v>3773</v>
      </c>
      <c r="K222" s="122">
        <v>1250</v>
      </c>
      <c r="L222" s="122">
        <f t="shared" si="6"/>
        <v>200</v>
      </c>
      <c r="M222" s="122">
        <f t="shared" si="7"/>
        <v>1450</v>
      </c>
      <c r="N222" s="136" t="s">
        <v>243</v>
      </c>
      <c r="O222" s="199">
        <v>45722</v>
      </c>
      <c r="P222" s="156"/>
      <c r="Q222" s="169"/>
    </row>
    <row r="223" spans="1:18" x14ac:dyDescent="0.35">
      <c r="A223" s="119" t="s">
        <v>1578</v>
      </c>
      <c r="B223" s="119" t="s">
        <v>2171</v>
      </c>
      <c r="C223" s="242">
        <v>67190</v>
      </c>
      <c r="D223" s="142" t="s">
        <v>806</v>
      </c>
      <c r="E223" s="110" t="s">
        <v>240</v>
      </c>
      <c r="F223" s="110" t="s">
        <v>2331</v>
      </c>
      <c r="G223" s="110" t="s">
        <v>1807</v>
      </c>
      <c r="H223" s="110">
        <v>3</v>
      </c>
      <c r="I223" s="110" t="s">
        <v>318</v>
      </c>
      <c r="J223" s="110">
        <v>3774</v>
      </c>
      <c r="K223" s="122">
        <v>300</v>
      </c>
      <c r="L223" s="122">
        <f t="shared" si="6"/>
        <v>48</v>
      </c>
      <c r="M223" s="122">
        <f t="shared" si="7"/>
        <v>348</v>
      </c>
      <c r="N223" s="136" t="s">
        <v>243</v>
      </c>
      <c r="O223" s="199">
        <v>45720</v>
      </c>
      <c r="P223" s="156"/>
      <c r="Q223" s="169"/>
    </row>
    <row r="224" spans="1:18" x14ac:dyDescent="0.35">
      <c r="A224" s="244" t="s">
        <v>783</v>
      </c>
      <c r="B224" s="119" t="s">
        <v>812</v>
      </c>
      <c r="C224" s="242">
        <v>64630</v>
      </c>
      <c r="D224" s="119" t="s">
        <v>805</v>
      </c>
      <c r="E224" s="110" t="s">
        <v>240</v>
      </c>
      <c r="F224" s="110" t="s">
        <v>2332</v>
      </c>
      <c r="G224" s="110" t="s">
        <v>1807</v>
      </c>
      <c r="H224" s="110">
        <v>3</v>
      </c>
      <c r="I224" s="110" t="s">
        <v>318</v>
      </c>
      <c r="J224" s="110">
        <v>3775</v>
      </c>
      <c r="K224" s="122">
        <v>1395</v>
      </c>
      <c r="L224" s="122">
        <f t="shared" si="6"/>
        <v>223.20000000000002</v>
      </c>
      <c r="M224" s="122">
        <f t="shared" si="7"/>
        <v>1618.2</v>
      </c>
      <c r="N224" s="136" t="s">
        <v>243</v>
      </c>
      <c r="O224" s="199">
        <v>45720</v>
      </c>
      <c r="P224" s="156"/>
      <c r="Q224" s="169"/>
    </row>
    <row r="225" spans="1:17" x14ac:dyDescent="0.35">
      <c r="A225" s="246" t="s">
        <v>194</v>
      </c>
      <c r="B225" s="119" t="s">
        <v>195</v>
      </c>
      <c r="C225" s="242">
        <v>67190</v>
      </c>
      <c r="D225" s="119" t="s">
        <v>805</v>
      </c>
      <c r="E225" s="110" t="s">
        <v>240</v>
      </c>
      <c r="F225" s="110" t="s">
        <v>2333</v>
      </c>
      <c r="G225" s="110" t="s">
        <v>1807</v>
      </c>
      <c r="H225" s="110">
        <v>3</v>
      </c>
      <c r="I225" s="110" t="s">
        <v>318</v>
      </c>
      <c r="J225" s="110">
        <v>3776</v>
      </c>
      <c r="K225" s="122">
        <v>1400</v>
      </c>
      <c r="L225" s="122">
        <f t="shared" si="6"/>
        <v>224</v>
      </c>
      <c r="M225" s="122">
        <f t="shared" si="7"/>
        <v>1624</v>
      </c>
      <c r="N225" s="136" t="s">
        <v>243</v>
      </c>
      <c r="O225" s="199">
        <v>45722</v>
      </c>
      <c r="P225" s="156"/>
      <c r="Q225" s="169"/>
    </row>
    <row r="226" spans="1:17" x14ac:dyDescent="0.35">
      <c r="A226" s="119" t="s">
        <v>274</v>
      </c>
      <c r="B226" s="119" t="s">
        <v>275</v>
      </c>
      <c r="C226" s="242">
        <v>66023</v>
      </c>
      <c r="D226" s="119" t="s">
        <v>805</v>
      </c>
      <c r="E226" s="110" t="s">
        <v>240</v>
      </c>
      <c r="F226" s="110" t="s">
        <v>2334</v>
      </c>
      <c r="G226" s="110" t="s">
        <v>1807</v>
      </c>
      <c r="H226" s="110">
        <v>3</v>
      </c>
      <c r="I226" s="110" t="s">
        <v>318</v>
      </c>
      <c r="J226" s="110">
        <v>3777</v>
      </c>
      <c r="K226" s="122">
        <v>1200</v>
      </c>
      <c r="L226" s="122">
        <f t="shared" si="6"/>
        <v>192</v>
      </c>
      <c r="M226" s="122">
        <f t="shared" si="7"/>
        <v>1392</v>
      </c>
      <c r="N226" s="136" t="s">
        <v>243</v>
      </c>
      <c r="O226" s="199">
        <v>45720</v>
      </c>
      <c r="P226" s="156"/>
      <c r="Q226" s="169"/>
    </row>
    <row r="227" spans="1:17" x14ac:dyDescent="0.35">
      <c r="A227" s="244" t="s">
        <v>1352</v>
      </c>
      <c r="B227" s="244" t="s">
        <v>1353</v>
      </c>
      <c r="C227" s="169">
        <v>66023</v>
      </c>
      <c r="D227" s="120" t="s">
        <v>805</v>
      </c>
      <c r="E227" s="110" t="s">
        <v>240</v>
      </c>
      <c r="F227" s="110" t="s">
        <v>2335</v>
      </c>
      <c r="G227" s="110" t="s">
        <v>1807</v>
      </c>
      <c r="H227" s="110">
        <v>3</v>
      </c>
      <c r="I227" s="110" t="s">
        <v>318</v>
      </c>
      <c r="J227" s="110">
        <v>3778</v>
      </c>
      <c r="K227" s="122">
        <v>4500</v>
      </c>
      <c r="L227" s="122">
        <f t="shared" si="6"/>
        <v>720</v>
      </c>
      <c r="M227" s="122">
        <f t="shared" si="7"/>
        <v>5220</v>
      </c>
      <c r="N227" s="136" t="s">
        <v>243</v>
      </c>
      <c r="O227" s="199">
        <v>45726</v>
      </c>
      <c r="P227" s="156"/>
      <c r="Q227" s="169"/>
    </row>
    <row r="228" spans="1:17" x14ac:dyDescent="0.35">
      <c r="A228" s="119" t="s">
        <v>803</v>
      </c>
      <c r="B228" s="119" t="s">
        <v>804</v>
      </c>
      <c r="C228" s="242">
        <v>66469</v>
      </c>
      <c r="D228" s="119" t="s">
        <v>805</v>
      </c>
      <c r="E228" s="110" t="s">
        <v>240</v>
      </c>
      <c r="F228" s="110" t="s">
        <v>2336</v>
      </c>
      <c r="G228" s="110" t="s">
        <v>1807</v>
      </c>
      <c r="H228" s="110">
        <v>3</v>
      </c>
      <c r="I228" s="110" t="s">
        <v>318</v>
      </c>
      <c r="J228" s="110">
        <v>3779</v>
      </c>
      <c r="K228" s="117">
        <v>1750</v>
      </c>
      <c r="L228" s="122">
        <f t="shared" si="6"/>
        <v>280</v>
      </c>
      <c r="M228" s="122">
        <f t="shared" si="7"/>
        <v>2030</v>
      </c>
      <c r="N228" s="136" t="s">
        <v>243</v>
      </c>
      <c r="O228" s="199">
        <v>45736</v>
      </c>
      <c r="P228" s="282"/>
      <c r="Q228" s="169"/>
    </row>
    <row r="229" spans="1:17" x14ac:dyDescent="0.35">
      <c r="A229" s="119" t="s">
        <v>859</v>
      </c>
      <c r="B229" s="119" t="s">
        <v>860</v>
      </c>
      <c r="C229" s="242">
        <v>64710</v>
      </c>
      <c r="D229" s="119" t="s">
        <v>805</v>
      </c>
      <c r="E229" s="110" t="s">
        <v>240</v>
      </c>
      <c r="F229" s="110" t="s">
        <v>2337</v>
      </c>
      <c r="G229" s="110" t="s">
        <v>1807</v>
      </c>
      <c r="H229" s="110">
        <v>3</v>
      </c>
      <c r="I229" s="110" t="s">
        <v>318</v>
      </c>
      <c r="J229" s="110">
        <v>3780</v>
      </c>
      <c r="K229" s="122">
        <v>1300</v>
      </c>
      <c r="L229" s="122">
        <f t="shared" si="6"/>
        <v>208</v>
      </c>
      <c r="M229" s="122">
        <f t="shared" si="7"/>
        <v>1508</v>
      </c>
      <c r="N229" s="136" t="s">
        <v>243</v>
      </c>
      <c r="O229" s="199">
        <v>45721</v>
      </c>
      <c r="P229" s="156"/>
      <c r="Q229" s="169"/>
    </row>
    <row r="230" spans="1:17" x14ac:dyDescent="0.35">
      <c r="A230" s="244" t="s">
        <v>1631</v>
      </c>
      <c r="B230" s="244" t="s">
        <v>1630</v>
      </c>
      <c r="C230" s="242">
        <v>64710</v>
      </c>
      <c r="D230" s="119" t="s">
        <v>818</v>
      </c>
      <c r="E230" s="110" t="s">
        <v>240</v>
      </c>
      <c r="F230" s="123" t="s">
        <v>2338</v>
      </c>
      <c r="G230" s="110" t="s">
        <v>1807</v>
      </c>
      <c r="H230" s="110">
        <v>3</v>
      </c>
      <c r="I230" s="110" t="s">
        <v>318</v>
      </c>
      <c r="J230" s="110">
        <v>3781</v>
      </c>
      <c r="K230" s="122">
        <v>1674</v>
      </c>
      <c r="L230" s="122">
        <f t="shared" si="6"/>
        <v>267.84000000000003</v>
      </c>
      <c r="M230" s="122">
        <f>K230+L230</f>
        <v>1941.8400000000001</v>
      </c>
      <c r="N230" s="136" t="s">
        <v>243</v>
      </c>
      <c r="O230" s="124">
        <v>45727</v>
      </c>
      <c r="P230" s="241"/>
      <c r="Q230" s="169" t="s">
        <v>615</v>
      </c>
    </row>
    <row r="231" spans="1:17" x14ac:dyDescent="0.35">
      <c r="A231" s="142" t="s">
        <v>2339</v>
      </c>
      <c r="B231" s="142" t="s">
        <v>2340</v>
      </c>
      <c r="C231" s="110">
        <v>67480</v>
      </c>
      <c r="D231" s="142" t="s">
        <v>805</v>
      </c>
      <c r="E231" s="110" t="s">
        <v>240</v>
      </c>
      <c r="F231" s="123" t="s">
        <v>2341</v>
      </c>
      <c r="G231" s="110" t="s">
        <v>1807</v>
      </c>
      <c r="H231" s="110">
        <v>3</v>
      </c>
      <c r="I231" s="110" t="s">
        <v>318</v>
      </c>
      <c r="J231" s="110">
        <v>3782</v>
      </c>
      <c r="K231" s="122">
        <v>16200</v>
      </c>
      <c r="L231" s="122">
        <f t="shared" si="6"/>
        <v>2592</v>
      </c>
      <c r="M231" s="122">
        <f t="shared" si="7"/>
        <v>18792</v>
      </c>
      <c r="N231" s="136" t="s">
        <v>243</v>
      </c>
      <c r="O231" s="199">
        <v>45730</v>
      </c>
      <c r="P231" s="241"/>
      <c r="Q231" s="169"/>
    </row>
    <row r="232" spans="1:17" x14ac:dyDescent="0.35">
      <c r="A232" s="119" t="s">
        <v>1274</v>
      </c>
      <c r="B232" s="119" t="s">
        <v>1275</v>
      </c>
      <c r="C232" s="242">
        <v>64349</v>
      </c>
      <c r="D232" s="119" t="s">
        <v>818</v>
      </c>
      <c r="E232" s="110" t="s">
        <v>240</v>
      </c>
      <c r="F232" s="110" t="s">
        <v>2342</v>
      </c>
      <c r="G232" s="110" t="s">
        <v>1807</v>
      </c>
      <c r="H232" s="110">
        <v>3</v>
      </c>
      <c r="I232" s="110" t="s">
        <v>318</v>
      </c>
      <c r="J232" s="110">
        <v>3783</v>
      </c>
      <c r="K232" s="122">
        <v>250</v>
      </c>
      <c r="L232" s="122">
        <f t="shared" si="6"/>
        <v>40</v>
      </c>
      <c r="M232" s="122">
        <f t="shared" si="7"/>
        <v>290</v>
      </c>
      <c r="N232" s="136" t="s">
        <v>243</v>
      </c>
      <c r="O232" s="199">
        <v>45723</v>
      </c>
      <c r="P232" s="156"/>
      <c r="Q232" s="169"/>
    </row>
    <row r="233" spans="1:17" x14ac:dyDescent="0.35">
      <c r="A233" s="119" t="s">
        <v>196</v>
      </c>
      <c r="B233" s="119" t="s">
        <v>197</v>
      </c>
      <c r="C233" s="242">
        <v>64530</v>
      </c>
      <c r="D233" s="119" t="s">
        <v>806</v>
      </c>
      <c r="E233" s="110" t="s">
        <v>240</v>
      </c>
      <c r="F233" s="110" t="s">
        <v>2343</v>
      </c>
      <c r="G233" s="110" t="s">
        <v>1807</v>
      </c>
      <c r="H233" s="110">
        <v>3</v>
      </c>
      <c r="I233" s="110" t="s">
        <v>318</v>
      </c>
      <c r="J233" s="110">
        <v>3784</v>
      </c>
      <c r="K233" s="122">
        <v>500</v>
      </c>
      <c r="L233" s="122">
        <f t="shared" si="6"/>
        <v>80</v>
      </c>
      <c r="M233" s="122">
        <f t="shared" si="7"/>
        <v>580</v>
      </c>
      <c r="N233" s="136" t="s">
        <v>243</v>
      </c>
      <c r="O233" s="199">
        <v>45720</v>
      </c>
      <c r="P233" s="156"/>
      <c r="Q233" s="169"/>
    </row>
    <row r="234" spans="1:17" x14ac:dyDescent="0.35">
      <c r="A234" s="244" t="s">
        <v>815</v>
      </c>
      <c r="B234" s="244" t="s">
        <v>219</v>
      </c>
      <c r="C234" s="245">
        <v>64000</v>
      </c>
      <c r="D234" s="247" t="s">
        <v>805</v>
      </c>
      <c r="E234" s="110" t="s">
        <v>240</v>
      </c>
      <c r="F234" s="110" t="s">
        <v>2344</v>
      </c>
      <c r="G234" s="110" t="s">
        <v>1807</v>
      </c>
      <c r="H234" s="110">
        <v>3</v>
      </c>
      <c r="I234" s="110" t="s">
        <v>318</v>
      </c>
      <c r="J234" s="110">
        <v>3785</v>
      </c>
      <c r="K234" s="122">
        <v>2450</v>
      </c>
      <c r="L234" s="122">
        <f t="shared" si="6"/>
        <v>392</v>
      </c>
      <c r="M234" s="122">
        <f t="shared" si="7"/>
        <v>2842</v>
      </c>
      <c r="N234" s="136" t="s">
        <v>243</v>
      </c>
      <c r="O234" s="199">
        <v>45727</v>
      </c>
      <c r="P234" s="156"/>
      <c r="Q234" s="169"/>
    </row>
    <row r="235" spans="1:17" x14ac:dyDescent="0.35">
      <c r="A235" s="243" t="s">
        <v>876</v>
      </c>
      <c r="B235" s="243" t="s">
        <v>877</v>
      </c>
      <c r="C235" s="242">
        <v>64718</v>
      </c>
      <c r="D235" s="119" t="s">
        <v>805</v>
      </c>
      <c r="E235" s="110" t="s">
        <v>240</v>
      </c>
      <c r="F235" s="110" t="s">
        <v>2345</v>
      </c>
      <c r="G235" s="110" t="s">
        <v>1807</v>
      </c>
      <c r="H235" s="110">
        <v>3</v>
      </c>
      <c r="I235" s="110" t="s">
        <v>318</v>
      </c>
      <c r="J235" s="110">
        <v>3786</v>
      </c>
      <c r="K235" s="122">
        <v>996</v>
      </c>
      <c r="L235" s="122">
        <f t="shared" si="6"/>
        <v>159.36000000000001</v>
      </c>
      <c r="M235" s="122">
        <f t="shared" si="7"/>
        <v>1155.3600000000001</v>
      </c>
      <c r="N235" s="136" t="s">
        <v>243</v>
      </c>
      <c r="O235" s="199">
        <v>45726</v>
      </c>
      <c r="P235" s="156"/>
      <c r="Q235" s="169"/>
    </row>
    <row r="236" spans="1:17" x14ac:dyDescent="0.35">
      <c r="A236" s="244" t="s">
        <v>1444</v>
      </c>
      <c r="B236" s="244" t="s">
        <v>1445</v>
      </c>
      <c r="C236" s="242">
        <v>64000</v>
      </c>
      <c r="D236" s="119" t="s">
        <v>818</v>
      </c>
      <c r="E236" s="110" t="s">
        <v>240</v>
      </c>
      <c r="F236" s="123" t="s">
        <v>2346</v>
      </c>
      <c r="G236" s="110" t="s">
        <v>1807</v>
      </c>
      <c r="H236" s="110">
        <v>3</v>
      </c>
      <c r="I236" s="110" t="s">
        <v>318</v>
      </c>
      <c r="J236" s="110">
        <v>3787</v>
      </c>
      <c r="K236" s="122">
        <v>600</v>
      </c>
      <c r="L236" s="122">
        <f t="shared" si="6"/>
        <v>96</v>
      </c>
      <c r="M236" s="122">
        <f t="shared" si="7"/>
        <v>696</v>
      </c>
      <c r="N236" s="136" t="s">
        <v>243</v>
      </c>
      <c r="O236" s="199">
        <v>45723</v>
      </c>
      <c r="P236" s="156"/>
      <c r="Q236" s="169"/>
    </row>
    <row r="237" spans="1:17" x14ac:dyDescent="0.35">
      <c r="A237" s="119" t="s">
        <v>1451</v>
      </c>
      <c r="B237" s="119" t="s">
        <v>1452</v>
      </c>
      <c r="C237" s="242">
        <v>64760</v>
      </c>
      <c r="D237" s="119" t="s">
        <v>806</v>
      </c>
      <c r="E237" s="110" t="s">
        <v>240</v>
      </c>
      <c r="F237" s="123" t="s">
        <v>2347</v>
      </c>
      <c r="G237" s="110" t="s">
        <v>1807</v>
      </c>
      <c r="H237" s="110">
        <v>3</v>
      </c>
      <c r="I237" s="110" t="s">
        <v>318</v>
      </c>
      <c r="J237" s="110">
        <v>3788</v>
      </c>
      <c r="K237" s="122">
        <v>300</v>
      </c>
      <c r="L237" s="122">
        <f t="shared" si="6"/>
        <v>48</v>
      </c>
      <c r="M237" s="122">
        <f t="shared" si="7"/>
        <v>348</v>
      </c>
      <c r="N237" s="136" t="s">
        <v>243</v>
      </c>
      <c r="O237" s="199">
        <v>45735</v>
      </c>
      <c r="P237" s="156"/>
      <c r="Q237" s="169"/>
    </row>
    <row r="238" spans="1:17" x14ac:dyDescent="0.35">
      <c r="A238" s="244" t="s">
        <v>1683</v>
      </c>
      <c r="B238" s="244" t="s">
        <v>1684</v>
      </c>
      <c r="C238" s="242">
        <v>64000</v>
      </c>
      <c r="D238" s="119" t="s">
        <v>805</v>
      </c>
      <c r="E238" s="110" t="s">
        <v>240</v>
      </c>
      <c r="F238" s="120" t="s">
        <v>2348</v>
      </c>
      <c r="G238" s="110" t="s">
        <v>1807</v>
      </c>
      <c r="H238" s="110">
        <v>3</v>
      </c>
      <c r="I238" s="110" t="s">
        <v>318</v>
      </c>
      <c r="J238" s="110">
        <v>3789</v>
      </c>
      <c r="K238" s="122">
        <v>1160</v>
      </c>
      <c r="L238" s="122">
        <f t="shared" si="6"/>
        <v>185.6</v>
      </c>
      <c r="M238" s="122">
        <f t="shared" si="7"/>
        <v>1345.6</v>
      </c>
      <c r="N238" s="136" t="s">
        <v>243</v>
      </c>
      <c r="O238" s="124">
        <v>45729</v>
      </c>
      <c r="P238" s="241"/>
      <c r="Q238" s="169"/>
    </row>
    <row r="239" spans="1:17" x14ac:dyDescent="0.35">
      <c r="A239" s="244" t="s">
        <v>1491</v>
      </c>
      <c r="B239" s="244" t="s">
        <v>1492</v>
      </c>
      <c r="C239" s="242">
        <v>64010</v>
      </c>
      <c r="D239" s="247" t="s">
        <v>805</v>
      </c>
      <c r="E239" s="110" t="s">
        <v>240</v>
      </c>
      <c r="F239" s="110" t="s">
        <v>2349</v>
      </c>
      <c r="G239" s="110" t="s">
        <v>1807</v>
      </c>
      <c r="H239" s="110">
        <v>3</v>
      </c>
      <c r="I239" s="110" t="s">
        <v>318</v>
      </c>
      <c r="J239" s="110">
        <v>3790</v>
      </c>
      <c r="K239" s="139">
        <v>5400</v>
      </c>
      <c r="L239" s="122">
        <f t="shared" si="6"/>
        <v>864</v>
      </c>
      <c r="M239" s="122">
        <f t="shared" si="7"/>
        <v>6264</v>
      </c>
      <c r="N239" s="136" t="s">
        <v>243</v>
      </c>
      <c r="O239" s="199">
        <v>45726</v>
      </c>
      <c r="P239" s="156"/>
      <c r="Q239" s="169"/>
    </row>
    <row r="240" spans="1:17" x14ac:dyDescent="0.35">
      <c r="A240" s="119" t="s">
        <v>204</v>
      </c>
      <c r="B240" s="119" t="s">
        <v>205</v>
      </c>
      <c r="C240" s="242">
        <v>89515</v>
      </c>
      <c r="D240" s="119" t="s">
        <v>806</v>
      </c>
      <c r="E240" s="110" t="s">
        <v>240</v>
      </c>
      <c r="F240" s="110" t="s">
        <v>2350</v>
      </c>
      <c r="G240" s="110" t="s">
        <v>1807</v>
      </c>
      <c r="H240" s="110">
        <v>3</v>
      </c>
      <c r="I240" s="110" t="s">
        <v>318</v>
      </c>
      <c r="J240" s="110">
        <v>3791</v>
      </c>
      <c r="K240" s="122">
        <v>3500</v>
      </c>
      <c r="L240" s="122">
        <f t="shared" si="6"/>
        <v>560</v>
      </c>
      <c r="M240" s="122">
        <f t="shared" si="7"/>
        <v>4060</v>
      </c>
      <c r="N240" s="136" t="s">
        <v>243</v>
      </c>
      <c r="O240" s="199">
        <v>45720</v>
      </c>
      <c r="P240" s="156"/>
      <c r="Q240" s="169"/>
    </row>
    <row r="241" spans="1:17" x14ac:dyDescent="0.35">
      <c r="A241" s="119" t="s">
        <v>206</v>
      </c>
      <c r="B241" s="119" t="s">
        <v>207</v>
      </c>
      <c r="C241" s="242">
        <v>64020</v>
      </c>
      <c r="D241" s="119" t="s">
        <v>805</v>
      </c>
      <c r="E241" s="411" t="s">
        <v>241</v>
      </c>
      <c r="F241" s="110" t="s">
        <v>2351</v>
      </c>
      <c r="G241" s="110" t="s">
        <v>1807</v>
      </c>
      <c r="H241" s="110">
        <v>3</v>
      </c>
      <c r="I241" s="110" t="s">
        <v>318</v>
      </c>
      <c r="J241" s="110">
        <v>3792</v>
      </c>
      <c r="K241" s="122">
        <v>300</v>
      </c>
      <c r="L241" s="117">
        <f t="shared" si="6"/>
        <v>48</v>
      </c>
      <c r="M241" s="117">
        <f t="shared" si="7"/>
        <v>348</v>
      </c>
      <c r="N241" s="136" t="s">
        <v>243</v>
      </c>
      <c r="O241" s="199">
        <v>45737</v>
      </c>
      <c r="P241" s="156"/>
      <c r="Q241" s="169"/>
    </row>
    <row r="242" spans="1:17" x14ac:dyDescent="0.35">
      <c r="A242" s="119" t="s">
        <v>823</v>
      </c>
      <c r="B242" s="119" t="s">
        <v>208</v>
      </c>
      <c r="C242" s="242">
        <v>64020</v>
      </c>
      <c r="D242" s="119" t="s">
        <v>805</v>
      </c>
      <c r="E242" s="411" t="s">
        <v>241</v>
      </c>
      <c r="F242" s="110" t="s">
        <v>2352</v>
      </c>
      <c r="G242" s="110" t="s">
        <v>1807</v>
      </c>
      <c r="H242" s="110">
        <v>3</v>
      </c>
      <c r="I242" s="110" t="s">
        <v>318</v>
      </c>
      <c r="J242" s="110">
        <v>3793</v>
      </c>
      <c r="K242" s="122">
        <v>600</v>
      </c>
      <c r="L242" s="122">
        <f t="shared" si="6"/>
        <v>96</v>
      </c>
      <c r="M242" s="122">
        <f t="shared" si="7"/>
        <v>696</v>
      </c>
      <c r="N242" s="136" t="s">
        <v>243</v>
      </c>
      <c r="O242" s="199">
        <v>45723</v>
      </c>
      <c r="P242" s="156"/>
      <c r="Q242" s="169"/>
    </row>
    <row r="243" spans="1:17" x14ac:dyDescent="0.35">
      <c r="A243" s="243" t="s">
        <v>1457</v>
      </c>
      <c r="B243" s="243" t="s">
        <v>1456</v>
      </c>
      <c r="C243" s="242">
        <v>66024</v>
      </c>
      <c r="D243" s="142" t="s">
        <v>806</v>
      </c>
      <c r="E243" s="110" t="s">
        <v>240</v>
      </c>
      <c r="F243" s="110" t="s">
        <v>2353</v>
      </c>
      <c r="G243" s="110" t="s">
        <v>1807</v>
      </c>
      <c r="H243" s="110">
        <v>3</v>
      </c>
      <c r="I243" s="110" t="s">
        <v>318</v>
      </c>
      <c r="J243" s="110">
        <v>3794</v>
      </c>
      <c r="K243" s="122">
        <v>900</v>
      </c>
      <c r="L243" s="117">
        <f t="shared" si="6"/>
        <v>144</v>
      </c>
      <c r="M243" s="117">
        <f t="shared" si="7"/>
        <v>1044</v>
      </c>
      <c r="N243" s="136" t="s">
        <v>243</v>
      </c>
      <c r="O243" s="199">
        <v>45728</v>
      </c>
      <c r="P243" s="156"/>
      <c r="Q243" s="169"/>
    </row>
    <row r="244" spans="1:17" x14ac:dyDescent="0.35">
      <c r="A244" s="119" t="s">
        <v>200</v>
      </c>
      <c r="B244" s="119" t="s">
        <v>201</v>
      </c>
      <c r="C244" s="242">
        <v>66052</v>
      </c>
      <c r="D244" s="119" t="s">
        <v>805</v>
      </c>
      <c r="E244" s="110" t="s">
        <v>240</v>
      </c>
      <c r="F244" s="110" t="s">
        <v>2354</v>
      </c>
      <c r="G244" s="110" t="s">
        <v>1807</v>
      </c>
      <c r="H244" s="110">
        <v>3</v>
      </c>
      <c r="I244" s="110" t="s">
        <v>318</v>
      </c>
      <c r="J244" s="110">
        <v>3795</v>
      </c>
      <c r="K244" s="122">
        <v>900</v>
      </c>
      <c r="L244" s="122">
        <f t="shared" si="6"/>
        <v>144</v>
      </c>
      <c r="M244" s="122">
        <f t="shared" si="7"/>
        <v>1044</v>
      </c>
      <c r="N244" s="136" t="s">
        <v>243</v>
      </c>
      <c r="O244" s="199">
        <v>45730</v>
      </c>
      <c r="P244" s="156"/>
      <c r="Q244" s="169"/>
    </row>
    <row r="245" spans="1:17" x14ac:dyDescent="0.35">
      <c r="A245" s="119" t="s">
        <v>780</v>
      </c>
      <c r="B245" s="119" t="s">
        <v>826</v>
      </c>
      <c r="C245" s="242">
        <v>45019</v>
      </c>
      <c r="D245" s="119" t="s">
        <v>805</v>
      </c>
      <c r="E245" s="110" t="s">
        <v>240</v>
      </c>
      <c r="F245" s="110" t="s">
        <v>2355</v>
      </c>
      <c r="G245" s="110" t="s">
        <v>1807</v>
      </c>
      <c r="H245" s="110">
        <v>3</v>
      </c>
      <c r="I245" s="110" t="s">
        <v>318</v>
      </c>
      <c r="J245" s="110">
        <v>3796</v>
      </c>
      <c r="K245" s="122">
        <v>1200</v>
      </c>
      <c r="L245" s="117">
        <f t="shared" si="6"/>
        <v>192</v>
      </c>
      <c r="M245" s="117">
        <f t="shared" si="7"/>
        <v>1392</v>
      </c>
      <c r="N245" s="136" t="s">
        <v>243</v>
      </c>
      <c r="O245" s="199">
        <v>45720</v>
      </c>
      <c r="P245" s="156"/>
      <c r="Q245" s="169"/>
    </row>
    <row r="246" spans="1:17" x14ac:dyDescent="0.35">
      <c r="A246" s="244" t="s">
        <v>816</v>
      </c>
      <c r="B246" s="244" t="s">
        <v>817</v>
      </c>
      <c r="C246" s="245">
        <v>64000</v>
      </c>
      <c r="D246" s="247" t="s">
        <v>818</v>
      </c>
      <c r="E246" s="110" t="s">
        <v>240</v>
      </c>
      <c r="F246" s="123" t="s">
        <v>2356</v>
      </c>
      <c r="G246" s="110" t="s">
        <v>1807</v>
      </c>
      <c r="H246" s="110">
        <v>3</v>
      </c>
      <c r="I246" s="110" t="s">
        <v>318</v>
      </c>
      <c r="J246" s="110">
        <v>3797</v>
      </c>
      <c r="K246" s="122">
        <v>750</v>
      </c>
      <c r="L246" s="122">
        <f t="shared" si="6"/>
        <v>120</v>
      </c>
      <c r="M246" s="122">
        <f t="shared" si="7"/>
        <v>870</v>
      </c>
      <c r="N246" s="136" t="s">
        <v>243</v>
      </c>
      <c r="O246" s="199">
        <v>45720</v>
      </c>
      <c r="P246" s="156"/>
      <c r="Q246" s="169"/>
    </row>
    <row r="247" spans="1:17" x14ac:dyDescent="0.35">
      <c r="A247" s="142" t="s">
        <v>833</v>
      </c>
      <c r="B247" s="142" t="s">
        <v>834</v>
      </c>
      <c r="C247" s="110">
        <v>67250</v>
      </c>
      <c r="D247" s="142" t="s">
        <v>806</v>
      </c>
      <c r="E247" s="110" t="s">
        <v>240</v>
      </c>
      <c r="F247" s="110" t="s">
        <v>2357</v>
      </c>
      <c r="G247" s="110" t="s">
        <v>1807</v>
      </c>
      <c r="H247" s="110">
        <v>3</v>
      </c>
      <c r="I247" s="110" t="s">
        <v>318</v>
      </c>
      <c r="J247" s="110">
        <v>3798</v>
      </c>
      <c r="K247" s="122">
        <v>300</v>
      </c>
      <c r="L247" s="117">
        <f t="shared" si="6"/>
        <v>48</v>
      </c>
      <c r="M247" s="117">
        <f t="shared" si="7"/>
        <v>348</v>
      </c>
      <c r="N247" s="136" t="s">
        <v>243</v>
      </c>
      <c r="O247" s="199">
        <v>45730</v>
      </c>
      <c r="P247" s="156"/>
      <c r="Q247" s="169"/>
    </row>
    <row r="248" spans="1:17" x14ac:dyDescent="0.35">
      <c r="A248" s="120" t="s">
        <v>245</v>
      </c>
      <c r="B248" s="120" t="s">
        <v>247</v>
      </c>
      <c r="C248" s="169">
        <v>66650</v>
      </c>
      <c r="D248" s="120" t="s">
        <v>805</v>
      </c>
      <c r="E248" s="110" t="s">
        <v>240</v>
      </c>
      <c r="F248" s="110" t="s">
        <v>2359</v>
      </c>
      <c r="G248" s="110" t="s">
        <v>1807</v>
      </c>
      <c r="H248" s="110">
        <v>3</v>
      </c>
      <c r="I248" s="110" t="s">
        <v>318</v>
      </c>
      <c r="J248" s="110">
        <v>3799</v>
      </c>
      <c r="K248" s="122">
        <v>1396</v>
      </c>
      <c r="L248" s="122">
        <f t="shared" si="6"/>
        <v>223.36</v>
      </c>
      <c r="M248" s="122">
        <f t="shared" si="7"/>
        <v>1619.3600000000001</v>
      </c>
      <c r="N248" s="136" t="s">
        <v>243</v>
      </c>
      <c r="O248" s="199">
        <v>45729</v>
      </c>
      <c r="P248" s="156"/>
      <c r="Q248" s="169"/>
    </row>
    <row r="249" spans="1:17" x14ac:dyDescent="0.35">
      <c r="A249" s="243" t="s">
        <v>1403</v>
      </c>
      <c r="B249" s="243" t="s">
        <v>1404</v>
      </c>
      <c r="C249" s="242">
        <v>64410</v>
      </c>
      <c r="D249" s="119" t="s">
        <v>805</v>
      </c>
      <c r="E249" s="110" t="s">
        <v>240</v>
      </c>
      <c r="F249" s="110" t="s">
        <v>2360</v>
      </c>
      <c r="G249" s="110" t="s">
        <v>1807</v>
      </c>
      <c r="H249" s="110">
        <v>3</v>
      </c>
      <c r="I249" s="110" t="s">
        <v>318</v>
      </c>
      <c r="J249" s="110">
        <v>3800</v>
      </c>
      <c r="K249" s="122">
        <v>4049</v>
      </c>
      <c r="L249" s="117">
        <f t="shared" si="6"/>
        <v>647.84</v>
      </c>
      <c r="M249" s="117">
        <f t="shared" si="7"/>
        <v>4696.84</v>
      </c>
      <c r="N249" s="136" t="s">
        <v>243</v>
      </c>
      <c r="O249" s="199">
        <v>45720</v>
      </c>
      <c r="P249" s="156"/>
      <c r="Q249" s="169"/>
    </row>
    <row r="250" spans="1:17" x14ac:dyDescent="0.35">
      <c r="A250" s="248" t="s">
        <v>1067</v>
      </c>
      <c r="B250" s="244" t="s">
        <v>1068</v>
      </c>
      <c r="C250" s="169">
        <v>64030</v>
      </c>
      <c r="D250" s="120" t="s">
        <v>805</v>
      </c>
      <c r="E250" s="110" t="s">
        <v>240</v>
      </c>
      <c r="F250" s="110" t="s">
        <v>2361</v>
      </c>
      <c r="G250" s="110" t="s">
        <v>1807</v>
      </c>
      <c r="H250" s="110">
        <v>3</v>
      </c>
      <c r="I250" s="110" t="s">
        <v>318</v>
      </c>
      <c r="J250" s="110">
        <v>3801</v>
      </c>
      <c r="K250" s="122">
        <v>7860</v>
      </c>
      <c r="L250" s="117">
        <f t="shared" si="6"/>
        <v>1257.6000000000001</v>
      </c>
      <c r="M250" s="117">
        <f t="shared" si="7"/>
        <v>9117.6</v>
      </c>
      <c r="N250" s="136" t="s">
        <v>243</v>
      </c>
      <c r="O250" s="199">
        <v>45723</v>
      </c>
      <c r="P250" s="156"/>
      <c r="Q250" s="169"/>
    </row>
    <row r="251" spans="1:17" x14ac:dyDescent="0.35">
      <c r="A251" s="119" t="s">
        <v>209</v>
      </c>
      <c r="B251" s="119" t="s">
        <v>210</v>
      </c>
      <c r="C251" s="242">
        <v>67110</v>
      </c>
      <c r="D251" s="119" t="s">
        <v>806</v>
      </c>
      <c r="E251" s="411" t="s">
        <v>241</v>
      </c>
      <c r="F251" s="123" t="s">
        <v>2362</v>
      </c>
      <c r="G251" s="110" t="s">
        <v>1807</v>
      </c>
      <c r="H251" s="110">
        <v>3</v>
      </c>
      <c r="I251" s="110" t="s">
        <v>318</v>
      </c>
      <c r="J251" s="110">
        <v>3802</v>
      </c>
      <c r="K251" s="122">
        <v>1320</v>
      </c>
      <c r="L251" s="122">
        <f t="shared" si="6"/>
        <v>211.20000000000002</v>
      </c>
      <c r="M251" s="122">
        <f t="shared" si="7"/>
        <v>1531.2</v>
      </c>
      <c r="N251" s="136" t="s">
        <v>243</v>
      </c>
      <c r="O251" s="199">
        <v>45723</v>
      </c>
      <c r="P251" s="156"/>
      <c r="Q251" s="169"/>
    </row>
    <row r="252" spans="1:17" x14ac:dyDescent="0.35">
      <c r="A252" s="244" t="s">
        <v>1028</v>
      </c>
      <c r="B252" s="244" t="s">
        <v>1029</v>
      </c>
      <c r="C252" s="245">
        <v>66607</v>
      </c>
      <c r="D252" s="119" t="s">
        <v>915</v>
      </c>
      <c r="E252" s="110" t="s">
        <v>240</v>
      </c>
      <c r="F252" s="110" t="s">
        <v>2363</v>
      </c>
      <c r="G252" s="110" t="s">
        <v>1807</v>
      </c>
      <c r="H252" s="110">
        <v>3</v>
      </c>
      <c r="I252" s="110" t="s">
        <v>318</v>
      </c>
      <c r="J252" s="110">
        <v>3803</v>
      </c>
      <c r="K252" s="122">
        <v>300</v>
      </c>
      <c r="L252" s="117">
        <f t="shared" si="6"/>
        <v>48</v>
      </c>
      <c r="M252" s="117">
        <f t="shared" si="7"/>
        <v>348</v>
      </c>
      <c r="N252" s="136" t="s">
        <v>243</v>
      </c>
      <c r="O252" s="199">
        <v>45729</v>
      </c>
      <c r="P252" s="156"/>
      <c r="Q252" s="169"/>
    </row>
    <row r="253" spans="1:17" x14ac:dyDescent="0.35">
      <c r="A253" s="244" t="s">
        <v>913</v>
      </c>
      <c r="B253" s="244" t="s">
        <v>914</v>
      </c>
      <c r="C253" s="245">
        <v>67150</v>
      </c>
      <c r="D253" s="247" t="s">
        <v>915</v>
      </c>
      <c r="E253" s="110" t="s">
        <v>240</v>
      </c>
      <c r="F253" s="110" t="s">
        <v>2364</v>
      </c>
      <c r="G253" s="110" t="s">
        <v>1807</v>
      </c>
      <c r="H253" s="110">
        <v>3</v>
      </c>
      <c r="I253" s="110" t="s">
        <v>318</v>
      </c>
      <c r="J253" s="110">
        <v>3804</v>
      </c>
      <c r="K253" s="122">
        <v>1200</v>
      </c>
      <c r="L253" s="122">
        <f t="shared" si="6"/>
        <v>192</v>
      </c>
      <c r="M253" s="122">
        <f t="shared" si="7"/>
        <v>1392</v>
      </c>
      <c r="N253" s="136" t="s">
        <v>243</v>
      </c>
      <c r="O253" s="199">
        <v>45727</v>
      </c>
      <c r="P253" s="275"/>
      <c r="Q253" s="169"/>
    </row>
    <row r="254" spans="1:17" x14ac:dyDescent="0.35">
      <c r="A254" s="119" t="s">
        <v>827</v>
      </c>
      <c r="B254" s="119" t="s">
        <v>828</v>
      </c>
      <c r="C254" s="242">
        <v>66477</v>
      </c>
      <c r="D254" s="119" t="s">
        <v>901</v>
      </c>
      <c r="E254" s="411" t="s">
        <v>848</v>
      </c>
      <c r="F254" s="123" t="s">
        <v>2365</v>
      </c>
      <c r="G254" s="110" t="s">
        <v>1807</v>
      </c>
      <c r="H254" s="110">
        <v>3</v>
      </c>
      <c r="I254" s="110" t="s">
        <v>318</v>
      </c>
      <c r="J254" s="110">
        <v>3805</v>
      </c>
      <c r="K254" s="122">
        <v>660</v>
      </c>
      <c r="L254" s="117">
        <f t="shared" si="6"/>
        <v>105.60000000000001</v>
      </c>
      <c r="M254" s="117">
        <f t="shared" si="7"/>
        <v>765.6</v>
      </c>
      <c r="N254" s="136" t="s">
        <v>243</v>
      </c>
      <c r="O254" s="199">
        <v>45720</v>
      </c>
      <c r="P254" s="156"/>
      <c r="Q254" s="169"/>
    </row>
    <row r="255" spans="1:17" x14ac:dyDescent="0.35">
      <c r="A255" s="119" t="s">
        <v>220</v>
      </c>
      <c r="B255" s="119" t="s">
        <v>221</v>
      </c>
      <c r="C255" s="242">
        <v>66460</v>
      </c>
      <c r="D255" s="119" t="s">
        <v>806</v>
      </c>
      <c r="E255" s="110" t="s">
        <v>240</v>
      </c>
      <c r="F255" s="123" t="s">
        <v>2366</v>
      </c>
      <c r="G255" s="110" t="s">
        <v>1807</v>
      </c>
      <c r="H255" s="110">
        <v>3</v>
      </c>
      <c r="I255" s="110" t="s">
        <v>318</v>
      </c>
      <c r="J255" s="110">
        <v>3806</v>
      </c>
      <c r="K255" s="122">
        <v>4046</v>
      </c>
      <c r="L255" s="122">
        <f t="shared" si="6"/>
        <v>647.36</v>
      </c>
      <c r="M255" s="122">
        <f t="shared" si="7"/>
        <v>4693.3599999999997</v>
      </c>
      <c r="N255" s="136" t="s">
        <v>2078</v>
      </c>
      <c r="O255" s="199">
        <v>45770</v>
      </c>
      <c r="P255" s="275"/>
      <c r="Q255" s="169"/>
    </row>
    <row r="256" spans="1:17" x14ac:dyDescent="0.35">
      <c r="A256" s="119" t="s">
        <v>712</v>
      </c>
      <c r="B256" s="119" t="s">
        <v>829</v>
      </c>
      <c r="C256" s="242">
        <v>66070</v>
      </c>
      <c r="D256" s="119" t="s">
        <v>830</v>
      </c>
      <c r="E256" s="110" t="s">
        <v>240</v>
      </c>
      <c r="F256" s="123" t="s">
        <v>2367</v>
      </c>
      <c r="G256" s="110" t="s">
        <v>1807</v>
      </c>
      <c r="H256" s="110">
        <v>3</v>
      </c>
      <c r="I256" s="110" t="s">
        <v>318</v>
      </c>
      <c r="J256" s="110">
        <v>3807</v>
      </c>
      <c r="K256" s="122">
        <v>1200</v>
      </c>
      <c r="L256" s="117">
        <f t="shared" si="6"/>
        <v>192</v>
      </c>
      <c r="M256" s="117">
        <f t="shared" si="7"/>
        <v>1392</v>
      </c>
      <c r="N256" s="136" t="s">
        <v>243</v>
      </c>
      <c r="O256" s="199">
        <v>45721</v>
      </c>
      <c r="P256" s="156"/>
      <c r="Q256" s="169"/>
    </row>
    <row r="257" spans="1:17" x14ac:dyDescent="0.35">
      <c r="A257" s="244" t="s">
        <v>1551</v>
      </c>
      <c r="B257" s="244" t="s">
        <v>1553</v>
      </c>
      <c r="C257" s="242">
        <v>76079</v>
      </c>
      <c r="D257" s="247" t="s">
        <v>915</v>
      </c>
      <c r="E257" s="110" t="s">
        <v>240</v>
      </c>
      <c r="F257" s="123" t="s">
        <v>2368</v>
      </c>
      <c r="G257" s="110" t="s">
        <v>1807</v>
      </c>
      <c r="H257" s="110">
        <v>3</v>
      </c>
      <c r="I257" s="110" t="s">
        <v>318</v>
      </c>
      <c r="J257" s="110">
        <v>3808</v>
      </c>
      <c r="K257" s="122">
        <v>200</v>
      </c>
      <c r="L257" s="122">
        <f t="shared" si="6"/>
        <v>32</v>
      </c>
      <c r="M257" s="122">
        <f t="shared" si="7"/>
        <v>232</v>
      </c>
      <c r="N257" s="136" t="s">
        <v>243</v>
      </c>
      <c r="O257" s="199">
        <v>45720</v>
      </c>
      <c r="P257" s="156"/>
      <c r="Q257" s="169"/>
    </row>
    <row r="258" spans="1:17" x14ac:dyDescent="0.35">
      <c r="A258" s="244" t="s">
        <v>831</v>
      </c>
      <c r="B258" s="244" t="s">
        <v>832</v>
      </c>
      <c r="C258" s="110">
        <v>64530</v>
      </c>
      <c r="D258" s="142" t="s">
        <v>805</v>
      </c>
      <c r="E258" s="110" t="s">
        <v>240</v>
      </c>
      <c r="F258" s="123" t="s">
        <v>2369</v>
      </c>
      <c r="G258" s="110" t="s">
        <v>1807</v>
      </c>
      <c r="H258" s="110">
        <v>3</v>
      </c>
      <c r="I258" s="110" t="s">
        <v>318</v>
      </c>
      <c r="J258" s="110">
        <v>3809</v>
      </c>
      <c r="K258" s="122">
        <v>300</v>
      </c>
      <c r="L258" s="117">
        <f t="shared" si="6"/>
        <v>48</v>
      </c>
      <c r="M258" s="117">
        <f t="shared" si="7"/>
        <v>348</v>
      </c>
      <c r="N258" s="136" t="s">
        <v>243</v>
      </c>
      <c r="O258" s="124">
        <v>45720</v>
      </c>
      <c r="P258" s="156"/>
      <c r="Q258" s="169"/>
    </row>
    <row r="259" spans="1:17" x14ac:dyDescent="0.35">
      <c r="A259" s="244" t="s">
        <v>1619</v>
      </c>
      <c r="B259" s="244" t="s">
        <v>1620</v>
      </c>
      <c r="C259" s="110">
        <v>67196</v>
      </c>
      <c r="D259" s="119" t="s">
        <v>806</v>
      </c>
      <c r="E259" s="110" t="s">
        <v>240</v>
      </c>
      <c r="F259" s="382" t="s">
        <v>2370</v>
      </c>
      <c r="G259" s="110" t="s">
        <v>1807</v>
      </c>
      <c r="H259" s="110">
        <v>3</v>
      </c>
      <c r="I259" s="110" t="s">
        <v>318</v>
      </c>
      <c r="J259" s="110">
        <v>3810</v>
      </c>
      <c r="K259" s="139">
        <v>250</v>
      </c>
      <c r="L259" s="122">
        <f t="shared" si="6"/>
        <v>40</v>
      </c>
      <c r="M259" s="122">
        <f t="shared" si="7"/>
        <v>290</v>
      </c>
      <c r="N259" s="136" t="s">
        <v>243</v>
      </c>
      <c r="O259" s="124">
        <v>45736</v>
      </c>
      <c r="P259" s="156"/>
      <c r="Q259" s="169"/>
    </row>
    <row r="260" spans="1:17" x14ac:dyDescent="0.35">
      <c r="A260" s="244" t="s">
        <v>533</v>
      </c>
      <c r="B260" s="244" t="s">
        <v>835</v>
      </c>
      <c r="C260" s="245">
        <v>89110</v>
      </c>
      <c r="D260" s="119" t="s">
        <v>805</v>
      </c>
      <c r="E260" s="110" t="s">
        <v>240</v>
      </c>
      <c r="F260" s="110" t="s">
        <v>2371</v>
      </c>
      <c r="G260" s="110" t="s">
        <v>1807</v>
      </c>
      <c r="H260" s="110">
        <v>3</v>
      </c>
      <c r="I260" s="110" t="s">
        <v>318</v>
      </c>
      <c r="J260" s="110">
        <v>3811</v>
      </c>
      <c r="K260" s="122">
        <v>4731</v>
      </c>
      <c r="L260" s="117">
        <f t="shared" si="6"/>
        <v>756.96</v>
      </c>
      <c r="M260" s="117">
        <f t="shared" si="7"/>
        <v>5487.96</v>
      </c>
      <c r="N260" s="136" t="s">
        <v>243</v>
      </c>
      <c r="O260" s="199">
        <v>45722</v>
      </c>
      <c r="P260" s="156"/>
      <c r="Q260" s="169"/>
    </row>
    <row r="261" spans="1:17" x14ac:dyDescent="0.35">
      <c r="A261" s="142" t="s">
        <v>1670</v>
      </c>
      <c r="B261" s="142" t="s">
        <v>1671</v>
      </c>
      <c r="C261" s="110">
        <v>76000</v>
      </c>
      <c r="D261" s="119" t="s">
        <v>805</v>
      </c>
      <c r="E261" s="110" t="s">
        <v>240</v>
      </c>
      <c r="F261" s="123" t="s">
        <v>2372</v>
      </c>
      <c r="G261" s="110" t="s">
        <v>1807</v>
      </c>
      <c r="H261" s="110">
        <v>3</v>
      </c>
      <c r="I261" s="110" t="s">
        <v>318</v>
      </c>
      <c r="J261" s="110">
        <v>3812</v>
      </c>
      <c r="K261" s="122">
        <v>1200</v>
      </c>
      <c r="L261" s="122">
        <f t="shared" si="6"/>
        <v>192</v>
      </c>
      <c r="M261" s="122">
        <f t="shared" si="7"/>
        <v>1392</v>
      </c>
      <c r="N261" s="136" t="s">
        <v>243</v>
      </c>
      <c r="O261" s="124">
        <v>45721</v>
      </c>
      <c r="P261" s="241"/>
      <c r="Q261" s="169"/>
    </row>
    <row r="262" spans="1:17" x14ac:dyDescent="0.35">
      <c r="A262" s="248" t="s">
        <v>836</v>
      </c>
      <c r="B262" s="244" t="s">
        <v>837</v>
      </c>
      <c r="C262" s="110">
        <v>66062</v>
      </c>
      <c r="D262" s="248" t="s">
        <v>805</v>
      </c>
      <c r="E262" s="110" t="s">
        <v>240</v>
      </c>
      <c r="F262" s="1" t="s">
        <v>2373</v>
      </c>
      <c r="G262" s="110" t="s">
        <v>1807</v>
      </c>
      <c r="H262" s="110">
        <v>3</v>
      </c>
      <c r="I262" s="110" t="s">
        <v>318</v>
      </c>
      <c r="J262" s="110">
        <v>3813</v>
      </c>
      <c r="K262" s="122">
        <v>498</v>
      </c>
      <c r="L262" s="117">
        <f t="shared" si="6"/>
        <v>79.680000000000007</v>
      </c>
      <c r="M262" s="117">
        <f t="shared" si="7"/>
        <v>577.68000000000006</v>
      </c>
      <c r="N262" s="136" t="s">
        <v>243</v>
      </c>
      <c r="O262" s="199">
        <v>45729</v>
      </c>
      <c r="P262" s="156"/>
      <c r="Q262" s="169"/>
    </row>
    <row r="263" spans="1:17" x14ac:dyDescent="0.35">
      <c r="A263" s="119" t="s">
        <v>838</v>
      </c>
      <c r="B263" s="119" t="s">
        <v>211</v>
      </c>
      <c r="C263" s="242">
        <v>64350</v>
      </c>
      <c r="D263" s="119" t="s">
        <v>806</v>
      </c>
      <c r="E263" s="110" t="s">
        <v>240</v>
      </c>
      <c r="F263" s="110" t="s">
        <v>2374</v>
      </c>
      <c r="G263" s="110" t="s">
        <v>1807</v>
      </c>
      <c r="H263" s="110">
        <v>3</v>
      </c>
      <c r="I263" s="110" t="s">
        <v>318</v>
      </c>
      <c r="J263" s="110">
        <v>3814</v>
      </c>
      <c r="K263" s="122">
        <v>300</v>
      </c>
      <c r="L263" s="122">
        <f t="shared" si="6"/>
        <v>48</v>
      </c>
      <c r="M263" s="122">
        <f t="shared" si="7"/>
        <v>348</v>
      </c>
      <c r="N263" s="136" t="s">
        <v>243</v>
      </c>
      <c r="O263" s="199">
        <v>45727</v>
      </c>
      <c r="P263" s="156"/>
      <c r="Q263" s="169"/>
    </row>
    <row r="264" spans="1:17" x14ac:dyDescent="0.35">
      <c r="A264" s="119" t="s">
        <v>53</v>
      </c>
      <c r="B264" s="119" t="s">
        <v>212</v>
      </c>
      <c r="C264" s="242">
        <v>64850</v>
      </c>
      <c r="D264" s="119" t="s">
        <v>806</v>
      </c>
      <c r="E264" s="110" t="s">
        <v>240</v>
      </c>
      <c r="F264" s="123" t="s">
        <v>2375</v>
      </c>
      <c r="G264" s="110" t="s">
        <v>1807</v>
      </c>
      <c r="H264" s="110">
        <v>3</v>
      </c>
      <c r="I264" s="110" t="s">
        <v>318</v>
      </c>
      <c r="J264" s="110">
        <v>3815</v>
      </c>
      <c r="K264" s="122">
        <v>300</v>
      </c>
      <c r="L264" s="117">
        <f t="shared" si="6"/>
        <v>48</v>
      </c>
      <c r="M264" s="117">
        <f t="shared" si="7"/>
        <v>348</v>
      </c>
      <c r="N264" s="136" t="s">
        <v>243</v>
      </c>
      <c r="O264" s="199">
        <v>45728</v>
      </c>
      <c r="P264" s="156"/>
      <c r="Q264" s="169"/>
    </row>
    <row r="265" spans="1:17" x14ac:dyDescent="0.35">
      <c r="A265" s="119" t="s">
        <v>1032</v>
      </c>
      <c r="B265" s="119" t="s">
        <v>1033</v>
      </c>
      <c r="C265" s="242">
        <v>64610</v>
      </c>
      <c r="D265" s="119" t="s">
        <v>915</v>
      </c>
      <c r="E265" s="110" t="s">
        <v>240</v>
      </c>
      <c r="F265" s="383" t="s">
        <v>2384</v>
      </c>
      <c r="G265" s="110" t="s">
        <v>1856</v>
      </c>
      <c r="H265" s="110">
        <v>4</v>
      </c>
      <c r="I265" s="110" t="s">
        <v>318</v>
      </c>
      <c r="J265" s="110">
        <v>3816</v>
      </c>
      <c r="K265" s="122">
        <v>2750</v>
      </c>
      <c r="L265" s="122">
        <f t="shared" si="6"/>
        <v>440</v>
      </c>
      <c r="M265" s="122">
        <f t="shared" si="7"/>
        <v>3190</v>
      </c>
      <c r="N265" s="136" t="s">
        <v>243</v>
      </c>
      <c r="O265" s="199">
        <v>45721</v>
      </c>
      <c r="P265" s="156"/>
      <c r="Q265" s="169"/>
    </row>
    <row r="266" spans="1:17" x14ac:dyDescent="0.35">
      <c r="A266" s="119" t="s">
        <v>1061</v>
      </c>
      <c r="B266" s="119" t="s">
        <v>1060</v>
      </c>
      <c r="C266" s="242">
        <v>66614</v>
      </c>
      <c r="D266" s="119" t="s">
        <v>806</v>
      </c>
      <c r="E266" s="110" t="s">
        <v>240</v>
      </c>
      <c r="F266" s="110" t="s">
        <v>2383</v>
      </c>
      <c r="G266" s="110" t="s">
        <v>1856</v>
      </c>
      <c r="H266" s="110">
        <v>4</v>
      </c>
      <c r="I266" s="110" t="s">
        <v>318</v>
      </c>
      <c r="J266" s="110">
        <v>3817</v>
      </c>
      <c r="K266" s="122">
        <v>750</v>
      </c>
      <c r="L266" s="117">
        <f>K266*0.16</f>
        <v>120</v>
      </c>
      <c r="M266" s="117">
        <f>K266+L266</f>
        <v>870</v>
      </c>
      <c r="N266" s="136" t="s">
        <v>243</v>
      </c>
      <c r="O266" s="199">
        <v>45723</v>
      </c>
      <c r="P266" s="156"/>
      <c r="Q266" s="169"/>
    </row>
    <row r="267" spans="1:17" x14ac:dyDescent="0.35">
      <c r="A267" s="248" t="s">
        <v>964</v>
      </c>
      <c r="B267" s="248" t="s">
        <v>965</v>
      </c>
      <c r="C267" s="169">
        <v>64000</v>
      </c>
      <c r="D267" s="248" t="s">
        <v>805</v>
      </c>
      <c r="E267" s="110" t="s">
        <v>240</v>
      </c>
      <c r="F267" s="123" t="s">
        <v>2385</v>
      </c>
      <c r="G267" s="110" t="s">
        <v>1856</v>
      </c>
      <c r="H267" s="110">
        <v>4</v>
      </c>
      <c r="I267" s="110" t="s">
        <v>318</v>
      </c>
      <c r="J267" s="110">
        <v>3818</v>
      </c>
      <c r="K267" s="122">
        <v>1500</v>
      </c>
      <c r="L267" s="117">
        <f t="shared" ref="L267:L328" si="8">K267*0.16</f>
        <v>240</v>
      </c>
      <c r="M267" s="117">
        <f t="shared" ref="M267:M317" si="9">K267+L267</f>
        <v>1740</v>
      </c>
      <c r="N267" s="136" t="s">
        <v>243</v>
      </c>
      <c r="O267" s="199">
        <v>45721</v>
      </c>
      <c r="P267" s="156"/>
      <c r="Q267" s="169"/>
    </row>
    <row r="268" spans="1:17" x14ac:dyDescent="0.35">
      <c r="A268" s="243" t="s">
        <v>1022</v>
      </c>
      <c r="B268" s="243" t="s">
        <v>1023</v>
      </c>
      <c r="C268" s="242">
        <v>66630</v>
      </c>
      <c r="D268" s="119" t="s">
        <v>805</v>
      </c>
      <c r="E268" s="110" t="s">
        <v>240</v>
      </c>
      <c r="F268" s="110" t="s">
        <v>2386</v>
      </c>
      <c r="G268" s="110" t="s">
        <v>1856</v>
      </c>
      <c r="H268" s="110">
        <v>4</v>
      </c>
      <c r="I268" s="110" t="s">
        <v>318</v>
      </c>
      <c r="J268" s="110">
        <v>3819</v>
      </c>
      <c r="K268" s="122">
        <v>6535</v>
      </c>
      <c r="L268" s="117">
        <f t="shared" si="8"/>
        <v>1045.5999999999999</v>
      </c>
      <c r="M268" s="117">
        <f t="shared" si="9"/>
        <v>7580.6</v>
      </c>
      <c r="N268" s="136" t="s">
        <v>243</v>
      </c>
      <c r="O268" s="199">
        <v>45721</v>
      </c>
      <c r="P268" s="156"/>
      <c r="Q268" s="169"/>
    </row>
    <row r="269" spans="1:17" x14ac:dyDescent="0.35">
      <c r="A269" s="244" t="s">
        <v>819</v>
      </c>
      <c r="B269" s="244" t="s">
        <v>820</v>
      </c>
      <c r="C269" s="242">
        <v>67113</v>
      </c>
      <c r="D269" s="119" t="s">
        <v>805</v>
      </c>
      <c r="E269" s="110" t="s">
        <v>240</v>
      </c>
      <c r="F269" s="123" t="s">
        <v>2387</v>
      </c>
      <c r="G269" s="110" t="s">
        <v>1856</v>
      </c>
      <c r="H269" s="110">
        <v>4</v>
      </c>
      <c r="I269" s="110" t="s">
        <v>318</v>
      </c>
      <c r="J269" s="110">
        <v>3820</v>
      </c>
      <c r="K269" s="122">
        <v>2652</v>
      </c>
      <c r="L269" s="117">
        <f t="shared" si="8"/>
        <v>424.32</v>
      </c>
      <c r="M269" s="117">
        <f t="shared" si="9"/>
        <v>3076.32</v>
      </c>
      <c r="N269" s="136" t="s">
        <v>243</v>
      </c>
      <c r="O269" s="199">
        <v>45726</v>
      </c>
      <c r="P269" s="156"/>
      <c r="Q269" s="169"/>
    </row>
    <row r="270" spans="1:17" x14ac:dyDescent="0.35">
      <c r="A270" s="119" t="s">
        <v>213</v>
      </c>
      <c r="B270" s="119" t="s">
        <v>214</v>
      </c>
      <c r="C270" s="242">
        <v>64984</v>
      </c>
      <c r="D270" s="119" t="s">
        <v>806</v>
      </c>
      <c r="E270" s="110" t="s">
        <v>240</v>
      </c>
      <c r="F270" s="123" t="s">
        <v>2388</v>
      </c>
      <c r="G270" s="110" t="s">
        <v>1856</v>
      </c>
      <c r="H270" s="110">
        <v>4</v>
      </c>
      <c r="I270" s="110" t="s">
        <v>318</v>
      </c>
      <c r="J270" s="110">
        <v>3821</v>
      </c>
      <c r="K270" s="122">
        <v>4913</v>
      </c>
      <c r="L270" s="117">
        <f t="shared" si="8"/>
        <v>786.08</v>
      </c>
      <c r="M270" s="117">
        <f t="shared" si="9"/>
        <v>5699.08</v>
      </c>
      <c r="N270" s="136" t="s">
        <v>243</v>
      </c>
      <c r="O270" s="199">
        <v>45744</v>
      </c>
      <c r="P270" s="156"/>
      <c r="Q270" s="169"/>
    </row>
    <row r="271" spans="1:17" x14ac:dyDescent="0.35">
      <c r="A271" s="246" t="s">
        <v>215</v>
      </c>
      <c r="B271" s="119" t="s">
        <v>216</v>
      </c>
      <c r="C271" s="242">
        <v>64500</v>
      </c>
      <c r="D271" s="119" t="s">
        <v>818</v>
      </c>
      <c r="E271" s="110" t="s">
        <v>240</v>
      </c>
      <c r="F271" s="110" t="s">
        <v>2389</v>
      </c>
      <c r="G271" s="110" t="s">
        <v>1856</v>
      </c>
      <c r="H271" s="110">
        <v>4</v>
      </c>
      <c r="I271" s="110" t="s">
        <v>318</v>
      </c>
      <c r="J271" s="110">
        <v>3822</v>
      </c>
      <c r="K271" s="122">
        <v>5550</v>
      </c>
      <c r="L271" s="117">
        <f t="shared" si="8"/>
        <v>888</v>
      </c>
      <c r="M271" s="117">
        <f t="shared" si="9"/>
        <v>6438</v>
      </c>
      <c r="N271" s="136" t="s">
        <v>243</v>
      </c>
      <c r="O271" s="199">
        <v>45744</v>
      </c>
      <c r="P271" s="156"/>
      <c r="Q271" s="169"/>
    </row>
    <row r="272" spans="1:17" x14ac:dyDescent="0.35">
      <c r="A272" s="119" t="s">
        <v>2173</v>
      </c>
      <c r="B272" s="119" t="s">
        <v>2172</v>
      </c>
      <c r="C272" s="242">
        <v>66612</v>
      </c>
      <c r="D272" s="119" t="s">
        <v>830</v>
      </c>
      <c r="E272" s="110" t="s">
        <v>240</v>
      </c>
      <c r="F272" s="110" t="s">
        <v>2390</v>
      </c>
      <c r="G272" s="110" t="s">
        <v>1856</v>
      </c>
      <c r="H272" s="110">
        <v>4</v>
      </c>
      <c r="I272" s="110" t="s">
        <v>318</v>
      </c>
      <c r="J272" s="110">
        <v>3823</v>
      </c>
      <c r="K272" s="122">
        <v>1500</v>
      </c>
      <c r="L272" s="117">
        <f t="shared" si="8"/>
        <v>240</v>
      </c>
      <c r="M272" s="117">
        <f t="shared" si="9"/>
        <v>1740</v>
      </c>
      <c r="N272" s="136" t="s">
        <v>243</v>
      </c>
      <c r="O272" s="199">
        <v>45726</v>
      </c>
      <c r="P272" s="156"/>
      <c r="Q272" s="169"/>
    </row>
    <row r="273" spans="1:17" x14ac:dyDescent="0.35">
      <c r="A273" s="244" t="s">
        <v>1437</v>
      </c>
      <c r="B273" s="244" t="s">
        <v>1438</v>
      </c>
      <c r="C273" s="242">
        <v>66460</v>
      </c>
      <c r="D273" s="119" t="s">
        <v>818</v>
      </c>
      <c r="E273" s="110" t="s">
        <v>240</v>
      </c>
      <c r="F273" s="110" t="s">
        <v>2391</v>
      </c>
      <c r="G273" s="110" t="s">
        <v>1856</v>
      </c>
      <c r="H273" s="110">
        <v>4</v>
      </c>
      <c r="I273" s="110" t="s">
        <v>318</v>
      </c>
      <c r="J273" s="110">
        <v>3824</v>
      </c>
      <c r="K273" s="122">
        <v>600</v>
      </c>
      <c r="L273" s="117">
        <f t="shared" si="8"/>
        <v>96</v>
      </c>
      <c r="M273" s="117">
        <f t="shared" si="9"/>
        <v>696</v>
      </c>
      <c r="N273" s="136" t="s">
        <v>243</v>
      </c>
      <c r="O273" s="199">
        <v>45731</v>
      </c>
      <c r="P273" s="156"/>
      <c r="Q273" s="169"/>
    </row>
    <row r="274" spans="1:17" x14ac:dyDescent="0.35">
      <c r="A274" s="119" t="s">
        <v>217</v>
      </c>
      <c r="B274" s="119" t="s">
        <v>218</v>
      </c>
      <c r="C274" s="242">
        <v>66400</v>
      </c>
      <c r="D274" s="119" t="s">
        <v>818</v>
      </c>
      <c r="E274" s="110" t="s">
        <v>240</v>
      </c>
      <c r="F274" s="110" t="s">
        <v>2392</v>
      </c>
      <c r="G274" s="110" t="s">
        <v>1856</v>
      </c>
      <c r="H274" s="110">
        <v>4</v>
      </c>
      <c r="I274" s="110" t="s">
        <v>318</v>
      </c>
      <c r="J274" s="110">
        <v>3825</v>
      </c>
      <c r="K274" s="122">
        <v>2400</v>
      </c>
      <c r="L274" s="117">
        <f t="shared" si="8"/>
        <v>384</v>
      </c>
      <c r="M274" s="117">
        <f t="shared" si="9"/>
        <v>2784</v>
      </c>
      <c r="N274" s="136" t="s">
        <v>243</v>
      </c>
      <c r="O274" s="199">
        <v>45741</v>
      </c>
      <c r="P274" s="156"/>
      <c r="Q274" s="169"/>
    </row>
    <row r="275" spans="1:17" x14ac:dyDescent="0.35">
      <c r="A275" s="5" t="s">
        <v>1062</v>
      </c>
      <c r="B275" s="120" t="s">
        <v>1063</v>
      </c>
      <c r="C275" s="169">
        <v>66350</v>
      </c>
      <c r="D275" s="120" t="s">
        <v>805</v>
      </c>
      <c r="E275" s="110" t="s">
        <v>240</v>
      </c>
      <c r="F275" s="123" t="s">
        <v>2393</v>
      </c>
      <c r="G275" s="110" t="s">
        <v>1856</v>
      </c>
      <c r="H275" s="110">
        <v>4</v>
      </c>
      <c r="I275" s="110" t="s">
        <v>318</v>
      </c>
      <c r="J275" s="110">
        <v>3826</v>
      </c>
      <c r="K275" s="122">
        <v>880</v>
      </c>
      <c r="L275" s="117">
        <f t="shared" si="8"/>
        <v>140.80000000000001</v>
      </c>
      <c r="M275" s="117">
        <f t="shared" si="9"/>
        <v>1020.8</v>
      </c>
      <c r="N275" s="136" t="s">
        <v>243</v>
      </c>
      <c r="O275" s="199">
        <v>45721</v>
      </c>
      <c r="P275" s="156"/>
      <c r="Q275" s="169"/>
    </row>
    <row r="276" spans="1:17" x14ac:dyDescent="0.35">
      <c r="A276" s="119" t="s">
        <v>841</v>
      </c>
      <c r="B276" s="119" t="s">
        <v>842</v>
      </c>
      <c r="C276" s="242">
        <v>64700</v>
      </c>
      <c r="D276" s="119" t="s">
        <v>805</v>
      </c>
      <c r="E276" s="110" t="s">
        <v>240</v>
      </c>
      <c r="F276" s="110" t="s">
        <v>2394</v>
      </c>
      <c r="G276" s="110" t="s">
        <v>1856</v>
      </c>
      <c r="H276" s="110">
        <v>4</v>
      </c>
      <c r="I276" s="110" t="s">
        <v>318</v>
      </c>
      <c r="J276" s="110">
        <v>3827</v>
      </c>
      <c r="K276" s="122">
        <v>750</v>
      </c>
      <c r="L276" s="117">
        <f t="shared" si="8"/>
        <v>120</v>
      </c>
      <c r="M276" s="117">
        <f t="shared" si="9"/>
        <v>870</v>
      </c>
      <c r="N276" s="136" t="s">
        <v>243</v>
      </c>
      <c r="O276" s="199">
        <v>45722</v>
      </c>
      <c r="P276" s="156"/>
      <c r="Q276" s="169"/>
    </row>
    <row r="277" spans="1:17" x14ac:dyDescent="0.35">
      <c r="A277" s="244" t="s">
        <v>1539</v>
      </c>
      <c r="B277" s="244" t="s">
        <v>1540</v>
      </c>
      <c r="C277" s="242">
        <v>66646</v>
      </c>
      <c r="D277" s="247" t="s">
        <v>915</v>
      </c>
      <c r="E277" s="110" t="s">
        <v>240</v>
      </c>
      <c r="F277" s="110" t="s">
        <v>2395</v>
      </c>
      <c r="G277" s="110" t="s">
        <v>1856</v>
      </c>
      <c r="H277" s="110">
        <v>4</v>
      </c>
      <c r="I277" s="110" t="s">
        <v>318</v>
      </c>
      <c r="J277" s="110">
        <v>3828</v>
      </c>
      <c r="K277" s="122">
        <v>2598</v>
      </c>
      <c r="L277" s="117">
        <f t="shared" si="8"/>
        <v>415.68</v>
      </c>
      <c r="M277" s="117">
        <f t="shared" si="9"/>
        <v>3013.68</v>
      </c>
      <c r="N277" s="136" t="s">
        <v>243</v>
      </c>
      <c r="O277" s="199">
        <v>45722</v>
      </c>
      <c r="P277" s="156"/>
      <c r="Q277" s="169"/>
    </row>
    <row r="278" spans="1:17" x14ac:dyDescent="0.35">
      <c r="A278" s="142" t="s">
        <v>869</v>
      </c>
      <c r="B278" s="244" t="s">
        <v>870</v>
      </c>
      <c r="C278" s="110">
        <v>25034</v>
      </c>
      <c r="D278" s="142" t="s">
        <v>805</v>
      </c>
      <c r="E278" s="110" t="s">
        <v>240</v>
      </c>
      <c r="F278" s="110" t="s">
        <v>2396</v>
      </c>
      <c r="G278" s="110" t="s">
        <v>1856</v>
      </c>
      <c r="H278" s="110">
        <v>4</v>
      </c>
      <c r="I278" s="110" t="s">
        <v>318</v>
      </c>
      <c r="J278" s="110">
        <v>3829</v>
      </c>
      <c r="K278" s="122">
        <v>1500</v>
      </c>
      <c r="L278" s="117">
        <f t="shared" si="8"/>
        <v>240</v>
      </c>
      <c r="M278" s="117">
        <f t="shared" si="9"/>
        <v>1740</v>
      </c>
      <c r="N278" s="136" t="s">
        <v>243</v>
      </c>
      <c r="O278" s="199">
        <v>45722</v>
      </c>
      <c r="P278" s="156"/>
      <c r="Q278" s="169"/>
    </row>
    <row r="279" spans="1:17" x14ac:dyDescent="0.35">
      <c r="A279" s="5" t="s">
        <v>2380</v>
      </c>
      <c r="B279" s="5" t="s">
        <v>2381</v>
      </c>
      <c r="C279" s="169">
        <v>67120</v>
      </c>
      <c r="D279" s="120" t="s">
        <v>905</v>
      </c>
      <c r="E279" s="110" t="s">
        <v>240</v>
      </c>
      <c r="F279" s="110" t="s">
        <v>2397</v>
      </c>
      <c r="G279" s="110" t="s">
        <v>1856</v>
      </c>
      <c r="H279" s="110">
        <v>4</v>
      </c>
      <c r="I279" s="110" t="s">
        <v>318</v>
      </c>
      <c r="J279" s="110">
        <v>3830</v>
      </c>
      <c r="K279" s="122">
        <v>300</v>
      </c>
      <c r="L279" s="117">
        <f t="shared" si="8"/>
        <v>48</v>
      </c>
      <c r="M279" s="117">
        <f t="shared" si="9"/>
        <v>348</v>
      </c>
      <c r="N279" s="136" t="s">
        <v>243</v>
      </c>
      <c r="O279" s="199">
        <v>45719</v>
      </c>
      <c r="P279" s="156"/>
      <c r="Q279" s="169"/>
    </row>
    <row r="280" spans="1:17" x14ac:dyDescent="0.35">
      <c r="A280" s="244" t="s">
        <v>1471</v>
      </c>
      <c r="B280" s="244" t="s">
        <v>1472</v>
      </c>
      <c r="C280" s="245">
        <v>66050</v>
      </c>
      <c r="D280" s="247" t="s">
        <v>915</v>
      </c>
      <c r="E280" s="110" t="s">
        <v>240</v>
      </c>
      <c r="F280" s="110" t="s">
        <v>2398</v>
      </c>
      <c r="G280" s="110" t="s">
        <v>1856</v>
      </c>
      <c r="H280" s="110">
        <v>4</v>
      </c>
      <c r="I280" s="110" t="s">
        <v>318</v>
      </c>
      <c r="J280" s="110">
        <v>3831</v>
      </c>
      <c r="K280" s="122">
        <v>2400</v>
      </c>
      <c r="L280" s="117">
        <f t="shared" si="8"/>
        <v>384</v>
      </c>
      <c r="M280" s="117">
        <f t="shared" si="9"/>
        <v>2784</v>
      </c>
      <c r="N280" s="136" t="s">
        <v>243</v>
      </c>
      <c r="O280" s="199">
        <v>45723</v>
      </c>
      <c r="P280" s="156"/>
      <c r="Q280" s="169"/>
    </row>
    <row r="281" spans="1:17" x14ac:dyDescent="0.35">
      <c r="A281" s="244" t="s">
        <v>1468</v>
      </c>
      <c r="B281" s="244" t="s">
        <v>1469</v>
      </c>
      <c r="C281" s="245">
        <v>25720</v>
      </c>
      <c r="D281" s="247" t="s">
        <v>915</v>
      </c>
      <c r="E281" s="110" t="s">
        <v>240</v>
      </c>
      <c r="F281" s="110" t="s">
        <v>2399</v>
      </c>
      <c r="G281" s="110" t="s">
        <v>1856</v>
      </c>
      <c r="H281" s="110">
        <v>4</v>
      </c>
      <c r="I281" s="110" t="s">
        <v>318</v>
      </c>
      <c r="J281" s="110">
        <v>3832</v>
      </c>
      <c r="K281" s="122">
        <v>900</v>
      </c>
      <c r="L281" s="117">
        <f t="shared" si="8"/>
        <v>144</v>
      </c>
      <c r="M281" s="117">
        <f t="shared" si="9"/>
        <v>1044</v>
      </c>
      <c r="N281" s="136" t="s">
        <v>243</v>
      </c>
      <c r="O281" s="199">
        <v>45734</v>
      </c>
      <c r="P281" s="156"/>
      <c r="Q281" s="169"/>
    </row>
    <row r="282" spans="1:17" x14ac:dyDescent="0.35">
      <c r="A282" s="119" t="s">
        <v>813</v>
      </c>
      <c r="B282" s="244" t="s">
        <v>814</v>
      </c>
      <c r="C282" s="242">
        <v>64850</v>
      </c>
      <c r="D282" s="119" t="s">
        <v>805</v>
      </c>
      <c r="E282" s="110" t="s">
        <v>240</v>
      </c>
      <c r="F282" s="110" t="s">
        <v>2400</v>
      </c>
      <c r="G282" s="110" t="s">
        <v>1856</v>
      </c>
      <c r="H282" s="110">
        <v>4</v>
      </c>
      <c r="I282" s="110" t="s">
        <v>318</v>
      </c>
      <c r="J282" s="110">
        <v>3833</v>
      </c>
      <c r="K282" s="122">
        <v>500</v>
      </c>
      <c r="L282" s="117">
        <f t="shared" si="8"/>
        <v>80</v>
      </c>
      <c r="M282" s="117">
        <f t="shared" si="9"/>
        <v>580</v>
      </c>
      <c r="N282" s="132" t="s">
        <v>2078</v>
      </c>
      <c r="O282" s="199"/>
      <c r="P282" s="156"/>
      <c r="Q282" s="169"/>
    </row>
    <row r="283" spans="1:17" x14ac:dyDescent="0.35">
      <c r="A283" s="384" t="s">
        <v>1102</v>
      </c>
      <c r="B283" s="344" t="s">
        <v>2401</v>
      </c>
      <c r="C283" s="242">
        <v>67110</v>
      </c>
      <c r="D283" s="119" t="s">
        <v>806</v>
      </c>
      <c r="E283" s="110" t="s">
        <v>240</v>
      </c>
      <c r="F283" s="110" t="s">
        <v>2402</v>
      </c>
      <c r="G283" s="110" t="s">
        <v>1856</v>
      </c>
      <c r="H283" s="110">
        <v>4</v>
      </c>
      <c r="I283" s="110" t="s">
        <v>318</v>
      </c>
      <c r="J283" s="110">
        <v>3834</v>
      </c>
      <c r="K283" s="122">
        <v>250</v>
      </c>
      <c r="L283" s="117">
        <f t="shared" si="8"/>
        <v>40</v>
      </c>
      <c r="M283" s="117">
        <f t="shared" si="9"/>
        <v>290</v>
      </c>
      <c r="N283" s="136" t="s">
        <v>243</v>
      </c>
      <c r="O283" s="199">
        <v>45723</v>
      </c>
      <c r="P283" s="156"/>
      <c r="Q283" s="169"/>
    </row>
    <row r="284" spans="1:17" x14ac:dyDescent="0.35">
      <c r="A284" s="119" t="s">
        <v>857</v>
      </c>
      <c r="B284" s="119" t="s">
        <v>858</v>
      </c>
      <c r="C284" s="242">
        <v>64510</v>
      </c>
      <c r="D284" s="119" t="s">
        <v>805</v>
      </c>
      <c r="E284" s="110" t="s">
        <v>240</v>
      </c>
      <c r="F284" s="110" t="s">
        <v>2403</v>
      </c>
      <c r="G284" s="110" t="s">
        <v>1856</v>
      </c>
      <c r="H284" s="110">
        <v>4</v>
      </c>
      <c r="I284" s="110" t="s">
        <v>318</v>
      </c>
      <c r="J284" s="110">
        <v>3835</v>
      </c>
      <c r="K284" s="122">
        <v>1250</v>
      </c>
      <c r="L284" s="117">
        <f t="shared" si="8"/>
        <v>200</v>
      </c>
      <c r="M284" s="117">
        <f t="shared" si="9"/>
        <v>1450</v>
      </c>
      <c r="N284" s="136" t="s">
        <v>243</v>
      </c>
      <c r="O284" s="199">
        <v>45730</v>
      </c>
      <c r="P284" s="156"/>
      <c r="Q284" s="169"/>
    </row>
    <row r="285" spans="1:17" x14ac:dyDescent="0.35">
      <c r="A285" s="345" t="s">
        <v>1447</v>
      </c>
      <c r="B285" s="344" t="s">
        <v>1448</v>
      </c>
      <c r="C285" s="110">
        <v>67195</v>
      </c>
      <c r="D285" s="142" t="s">
        <v>818</v>
      </c>
      <c r="E285" s="411" t="s">
        <v>241</v>
      </c>
      <c r="F285" s="123" t="s">
        <v>2404</v>
      </c>
      <c r="G285" s="110" t="s">
        <v>1856</v>
      </c>
      <c r="H285" s="110">
        <v>4</v>
      </c>
      <c r="I285" s="110" t="s">
        <v>318</v>
      </c>
      <c r="J285" s="110">
        <v>3836</v>
      </c>
      <c r="K285" s="122">
        <v>5504</v>
      </c>
      <c r="L285" s="117">
        <f t="shared" si="8"/>
        <v>880.64</v>
      </c>
      <c r="M285" s="117">
        <f t="shared" si="9"/>
        <v>6384.64</v>
      </c>
      <c r="N285" s="136" t="s">
        <v>243</v>
      </c>
      <c r="O285" s="199">
        <v>45721</v>
      </c>
      <c r="P285" s="156"/>
      <c r="Q285" s="169"/>
    </row>
    <row r="286" spans="1:17" x14ac:dyDescent="0.35">
      <c r="A286" s="244" t="s">
        <v>843</v>
      </c>
      <c r="B286" s="244" t="s">
        <v>844</v>
      </c>
      <c r="C286" s="245">
        <v>66350</v>
      </c>
      <c r="D286" s="247" t="s">
        <v>805</v>
      </c>
      <c r="E286" s="110" t="s">
        <v>240</v>
      </c>
      <c r="F286" s="110" t="s">
        <v>2405</v>
      </c>
      <c r="G286" s="110" t="s">
        <v>1856</v>
      </c>
      <c r="H286" s="110">
        <v>4</v>
      </c>
      <c r="I286" s="110" t="s">
        <v>318</v>
      </c>
      <c r="J286" s="110">
        <v>3837</v>
      </c>
      <c r="K286" s="122">
        <v>1400</v>
      </c>
      <c r="L286" s="117">
        <f t="shared" si="8"/>
        <v>224</v>
      </c>
      <c r="M286" s="117">
        <f t="shared" si="9"/>
        <v>1624</v>
      </c>
      <c r="N286" s="136" t="s">
        <v>243</v>
      </c>
      <c r="O286" s="199">
        <v>45721</v>
      </c>
      <c r="P286" s="156"/>
      <c r="Q286" s="169"/>
    </row>
    <row r="287" spans="1:17" x14ac:dyDescent="0.35">
      <c r="A287" s="142" t="s">
        <v>845</v>
      </c>
      <c r="B287" s="244" t="s">
        <v>846</v>
      </c>
      <c r="C287" s="245">
        <v>64440</v>
      </c>
      <c r="D287" s="247" t="s">
        <v>847</v>
      </c>
      <c r="E287" s="411" t="s">
        <v>848</v>
      </c>
      <c r="F287" s="110" t="s">
        <v>2406</v>
      </c>
      <c r="G287" s="110" t="s">
        <v>1856</v>
      </c>
      <c r="H287" s="110">
        <v>4</v>
      </c>
      <c r="I287" s="110" t="s">
        <v>318</v>
      </c>
      <c r="J287" s="110">
        <v>3838</v>
      </c>
      <c r="K287" s="122">
        <v>2800</v>
      </c>
      <c r="L287" s="117">
        <f t="shared" si="8"/>
        <v>448</v>
      </c>
      <c r="M287" s="117">
        <f t="shared" si="9"/>
        <v>3248</v>
      </c>
      <c r="N287" s="136" t="s">
        <v>243</v>
      </c>
      <c r="O287" s="199">
        <v>45721</v>
      </c>
      <c r="P287" s="156"/>
      <c r="Q287" s="169"/>
    </row>
    <row r="288" spans="1:17" x14ac:dyDescent="0.35">
      <c r="A288" s="119" t="s">
        <v>192</v>
      </c>
      <c r="B288" s="119" t="s">
        <v>193</v>
      </c>
      <c r="C288" s="242">
        <v>66649</v>
      </c>
      <c r="D288" s="119" t="s">
        <v>806</v>
      </c>
      <c r="E288" s="110" t="s">
        <v>240</v>
      </c>
      <c r="F288" s="110" t="s">
        <v>2407</v>
      </c>
      <c r="G288" s="110" t="s">
        <v>1856</v>
      </c>
      <c r="H288" s="110">
        <v>4</v>
      </c>
      <c r="I288" s="110" t="s">
        <v>318</v>
      </c>
      <c r="J288" s="110">
        <v>3839</v>
      </c>
      <c r="K288" s="122">
        <v>2100</v>
      </c>
      <c r="L288" s="117">
        <f t="shared" si="8"/>
        <v>336</v>
      </c>
      <c r="M288" s="117">
        <f t="shared" si="9"/>
        <v>2436</v>
      </c>
      <c r="N288" s="136" t="s">
        <v>243</v>
      </c>
      <c r="O288" s="199">
        <v>45721</v>
      </c>
      <c r="P288" s="156"/>
      <c r="Q288" s="169"/>
    </row>
    <row r="289" spans="1:17" x14ac:dyDescent="0.35">
      <c r="A289" s="244" t="s">
        <v>1868</v>
      </c>
      <c r="B289" s="244" t="s">
        <v>1869</v>
      </c>
      <c r="C289" s="110">
        <v>66647</v>
      </c>
      <c r="D289" s="142" t="s">
        <v>805</v>
      </c>
      <c r="E289" s="110" t="s">
        <v>240</v>
      </c>
      <c r="F289" s="110" t="s">
        <v>2408</v>
      </c>
      <c r="G289" s="110" t="s">
        <v>1856</v>
      </c>
      <c r="H289" s="110">
        <v>4</v>
      </c>
      <c r="I289" s="110" t="s">
        <v>318</v>
      </c>
      <c r="J289" s="110">
        <v>3840</v>
      </c>
      <c r="K289" s="122">
        <v>2348</v>
      </c>
      <c r="L289" s="117">
        <f t="shared" si="8"/>
        <v>375.68</v>
      </c>
      <c r="M289" s="117">
        <f t="shared" si="9"/>
        <v>2723.68</v>
      </c>
      <c r="N289" s="136" t="s">
        <v>243</v>
      </c>
      <c r="O289" s="199">
        <v>45721</v>
      </c>
      <c r="P289" s="156"/>
      <c r="Q289" s="169"/>
    </row>
    <row r="290" spans="1:17" x14ac:dyDescent="0.35">
      <c r="A290" s="244" t="s">
        <v>1548</v>
      </c>
      <c r="B290" s="244" t="s">
        <v>1549</v>
      </c>
      <c r="C290" s="242">
        <v>42985</v>
      </c>
      <c r="D290" s="247" t="s">
        <v>805</v>
      </c>
      <c r="E290" s="110" t="s">
        <v>240</v>
      </c>
      <c r="F290" s="110" t="s">
        <v>2409</v>
      </c>
      <c r="G290" s="110" t="s">
        <v>1856</v>
      </c>
      <c r="H290" s="110">
        <v>4</v>
      </c>
      <c r="I290" s="110" t="s">
        <v>318</v>
      </c>
      <c r="J290" s="110">
        <v>3841</v>
      </c>
      <c r="K290" s="122">
        <v>2700</v>
      </c>
      <c r="L290" s="117">
        <f t="shared" si="8"/>
        <v>432</v>
      </c>
      <c r="M290" s="117">
        <f t="shared" si="9"/>
        <v>3132</v>
      </c>
      <c r="N290" s="136" t="s">
        <v>243</v>
      </c>
      <c r="O290" s="199">
        <v>45723</v>
      </c>
      <c r="P290" s="156"/>
      <c r="Q290" s="169"/>
    </row>
    <row r="291" spans="1:17" x14ac:dyDescent="0.35">
      <c r="A291" s="244" t="s">
        <v>824</v>
      </c>
      <c r="B291" s="244" t="s">
        <v>825</v>
      </c>
      <c r="C291" s="245">
        <v>66080</v>
      </c>
      <c r="D291" s="247" t="s">
        <v>805</v>
      </c>
      <c r="E291" s="110" t="s">
        <v>240</v>
      </c>
      <c r="F291" s="110" t="s">
        <v>2410</v>
      </c>
      <c r="G291" s="110" t="s">
        <v>1856</v>
      </c>
      <c r="H291" s="110">
        <v>4</v>
      </c>
      <c r="I291" s="110" t="s">
        <v>318</v>
      </c>
      <c r="J291" s="110">
        <v>3842</v>
      </c>
      <c r="K291" s="122">
        <v>3900</v>
      </c>
      <c r="L291" s="117">
        <f t="shared" si="8"/>
        <v>624</v>
      </c>
      <c r="M291" s="117">
        <f t="shared" si="9"/>
        <v>4524</v>
      </c>
      <c r="N291" s="136" t="s">
        <v>243</v>
      </c>
      <c r="O291" s="199">
        <v>45727</v>
      </c>
      <c r="P291" s="156"/>
      <c r="Q291" s="169"/>
    </row>
    <row r="292" spans="1:17" x14ac:dyDescent="0.35">
      <c r="A292" s="349" t="s">
        <v>1927</v>
      </c>
      <c r="B292" s="349" t="s">
        <v>1926</v>
      </c>
      <c r="C292" s="242">
        <v>64410</v>
      </c>
      <c r="D292" s="142" t="s">
        <v>805</v>
      </c>
      <c r="E292" s="110" t="s">
        <v>240</v>
      </c>
      <c r="F292" s="110" t="s">
        <v>2411</v>
      </c>
      <c r="G292" s="110" t="s">
        <v>1856</v>
      </c>
      <c r="H292" s="110">
        <v>4</v>
      </c>
      <c r="I292" s="110" t="s">
        <v>318</v>
      </c>
      <c r="J292" s="110">
        <v>3843</v>
      </c>
      <c r="K292" s="122">
        <v>1250</v>
      </c>
      <c r="L292" s="117">
        <f t="shared" si="8"/>
        <v>200</v>
      </c>
      <c r="M292" s="117">
        <f t="shared" si="9"/>
        <v>1450</v>
      </c>
      <c r="N292" s="136" t="s">
        <v>243</v>
      </c>
      <c r="O292" s="199">
        <v>45722</v>
      </c>
      <c r="P292" s="156"/>
      <c r="Q292" s="169"/>
    </row>
    <row r="293" spans="1:17" x14ac:dyDescent="0.35">
      <c r="A293" s="119" t="s">
        <v>202</v>
      </c>
      <c r="B293" s="119" t="s">
        <v>203</v>
      </c>
      <c r="C293" s="242">
        <v>65760</v>
      </c>
      <c r="D293" s="119" t="s">
        <v>818</v>
      </c>
      <c r="E293" s="110" t="s">
        <v>240</v>
      </c>
      <c r="F293" s="110" t="s">
        <v>2412</v>
      </c>
      <c r="G293" s="110" t="s">
        <v>1856</v>
      </c>
      <c r="H293" s="110">
        <v>4</v>
      </c>
      <c r="I293" s="110" t="s">
        <v>318</v>
      </c>
      <c r="J293" s="110">
        <v>3844</v>
      </c>
      <c r="K293" s="122">
        <v>4375</v>
      </c>
      <c r="L293" s="117">
        <f t="shared" si="8"/>
        <v>700</v>
      </c>
      <c r="M293" s="117">
        <f t="shared" si="9"/>
        <v>5075</v>
      </c>
      <c r="N293" s="136" t="s">
        <v>243</v>
      </c>
      <c r="O293" s="199">
        <v>45729</v>
      </c>
      <c r="P293" s="156"/>
      <c r="Q293" s="169" t="s">
        <v>615</v>
      </c>
    </row>
    <row r="294" spans="1:17" x14ac:dyDescent="0.35">
      <c r="A294" s="244" t="s">
        <v>1893</v>
      </c>
      <c r="B294" s="244" t="s">
        <v>1894</v>
      </c>
      <c r="C294" s="110">
        <v>64720</v>
      </c>
      <c r="D294" s="142" t="s">
        <v>805</v>
      </c>
      <c r="E294" s="110" t="s">
        <v>240</v>
      </c>
      <c r="F294" s="110" t="s">
        <v>2413</v>
      </c>
      <c r="G294" s="110" t="s">
        <v>1856</v>
      </c>
      <c r="H294" s="110">
        <v>4</v>
      </c>
      <c r="I294" s="110" t="s">
        <v>318</v>
      </c>
      <c r="J294" s="110">
        <v>3845</v>
      </c>
      <c r="K294" s="122">
        <v>897</v>
      </c>
      <c r="L294" s="117">
        <f t="shared" si="8"/>
        <v>143.52000000000001</v>
      </c>
      <c r="M294" s="117">
        <f t="shared" si="9"/>
        <v>1040.52</v>
      </c>
      <c r="N294" s="136" t="s">
        <v>243</v>
      </c>
      <c r="O294" s="199">
        <v>45722</v>
      </c>
      <c r="P294" s="156"/>
      <c r="Q294" s="169"/>
    </row>
    <row r="295" spans="1:17" x14ac:dyDescent="0.35">
      <c r="A295" s="248" t="s">
        <v>1345</v>
      </c>
      <c r="B295" s="244" t="s">
        <v>1344</v>
      </c>
      <c r="C295" s="169">
        <v>66645</v>
      </c>
      <c r="D295" s="119" t="s">
        <v>806</v>
      </c>
      <c r="E295" s="110" t="s">
        <v>240</v>
      </c>
      <c r="F295" s="110" t="s">
        <v>2414</v>
      </c>
      <c r="G295" s="110" t="s">
        <v>1856</v>
      </c>
      <c r="H295" s="110">
        <v>4</v>
      </c>
      <c r="I295" s="110" t="s">
        <v>318</v>
      </c>
      <c r="J295" s="110">
        <v>3846</v>
      </c>
      <c r="K295" s="122">
        <v>3900</v>
      </c>
      <c r="L295" s="117">
        <f t="shared" si="8"/>
        <v>624</v>
      </c>
      <c r="M295" s="117">
        <f t="shared" si="9"/>
        <v>4524</v>
      </c>
      <c r="N295" s="136" t="s">
        <v>243</v>
      </c>
      <c r="O295" s="199">
        <v>45744</v>
      </c>
      <c r="P295" s="156"/>
      <c r="Q295" s="169"/>
    </row>
    <row r="296" spans="1:17" x14ac:dyDescent="0.35">
      <c r="A296" s="120" t="s">
        <v>849</v>
      </c>
      <c r="B296" s="120" t="s">
        <v>850</v>
      </c>
      <c r="C296" s="169">
        <v>64580</v>
      </c>
      <c r="D296" s="120" t="s">
        <v>806</v>
      </c>
      <c r="E296" s="110" t="s">
        <v>240</v>
      </c>
      <c r="F296" s="110" t="s">
        <v>2415</v>
      </c>
      <c r="G296" s="110" t="s">
        <v>1957</v>
      </c>
      <c r="H296" s="110">
        <v>5</v>
      </c>
      <c r="I296" s="110" t="s">
        <v>318</v>
      </c>
      <c r="J296" s="110">
        <v>3847</v>
      </c>
      <c r="K296" s="122">
        <v>1750</v>
      </c>
      <c r="L296" s="117">
        <f t="shared" si="8"/>
        <v>280</v>
      </c>
      <c r="M296" s="117">
        <f t="shared" si="9"/>
        <v>2030</v>
      </c>
      <c r="N296" s="136" t="s">
        <v>243</v>
      </c>
      <c r="O296" s="199">
        <v>45735</v>
      </c>
      <c r="P296" s="156"/>
      <c r="Q296" s="169"/>
    </row>
    <row r="297" spans="1:17" x14ac:dyDescent="0.35">
      <c r="A297" s="119" t="s">
        <v>224</v>
      </c>
      <c r="B297" s="119" t="s">
        <v>225</v>
      </c>
      <c r="C297" s="242">
        <v>64440</v>
      </c>
      <c r="D297" s="119" t="s">
        <v>805</v>
      </c>
      <c r="E297" s="110" t="s">
        <v>240</v>
      </c>
      <c r="F297" s="123" t="s">
        <v>2416</v>
      </c>
      <c r="G297" s="110" t="s">
        <v>1957</v>
      </c>
      <c r="H297" s="110">
        <v>5</v>
      </c>
      <c r="I297" s="110" t="s">
        <v>318</v>
      </c>
      <c r="J297" s="110">
        <v>3848</v>
      </c>
      <c r="K297" s="122">
        <v>600</v>
      </c>
      <c r="L297" s="122">
        <f t="shared" si="8"/>
        <v>96</v>
      </c>
      <c r="M297" s="122">
        <f t="shared" si="9"/>
        <v>696</v>
      </c>
      <c r="N297" s="136" t="s">
        <v>243</v>
      </c>
      <c r="O297" s="199">
        <v>45747</v>
      </c>
      <c r="P297" s="156"/>
      <c r="Q297" s="169"/>
    </row>
    <row r="298" spans="1:17" x14ac:dyDescent="0.35">
      <c r="A298" s="244" t="s">
        <v>851</v>
      </c>
      <c r="B298" s="119" t="s">
        <v>226</v>
      </c>
      <c r="C298" s="242">
        <v>66220</v>
      </c>
      <c r="D298" s="119" t="s">
        <v>852</v>
      </c>
      <c r="E298" s="411" t="s">
        <v>241</v>
      </c>
      <c r="F298" s="123" t="s">
        <v>2417</v>
      </c>
      <c r="G298" s="110" t="s">
        <v>1957</v>
      </c>
      <c r="H298" s="110">
        <v>5</v>
      </c>
      <c r="I298" s="110" t="s">
        <v>318</v>
      </c>
      <c r="J298" s="110">
        <v>3849</v>
      </c>
      <c r="K298" s="122">
        <v>350</v>
      </c>
      <c r="L298" s="117">
        <f t="shared" si="8"/>
        <v>56</v>
      </c>
      <c r="M298" s="117">
        <f t="shared" si="9"/>
        <v>406</v>
      </c>
      <c r="N298" s="136" t="s">
        <v>243</v>
      </c>
      <c r="O298" s="199">
        <v>45730</v>
      </c>
      <c r="P298" s="156"/>
      <c r="Q298" s="169"/>
    </row>
    <row r="299" spans="1:17" x14ac:dyDescent="0.35">
      <c r="A299" s="119" t="s">
        <v>227</v>
      </c>
      <c r="B299" s="119" t="s">
        <v>228</v>
      </c>
      <c r="C299" s="242">
        <v>64010</v>
      </c>
      <c r="D299" s="119" t="s">
        <v>805</v>
      </c>
      <c r="E299" s="110" t="s">
        <v>240</v>
      </c>
      <c r="F299" s="110" t="s">
        <v>2418</v>
      </c>
      <c r="G299" s="110" t="s">
        <v>1957</v>
      </c>
      <c r="H299" s="110">
        <v>5</v>
      </c>
      <c r="I299" s="110" t="s">
        <v>318</v>
      </c>
      <c r="J299" s="110">
        <v>3850</v>
      </c>
      <c r="K299" s="122">
        <v>1000</v>
      </c>
      <c r="L299" s="122">
        <f t="shared" si="8"/>
        <v>160</v>
      </c>
      <c r="M299" s="122">
        <f t="shared" si="9"/>
        <v>1160</v>
      </c>
      <c r="N299" s="136" t="s">
        <v>243</v>
      </c>
      <c r="O299" s="124">
        <v>45730</v>
      </c>
      <c r="P299" s="156"/>
      <c r="Q299" s="169" t="s">
        <v>615</v>
      </c>
    </row>
    <row r="300" spans="1:17" x14ac:dyDescent="0.35">
      <c r="A300" s="119" t="s">
        <v>229</v>
      </c>
      <c r="B300" s="119" t="s">
        <v>230</v>
      </c>
      <c r="C300" s="242">
        <v>64030</v>
      </c>
      <c r="D300" s="119" t="s">
        <v>805</v>
      </c>
      <c r="E300" s="110" t="s">
        <v>240</v>
      </c>
      <c r="F300" s="110" t="s">
        <v>2419</v>
      </c>
      <c r="G300" s="110" t="s">
        <v>1957</v>
      </c>
      <c r="H300" s="110">
        <v>5</v>
      </c>
      <c r="I300" s="110" t="s">
        <v>318</v>
      </c>
      <c r="J300" s="110">
        <v>3851</v>
      </c>
      <c r="K300" s="122">
        <v>6615</v>
      </c>
      <c r="L300" s="117">
        <f t="shared" si="8"/>
        <v>1058.4000000000001</v>
      </c>
      <c r="M300" s="117">
        <f t="shared" si="9"/>
        <v>7673.4</v>
      </c>
      <c r="N300" s="136" t="s">
        <v>243</v>
      </c>
      <c r="O300" s="124">
        <v>45734</v>
      </c>
      <c r="P300" s="241"/>
      <c r="Q300" s="169"/>
    </row>
    <row r="301" spans="1:17" x14ac:dyDescent="0.35">
      <c r="A301" s="119" t="s">
        <v>231</v>
      </c>
      <c r="B301" s="119" t="s">
        <v>232</v>
      </c>
      <c r="C301" s="242">
        <v>66655</v>
      </c>
      <c r="D301" s="119" t="s">
        <v>806</v>
      </c>
      <c r="E301" s="110" t="s">
        <v>240</v>
      </c>
      <c r="F301" s="110" t="s">
        <v>2420</v>
      </c>
      <c r="G301" s="110" t="s">
        <v>1957</v>
      </c>
      <c r="H301" s="110">
        <v>5</v>
      </c>
      <c r="I301" s="110" t="s">
        <v>318</v>
      </c>
      <c r="J301" s="110">
        <v>3852</v>
      </c>
      <c r="K301" s="122">
        <v>660</v>
      </c>
      <c r="L301" s="122">
        <f t="shared" si="8"/>
        <v>105.60000000000001</v>
      </c>
      <c r="M301" s="122">
        <f t="shared" si="9"/>
        <v>765.6</v>
      </c>
      <c r="N301" s="136" t="s">
        <v>243</v>
      </c>
      <c r="O301" s="124">
        <v>45735</v>
      </c>
      <c r="P301" s="241"/>
      <c r="Q301" s="169"/>
    </row>
    <row r="302" spans="1:17" x14ac:dyDescent="0.35">
      <c r="A302" s="142" t="s">
        <v>853</v>
      </c>
      <c r="B302" s="142" t="s">
        <v>854</v>
      </c>
      <c r="C302" s="110">
        <v>66610</v>
      </c>
      <c r="D302" s="142" t="s">
        <v>805</v>
      </c>
      <c r="E302" s="110" t="s">
        <v>240</v>
      </c>
      <c r="F302" s="110" t="s">
        <v>2421</v>
      </c>
      <c r="G302" s="110" t="s">
        <v>1957</v>
      </c>
      <c r="H302" s="110">
        <v>5</v>
      </c>
      <c r="I302" s="110" t="s">
        <v>318</v>
      </c>
      <c r="J302" s="110">
        <v>3853</v>
      </c>
      <c r="K302" s="122">
        <v>17186.939999999999</v>
      </c>
      <c r="L302" s="122">
        <f t="shared" si="8"/>
        <v>2749.9103999999998</v>
      </c>
      <c r="M302" s="122">
        <f t="shared" si="9"/>
        <v>19936.850399999999</v>
      </c>
      <c r="N302" s="136" t="s">
        <v>243</v>
      </c>
      <c r="O302" s="124">
        <v>45741</v>
      </c>
      <c r="P302" s="241"/>
      <c r="Q302" s="169"/>
    </row>
    <row r="303" spans="1:17" x14ac:dyDescent="0.35">
      <c r="A303" s="162" t="s">
        <v>2019</v>
      </c>
      <c r="B303" s="162" t="s">
        <v>2020</v>
      </c>
      <c r="C303" s="110">
        <v>66610</v>
      </c>
      <c r="D303" s="142" t="s">
        <v>806</v>
      </c>
      <c r="E303" s="110" t="s">
        <v>240</v>
      </c>
      <c r="F303" s="110" t="s">
        <v>2422</v>
      </c>
      <c r="G303" s="110" t="s">
        <v>1957</v>
      </c>
      <c r="H303" s="110">
        <v>5</v>
      </c>
      <c r="I303" s="110" t="s">
        <v>318</v>
      </c>
      <c r="J303" s="110">
        <v>3854</v>
      </c>
      <c r="K303" s="122">
        <v>750</v>
      </c>
      <c r="L303" s="122">
        <f t="shared" si="8"/>
        <v>120</v>
      </c>
      <c r="M303" s="122">
        <f t="shared" si="9"/>
        <v>870</v>
      </c>
      <c r="N303" s="136" t="s">
        <v>243</v>
      </c>
      <c r="O303" s="124">
        <v>45743</v>
      </c>
      <c r="P303" s="241"/>
      <c r="Q303" s="169"/>
    </row>
    <row r="304" spans="1:17" x14ac:dyDescent="0.35">
      <c r="A304" s="119" t="s">
        <v>235</v>
      </c>
      <c r="B304" s="119" t="s">
        <v>236</v>
      </c>
      <c r="C304" s="242">
        <v>67180</v>
      </c>
      <c r="D304" s="119" t="s">
        <v>818</v>
      </c>
      <c r="E304" s="110" t="s">
        <v>240</v>
      </c>
      <c r="F304" s="110" t="s">
        <v>2423</v>
      </c>
      <c r="G304" s="110" t="s">
        <v>1957</v>
      </c>
      <c r="H304" s="110">
        <v>5</v>
      </c>
      <c r="I304" s="110" t="s">
        <v>318</v>
      </c>
      <c r="J304" s="110">
        <v>3855</v>
      </c>
      <c r="K304" s="122">
        <v>1250</v>
      </c>
      <c r="L304" s="117">
        <f t="shared" si="8"/>
        <v>200</v>
      </c>
      <c r="M304" s="117">
        <f t="shared" si="9"/>
        <v>1450</v>
      </c>
      <c r="N304" s="136" t="s">
        <v>243</v>
      </c>
      <c r="O304" s="124">
        <v>45727</v>
      </c>
      <c r="P304" s="241"/>
      <c r="Q304" s="169" t="s">
        <v>615</v>
      </c>
    </row>
    <row r="305" spans="1:17" x14ac:dyDescent="0.35">
      <c r="A305" s="119" t="s">
        <v>855</v>
      </c>
      <c r="B305" s="119" t="s">
        <v>237</v>
      </c>
      <c r="C305" s="242">
        <v>66052</v>
      </c>
      <c r="D305" s="119" t="s">
        <v>805</v>
      </c>
      <c r="E305" s="110" t="s">
        <v>240</v>
      </c>
      <c r="F305" s="110" t="s">
        <v>2424</v>
      </c>
      <c r="G305" s="110" t="s">
        <v>1957</v>
      </c>
      <c r="H305" s="110">
        <v>5</v>
      </c>
      <c r="I305" s="110" t="s">
        <v>318</v>
      </c>
      <c r="J305" s="110">
        <v>3856</v>
      </c>
      <c r="K305" s="122">
        <v>2400</v>
      </c>
      <c r="L305" s="122">
        <f t="shared" si="8"/>
        <v>384</v>
      </c>
      <c r="M305" s="122">
        <f t="shared" si="9"/>
        <v>2784</v>
      </c>
      <c r="N305" s="136" t="s">
        <v>243</v>
      </c>
      <c r="O305" s="124">
        <v>45724</v>
      </c>
      <c r="P305" s="241"/>
      <c r="Q305" s="169"/>
    </row>
    <row r="306" spans="1:17" x14ac:dyDescent="0.35">
      <c r="A306" s="119" t="s">
        <v>238</v>
      </c>
      <c r="B306" s="119" t="s">
        <v>239</v>
      </c>
      <c r="C306" s="242">
        <v>66023</v>
      </c>
      <c r="D306" s="119" t="s">
        <v>806</v>
      </c>
      <c r="E306" s="110" t="s">
        <v>240</v>
      </c>
      <c r="F306" s="110" t="s">
        <v>2425</v>
      </c>
      <c r="G306" s="110" t="s">
        <v>1957</v>
      </c>
      <c r="H306" s="110">
        <v>5</v>
      </c>
      <c r="I306" s="110" t="s">
        <v>318</v>
      </c>
      <c r="J306" s="110">
        <v>3857</v>
      </c>
      <c r="K306" s="122">
        <v>1500</v>
      </c>
      <c r="L306" s="117">
        <f t="shared" si="8"/>
        <v>240</v>
      </c>
      <c r="M306" s="117">
        <f t="shared" si="9"/>
        <v>1740</v>
      </c>
      <c r="N306" s="136" t="s">
        <v>243</v>
      </c>
      <c r="O306" s="124">
        <v>45724</v>
      </c>
      <c r="P306" s="241"/>
      <c r="Q306" s="169"/>
    </row>
    <row r="307" spans="1:17" x14ac:dyDescent="0.35">
      <c r="A307" s="119" t="s">
        <v>821</v>
      </c>
      <c r="B307" s="119" t="s">
        <v>822</v>
      </c>
      <c r="C307" s="242">
        <v>64060</v>
      </c>
      <c r="D307" s="119" t="s">
        <v>805</v>
      </c>
      <c r="E307" s="110" t="s">
        <v>240</v>
      </c>
      <c r="F307" s="110" t="s">
        <v>2426</v>
      </c>
      <c r="G307" s="110" t="s">
        <v>1957</v>
      </c>
      <c r="H307" s="110">
        <v>5</v>
      </c>
      <c r="I307" s="110" t="s">
        <v>318</v>
      </c>
      <c r="J307" s="110">
        <v>3858</v>
      </c>
      <c r="K307" s="122">
        <v>2240</v>
      </c>
      <c r="L307" s="117">
        <f t="shared" si="8"/>
        <v>358.40000000000003</v>
      </c>
      <c r="M307" s="117">
        <f t="shared" si="9"/>
        <v>2598.4</v>
      </c>
      <c r="N307" s="132" t="s">
        <v>2078</v>
      </c>
      <c r="O307" s="124"/>
      <c r="P307" s="241"/>
      <c r="Q307" s="169"/>
    </row>
    <row r="308" spans="1:17" x14ac:dyDescent="0.35">
      <c r="A308" s="248" t="s">
        <v>2185</v>
      </c>
      <c r="B308" s="248" t="s">
        <v>2182</v>
      </c>
      <c r="C308" s="110">
        <v>67132</v>
      </c>
      <c r="D308" s="248" t="s">
        <v>2183</v>
      </c>
      <c r="E308" s="169" t="s">
        <v>2184</v>
      </c>
      <c r="F308" s="110" t="s">
        <v>2427</v>
      </c>
      <c r="G308" s="110" t="s">
        <v>1957</v>
      </c>
      <c r="H308" s="110">
        <v>5</v>
      </c>
      <c r="I308" s="110" t="s">
        <v>318</v>
      </c>
      <c r="J308" s="110">
        <v>3859</v>
      </c>
      <c r="K308" s="122">
        <v>33249</v>
      </c>
      <c r="L308" s="117">
        <f t="shared" si="8"/>
        <v>5319.84</v>
      </c>
      <c r="M308" s="117">
        <f t="shared" si="9"/>
        <v>38568.839999999997</v>
      </c>
      <c r="N308" s="136" t="s">
        <v>243</v>
      </c>
      <c r="O308" s="124">
        <v>45734</v>
      </c>
      <c r="P308" s="241"/>
      <c r="Q308" s="169"/>
    </row>
    <row r="309" spans="1:17" x14ac:dyDescent="0.35">
      <c r="A309" s="142" t="s">
        <v>891</v>
      </c>
      <c r="B309" s="244" t="s">
        <v>892</v>
      </c>
      <c r="C309" s="110">
        <v>66054</v>
      </c>
      <c r="D309" s="142" t="s">
        <v>806</v>
      </c>
      <c r="E309" s="110" t="s">
        <v>240</v>
      </c>
      <c r="F309" s="123" t="s">
        <v>2430</v>
      </c>
      <c r="G309" s="110" t="s">
        <v>1891</v>
      </c>
      <c r="H309" s="110">
        <v>6</v>
      </c>
      <c r="I309" s="110" t="s">
        <v>318</v>
      </c>
      <c r="J309" s="110">
        <v>3860</v>
      </c>
      <c r="K309" s="122">
        <v>26151.200000000001</v>
      </c>
      <c r="L309" s="117">
        <f t="shared" si="8"/>
        <v>4184.192</v>
      </c>
      <c r="M309" s="117">
        <f t="shared" si="9"/>
        <v>30335.392</v>
      </c>
      <c r="N309" s="136" t="s">
        <v>243</v>
      </c>
      <c r="O309" s="124">
        <v>45741</v>
      </c>
      <c r="P309" s="241"/>
      <c r="Q309" s="169"/>
    </row>
    <row r="310" spans="1:17" x14ac:dyDescent="0.35">
      <c r="A310" s="119" t="s">
        <v>1929</v>
      </c>
      <c r="B310" s="244" t="s">
        <v>1930</v>
      </c>
      <c r="C310" s="242">
        <v>64610</v>
      </c>
      <c r="D310" s="142" t="s">
        <v>809</v>
      </c>
      <c r="E310" s="110" t="s">
        <v>240</v>
      </c>
      <c r="F310" s="123" t="s">
        <v>2431</v>
      </c>
      <c r="G310" s="110" t="s">
        <v>1891</v>
      </c>
      <c r="H310" s="110">
        <v>6</v>
      </c>
      <c r="I310" s="110" t="s">
        <v>318</v>
      </c>
      <c r="J310" s="110">
        <v>3861</v>
      </c>
      <c r="K310" s="122">
        <v>7236</v>
      </c>
      <c r="L310" s="117">
        <f t="shared" si="8"/>
        <v>1157.76</v>
      </c>
      <c r="M310" s="117">
        <f t="shared" si="9"/>
        <v>8393.76</v>
      </c>
      <c r="N310" s="136" t="s">
        <v>243</v>
      </c>
      <c r="O310" s="124">
        <v>45732</v>
      </c>
      <c r="P310" s="241"/>
      <c r="Q310" s="169"/>
    </row>
    <row r="311" spans="1:17" x14ac:dyDescent="0.35">
      <c r="A311" s="119" t="s">
        <v>2443</v>
      </c>
      <c r="B311" s="244" t="s">
        <v>2442</v>
      </c>
      <c r="C311" s="242">
        <v>36878</v>
      </c>
      <c r="D311" s="142" t="s">
        <v>818</v>
      </c>
      <c r="E311" s="110" t="s">
        <v>240</v>
      </c>
      <c r="F311" s="123" t="s">
        <v>2444</v>
      </c>
      <c r="G311" s="110" t="s">
        <v>1897</v>
      </c>
      <c r="H311" s="110">
        <v>7</v>
      </c>
      <c r="I311" s="110" t="s">
        <v>318</v>
      </c>
      <c r="J311" s="110">
        <v>3862</v>
      </c>
      <c r="K311" s="122">
        <v>3299</v>
      </c>
      <c r="L311" s="117">
        <f t="shared" si="8"/>
        <v>527.84</v>
      </c>
      <c r="M311" s="117">
        <f t="shared" si="9"/>
        <v>3826.84</v>
      </c>
      <c r="N311" s="136" t="s">
        <v>243</v>
      </c>
      <c r="O311" s="124">
        <v>45723</v>
      </c>
      <c r="P311" s="241"/>
      <c r="Q311" s="169"/>
    </row>
    <row r="312" spans="1:17" x14ac:dyDescent="0.35">
      <c r="A312" s="119" t="s">
        <v>2455</v>
      </c>
      <c r="B312" s="244" t="s">
        <v>2456</v>
      </c>
      <c r="C312" s="242">
        <v>64570</v>
      </c>
      <c r="D312" s="142" t="s">
        <v>818</v>
      </c>
      <c r="E312" s="110" t="s">
        <v>240</v>
      </c>
      <c r="F312" s="123" t="s">
        <v>2463</v>
      </c>
      <c r="G312" s="110" t="s">
        <v>1957</v>
      </c>
      <c r="H312" s="110">
        <v>12</v>
      </c>
      <c r="I312" s="110" t="s">
        <v>318</v>
      </c>
      <c r="J312" s="110">
        <v>3863</v>
      </c>
      <c r="K312" s="122">
        <v>2450</v>
      </c>
      <c r="L312" s="117">
        <f t="shared" si="8"/>
        <v>392</v>
      </c>
      <c r="M312" s="117">
        <f t="shared" si="9"/>
        <v>2842</v>
      </c>
      <c r="N312" s="136" t="s">
        <v>243</v>
      </c>
      <c r="O312" s="124">
        <v>45736</v>
      </c>
      <c r="P312" s="241"/>
      <c r="Q312" s="169"/>
    </row>
    <row r="313" spans="1:17" x14ac:dyDescent="0.35">
      <c r="A313" s="119" t="s">
        <v>2481</v>
      </c>
      <c r="B313" s="244" t="s">
        <v>2482</v>
      </c>
      <c r="C313" s="242">
        <v>67198</v>
      </c>
      <c r="D313" s="142" t="s">
        <v>806</v>
      </c>
      <c r="E313" s="110" t="s">
        <v>240</v>
      </c>
      <c r="F313" s="123" t="s">
        <v>2485</v>
      </c>
      <c r="G313" s="110" t="s">
        <v>1891</v>
      </c>
      <c r="H313" s="110">
        <v>13</v>
      </c>
      <c r="I313" s="110" t="s">
        <v>318</v>
      </c>
      <c r="J313" s="110">
        <v>3864</v>
      </c>
      <c r="K313" s="122">
        <v>3687.27</v>
      </c>
      <c r="L313" s="117">
        <f t="shared" si="8"/>
        <v>589.96320000000003</v>
      </c>
      <c r="M313" s="117">
        <f t="shared" si="9"/>
        <v>4277.2331999999997</v>
      </c>
      <c r="N313" s="136" t="s">
        <v>2078</v>
      </c>
      <c r="O313" s="124">
        <v>45768</v>
      </c>
      <c r="P313" s="241"/>
      <c r="Q313" s="169"/>
    </row>
    <row r="314" spans="1:17" x14ac:dyDescent="0.35">
      <c r="A314" s="119" t="s">
        <v>2468</v>
      </c>
      <c r="B314" s="244" t="s">
        <v>2483</v>
      </c>
      <c r="C314" s="242">
        <v>7889</v>
      </c>
      <c r="D314" s="142" t="s">
        <v>905</v>
      </c>
      <c r="E314" s="110" t="s">
        <v>240</v>
      </c>
      <c r="F314" s="123" t="s">
        <v>2486</v>
      </c>
      <c r="G314" s="110" t="s">
        <v>1891</v>
      </c>
      <c r="H314" s="110">
        <v>13</v>
      </c>
      <c r="I314" s="110" t="s">
        <v>318</v>
      </c>
      <c r="J314" s="110">
        <v>3865</v>
      </c>
      <c r="K314" s="122">
        <v>2000</v>
      </c>
      <c r="L314" s="117">
        <f t="shared" si="8"/>
        <v>320</v>
      </c>
      <c r="M314" s="117">
        <f t="shared" si="9"/>
        <v>2320</v>
      </c>
      <c r="N314" s="136" t="s">
        <v>243</v>
      </c>
      <c r="O314" s="124">
        <v>45729</v>
      </c>
      <c r="P314" s="241"/>
      <c r="Q314" s="169"/>
    </row>
    <row r="315" spans="1:17" x14ac:dyDescent="0.35">
      <c r="A315" s="119" t="s">
        <v>2474</v>
      </c>
      <c r="B315" s="244" t="s">
        <v>2484</v>
      </c>
      <c r="C315" s="242">
        <v>50360</v>
      </c>
      <c r="D315" s="142" t="s">
        <v>818</v>
      </c>
      <c r="E315" s="110" t="s">
        <v>240</v>
      </c>
      <c r="F315" s="123" t="s">
        <v>2487</v>
      </c>
      <c r="G315" s="110" t="s">
        <v>1891</v>
      </c>
      <c r="H315" s="110">
        <v>13</v>
      </c>
      <c r="I315" s="110" t="s">
        <v>318</v>
      </c>
      <c r="J315" s="110">
        <v>3866</v>
      </c>
      <c r="K315" s="122">
        <v>2000</v>
      </c>
      <c r="L315" s="117">
        <f t="shared" si="8"/>
        <v>320</v>
      </c>
      <c r="M315" s="117">
        <f t="shared" si="9"/>
        <v>2320</v>
      </c>
      <c r="N315" s="136" t="s">
        <v>243</v>
      </c>
      <c r="O315" s="124">
        <v>45729</v>
      </c>
      <c r="P315" s="241"/>
      <c r="Q315" s="169"/>
    </row>
    <row r="316" spans="1:17" x14ac:dyDescent="0.35">
      <c r="A316" s="243" t="s">
        <v>865</v>
      </c>
      <c r="B316" s="243" t="s">
        <v>866</v>
      </c>
      <c r="C316" s="242">
        <v>64103</v>
      </c>
      <c r="D316" s="119" t="s">
        <v>805</v>
      </c>
      <c r="E316" s="110" t="s">
        <v>240</v>
      </c>
      <c r="F316" s="110" t="s">
        <v>2492</v>
      </c>
      <c r="G316" s="110" t="s">
        <v>1897</v>
      </c>
      <c r="H316" s="110">
        <v>14</v>
      </c>
      <c r="I316" s="110" t="s">
        <v>318</v>
      </c>
      <c r="J316" s="110">
        <v>3867</v>
      </c>
      <c r="K316" s="122">
        <v>10900</v>
      </c>
      <c r="L316" s="122">
        <f t="shared" si="8"/>
        <v>1744</v>
      </c>
      <c r="M316" s="122">
        <f t="shared" si="9"/>
        <v>12644</v>
      </c>
      <c r="N316" s="136" t="s">
        <v>2078</v>
      </c>
      <c r="O316" s="124">
        <v>45756</v>
      </c>
      <c r="P316" s="241"/>
      <c r="Q316" s="169"/>
    </row>
    <row r="317" spans="1:17" x14ac:dyDescent="0.35">
      <c r="A317" s="119" t="s">
        <v>856</v>
      </c>
      <c r="B317" s="119" t="s">
        <v>270</v>
      </c>
      <c r="C317" s="242">
        <v>66200</v>
      </c>
      <c r="D317" s="119" t="s">
        <v>805</v>
      </c>
      <c r="E317" s="110" t="s">
        <v>240</v>
      </c>
      <c r="F317" s="123" t="s">
        <v>2493</v>
      </c>
      <c r="G317" s="110" t="s">
        <v>1897</v>
      </c>
      <c r="H317" s="110">
        <v>14</v>
      </c>
      <c r="I317" s="110" t="s">
        <v>318</v>
      </c>
      <c r="J317" s="110">
        <v>3868</v>
      </c>
      <c r="K317" s="122">
        <v>63300</v>
      </c>
      <c r="L317" s="117">
        <f t="shared" si="8"/>
        <v>10128</v>
      </c>
      <c r="M317" s="117">
        <f t="shared" si="9"/>
        <v>73428</v>
      </c>
      <c r="N317" s="136" t="s">
        <v>243</v>
      </c>
      <c r="O317" s="124">
        <v>45743</v>
      </c>
      <c r="P317" s="241"/>
      <c r="Q317" s="169"/>
    </row>
    <row r="318" spans="1:17" x14ac:dyDescent="0.35">
      <c r="A318" s="244" t="s">
        <v>1483</v>
      </c>
      <c r="B318" s="244" t="s">
        <v>1484</v>
      </c>
      <c r="C318" s="242">
        <v>25295</v>
      </c>
      <c r="D318" s="119" t="s">
        <v>805</v>
      </c>
      <c r="E318" s="110" t="s">
        <v>240</v>
      </c>
      <c r="F318" s="351" t="s">
        <v>2494</v>
      </c>
      <c r="G318" s="110" t="s">
        <v>1897</v>
      </c>
      <c r="H318" s="110">
        <v>14</v>
      </c>
      <c r="I318" s="110" t="s">
        <v>318</v>
      </c>
      <c r="J318" s="110">
        <v>3869</v>
      </c>
      <c r="K318" s="122">
        <v>4800</v>
      </c>
      <c r="L318" s="117">
        <f t="shared" si="8"/>
        <v>768</v>
      </c>
      <c r="M318" s="117">
        <f t="shared" ref="M318:M328" si="10">K318+L318</f>
        <v>5568</v>
      </c>
      <c r="N318" s="136" t="s">
        <v>243</v>
      </c>
      <c r="O318" s="124">
        <v>45736</v>
      </c>
      <c r="P318" s="241"/>
      <c r="Q318" s="169"/>
    </row>
    <row r="319" spans="1:17" x14ac:dyDescent="0.35">
      <c r="A319" s="244" t="s">
        <v>1483</v>
      </c>
      <c r="B319" s="244" t="s">
        <v>1484</v>
      </c>
      <c r="C319" s="242">
        <v>25295</v>
      </c>
      <c r="D319" s="119" t="s">
        <v>805</v>
      </c>
      <c r="E319" s="110" t="s">
        <v>240</v>
      </c>
      <c r="F319" s="120" t="s">
        <v>2495</v>
      </c>
      <c r="G319" s="110" t="s">
        <v>1897</v>
      </c>
      <c r="H319" s="110">
        <v>14</v>
      </c>
      <c r="I319" s="110" t="s">
        <v>318</v>
      </c>
      <c r="J319" s="110">
        <v>3870</v>
      </c>
      <c r="K319" s="122">
        <v>8600</v>
      </c>
      <c r="L319" s="122">
        <f t="shared" si="8"/>
        <v>1376</v>
      </c>
      <c r="M319" s="122">
        <f t="shared" si="10"/>
        <v>9976</v>
      </c>
      <c r="N319" s="136" t="s">
        <v>243</v>
      </c>
      <c r="O319" s="124">
        <v>45736</v>
      </c>
      <c r="P319" s="241"/>
      <c r="Q319" s="169"/>
    </row>
    <row r="320" spans="1:17" x14ac:dyDescent="0.35">
      <c r="A320" s="244" t="s">
        <v>2502</v>
      </c>
      <c r="B320" s="244" t="s">
        <v>2503</v>
      </c>
      <c r="C320" s="242">
        <v>64320</v>
      </c>
      <c r="D320" s="119" t="s">
        <v>915</v>
      </c>
      <c r="E320" s="110" t="s">
        <v>240</v>
      </c>
      <c r="F320" s="120" t="s">
        <v>2504</v>
      </c>
      <c r="G320" s="110" t="s">
        <v>1897</v>
      </c>
      <c r="H320" s="110">
        <v>14</v>
      </c>
      <c r="I320" s="110" t="s">
        <v>318</v>
      </c>
      <c r="J320" s="110">
        <v>3871</v>
      </c>
      <c r="K320" s="122">
        <v>2000</v>
      </c>
      <c r="L320" s="122">
        <f t="shared" si="8"/>
        <v>320</v>
      </c>
      <c r="M320" s="122">
        <f t="shared" si="10"/>
        <v>2320</v>
      </c>
      <c r="N320" s="136" t="s">
        <v>243</v>
      </c>
      <c r="O320" s="124">
        <v>45735</v>
      </c>
      <c r="P320" s="241"/>
      <c r="Q320" s="169"/>
    </row>
    <row r="321" spans="1:17" x14ac:dyDescent="0.35">
      <c r="A321" s="244" t="s">
        <v>2516</v>
      </c>
      <c r="B321" s="244" t="s">
        <v>2517</v>
      </c>
      <c r="C321" s="242">
        <v>76147</v>
      </c>
      <c r="D321" s="119" t="s">
        <v>818</v>
      </c>
      <c r="E321" s="110" t="s">
        <v>240</v>
      </c>
      <c r="F321" s="120" t="s">
        <v>2518</v>
      </c>
      <c r="G321" s="110" t="s">
        <v>1856</v>
      </c>
      <c r="H321" s="110">
        <v>18</v>
      </c>
      <c r="I321" s="110" t="s">
        <v>318</v>
      </c>
      <c r="J321" s="110">
        <v>3872</v>
      </c>
      <c r="K321" s="122">
        <v>4778</v>
      </c>
      <c r="L321" s="122">
        <f t="shared" si="8"/>
        <v>764.48</v>
      </c>
      <c r="M321" s="122">
        <f t="shared" si="10"/>
        <v>5542.48</v>
      </c>
      <c r="N321" s="136" t="s">
        <v>243</v>
      </c>
      <c r="O321" s="124">
        <v>45730</v>
      </c>
      <c r="P321" s="241"/>
      <c r="Q321" s="169"/>
    </row>
    <row r="322" spans="1:17" x14ac:dyDescent="0.35">
      <c r="A322" s="244" t="s">
        <v>2520</v>
      </c>
      <c r="B322" s="244" t="s">
        <v>2521</v>
      </c>
      <c r="C322" s="242">
        <v>66230</v>
      </c>
      <c r="D322" s="119" t="s">
        <v>915</v>
      </c>
      <c r="E322" s="110" t="s">
        <v>240</v>
      </c>
      <c r="F322" s="120" t="s">
        <v>2522</v>
      </c>
      <c r="G322" s="110" t="s">
        <v>1957</v>
      </c>
      <c r="H322" s="110">
        <v>19</v>
      </c>
      <c r="I322" s="110" t="s">
        <v>318</v>
      </c>
      <c r="J322" s="110">
        <v>3873</v>
      </c>
      <c r="K322" s="122">
        <v>4650</v>
      </c>
      <c r="L322" s="122">
        <f t="shared" si="8"/>
        <v>744</v>
      </c>
      <c r="M322" s="122">
        <f t="shared" si="10"/>
        <v>5394</v>
      </c>
      <c r="N322" s="136" t="s">
        <v>243</v>
      </c>
      <c r="O322" s="124">
        <v>45735</v>
      </c>
      <c r="P322" s="241"/>
      <c r="Q322" s="169"/>
    </row>
    <row r="323" spans="1:17" x14ac:dyDescent="0.35">
      <c r="A323" s="244" t="s">
        <v>2541</v>
      </c>
      <c r="B323" s="244" t="s">
        <v>2548</v>
      </c>
      <c r="C323" s="242">
        <v>66050</v>
      </c>
      <c r="D323" s="119" t="s">
        <v>818</v>
      </c>
      <c r="E323" s="110" t="s">
        <v>240</v>
      </c>
      <c r="F323" s="120" t="s">
        <v>2551</v>
      </c>
      <c r="G323" s="110" t="s">
        <v>1897</v>
      </c>
      <c r="H323" s="110">
        <v>28</v>
      </c>
      <c r="I323" s="110" t="s">
        <v>318</v>
      </c>
      <c r="J323" s="110">
        <v>3874</v>
      </c>
      <c r="K323" s="122">
        <v>2000</v>
      </c>
      <c r="L323" s="122">
        <f t="shared" si="8"/>
        <v>320</v>
      </c>
      <c r="M323" s="122">
        <f t="shared" si="10"/>
        <v>2320</v>
      </c>
      <c r="N323" s="136" t="s">
        <v>243</v>
      </c>
      <c r="O323" s="124">
        <v>45744</v>
      </c>
      <c r="P323" s="241"/>
      <c r="Q323" s="169"/>
    </row>
    <row r="324" spans="1:17" x14ac:dyDescent="0.35">
      <c r="A324" s="119" t="s">
        <v>856</v>
      </c>
      <c r="B324" s="119" t="s">
        <v>270</v>
      </c>
      <c r="C324" s="242">
        <v>66200</v>
      </c>
      <c r="D324" s="119" t="s">
        <v>805</v>
      </c>
      <c r="E324" s="110" t="s">
        <v>240</v>
      </c>
      <c r="F324" s="120" t="s">
        <v>2552</v>
      </c>
      <c r="G324" s="110" t="s">
        <v>1897</v>
      </c>
      <c r="H324" s="110">
        <v>28</v>
      </c>
      <c r="I324" s="110" t="s">
        <v>318</v>
      </c>
      <c r="J324" s="110">
        <v>3875</v>
      </c>
      <c r="K324" s="122">
        <v>3748</v>
      </c>
      <c r="L324" s="122">
        <f t="shared" si="8"/>
        <v>599.68000000000006</v>
      </c>
      <c r="M324" s="122">
        <f t="shared" si="10"/>
        <v>4347.68</v>
      </c>
      <c r="N324" s="132" t="s">
        <v>2078</v>
      </c>
      <c r="O324" s="124"/>
      <c r="P324" s="241"/>
      <c r="Q324" s="169"/>
    </row>
    <row r="325" spans="1:17" x14ac:dyDescent="0.35">
      <c r="A325" s="119" t="s">
        <v>227</v>
      </c>
      <c r="B325" s="119" t="s">
        <v>228</v>
      </c>
      <c r="C325" s="242">
        <v>64010</v>
      </c>
      <c r="D325" s="119" t="s">
        <v>805</v>
      </c>
      <c r="E325" s="110" t="s">
        <v>240</v>
      </c>
      <c r="F325" s="120" t="s">
        <v>2553</v>
      </c>
      <c r="G325" s="110" t="s">
        <v>1897</v>
      </c>
      <c r="H325" s="110">
        <v>28</v>
      </c>
      <c r="I325" s="110" t="s">
        <v>318</v>
      </c>
      <c r="J325" s="110">
        <v>3876</v>
      </c>
      <c r="K325" s="122">
        <v>2541.66</v>
      </c>
      <c r="L325" s="122">
        <f t="shared" si="8"/>
        <v>406.66559999999998</v>
      </c>
      <c r="M325" s="122">
        <f t="shared" si="10"/>
        <v>2948.3255999999997</v>
      </c>
      <c r="N325" s="136" t="s">
        <v>243</v>
      </c>
      <c r="O325" s="124">
        <v>45747</v>
      </c>
      <c r="P325" s="241"/>
      <c r="Q325" s="169" t="s">
        <v>615</v>
      </c>
    </row>
    <row r="326" spans="1:17" x14ac:dyDescent="0.35">
      <c r="A326" s="119" t="s">
        <v>2572</v>
      </c>
      <c r="B326" s="119" t="s">
        <v>2573</v>
      </c>
      <c r="C326" s="242">
        <v>45601</v>
      </c>
      <c r="D326" s="119" t="s">
        <v>818</v>
      </c>
      <c r="E326" s="110" t="s">
        <v>240</v>
      </c>
      <c r="F326" s="120" t="s">
        <v>2574</v>
      </c>
      <c r="G326" s="110" t="s">
        <v>2237</v>
      </c>
      <c r="H326" s="110">
        <v>29</v>
      </c>
      <c r="I326" s="110" t="s">
        <v>318</v>
      </c>
      <c r="J326" s="110">
        <v>3877</v>
      </c>
      <c r="K326" s="122">
        <v>850</v>
      </c>
      <c r="L326" s="122">
        <f t="shared" si="8"/>
        <v>136</v>
      </c>
      <c r="M326" s="122">
        <f t="shared" si="10"/>
        <v>986</v>
      </c>
      <c r="N326" s="136" t="s">
        <v>243</v>
      </c>
      <c r="O326" s="124">
        <v>45747</v>
      </c>
      <c r="P326" s="241"/>
      <c r="Q326" s="169"/>
    </row>
    <row r="327" spans="1:17" x14ac:dyDescent="0.35">
      <c r="A327" s="119" t="s">
        <v>2587</v>
      </c>
      <c r="B327" s="119" t="s">
        <v>2588</v>
      </c>
      <c r="C327" s="242">
        <v>66614</v>
      </c>
      <c r="D327" s="119" t="s">
        <v>818</v>
      </c>
      <c r="E327" s="110" t="s">
        <v>240</v>
      </c>
      <c r="F327" s="120" t="s">
        <v>2608</v>
      </c>
      <c r="G327" s="110" t="s">
        <v>1807</v>
      </c>
      <c r="H327" s="110">
        <v>31</v>
      </c>
      <c r="I327" s="110" t="s">
        <v>318</v>
      </c>
      <c r="J327" s="110">
        <v>3878</v>
      </c>
      <c r="K327" s="122">
        <v>2250</v>
      </c>
      <c r="L327" s="122">
        <f t="shared" si="8"/>
        <v>360</v>
      </c>
      <c r="M327" s="122">
        <f t="shared" si="10"/>
        <v>2610</v>
      </c>
      <c r="N327" s="136" t="s">
        <v>243</v>
      </c>
      <c r="O327" s="124">
        <v>45745</v>
      </c>
      <c r="P327" s="241"/>
      <c r="Q327" s="169"/>
    </row>
    <row r="328" spans="1:17" x14ac:dyDescent="0.35">
      <c r="A328" s="119" t="s">
        <v>2606</v>
      </c>
      <c r="B328" s="244" t="s">
        <v>2607</v>
      </c>
      <c r="C328" s="242">
        <v>67205</v>
      </c>
      <c r="D328" s="119" t="s">
        <v>915</v>
      </c>
      <c r="E328" s="110" t="s">
        <v>240</v>
      </c>
      <c r="F328" s="120" t="s">
        <v>2609</v>
      </c>
      <c r="G328" s="110" t="s">
        <v>1807</v>
      </c>
      <c r="H328" s="110">
        <v>31</v>
      </c>
      <c r="I328" s="110" t="s">
        <v>318</v>
      </c>
      <c r="J328" s="110">
        <v>3879</v>
      </c>
      <c r="K328" s="122">
        <v>849</v>
      </c>
      <c r="L328" s="122">
        <f t="shared" si="8"/>
        <v>135.84</v>
      </c>
      <c r="M328" s="122">
        <f t="shared" si="10"/>
        <v>984.84</v>
      </c>
      <c r="N328" s="136" t="s">
        <v>243</v>
      </c>
      <c r="O328" s="124">
        <v>45747</v>
      </c>
      <c r="P328" s="241"/>
      <c r="Q328" s="169"/>
    </row>
    <row r="329" spans="1:17" ht="18.5" x14ac:dyDescent="0.45">
      <c r="A329" s="338" t="s">
        <v>2379</v>
      </c>
      <c r="B329" s="235"/>
      <c r="C329" s="235"/>
      <c r="D329" s="235"/>
      <c r="E329" s="235"/>
      <c r="F329" s="235"/>
      <c r="G329" s="273"/>
      <c r="H329" s="236"/>
      <c r="I329" s="237" t="s">
        <v>242</v>
      </c>
      <c r="J329" s="238">
        <f>COUNT(J215:J328)</f>
        <v>114</v>
      </c>
      <c r="K329" s="239">
        <f>SUM(K215:K328)</f>
        <v>392674.07</v>
      </c>
      <c r="L329" s="239">
        <f>SUM(L215:L328)</f>
        <v>62827.851200000005</v>
      </c>
      <c r="M329" s="239">
        <f>SUM(M215:M328)</f>
        <v>455501.92120000004</v>
      </c>
      <c r="N329" s="338"/>
      <c r="O329" s="339"/>
      <c r="P329" s="327">
        <f>COUNT(P220:P328)</f>
        <v>0</v>
      </c>
      <c r="Q329" s="240">
        <v>5</v>
      </c>
    </row>
    <row r="330" spans="1:17" x14ac:dyDescent="0.35">
      <c r="A330" s="248" t="s">
        <v>1318</v>
      </c>
      <c r="B330" s="244" t="s">
        <v>1319</v>
      </c>
      <c r="C330" s="169">
        <v>67250</v>
      </c>
      <c r="D330" s="120" t="s">
        <v>818</v>
      </c>
      <c r="E330" s="110" t="s">
        <v>240</v>
      </c>
      <c r="F330" s="110" t="s">
        <v>2641</v>
      </c>
      <c r="G330" s="110" t="s">
        <v>1957</v>
      </c>
      <c r="H330" s="110">
        <v>2</v>
      </c>
      <c r="I330" s="110" t="s">
        <v>403</v>
      </c>
      <c r="J330" s="110">
        <v>3880</v>
      </c>
      <c r="K330" s="122">
        <v>5900</v>
      </c>
      <c r="L330" s="122">
        <f>K330*0.16</f>
        <v>944</v>
      </c>
      <c r="M330" s="122">
        <f>K330+L330</f>
        <v>6844</v>
      </c>
      <c r="N330" s="136" t="s">
        <v>243</v>
      </c>
      <c r="O330" s="199">
        <v>45749</v>
      </c>
      <c r="P330" s="156"/>
      <c r="Q330" s="169"/>
    </row>
    <row r="331" spans="1:17" x14ac:dyDescent="0.35">
      <c r="A331" s="248" t="s">
        <v>839</v>
      </c>
      <c r="B331" s="248" t="s">
        <v>840</v>
      </c>
      <c r="C331" s="169">
        <v>66632</v>
      </c>
      <c r="D331" s="248" t="s">
        <v>805</v>
      </c>
      <c r="E331" s="110" t="s">
        <v>240</v>
      </c>
      <c r="F331" s="110" t="s">
        <v>2642</v>
      </c>
      <c r="G331" s="110" t="s">
        <v>1957</v>
      </c>
      <c r="H331" s="110">
        <v>2</v>
      </c>
      <c r="I331" s="110" t="s">
        <v>403</v>
      </c>
      <c r="J331" s="110">
        <v>3881</v>
      </c>
      <c r="K331" s="122">
        <v>1400</v>
      </c>
      <c r="L331" s="122">
        <f t="shared" ref="L331:L426" si="11">K331*0.16</f>
        <v>224</v>
      </c>
      <c r="M331" s="122">
        <f t="shared" ref="M331:M426" si="12">K331+L331</f>
        <v>1624</v>
      </c>
      <c r="N331" s="136" t="s">
        <v>243</v>
      </c>
      <c r="O331" s="199">
        <v>45757</v>
      </c>
      <c r="P331" s="156"/>
      <c r="Q331" s="169"/>
    </row>
    <row r="332" spans="1:17" x14ac:dyDescent="0.35">
      <c r="A332" s="243" t="s">
        <v>807</v>
      </c>
      <c r="B332" s="244" t="s">
        <v>808</v>
      </c>
      <c r="C332" s="245">
        <v>66482</v>
      </c>
      <c r="D332" s="244" t="s">
        <v>809</v>
      </c>
      <c r="E332" s="110" t="s">
        <v>240</v>
      </c>
      <c r="F332" s="110" t="s">
        <v>2643</v>
      </c>
      <c r="G332" s="110" t="s">
        <v>1957</v>
      </c>
      <c r="H332" s="110">
        <v>2</v>
      </c>
      <c r="I332" s="110" t="s">
        <v>403</v>
      </c>
      <c r="J332" s="110">
        <v>3882</v>
      </c>
      <c r="K332" s="122">
        <v>1196</v>
      </c>
      <c r="L332" s="122">
        <f t="shared" si="11"/>
        <v>191.36</v>
      </c>
      <c r="M332" s="122">
        <f t="shared" si="12"/>
        <v>1387.3600000000001</v>
      </c>
      <c r="N332" s="136" t="s">
        <v>243</v>
      </c>
      <c r="O332" s="199">
        <v>45769</v>
      </c>
      <c r="P332" s="156"/>
      <c r="Q332" s="169"/>
    </row>
    <row r="333" spans="1:17" x14ac:dyDescent="0.35">
      <c r="A333" s="142" t="s">
        <v>750</v>
      </c>
      <c r="B333" s="244" t="s">
        <v>810</v>
      </c>
      <c r="C333" s="110">
        <v>89560</v>
      </c>
      <c r="D333" s="142" t="s">
        <v>809</v>
      </c>
      <c r="E333" s="110" t="s">
        <v>240</v>
      </c>
      <c r="F333" s="123" t="s">
        <v>2644</v>
      </c>
      <c r="G333" s="110" t="s">
        <v>1957</v>
      </c>
      <c r="H333" s="110">
        <v>2</v>
      </c>
      <c r="I333" s="110" t="s">
        <v>403</v>
      </c>
      <c r="J333" s="110">
        <v>3883</v>
      </c>
      <c r="K333" s="122">
        <v>2700</v>
      </c>
      <c r="L333" s="122">
        <f t="shared" si="11"/>
        <v>432</v>
      </c>
      <c r="M333" s="122">
        <f t="shared" si="12"/>
        <v>3132</v>
      </c>
      <c r="N333" s="136" t="s">
        <v>243</v>
      </c>
      <c r="O333" s="199">
        <v>45749</v>
      </c>
      <c r="P333" s="156"/>
      <c r="Q333" s="169"/>
    </row>
    <row r="334" spans="1:17" x14ac:dyDescent="0.35">
      <c r="A334" s="119" t="s">
        <v>198</v>
      </c>
      <c r="B334" s="119" t="s">
        <v>199</v>
      </c>
      <c r="C334" s="242">
        <v>64000</v>
      </c>
      <c r="D334" s="119" t="s">
        <v>805</v>
      </c>
      <c r="E334" s="110" t="s">
        <v>240</v>
      </c>
      <c r="F334" s="110" t="s">
        <v>2645</v>
      </c>
      <c r="G334" s="110" t="s">
        <v>1957</v>
      </c>
      <c r="H334" s="110">
        <v>2</v>
      </c>
      <c r="I334" s="110" t="s">
        <v>403</v>
      </c>
      <c r="J334" s="110">
        <v>3884</v>
      </c>
      <c r="K334" s="122">
        <v>300</v>
      </c>
      <c r="L334" s="122">
        <f t="shared" si="11"/>
        <v>48</v>
      </c>
      <c r="M334" s="122">
        <f t="shared" si="12"/>
        <v>348</v>
      </c>
      <c r="N334" s="136" t="s">
        <v>243</v>
      </c>
      <c r="O334" s="199">
        <v>45772</v>
      </c>
      <c r="P334" s="156"/>
      <c r="Q334" s="169"/>
    </row>
    <row r="335" spans="1:17" x14ac:dyDescent="0.35">
      <c r="A335" s="244" t="s">
        <v>779</v>
      </c>
      <c r="B335" s="244" t="s">
        <v>811</v>
      </c>
      <c r="C335" s="242">
        <v>66266</v>
      </c>
      <c r="D335" s="119" t="s">
        <v>805</v>
      </c>
      <c r="E335" s="110" t="s">
        <v>240</v>
      </c>
      <c r="F335" s="110" t="s">
        <v>2646</v>
      </c>
      <c r="G335" s="110" t="s">
        <v>1957</v>
      </c>
      <c r="H335" s="110">
        <v>2</v>
      </c>
      <c r="I335" s="110" t="s">
        <v>403</v>
      </c>
      <c r="J335" s="110">
        <v>3885</v>
      </c>
      <c r="K335" s="122">
        <v>250</v>
      </c>
      <c r="L335" s="122">
        <f t="shared" si="11"/>
        <v>40</v>
      </c>
      <c r="M335" s="122">
        <f t="shared" si="12"/>
        <v>290</v>
      </c>
      <c r="N335" s="136" t="s">
        <v>243</v>
      </c>
      <c r="O335" s="199">
        <v>45749</v>
      </c>
      <c r="P335" s="156"/>
      <c r="Q335" s="169"/>
    </row>
    <row r="336" spans="1:17" x14ac:dyDescent="0.35">
      <c r="A336" s="142" t="s">
        <v>1083</v>
      </c>
      <c r="B336" s="142" t="s">
        <v>1084</v>
      </c>
      <c r="C336" s="110">
        <v>64250</v>
      </c>
      <c r="D336" s="119" t="s">
        <v>806</v>
      </c>
      <c r="E336" s="110" t="s">
        <v>240</v>
      </c>
      <c r="F336" s="110" t="s">
        <v>2647</v>
      </c>
      <c r="G336" s="110" t="s">
        <v>1957</v>
      </c>
      <c r="H336" s="110">
        <v>2</v>
      </c>
      <c r="I336" s="110" t="s">
        <v>403</v>
      </c>
      <c r="J336" s="110">
        <v>3886</v>
      </c>
      <c r="K336" s="122">
        <v>1250</v>
      </c>
      <c r="L336" s="122">
        <f t="shared" si="11"/>
        <v>200</v>
      </c>
      <c r="M336" s="122">
        <f t="shared" si="12"/>
        <v>1450</v>
      </c>
      <c r="N336" s="136" t="s">
        <v>243</v>
      </c>
      <c r="O336" s="199">
        <v>45751</v>
      </c>
      <c r="P336" s="156"/>
      <c r="Q336" s="169"/>
    </row>
    <row r="337" spans="1:17" x14ac:dyDescent="0.35">
      <c r="A337" s="119" t="s">
        <v>1578</v>
      </c>
      <c r="B337" s="119" t="s">
        <v>2171</v>
      </c>
      <c r="C337" s="242">
        <v>67190</v>
      </c>
      <c r="D337" s="142" t="s">
        <v>806</v>
      </c>
      <c r="E337" s="110" t="s">
        <v>240</v>
      </c>
      <c r="F337" s="110" t="s">
        <v>2648</v>
      </c>
      <c r="G337" s="110" t="s">
        <v>1957</v>
      </c>
      <c r="H337" s="110">
        <v>2</v>
      </c>
      <c r="I337" s="110" t="s">
        <v>403</v>
      </c>
      <c r="J337" s="110">
        <v>3887</v>
      </c>
      <c r="K337" s="122">
        <v>300</v>
      </c>
      <c r="L337" s="122">
        <f t="shared" si="11"/>
        <v>48</v>
      </c>
      <c r="M337" s="122">
        <f t="shared" si="12"/>
        <v>348</v>
      </c>
      <c r="N337" s="136" t="s">
        <v>243</v>
      </c>
      <c r="O337" s="199">
        <v>45755</v>
      </c>
      <c r="P337" s="156"/>
      <c r="Q337" s="169"/>
    </row>
    <row r="338" spans="1:17" x14ac:dyDescent="0.35">
      <c r="A338" s="244" t="s">
        <v>783</v>
      </c>
      <c r="B338" s="119" t="s">
        <v>812</v>
      </c>
      <c r="C338" s="242">
        <v>64630</v>
      </c>
      <c r="D338" s="119" t="s">
        <v>805</v>
      </c>
      <c r="E338" s="110" t="s">
        <v>240</v>
      </c>
      <c r="F338" s="110" t="s">
        <v>2649</v>
      </c>
      <c r="G338" s="110" t="s">
        <v>1957</v>
      </c>
      <c r="H338" s="110">
        <v>2</v>
      </c>
      <c r="I338" s="110" t="s">
        <v>403</v>
      </c>
      <c r="J338" s="110">
        <v>3888</v>
      </c>
      <c r="K338" s="122">
        <v>1395</v>
      </c>
      <c r="L338" s="122">
        <f t="shared" si="11"/>
        <v>223.20000000000002</v>
      </c>
      <c r="M338" s="122">
        <f t="shared" si="12"/>
        <v>1618.2</v>
      </c>
      <c r="N338" s="136" t="s">
        <v>243</v>
      </c>
      <c r="O338" s="199">
        <v>45750</v>
      </c>
      <c r="P338" s="156"/>
      <c r="Q338" s="169"/>
    </row>
    <row r="339" spans="1:17" x14ac:dyDescent="0.35">
      <c r="A339" s="246" t="s">
        <v>194</v>
      </c>
      <c r="B339" s="119" t="s">
        <v>195</v>
      </c>
      <c r="C339" s="242">
        <v>67190</v>
      </c>
      <c r="D339" s="119" t="s">
        <v>805</v>
      </c>
      <c r="E339" s="110" t="s">
        <v>240</v>
      </c>
      <c r="F339" s="110" t="s">
        <v>2650</v>
      </c>
      <c r="G339" s="110" t="s">
        <v>1957</v>
      </c>
      <c r="H339" s="110">
        <v>2</v>
      </c>
      <c r="I339" s="110" t="s">
        <v>403</v>
      </c>
      <c r="J339" s="110">
        <v>3889</v>
      </c>
      <c r="K339" s="122">
        <v>1400</v>
      </c>
      <c r="L339" s="122">
        <f t="shared" si="11"/>
        <v>224</v>
      </c>
      <c r="M339" s="122">
        <f t="shared" si="12"/>
        <v>1624</v>
      </c>
      <c r="N339" s="136" t="s">
        <v>243</v>
      </c>
      <c r="O339" s="199">
        <v>45750</v>
      </c>
      <c r="P339" s="156"/>
      <c r="Q339" s="169"/>
    </row>
    <row r="340" spans="1:17" x14ac:dyDescent="0.35">
      <c r="A340" s="119" t="s">
        <v>274</v>
      </c>
      <c r="B340" s="119" t="s">
        <v>275</v>
      </c>
      <c r="C340" s="242">
        <v>66023</v>
      </c>
      <c r="D340" s="119" t="s">
        <v>805</v>
      </c>
      <c r="E340" s="110" t="s">
        <v>240</v>
      </c>
      <c r="F340" s="110" t="s">
        <v>2651</v>
      </c>
      <c r="G340" s="110" t="s">
        <v>1957</v>
      </c>
      <c r="H340" s="110">
        <v>2</v>
      </c>
      <c r="I340" s="110" t="s">
        <v>403</v>
      </c>
      <c r="J340" s="110">
        <v>3890</v>
      </c>
      <c r="K340" s="122">
        <v>1200</v>
      </c>
      <c r="L340" s="122">
        <f t="shared" si="11"/>
        <v>192</v>
      </c>
      <c r="M340" s="122">
        <f t="shared" si="12"/>
        <v>1392</v>
      </c>
      <c r="N340" s="136" t="s">
        <v>243</v>
      </c>
      <c r="O340" s="199">
        <v>45750</v>
      </c>
      <c r="P340" s="156"/>
      <c r="Q340" s="169"/>
    </row>
    <row r="341" spans="1:17" x14ac:dyDescent="0.35">
      <c r="A341" s="119" t="s">
        <v>803</v>
      </c>
      <c r="B341" s="119" t="s">
        <v>804</v>
      </c>
      <c r="C341" s="242">
        <v>66469</v>
      </c>
      <c r="D341" s="119" t="s">
        <v>805</v>
      </c>
      <c r="E341" s="110" t="s">
        <v>240</v>
      </c>
      <c r="F341" s="110" t="s">
        <v>2652</v>
      </c>
      <c r="G341" s="110" t="s">
        <v>1957</v>
      </c>
      <c r="H341" s="110">
        <v>2</v>
      </c>
      <c r="I341" s="110" t="s">
        <v>403</v>
      </c>
      <c r="J341" s="110">
        <v>3891</v>
      </c>
      <c r="K341" s="117">
        <v>1750</v>
      </c>
      <c r="L341" s="122">
        <f t="shared" si="11"/>
        <v>280</v>
      </c>
      <c r="M341" s="122">
        <f t="shared" si="12"/>
        <v>2030</v>
      </c>
      <c r="N341" s="136" t="s">
        <v>243</v>
      </c>
      <c r="O341" s="199">
        <v>45763</v>
      </c>
      <c r="P341" s="282"/>
      <c r="Q341" s="169"/>
    </row>
    <row r="342" spans="1:17" x14ac:dyDescent="0.35">
      <c r="A342" s="119" t="s">
        <v>859</v>
      </c>
      <c r="B342" s="119" t="s">
        <v>860</v>
      </c>
      <c r="C342" s="242">
        <v>64710</v>
      </c>
      <c r="D342" s="119" t="s">
        <v>805</v>
      </c>
      <c r="E342" s="110" t="s">
        <v>240</v>
      </c>
      <c r="F342" s="123" t="s">
        <v>2653</v>
      </c>
      <c r="G342" s="110" t="s">
        <v>1957</v>
      </c>
      <c r="H342" s="110">
        <v>2</v>
      </c>
      <c r="I342" s="110" t="s">
        <v>403</v>
      </c>
      <c r="J342" s="110">
        <v>3892</v>
      </c>
      <c r="K342" s="122">
        <v>2200</v>
      </c>
      <c r="L342" s="122">
        <f t="shared" si="11"/>
        <v>352</v>
      </c>
      <c r="M342" s="122">
        <f t="shared" si="12"/>
        <v>2552</v>
      </c>
      <c r="N342" s="136" t="s">
        <v>243</v>
      </c>
      <c r="O342" s="199">
        <v>45751</v>
      </c>
      <c r="P342" s="156"/>
      <c r="Q342" s="169"/>
    </row>
    <row r="343" spans="1:17" x14ac:dyDescent="0.35">
      <c r="A343" s="244" t="s">
        <v>1631</v>
      </c>
      <c r="B343" s="244" t="s">
        <v>1630</v>
      </c>
      <c r="C343" s="242">
        <v>64710</v>
      </c>
      <c r="D343" s="119" t="s">
        <v>818</v>
      </c>
      <c r="E343" s="110" t="s">
        <v>240</v>
      </c>
      <c r="F343" s="123" t="s">
        <v>2654</v>
      </c>
      <c r="G343" s="110" t="s">
        <v>1957</v>
      </c>
      <c r="H343" s="110">
        <v>2</v>
      </c>
      <c r="I343" s="110" t="s">
        <v>403</v>
      </c>
      <c r="J343" s="110">
        <v>3893</v>
      </c>
      <c r="K343" s="122">
        <v>1674</v>
      </c>
      <c r="L343" s="122">
        <f t="shared" si="11"/>
        <v>267.84000000000003</v>
      </c>
      <c r="M343" s="122">
        <f t="shared" si="12"/>
        <v>1941.8400000000001</v>
      </c>
      <c r="N343" s="136" t="s">
        <v>243</v>
      </c>
      <c r="O343" s="124">
        <v>45758</v>
      </c>
      <c r="P343" s="241"/>
      <c r="Q343" s="169" t="s">
        <v>615</v>
      </c>
    </row>
    <row r="344" spans="1:17" x14ac:dyDescent="0.35">
      <c r="A344" s="119" t="s">
        <v>1274</v>
      </c>
      <c r="B344" s="119" t="s">
        <v>1275</v>
      </c>
      <c r="C344" s="242">
        <v>64349</v>
      </c>
      <c r="D344" s="119" t="s">
        <v>818</v>
      </c>
      <c r="E344" s="110" t="s">
        <v>240</v>
      </c>
      <c r="F344" s="110" t="s">
        <v>2655</v>
      </c>
      <c r="G344" s="110" t="s">
        <v>1957</v>
      </c>
      <c r="H344" s="110">
        <v>2</v>
      </c>
      <c r="I344" s="110" t="s">
        <v>403</v>
      </c>
      <c r="J344" s="110">
        <v>3894</v>
      </c>
      <c r="K344" s="122">
        <v>250</v>
      </c>
      <c r="L344" s="122">
        <f t="shared" si="11"/>
        <v>40</v>
      </c>
      <c r="M344" s="122">
        <f t="shared" si="12"/>
        <v>290</v>
      </c>
      <c r="N344" s="136" t="s">
        <v>243</v>
      </c>
      <c r="O344" s="199">
        <v>45751</v>
      </c>
      <c r="P344" s="156"/>
      <c r="Q344" s="169"/>
    </row>
    <row r="345" spans="1:17" x14ac:dyDescent="0.35">
      <c r="A345" s="119" t="s">
        <v>196</v>
      </c>
      <c r="B345" s="119" t="s">
        <v>197</v>
      </c>
      <c r="C345" s="242">
        <v>64530</v>
      </c>
      <c r="D345" s="119" t="s">
        <v>806</v>
      </c>
      <c r="E345" s="110" t="s">
        <v>240</v>
      </c>
      <c r="F345" s="110" t="s">
        <v>2656</v>
      </c>
      <c r="G345" s="110" t="s">
        <v>1957</v>
      </c>
      <c r="H345" s="110">
        <v>2</v>
      </c>
      <c r="I345" s="110" t="s">
        <v>403</v>
      </c>
      <c r="J345" s="110">
        <v>3895</v>
      </c>
      <c r="K345" s="122">
        <v>2766.66</v>
      </c>
      <c r="L345" s="122">
        <f t="shared" si="11"/>
        <v>442.66559999999998</v>
      </c>
      <c r="M345" s="122">
        <f t="shared" si="12"/>
        <v>3209.3255999999997</v>
      </c>
      <c r="N345" s="136" t="s">
        <v>243</v>
      </c>
      <c r="O345" s="199">
        <v>45750</v>
      </c>
      <c r="P345" s="156"/>
      <c r="Q345" s="169"/>
    </row>
    <row r="346" spans="1:17" x14ac:dyDescent="0.35">
      <c r="A346" s="244" t="s">
        <v>815</v>
      </c>
      <c r="B346" s="244" t="s">
        <v>219</v>
      </c>
      <c r="C346" s="245">
        <v>64000</v>
      </c>
      <c r="D346" s="247" t="s">
        <v>805</v>
      </c>
      <c r="E346" s="110" t="s">
        <v>240</v>
      </c>
      <c r="F346" s="110" t="s">
        <v>2657</v>
      </c>
      <c r="G346" s="110" t="s">
        <v>1957</v>
      </c>
      <c r="H346" s="110">
        <v>2</v>
      </c>
      <c r="I346" s="110" t="s">
        <v>403</v>
      </c>
      <c r="J346" s="110">
        <v>3896</v>
      </c>
      <c r="K346" s="122">
        <v>2450</v>
      </c>
      <c r="L346" s="122">
        <f t="shared" si="11"/>
        <v>392</v>
      </c>
      <c r="M346" s="122">
        <f t="shared" si="12"/>
        <v>2842</v>
      </c>
      <c r="N346" s="136" t="s">
        <v>243</v>
      </c>
      <c r="O346" s="199">
        <v>45751</v>
      </c>
      <c r="P346" s="156"/>
      <c r="Q346" s="169"/>
    </row>
    <row r="347" spans="1:17" x14ac:dyDescent="0.35">
      <c r="A347" s="243" t="s">
        <v>876</v>
      </c>
      <c r="B347" s="243" t="s">
        <v>877</v>
      </c>
      <c r="C347" s="242">
        <v>64718</v>
      </c>
      <c r="D347" s="119" t="s">
        <v>805</v>
      </c>
      <c r="E347" s="110" t="s">
        <v>240</v>
      </c>
      <c r="F347" s="110" t="s">
        <v>2658</v>
      </c>
      <c r="G347" s="110" t="s">
        <v>1957</v>
      </c>
      <c r="H347" s="110">
        <v>2</v>
      </c>
      <c r="I347" s="110" t="s">
        <v>403</v>
      </c>
      <c r="J347" s="110">
        <v>3897</v>
      </c>
      <c r="K347" s="122">
        <v>996</v>
      </c>
      <c r="L347" s="122">
        <f t="shared" si="11"/>
        <v>159.36000000000001</v>
      </c>
      <c r="M347" s="122">
        <f t="shared" si="12"/>
        <v>1155.3600000000001</v>
      </c>
      <c r="N347" s="136" t="s">
        <v>243</v>
      </c>
      <c r="O347" s="199">
        <v>45751</v>
      </c>
      <c r="P347" s="156"/>
      <c r="Q347" s="169"/>
    </row>
    <row r="348" spans="1:17" x14ac:dyDescent="0.35">
      <c r="A348" s="244" t="s">
        <v>1444</v>
      </c>
      <c r="B348" s="244" t="s">
        <v>1445</v>
      </c>
      <c r="C348" s="242">
        <v>64000</v>
      </c>
      <c r="D348" s="119" t="s">
        <v>818</v>
      </c>
      <c r="E348" s="110" t="s">
        <v>240</v>
      </c>
      <c r="F348" s="123" t="s">
        <v>2659</v>
      </c>
      <c r="G348" s="110" t="s">
        <v>1957</v>
      </c>
      <c r="H348" s="110">
        <v>2</v>
      </c>
      <c r="I348" s="110" t="s">
        <v>403</v>
      </c>
      <c r="J348" s="110">
        <v>3898</v>
      </c>
      <c r="K348" s="122">
        <v>600</v>
      </c>
      <c r="L348" s="122">
        <f t="shared" si="11"/>
        <v>96</v>
      </c>
      <c r="M348" s="122">
        <f t="shared" si="12"/>
        <v>696</v>
      </c>
      <c r="N348" s="136" t="s">
        <v>243</v>
      </c>
      <c r="O348" s="199">
        <v>45754</v>
      </c>
      <c r="P348" s="156"/>
      <c r="Q348" s="169"/>
    </row>
    <row r="349" spans="1:17" x14ac:dyDescent="0.35">
      <c r="A349" s="119" t="s">
        <v>1451</v>
      </c>
      <c r="B349" s="119" t="s">
        <v>1452</v>
      </c>
      <c r="C349" s="242">
        <v>64760</v>
      </c>
      <c r="D349" s="119" t="s">
        <v>806</v>
      </c>
      <c r="E349" s="110" t="s">
        <v>240</v>
      </c>
      <c r="F349" s="123" t="s">
        <v>2660</v>
      </c>
      <c r="G349" s="110" t="s">
        <v>1957</v>
      </c>
      <c r="H349" s="110">
        <v>2</v>
      </c>
      <c r="I349" s="110" t="s">
        <v>403</v>
      </c>
      <c r="J349" s="110">
        <v>3899</v>
      </c>
      <c r="K349" s="122">
        <v>300</v>
      </c>
      <c r="L349" s="122">
        <f t="shared" si="11"/>
        <v>48</v>
      </c>
      <c r="M349" s="122">
        <f t="shared" si="12"/>
        <v>348</v>
      </c>
      <c r="N349" s="136" t="s">
        <v>243</v>
      </c>
      <c r="O349" s="199">
        <v>45775</v>
      </c>
      <c r="P349" s="156"/>
      <c r="Q349" s="169"/>
    </row>
    <row r="350" spans="1:17" x14ac:dyDescent="0.35">
      <c r="A350" s="244" t="s">
        <v>1683</v>
      </c>
      <c r="B350" s="244" t="s">
        <v>1684</v>
      </c>
      <c r="C350" s="242">
        <v>64000</v>
      </c>
      <c r="D350" s="119" t="s">
        <v>805</v>
      </c>
      <c r="E350" s="110" t="s">
        <v>240</v>
      </c>
      <c r="F350" s="120" t="s">
        <v>2661</v>
      </c>
      <c r="G350" s="110" t="s">
        <v>1957</v>
      </c>
      <c r="H350" s="110">
        <v>2</v>
      </c>
      <c r="I350" s="110" t="s">
        <v>403</v>
      </c>
      <c r="J350" s="110">
        <v>3900</v>
      </c>
      <c r="K350" s="122">
        <v>4172</v>
      </c>
      <c r="L350" s="122">
        <f t="shared" si="11"/>
        <v>667.52</v>
      </c>
      <c r="M350" s="122">
        <f t="shared" si="12"/>
        <v>4839.5200000000004</v>
      </c>
      <c r="N350" s="136" t="s">
        <v>243</v>
      </c>
      <c r="O350" s="124">
        <v>45771</v>
      </c>
      <c r="P350" s="241"/>
      <c r="Q350" s="169"/>
    </row>
    <row r="351" spans="1:17" x14ac:dyDescent="0.35">
      <c r="A351" s="244" t="s">
        <v>1491</v>
      </c>
      <c r="B351" s="244" t="s">
        <v>1492</v>
      </c>
      <c r="C351" s="242">
        <v>64010</v>
      </c>
      <c r="D351" s="247" t="s">
        <v>805</v>
      </c>
      <c r="E351" s="110" t="s">
        <v>240</v>
      </c>
      <c r="F351" s="123" t="s">
        <v>2662</v>
      </c>
      <c r="G351" s="110" t="s">
        <v>1957</v>
      </c>
      <c r="H351" s="110">
        <v>2</v>
      </c>
      <c r="I351" s="110" t="s">
        <v>403</v>
      </c>
      <c r="J351" s="110">
        <v>3901</v>
      </c>
      <c r="K351" s="139">
        <v>5400</v>
      </c>
      <c r="L351" s="122">
        <f t="shared" si="11"/>
        <v>864</v>
      </c>
      <c r="M351" s="122">
        <f t="shared" si="12"/>
        <v>6264</v>
      </c>
      <c r="N351" s="136" t="s">
        <v>243</v>
      </c>
      <c r="O351" s="199">
        <v>45754</v>
      </c>
      <c r="P351" s="156"/>
      <c r="Q351" s="169"/>
    </row>
    <row r="352" spans="1:17" x14ac:dyDescent="0.35">
      <c r="A352" s="119" t="s">
        <v>204</v>
      </c>
      <c r="B352" s="119" t="s">
        <v>205</v>
      </c>
      <c r="C352" s="242">
        <v>89515</v>
      </c>
      <c r="D352" s="119" t="s">
        <v>806</v>
      </c>
      <c r="E352" s="110" t="s">
        <v>240</v>
      </c>
      <c r="F352" s="110" t="s">
        <v>2663</v>
      </c>
      <c r="G352" s="110" t="s">
        <v>1957</v>
      </c>
      <c r="H352" s="110">
        <v>2</v>
      </c>
      <c r="I352" s="110" t="s">
        <v>403</v>
      </c>
      <c r="J352" s="110">
        <v>3902</v>
      </c>
      <c r="K352" s="122">
        <v>4150</v>
      </c>
      <c r="L352" s="122">
        <f t="shared" si="11"/>
        <v>664</v>
      </c>
      <c r="M352" s="122">
        <f t="shared" si="12"/>
        <v>4814</v>
      </c>
      <c r="N352" s="136" t="s">
        <v>243</v>
      </c>
      <c r="O352" s="199">
        <v>45755</v>
      </c>
      <c r="P352" s="156"/>
      <c r="Q352" s="169"/>
    </row>
    <row r="353" spans="1:17" x14ac:dyDescent="0.35">
      <c r="A353" s="119" t="s">
        <v>206</v>
      </c>
      <c r="B353" s="119" t="s">
        <v>207</v>
      </c>
      <c r="C353" s="242">
        <v>64020</v>
      </c>
      <c r="D353" s="119" t="s">
        <v>805</v>
      </c>
      <c r="E353" s="411" t="s">
        <v>241</v>
      </c>
      <c r="F353" s="110" t="s">
        <v>2664</v>
      </c>
      <c r="G353" s="110" t="s">
        <v>1957</v>
      </c>
      <c r="H353" s="110">
        <v>2</v>
      </c>
      <c r="I353" s="110" t="s">
        <v>403</v>
      </c>
      <c r="J353" s="110">
        <v>3903</v>
      </c>
      <c r="K353" s="122">
        <v>300</v>
      </c>
      <c r="L353" s="117">
        <f t="shared" si="11"/>
        <v>48</v>
      </c>
      <c r="M353" s="117">
        <f t="shared" si="12"/>
        <v>348</v>
      </c>
      <c r="N353" s="136"/>
      <c r="O353" s="199"/>
      <c r="P353" s="156"/>
      <c r="Q353" s="169"/>
    </row>
    <row r="354" spans="1:17" x14ac:dyDescent="0.35">
      <c r="A354" s="119" t="s">
        <v>823</v>
      </c>
      <c r="B354" s="119" t="s">
        <v>208</v>
      </c>
      <c r="C354" s="242">
        <v>64020</v>
      </c>
      <c r="D354" s="119" t="s">
        <v>805</v>
      </c>
      <c r="E354" s="411" t="s">
        <v>241</v>
      </c>
      <c r="F354" s="123" t="s">
        <v>2665</v>
      </c>
      <c r="G354" s="110" t="s">
        <v>1957</v>
      </c>
      <c r="H354" s="110">
        <v>2</v>
      </c>
      <c r="I354" s="110" t="s">
        <v>403</v>
      </c>
      <c r="J354" s="110">
        <v>3904</v>
      </c>
      <c r="K354" s="122">
        <v>600</v>
      </c>
      <c r="L354" s="122">
        <f t="shared" si="11"/>
        <v>96</v>
      </c>
      <c r="M354" s="122">
        <f t="shared" si="12"/>
        <v>696</v>
      </c>
      <c r="N354" s="136" t="s">
        <v>243</v>
      </c>
      <c r="O354" s="199">
        <v>45754</v>
      </c>
      <c r="P354" s="156"/>
      <c r="Q354" s="169"/>
    </row>
    <row r="355" spans="1:17" x14ac:dyDescent="0.35">
      <c r="A355" s="243" t="s">
        <v>1457</v>
      </c>
      <c r="B355" s="243" t="s">
        <v>1456</v>
      </c>
      <c r="C355" s="242">
        <v>66024</v>
      </c>
      <c r="D355" s="142" t="s">
        <v>806</v>
      </c>
      <c r="E355" s="110" t="s">
        <v>240</v>
      </c>
      <c r="F355" s="123" t="s">
        <v>2666</v>
      </c>
      <c r="G355" s="110" t="s">
        <v>1957</v>
      </c>
      <c r="H355" s="110">
        <v>2</v>
      </c>
      <c r="I355" s="110" t="s">
        <v>403</v>
      </c>
      <c r="J355" s="110">
        <v>3905</v>
      </c>
      <c r="K355" s="122">
        <v>900</v>
      </c>
      <c r="L355" s="117">
        <f t="shared" si="11"/>
        <v>144</v>
      </c>
      <c r="M355" s="117">
        <f t="shared" si="12"/>
        <v>1044</v>
      </c>
      <c r="N355" s="136" t="s">
        <v>243</v>
      </c>
      <c r="O355" s="199">
        <v>45757</v>
      </c>
      <c r="P355" s="156"/>
      <c r="Q355" s="169"/>
    </row>
    <row r="356" spans="1:17" x14ac:dyDescent="0.35">
      <c r="A356" s="119" t="s">
        <v>200</v>
      </c>
      <c r="B356" s="119" t="s">
        <v>201</v>
      </c>
      <c r="C356" s="242">
        <v>66052</v>
      </c>
      <c r="D356" s="119" t="s">
        <v>805</v>
      </c>
      <c r="E356" s="110" t="s">
        <v>240</v>
      </c>
      <c r="F356" s="110" t="s">
        <v>2667</v>
      </c>
      <c r="G356" s="110" t="s">
        <v>1957</v>
      </c>
      <c r="H356" s="110">
        <v>2</v>
      </c>
      <c r="I356" s="110" t="s">
        <v>403</v>
      </c>
      <c r="J356" s="110">
        <v>3906</v>
      </c>
      <c r="K356" s="122">
        <v>900</v>
      </c>
      <c r="L356" s="122">
        <f t="shared" si="11"/>
        <v>144</v>
      </c>
      <c r="M356" s="122">
        <f t="shared" si="12"/>
        <v>1044</v>
      </c>
      <c r="N356" s="136" t="s">
        <v>243</v>
      </c>
      <c r="O356" s="199">
        <v>45758</v>
      </c>
      <c r="P356" s="156"/>
      <c r="Q356" s="169"/>
    </row>
    <row r="357" spans="1:17" x14ac:dyDescent="0.35">
      <c r="A357" s="119" t="s">
        <v>2455</v>
      </c>
      <c r="B357" s="244" t="s">
        <v>2456</v>
      </c>
      <c r="C357" s="242">
        <v>64570</v>
      </c>
      <c r="D357" s="142" t="s">
        <v>818</v>
      </c>
      <c r="E357" s="110" t="s">
        <v>240</v>
      </c>
      <c r="F357" s="110" t="s">
        <v>2668</v>
      </c>
      <c r="G357" s="110" t="s">
        <v>1957</v>
      </c>
      <c r="H357" s="110">
        <v>2</v>
      </c>
      <c r="I357" s="110" t="s">
        <v>403</v>
      </c>
      <c r="J357" s="110">
        <v>3907</v>
      </c>
      <c r="K357" s="122">
        <v>500</v>
      </c>
      <c r="L357" s="122">
        <f t="shared" si="11"/>
        <v>80</v>
      </c>
      <c r="M357" s="122">
        <f t="shared" si="12"/>
        <v>580</v>
      </c>
      <c r="N357" s="136" t="s">
        <v>243</v>
      </c>
      <c r="O357" s="199">
        <v>45757</v>
      </c>
      <c r="P357" s="156"/>
      <c r="Q357" s="169"/>
    </row>
    <row r="358" spans="1:17" x14ac:dyDescent="0.35">
      <c r="A358" s="119" t="s">
        <v>780</v>
      </c>
      <c r="B358" s="119" t="s">
        <v>826</v>
      </c>
      <c r="C358" s="242">
        <v>45019</v>
      </c>
      <c r="D358" s="119" t="s">
        <v>805</v>
      </c>
      <c r="E358" s="110" t="s">
        <v>240</v>
      </c>
      <c r="F358" s="110" t="s">
        <v>2669</v>
      </c>
      <c r="G358" s="110" t="s">
        <v>1957</v>
      </c>
      <c r="H358" s="110">
        <v>2</v>
      </c>
      <c r="I358" s="110" t="s">
        <v>403</v>
      </c>
      <c r="J358" s="110">
        <v>3908</v>
      </c>
      <c r="K358" s="122">
        <v>1200</v>
      </c>
      <c r="L358" s="117">
        <f t="shared" si="11"/>
        <v>192</v>
      </c>
      <c r="M358" s="117">
        <f t="shared" si="12"/>
        <v>1392</v>
      </c>
      <c r="N358" s="136" t="s">
        <v>243</v>
      </c>
      <c r="O358" s="199">
        <v>45749</v>
      </c>
      <c r="P358" s="156"/>
      <c r="Q358" s="169"/>
    </row>
    <row r="359" spans="1:17" x14ac:dyDescent="0.35">
      <c r="A359" s="244" t="s">
        <v>816</v>
      </c>
      <c r="B359" s="244" t="s">
        <v>817</v>
      </c>
      <c r="C359" s="245">
        <v>64000</v>
      </c>
      <c r="D359" s="247" t="s">
        <v>818</v>
      </c>
      <c r="E359" s="110" t="s">
        <v>240</v>
      </c>
      <c r="F359" s="123" t="s">
        <v>2670</v>
      </c>
      <c r="G359" s="110" t="s">
        <v>1957</v>
      </c>
      <c r="H359" s="110">
        <v>2</v>
      </c>
      <c r="I359" s="110" t="s">
        <v>403</v>
      </c>
      <c r="J359" s="110">
        <v>3909</v>
      </c>
      <c r="K359" s="122">
        <v>750</v>
      </c>
      <c r="L359" s="122">
        <f t="shared" si="11"/>
        <v>120</v>
      </c>
      <c r="M359" s="122">
        <f t="shared" si="12"/>
        <v>870</v>
      </c>
      <c r="N359" s="136" t="s">
        <v>243</v>
      </c>
      <c r="O359" s="199">
        <v>45751</v>
      </c>
      <c r="P359" s="156"/>
      <c r="Q359" s="169"/>
    </row>
    <row r="360" spans="1:17" x14ac:dyDescent="0.35">
      <c r="A360" s="142" t="s">
        <v>833</v>
      </c>
      <c r="B360" s="142" t="s">
        <v>834</v>
      </c>
      <c r="C360" s="110">
        <v>67250</v>
      </c>
      <c r="D360" s="142" t="s">
        <v>806</v>
      </c>
      <c r="E360" s="110" t="s">
        <v>240</v>
      </c>
      <c r="F360" s="110" t="s">
        <v>2671</v>
      </c>
      <c r="G360" s="110" t="s">
        <v>1957</v>
      </c>
      <c r="H360" s="110">
        <v>2</v>
      </c>
      <c r="I360" s="110" t="s">
        <v>403</v>
      </c>
      <c r="J360" s="110">
        <v>3910</v>
      </c>
      <c r="K360" s="122">
        <v>300</v>
      </c>
      <c r="L360" s="117">
        <f t="shared" si="11"/>
        <v>48</v>
      </c>
      <c r="M360" s="117">
        <f t="shared" si="12"/>
        <v>348</v>
      </c>
      <c r="N360" s="136" t="s">
        <v>243</v>
      </c>
      <c r="O360" s="199">
        <v>45757</v>
      </c>
      <c r="P360" s="156"/>
      <c r="Q360" s="169"/>
    </row>
    <row r="361" spans="1:17" x14ac:dyDescent="0.35">
      <c r="A361" s="120" t="s">
        <v>245</v>
      </c>
      <c r="B361" s="120" t="s">
        <v>247</v>
      </c>
      <c r="C361" s="169">
        <v>66650</v>
      </c>
      <c r="D361" s="120" t="s">
        <v>805</v>
      </c>
      <c r="E361" s="110" t="s">
        <v>240</v>
      </c>
      <c r="F361" s="110" t="s">
        <v>2672</v>
      </c>
      <c r="G361" s="110" t="s">
        <v>1957</v>
      </c>
      <c r="H361" s="110">
        <v>2</v>
      </c>
      <c r="I361" s="110" t="s">
        <v>403</v>
      </c>
      <c r="J361" s="110">
        <v>3911</v>
      </c>
      <c r="K361" s="122">
        <v>1396</v>
      </c>
      <c r="L361" s="122">
        <f t="shared" si="11"/>
        <v>223.36</v>
      </c>
      <c r="M361" s="122">
        <f t="shared" si="12"/>
        <v>1619.3600000000001</v>
      </c>
      <c r="N361" s="136" t="s">
        <v>243</v>
      </c>
      <c r="O361" s="199">
        <v>45757</v>
      </c>
      <c r="P361" s="156"/>
      <c r="Q361" s="169"/>
    </row>
    <row r="362" spans="1:17" x14ac:dyDescent="0.35">
      <c r="A362" s="243" t="s">
        <v>1403</v>
      </c>
      <c r="B362" s="243" t="s">
        <v>1404</v>
      </c>
      <c r="C362" s="242">
        <v>64410</v>
      </c>
      <c r="D362" s="119" t="s">
        <v>805</v>
      </c>
      <c r="E362" s="110" t="s">
        <v>240</v>
      </c>
      <c r="F362" s="110" t="s">
        <v>2786</v>
      </c>
      <c r="G362" s="110" t="s">
        <v>1957</v>
      </c>
      <c r="H362" s="110">
        <v>2</v>
      </c>
      <c r="I362" s="110" t="s">
        <v>403</v>
      </c>
      <c r="J362" s="110">
        <v>3912</v>
      </c>
      <c r="K362" s="122">
        <v>0</v>
      </c>
      <c r="L362" s="117">
        <f t="shared" si="11"/>
        <v>0</v>
      </c>
      <c r="M362" s="117">
        <f t="shared" si="12"/>
        <v>0</v>
      </c>
      <c r="N362" s="132" t="s">
        <v>1890</v>
      </c>
      <c r="O362" s="199">
        <v>45750</v>
      </c>
      <c r="P362" s="156">
        <f>4500*0.16+4500</f>
        <v>5220</v>
      </c>
      <c r="Q362" s="169"/>
    </row>
    <row r="363" spans="1:17" x14ac:dyDescent="0.35">
      <c r="A363" s="248" t="s">
        <v>1067</v>
      </c>
      <c r="B363" s="244" t="s">
        <v>1068</v>
      </c>
      <c r="C363" s="169">
        <v>64030</v>
      </c>
      <c r="D363" s="120" t="s">
        <v>805</v>
      </c>
      <c r="E363" s="110" t="s">
        <v>240</v>
      </c>
      <c r="F363" s="110" t="s">
        <v>2673</v>
      </c>
      <c r="G363" s="110" t="s">
        <v>1957</v>
      </c>
      <c r="H363" s="110">
        <v>2</v>
      </c>
      <c r="I363" s="110" t="s">
        <v>403</v>
      </c>
      <c r="J363" s="110">
        <v>3913</v>
      </c>
      <c r="K363" s="122">
        <v>6960</v>
      </c>
      <c r="L363" s="117">
        <f t="shared" si="11"/>
        <v>1113.6000000000001</v>
      </c>
      <c r="M363" s="117">
        <f t="shared" si="12"/>
        <v>8073.6</v>
      </c>
      <c r="N363" s="136" t="s">
        <v>243</v>
      </c>
      <c r="O363" s="199">
        <v>45751</v>
      </c>
      <c r="P363" s="156"/>
      <c r="Q363" s="169"/>
    </row>
    <row r="364" spans="1:17" x14ac:dyDescent="0.35">
      <c r="A364" s="119" t="s">
        <v>209</v>
      </c>
      <c r="B364" s="119" t="s">
        <v>210</v>
      </c>
      <c r="C364" s="242">
        <v>67110</v>
      </c>
      <c r="D364" s="119" t="s">
        <v>806</v>
      </c>
      <c r="E364" s="411" t="s">
        <v>241</v>
      </c>
      <c r="F364" s="123" t="s">
        <v>2674</v>
      </c>
      <c r="G364" s="110" t="s">
        <v>1957</v>
      </c>
      <c r="H364" s="110">
        <v>2</v>
      </c>
      <c r="I364" s="110" t="s">
        <v>403</v>
      </c>
      <c r="J364" s="110">
        <v>3914</v>
      </c>
      <c r="K364" s="122">
        <v>1320</v>
      </c>
      <c r="L364" s="122">
        <f t="shared" si="11"/>
        <v>211.20000000000002</v>
      </c>
      <c r="M364" s="122">
        <f t="shared" si="12"/>
        <v>1531.2</v>
      </c>
      <c r="N364" s="136" t="s">
        <v>243</v>
      </c>
      <c r="O364" s="199">
        <v>45750</v>
      </c>
      <c r="P364" s="156"/>
      <c r="Q364" s="169"/>
    </row>
    <row r="365" spans="1:17" x14ac:dyDescent="0.35">
      <c r="A365" s="119" t="s">
        <v>2443</v>
      </c>
      <c r="B365" s="244" t="s">
        <v>2442</v>
      </c>
      <c r="C365" s="242">
        <v>36878</v>
      </c>
      <c r="D365" s="142" t="s">
        <v>818</v>
      </c>
      <c r="E365" s="110" t="s">
        <v>240</v>
      </c>
      <c r="F365" s="123" t="s">
        <v>2675</v>
      </c>
      <c r="G365" s="110" t="s">
        <v>1957</v>
      </c>
      <c r="H365" s="110">
        <v>2</v>
      </c>
      <c r="I365" s="110" t="s">
        <v>403</v>
      </c>
      <c r="J365" s="110">
        <v>3915</v>
      </c>
      <c r="K365" s="122">
        <v>1280</v>
      </c>
      <c r="L365" s="122">
        <f t="shared" si="11"/>
        <v>204.8</v>
      </c>
      <c r="M365" s="122">
        <f t="shared" si="12"/>
        <v>1484.8</v>
      </c>
      <c r="N365" s="136" t="s">
        <v>243</v>
      </c>
      <c r="O365" s="199">
        <v>45751</v>
      </c>
      <c r="P365" s="156"/>
      <c r="Q365" s="169"/>
    </row>
    <row r="366" spans="1:17" x14ac:dyDescent="0.35">
      <c r="A366" s="244" t="s">
        <v>1028</v>
      </c>
      <c r="B366" s="244" t="s">
        <v>1029</v>
      </c>
      <c r="C366" s="245">
        <v>66607</v>
      </c>
      <c r="D366" s="119" t="s">
        <v>915</v>
      </c>
      <c r="E366" s="110" t="s">
        <v>240</v>
      </c>
      <c r="F366" s="110" t="s">
        <v>2676</v>
      </c>
      <c r="G366" s="110" t="s">
        <v>1957</v>
      </c>
      <c r="H366" s="110">
        <v>2</v>
      </c>
      <c r="I366" s="110" t="s">
        <v>403</v>
      </c>
      <c r="J366" s="110">
        <v>3916</v>
      </c>
      <c r="K366" s="122">
        <v>300</v>
      </c>
      <c r="L366" s="117">
        <f t="shared" si="11"/>
        <v>48</v>
      </c>
      <c r="M366" s="117">
        <f t="shared" si="12"/>
        <v>348</v>
      </c>
      <c r="N366" s="136"/>
      <c r="O366" s="199"/>
      <c r="P366" s="156"/>
      <c r="Q366" s="169"/>
    </row>
    <row r="367" spans="1:17" x14ac:dyDescent="0.35">
      <c r="A367" s="244" t="s">
        <v>913</v>
      </c>
      <c r="B367" s="244" t="s">
        <v>914</v>
      </c>
      <c r="C367" s="245">
        <v>67150</v>
      </c>
      <c r="D367" s="247" t="s">
        <v>915</v>
      </c>
      <c r="E367" s="110" t="s">
        <v>240</v>
      </c>
      <c r="F367" s="110" t="s">
        <v>2677</v>
      </c>
      <c r="G367" s="110" t="s">
        <v>1957</v>
      </c>
      <c r="H367" s="110">
        <v>2</v>
      </c>
      <c r="I367" s="110" t="s">
        <v>403</v>
      </c>
      <c r="J367" s="110">
        <v>3917</v>
      </c>
      <c r="K367" s="122">
        <v>1200</v>
      </c>
      <c r="L367" s="122">
        <f t="shared" si="11"/>
        <v>192</v>
      </c>
      <c r="M367" s="122">
        <f t="shared" si="12"/>
        <v>1392</v>
      </c>
      <c r="N367" s="136" t="s">
        <v>243</v>
      </c>
      <c r="O367" s="199">
        <v>45753</v>
      </c>
      <c r="P367" s="275"/>
      <c r="Q367" s="169"/>
    </row>
    <row r="368" spans="1:17" x14ac:dyDescent="0.35">
      <c r="A368" s="119" t="s">
        <v>827</v>
      </c>
      <c r="B368" s="119" t="s">
        <v>828</v>
      </c>
      <c r="C368" s="242">
        <v>66477</v>
      </c>
      <c r="D368" s="119" t="s">
        <v>901</v>
      </c>
      <c r="E368" s="411" t="s">
        <v>848</v>
      </c>
      <c r="F368" s="123" t="s">
        <v>2678</v>
      </c>
      <c r="G368" s="110" t="s">
        <v>1957</v>
      </c>
      <c r="H368" s="110">
        <v>2</v>
      </c>
      <c r="I368" s="110" t="s">
        <v>403</v>
      </c>
      <c r="J368" s="110">
        <v>3918</v>
      </c>
      <c r="K368" s="122">
        <v>0</v>
      </c>
      <c r="L368" s="117">
        <f t="shared" si="11"/>
        <v>0</v>
      </c>
      <c r="M368" s="117">
        <f t="shared" si="12"/>
        <v>0</v>
      </c>
      <c r="N368" s="132" t="s">
        <v>1890</v>
      </c>
      <c r="O368" s="199">
        <v>45768</v>
      </c>
      <c r="P368" s="156">
        <f>660*0.16+660</f>
        <v>765.6</v>
      </c>
      <c r="Q368" s="169"/>
    </row>
    <row r="369" spans="1:17" x14ac:dyDescent="0.35">
      <c r="A369" s="119" t="s">
        <v>220</v>
      </c>
      <c r="B369" s="119" t="s">
        <v>221</v>
      </c>
      <c r="C369" s="242">
        <v>66460</v>
      </c>
      <c r="D369" s="119" t="s">
        <v>806</v>
      </c>
      <c r="E369" s="110" t="s">
        <v>240</v>
      </c>
      <c r="F369" s="123" t="s">
        <v>2679</v>
      </c>
      <c r="G369" s="110" t="s">
        <v>1957</v>
      </c>
      <c r="H369" s="110">
        <v>2</v>
      </c>
      <c r="I369" s="110" t="s">
        <v>403</v>
      </c>
      <c r="J369" s="110">
        <v>3919</v>
      </c>
      <c r="K369" s="122">
        <v>4046</v>
      </c>
      <c r="L369" s="122">
        <f t="shared" si="11"/>
        <v>647.36</v>
      </c>
      <c r="M369" s="122">
        <f t="shared" si="12"/>
        <v>4693.3599999999997</v>
      </c>
      <c r="N369" s="136" t="s">
        <v>243</v>
      </c>
      <c r="O369" s="199">
        <v>45770</v>
      </c>
      <c r="P369" s="275"/>
      <c r="Q369" s="169"/>
    </row>
    <row r="370" spans="1:17" x14ac:dyDescent="0.35">
      <c r="A370" s="119" t="s">
        <v>712</v>
      </c>
      <c r="B370" s="119" t="s">
        <v>829</v>
      </c>
      <c r="C370" s="242">
        <v>66070</v>
      </c>
      <c r="D370" s="119" t="s">
        <v>830</v>
      </c>
      <c r="E370" s="110" t="s">
        <v>240</v>
      </c>
      <c r="F370" s="123" t="s">
        <v>2680</v>
      </c>
      <c r="G370" s="110" t="s">
        <v>1957</v>
      </c>
      <c r="H370" s="110">
        <v>2</v>
      </c>
      <c r="I370" s="110" t="s">
        <v>403</v>
      </c>
      <c r="J370" s="110">
        <v>3920</v>
      </c>
      <c r="K370" s="122">
        <v>1200</v>
      </c>
      <c r="L370" s="117">
        <f t="shared" si="11"/>
        <v>192</v>
      </c>
      <c r="M370" s="117">
        <f t="shared" si="12"/>
        <v>1392</v>
      </c>
      <c r="N370" s="136" t="s">
        <v>243</v>
      </c>
      <c r="O370" s="199">
        <v>45749</v>
      </c>
      <c r="P370" s="156"/>
      <c r="Q370" s="169"/>
    </row>
    <row r="371" spans="1:17" x14ac:dyDescent="0.35">
      <c r="A371" s="244" t="s">
        <v>1551</v>
      </c>
      <c r="B371" s="244" t="s">
        <v>1553</v>
      </c>
      <c r="C371" s="242">
        <v>76079</v>
      </c>
      <c r="D371" s="247" t="s">
        <v>915</v>
      </c>
      <c r="E371" s="110" t="s">
        <v>240</v>
      </c>
      <c r="F371" s="123" t="s">
        <v>2681</v>
      </c>
      <c r="G371" s="110" t="s">
        <v>1957</v>
      </c>
      <c r="H371" s="110">
        <v>2</v>
      </c>
      <c r="I371" s="110" t="s">
        <v>403</v>
      </c>
      <c r="J371" s="110">
        <v>3921</v>
      </c>
      <c r="K371" s="122">
        <v>200</v>
      </c>
      <c r="L371" s="122">
        <f t="shared" si="11"/>
        <v>32</v>
      </c>
      <c r="M371" s="122">
        <f t="shared" si="12"/>
        <v>232</v>
      </c>
      <c r="N371" s="136" t="s">
        <v>243</v>
      </c>
      <c r="O371" s="199">
        <v>45749</v>
      </c>
      <c r="P371" s="156"/>
      <c r="Q371" s="169"/>
    </row>
    <row r="372" spans="1:17" x14ac:dyDescent="0.35">
      <c r="A372" s="244" t="s">
        <v>831</v>
      </c>
      <c r="B372" s="244" t="s">
        <v>832</v>
      </c>
      <c r="C372" s="110">
        <v>64530</v>
      </c>
      <c r="D372" s="142" t="s">
        <v>805</v>
      </c>
      <c r="E372" s="110" t="s">
        <v>240</v>
      </c>
      <c r="F372" s="123" t="s">
        <v>2682</v>
      </c>
      <c r="G372" s="110" t="s">
        <v>1957</v>
      </c>
      <c r="H372" s="110">
        <v>2</v>
      </c>
      <c r="I372" s="110" t="s">
        <v>403</v>
      </c>
      <c r="J372" s="110">
        <v>3922</v>
      </c>
      <c r="K372" s="122">
        <v>300</v>
      </c>
      <c r="L372" s="117">
        <f t="shared" si="11"/>
        <v>48</v>
      </c>
      <c r="M372" s="117">
        <f t="shared" si="12"/>
        <v>348</v>
      </c>
      <c r="N372" s="136" t="s">
        <v>243</v>
      </c>
      <c r="O372" s="124">
        <v>45755</v>
      </c>
      <c r="P372" s="156"/>
      <c r="Q372" s="169"/>
    </row>
    <row r="373" spans="1:17" x14ac:dyDescent="0.35">
      <c r="A373" s="244" t="s">
        <v>1619</v>
      </c>
      <c r="B373" s="244" t="s">
        <v>1620</v>
      </c>
      <c r="C373" s="110">
        <v>67196</v>
      </c>
      <c r="D373" s="119" t="s">
        <v>806</v>
      </c>
      <c r="E373" s="110" t="s">
        <v>240</v>
      </c>
      <c r="F373" s="382" t="s">
        <v>2683</v>
      </c>
      <c r="G373" s="110" t="s">
        <v>1957</v>
      </c>
      <c r="H373" s="110">
        <v>2</v>
      </c>
      <c r="I373" s="110" t="s">
        <v>403</v>
      </c>
      <c r="J373" s="110">
        <v>3923</v>
      </c>
      <c r="K373" s="139">
        <v>250</v>
      </c>
      <c r="L373" s="122">
        <f t="shared" si="11"/>
        <v>40</v>
      </c>
      <c r="M373" s="122">
        <f t="shared" si="12"/>
        <v>290</v>
      </c>
      <c r="N373" s="136" t="s">
        <v>243</v>
      </c>
      <c r="O373" s="124">
        <v>45775</v>
      </c>
      <c r="P373" s="156"/>
      <c r="Q373" s="169"/>
    </row>
    <row r="374" spans="1:17" x14ac:dyDescent="0.35">
      <c r="A374" s="244" t="s">
        <v>533</v>
      </c>
      <c r="B374" s="244" t="s">
        <v>835</v>
      </c>
      <c r="C374" s="245">
        <v>89110</v>
      </c>
      <c r="D374" s="119" t="s">
        <v>805</v>
      </c>
      <c r="E374" s="110" t="s">
        <v>240</v>
      </c>
      <c r="F374" s="110" t="s">
        <v>2684</v>
      </c>
      <c r="G374" s="110" t="s">
        <v>1957</v>
      </c>
      <c r="H374" s="110">
        <v>2</v>
      </c>
      <c r="I374" s="110" t="s">
        <v>403</v>
      </c>
      <c r="J374" s="110">
        <v>3924</v>
      </c>
      <c r="K374" s="122">
        <v>4233</v>
      </c>
      <c r="L374" s="117">
        <f t="shared" si="11"/>
        <v>677.28</v>
      </c>
      <c r="M374" s="117">
        <f t="shared" si="12"/>
        <v>4910.28</v>
      </c>
      <c r="N374" s="136" t="s">
        <v>243</v>
      </c>
      <c r="O374" s="199">
        <v>45751</v>
      </c>
      <c r="P374" s="156"/>
      <c r="Q374" s="169"/>
    </row>
    <row r="375" spans="1:17" x14ac:dyDescent="0.35">
      <c r="A375" s="142" t="s">
        <v>1670</v>
      </c>
      <c r="B375" s="142" t="s">
        <v>1671</v>
      </c>
      <c r="C375" s="110">
        <v>76000</v>
      </c>
      <c r="D375" s="119" t="s">
        <v>805</v>
      </c>
      <c r="E375" s="110" t="s">
        <v>240</v>
      </c>
      <c r="F375" s="123" t="s">
        <v>2685</v>
      </c>
      <c r="G375" s="110" t="s">
        <v>1957</v>
      </c>
      <c r="H375" s="110">
        <v>2</v>
      </c>
      <c r="I375" s="110" t="s">
        <v>403</v>
      </c>
      <c r="J375" s="110">
        <v>3925</v>
      </c>
      <c r="K375" s="122">
        <v>1200</v>
      </c>
      <c r="L375" s="122">
        <f t="shared" si="11"/>
        <v>192</v>
      </c>
      <c r="M375" s="122">
        <f t="shared" si="12"/>
        <v>1392</v>
      </c>
      <c r="N375" s="136" t="s">
        <v>243</v>
      </c>
      <c r="O375" s="124">
        <v>45751</v>
      </c>
      <c r="P375" s="241"/>
      <c r="Q375" s="169"/>
    </row>
    <row r="376" spans="1:17" x14ac:dyDescent="0.35">
      <c r="A376" s="248" t="s">
        <v>836</v>
      </c>
      <c r="B376" s="244" t="s">
        <v>837</v>
      </c>
      <c r="C376" s="110">
        <v>66062</v>
      </c>
      <c r="D376" s="248" t="s">
        <v>805</v>
      </c>
      <c r="E376" s="110" t="s">
        <v>240</v>
      </c>
      <c r="F376" s="1" t="s">
        <v>2686</v>
      </c>
      <c r="G376" s="110" t="s">
        <v>1957</v>
      </c>
      <c r="H376" s="110">
        <v>2</v>
      </c>
      <c r="I376" s="110" t="s">
        <v>403</v>
      </c>
      <c r="J376" s="110">
        <v>3926</v>
      </c>
      <c r="K376" s="122">
        <v>498</v>
      </c>
      <c r="L376" s="117">
        <f t="shared" si="11"/>
        <v>79.680000000000007</v>
      </c>
      <c r="M376" s="117">
        <f t="shared" si="12"/>
        <v>577.68000000000006</v>
      </c>
      <c r="N376" s="136" t="s">
        <v>243</v>
      </c>
      <c r="O376" s="199">
        <v>45757</v>
      </c>
      <c r="P376" s="156"/>
      <c r="Q376" s="169"/>
    </row>
    <row r="377" spans="1:17" x14ac:dyDescent="0.35">
      <c r="A377" s="248" t="s">
        <v>323</v>
      </c>
      <c r="B377" s="244" t="s">
        <v>2687</v>
      </c>
      <c r="C377" s="110">
        <v>64290</v>
      </c>
      <c r="D377" s="120" t="s">
        <v>805</v>
      </c>
      <c r="E377" s="110" t="s">
        <v>240</v>
      </c>
      <c r="F377" s="1" t="s">
        <v>2688</v>
      </c>
      <c r="G377" s="110" t="s">
        <v>1957</v>
      </c>
      <c r="H377" s="110">
        <v>2</v>
      </c>
      <c r="I377" s="110" t="s">
        <v>403</v>
      </c>
      <c r="J377" s="110">
        <v>3927</v>
      </c>
      <c r="K377" s="122">
        <v>1494</v>
      </c>
      <c r="L377" s="117">
        <f t="shared" si="11"/>
        <v>239.04</v>
      </c>
      <c r="M377" s="117">
        <f t="shared" si="12"/>
        <v>1733.04</v>
      </c>
      <c r="N377" s="136" t="s">
        <v>243</v>
      </c>
      <c r="O377" s="199">
        <v>45757</v>
      </c>
      <c r="P377" s="156"/>
      <c r="Q377" s="169"/>
    </row>
    <row r="378" spans="1:17" x14ac:dyDescent="0.35">
      <c r="A378" s="119" t="s">
        <v>838</v>
      </c>
      <c r="B378" s="119" t="s">
        <v>211</v>
      </c>
      <c r="C378" s="242">
        <v>64350</v>
      </c>
      <c r="D378" s="119" t="s">
        <v>806</v>
      </c>
      <c r="E378" s="110" t="s">
        <v>240</v>
      </c>
      <c r="F378" s="110" t="s">
        <v>2689</v>
      </c>
      <c r="G378" s="110" t="s">
        <v>1957</v>
      </c>
      <c r="H378" s="110">
        <v>2</v>
      </c>
      <c r="I378" s="110" t="s">
        <v>403</v>
      </c>
      <c r="J378" s="110">
        <v>3928</v>
      </c>
      <c r="K378" s="122">
        <v>300</v>
      </c>
      <c r="L378" s="122">
        <f t="shared" si="11"/>
        <v>48</v>
      </c>
      <c r="M378" s="122">
        <f t="shared" si="12"/>
        <v>348</v>
      </c>
      <c r="N378" s="136" t="s">
        <v>243</v>
      </c>
      <c r="O378" s="199">
        <v>45754</v>
      </c>
      <c r="P378" s="156"/>
      <c r="Q378" s="169"/>
    </row>
    <row r="379" spans="1:17" x14ac:dyDescent="0.35">
      <c r="A379" s="119" t="s">
        <v>53</v>
      </c>
      <c r="B379" s="119" t="s">
        <v>212</v>
      </c>
      <c r="C379" s="242">
        <v>64850</v>
      </c>
      <c r="D379" s="119" t="s">
        <v>806</v>
      </c>
      <c r="E379" s="110" t="s">
        <v>240</v>
      </c>
      <c r="F379" s="123" t="s">
        <v>2690</v>
      </c>
      <c r="G379" s="110" t="s">
        <v>1957</v>
      </c>
      <c r="H379" s="110">
        <v>2</v>
      </c>
      <c r="I379" s="110" t="s">
        <v>403</v>
      </c>
      <c r="J379" s="110">
        <v>3929</v>
      </c>
      <c r="K379" s="122">
        <v>300</v>
      </c>
      <c r="L379" s="117">
        <f t="shared" si="11"/>
        <v>48</v>
      </c>
      <c r="M379" s="117">
        <f t="shared" si="12"/>
        <v>348</v>
      </c>
      <c r="N379" s="136" t="s">
        <v>243</v>
      </c>
      <c r="O379" s="199">
        <v>45754</v>
      </c>
      <c r="P379" s="156"/>
      <c r="Q379" s="169"/>
    </row>
    <row r="380" spans="1:17" x14ac:dyDescent="0.35">
      <c r="A380" s="119" t="s">
        <v>1032</v>
      </c>
      <c r="B380" s="119" t="s">
        <v>1033</v>
      </c>
      <c r="C380" s="242">
        <v>64610</v>
      </c>
      <c r="D380" s="119" t="s">
        <v>915</v>
      </c>
      <c r="E380" s="110" t="s">
        <v>240</v>
      </c>
      <c r="F380" s="383" t="s">
        <v>2691</v>
      </c>
      <c r="G380" s="110" t="s">
        <v>1957</v>
      </c>
      <c r="H380" s="110">
        <v>2</v>
      </c>
      <c r="I380" s="110" t="s">
        <v>403</v>
      </c>
      <c r="J380" s="110">
        <v>3930</v>
      </c>
      <c r="K380" s="122">
        <v>2750</v>
      </c>
      <c r="L380" s="122">
        <f t="shared" si="11"/>
        <v>440</v>
      </c>
      <c r="M380" s="122">
        <f t="shared" si="12"/>
        <v>3190</v>
      </c>
      <c r="N380" s="136" t="s">
        <v>243</v>
      </c>
      <c r="O380" s="199">
        <v>45751</v>
      </c>
      <c r="P380" s="156"/>
      <c r="Q380" s="169"/>
    </row>
    <row r="381" spans="1:17" x14ac:dyDescent="0.35">
      <c r="A381" s="119" t="s">
        <v>1061</v>
      </c>
      <c r="B381" s="119" t="s">
        <v>1060</v>
      </c>
      <c r="C381" s="242">
        <v>66614</v>
      </c>
      <c r="D381" s="119" t="s">
        <v>806</v>
      </c>
      <c r="E381" s="110" t="s">
        <v>240</v>
      </c>
      <c r="F381" s="110" t="s">
        <v>2692</v>
      </c>
      <c r="G381" s="110" t="s">
        <v>1957</v>
      </c>
      <c r="H381" s="110">
        <v>2</v>
      </c>
      <c r="I381" s="110" t="s">
        <v>403</v>
      </c>
      <c r="J381" s="110">
        <v>3931</v>
      </c>
      <c r="K381" s="122">
        <v>750</v>
      </c>
      <c r="L381" s="117">
        <f t="shared" si="11"/>
        <v>120</v>
      </c>
      <c r="M381" s="117">
        <f t="shared" si="12"/>
        <v>870</v>
      </c>
      <c r="N381" s="136" t="s">
        <v>243</v>
      </c>
      <c r="O381" s="199">
        <v>45751</v>
      </c>
      <c r="P381" s="156"/>
      <c r="Q381" s="169"/>
    </row>
    <row r="382" spans="1:17" x14ac:dyDescent="0.35">
      <c r="A382" s="248" t="s">
        <v>964</v>
      </c>
      <c r="B382" s="248" t="s">
        <v>965</v>
      </c>
      <c r="C382" s="169">
        <v>64000</v>
      </c>
      <c r="D382" s="248" t="s">
        <v>805</v>
      </c>
      <c r="E382" s="110" t="s">
        <v>240</v>
      </c>
      <c r="F382" s="123" t="s">
        <v>2693</v>
      </c>
      <c r="G382" s="110" t="s">
        <v>1957</v>
      </c>
      <c r="H382" s="110">
        <v>2</v>
      </c>
      <c r="I382" s="110" t="s">
        <v>403</v>
      </c>
      <c r="J382" s="110">
        <v>3932</v>
      </c>
      <c r="K382" s="122">
        <v>1500</v>
      </c>
      <c r="L382" s="117">
        <f t="shared" si="11"/>
        <v>240</v>
      </c>
      <c r="M382" s="117">
        <f t="shared" si="12"/>
        <v>1740</v>
      </c>
      <c r="N382" s="136" t="s">
        <v>243</v>
      </c>
      <c r="O382" s="199">
        <v>45757</v>
      </c>
      <c r="P382" s="156"/>
      <c r="Q382" s="169"/>
    </row>
    <row r="383" spans="1:17" x14ac:dyDescent="0.35">
      <c r="A383" s="243" t="s">
        <v>1022</v>
      </c>
      <c r="B383" s="243" t="s">
        <v>1023</v>
      </c>
      <c r="C383" s="242">
        <v>66630</v>
      </c>
      <c r="D383" s="119" t="s">
        <v>805</v>
      </c>
      <c r="E383" s="110" t="s">
        <v>240</v>
      </c>
      <c r="F383" s="110" t="s">
        <v>2694</v>
      </c>
      <c r="G383" s="110" t="s">
        <v>1957</v>
      </c>
      <c r="H383" s="110">
        <v>2</v>
      </c>
      <c r="I383" s="110" t="s">
        <v>403</v>
      </c>
      <c r="J383" s="110">
        <v>3933</v>
      </c>
      <c r="K383" s="122">
        <v>4185</v>
      </c>
      <c r="L383" s="117">
        <f t="shared" si="11"/>
        <v>669.6</v>
      </c>
      <c r="M383" s="117">
        <f t="shared" si="12"/>
        <v>4854.6000000000004</v>
      </c>
      <c r="N383" s="136" t="s">
        <v>243</v>
      </c>
      <c r="O383" s="199">
        <v>45772</v>
      </c>
      <c r="P383" s="156"/>
      <c r="Q383" s="169"/>
    </row>
    <row r="384" spans="1:17" x14ac:dyDescent="0.35">
      <c r="A384" s="244" t="s">
        <v>819</v>
      </c>
      <c r="B384" s="244" t="s">
        <v>820</v>
      </c>
      <c r="C384" s="242">
        <v>67113</v>
      </c>
      <c r="D384" s="119" t="s">
        <v>805</v>
      </c>
      <c r="E384" s="110" t="s">
        <v>240</v>
      </c>
      <c r="F384" s="123" t="s">
        <v>2695</v>
      </c>
      <c r="G384" s="110" t="s">
        <v>1957</v>
      </c>
      <c r="H384" s="110">
        <v>2</v>
      </c>
      <c r="I384" s="110" t="s">
        <v>403</v>
      </c>
      <c r="J384" s="110">
        <v>3934</v>
      </c>
      <c r="K384" s="122">
        <v>2602</v>
      </c>
      <c r="L384" s="117">
        <f t="shared" si="11"/>
        <v>416.32</v>
      </c>
      <c r="M384" s="117">
        <f t="shared" si="12"/>
        <v>3018.32</v>
      </c>
      <c r="N384" s="136" t="s">
        <v>243</v>
      </c>
      <c r="O384" s="199">
        <v>45754</v>
      </c>
      <c r="P384" s="156"/>
      <c r="Q384" s="169"/>
    </row>
    <row r="385" spans="1:17" x14ac:dyDescent="0.35">
      <c r="A385" s="119" t="s">
        <v>213</v>
      </c>
      <c r="B385" s="119" t="s">
        <v>214</v>
      </c>
      <c r="C385" s="242">
        <v>64984</v>
      </c>
      <c r="D385" s="119" t="s">
        <v>806</v>
      </c>
      <c r="E385" s="110" t="s">
        <v>240</v>
      </c>
      <c r="F385" s="123" t="s">
        <v>2696</v>
      </c>
      <c r="G385" s="110" t="s">
        <v>1957</v>
      </c>
      <c r="H385" s="110">
        <v>2</v>
      </c>
      <c r="I385" s="110" t="s">
        <v>403</v>
      </c>
      <c r="J385" s="110">
        <v>3935</v>
      </c>
      <c r="K385" s="122">
        <v>4913</v>
      </c>
      <c r="L385" s="117">
        <f t="shared" si="11"/>
        <v>786.08</v>
      </c>
      <c r="M385" s="117">
        <f t="shared" si="12"/>
        <v>5699.08</v>
      </c>
      <c r="N385" s="136" t="s">
        <v>243</v>
      </c>
      <c r="O385" s="199">
        <v>45773</v>
      </c>
      <c r="P385" s="156"/>
      <c r="Q385" s="169"/>
    </row>
    <row r="386" spans="1:17" x14ac:dyDescent="0.35">
      <c r="A386" s="246" t="s">
        <v>215</v>
      </c>
      <c r="B386" s="119" t="s">
        <v>216</v>
      </c>
      <c r="C386" s="242">
        <v>64500</v>
      </c>
      <c r="D386" s="119" t="s">
        <v>818</v>
      </c>
      <c r="E386" s="110" t="s">
        <v>240</v>
      </c>
      <c r="F386" s="110" t="s">
        <v>2697</v>
      </c>
      <c r="G386" s="110" t="s">
        <v>1957</v>
      </c>
      <c r="H386" s="110">
        <v>2</v>
      </c>
      <c r="I386" s="110" t="s">
        <v>403</v>
      </c>
      <c r="J386" s="110">
        <v>3936</v>
      </c>
      <c r="K386" s="122">
        <v>5550</v>
      </c>
      <c r="L386" s="117">
        <f t="shared" si="11"/>
        <v>888</v>
      </c>
      <c r="M386" s="117">
        <f t="shared" si="12"/>
        <v>6438</v>
      </c>
      <c r="N386" s="136"/>
      <c r="O386" s="199"/>
      <c r="P386" s="156"/>
      <c r="Q386" s="169"/>
    </row>
    <row r="387" spans="1:17" x14ac:dyDescent="0.35">
      <c r="A387" s="119" t="s">
        <v>2173</v>
      </c>
      <c r="B387" s="119" t="s">
        <v>2172</v>
      </c>
      <c r="C387" s="242">
        <v>66612</v>
      </c>
      <c r="D387" s="119" t="s">
        <v>830</v>
      </c>
      <c r="E387" s="110" t="s">
        <v>240</v>
      </c>
      <c r="F387" s="110" t="s">
        <v>2698</v>
      </c>
      <c r="G387" s="110" t="s">
        <v>1957</v>
      </c>
      <c r="H387" s="110">
        <v>2</v>
      </c>
      <c r="I387" s="110" t="s">
        <v>403</v>
      </c>
      <c r="J387" s="110">
        <v>3937</v>
      </c>
      <c r="K387" s="122">
        <v>1500</v>
      </c>
      <c r="L387" s="117">
        <f t="shared" si="11"/>
        <v>240</v>
      </c>
      <c r="M387" s="117">
        <f t="shared" si="12"/>
        <v>1740</v>
      </c>
      <c r="N387" s="136" t="s">
        <v>243</v>
      </c>
      <c r="O387" s="199">
        <v>45758</v>
      </c>
      <c r="P387" s="156"/>
      <c r="Q387" s="169"/>
    </row>
    <row r="388" spans="1:17" x14ac:dyDescent="0.35">
      <c r="A388" s="244" t="s">
        <v>1437</v>
      </c>
      <c r="B388" s="244" t="s">
        <v>1438</v>
      </c>
      <c r="C388" s="242">
        <v>66460</v>
      </c>
      <c r="D388" s="119" t="s">
        <v>818</v>
      </c>
      <c r="E388" s="110" t="s">
        <v>240</v>
      </c>
      <c r="F388" s="110" t="s">
        <v>2699</v>
      </c>
      <c r="G388" s="110" t="s">
        <v>1957</v>
      </c>
      <c r="H388" s="110">
        <v>2</v>
      </c>
      <c r="I388" s="110" t="s">
        <v>403</v>
      </c>
      <c r="J388" s="110">
        <v>3938</v>
      </c>
      <c r="K388" s="122">
        <v>1489</v>
      </c>
      <c r="L388" s="117">
        <f t="shared" si="11"/>
        <v>238.24</v>
      </c>
      <c r="M388" s="117">
        <f t="shared" si="12"/>
        <v>1727.24</v>
      </c>
      <c r="N388" s="136" t="s">
        <v>243</v>
      </c>
      <c r="O388" s="199">
        <v>45771</v>
      </c>
      <c r="P388" s="156"/>
      <c r="Q388" s="169"/>
    </row>
    <row r="389" spans="1:17" x14ac:dyDescent="0.35">
      <c r="A389" s="119" t="s">
        <v>217</v>
      </c>
      <c r="B389" s="119" t="s">
        <v>218</v>
      </c>
      <c r="C389" s="242">
        <v>66400</v>
      </c>
      <c r="D389" s="119" t="s">
        <v>818</v>
      </c>
      <c r="E389" s="110" t="s">
        <v>240</v>
      </c>
      <c r="F389" s="110" t="s">
        <v>2700</v>
      </c>
      <c r="G389" s="110" t="s">
        <v>1957</v>
      </c>
      <c r="H389" s="110">
        <v>2</v>
      </c>
      <c r="I389" s="110" t="s">
        <v>403</v>
      </c>
      <c r="J389" s="110">
        <v>3939</v>
      </c>
      <c r="K389" s="122">
        <v>2400</v>
      </c>
      <c r="L389" s="117">
        <f t="shared" si="11"/>
        <v>384</v>
      </c>
      <c r="M389" s="117">
        <f t="shared" si="12"/>
        <v>2784</v>
      </c>
      <c r="N389" s="136" t="s">
        <v>243</v>
      </c>
      <c r="O389" s="199">
        <v>45751</v>
      </c>
      <c r="P389" s="156"/>
      <c r="Q389" s="169"/>
    </row>
    <row r="390" spans="1:17" x14ac:dyDescent="0.35">
      <c r="A390" s="5" t="s">
        <v>1062</v>
      </c>
      <c r="B390" s="120" t="s">
        <v>1063</v>
      </c>
      <c r="C390" s="169">
        <v>66350</v>
      </c>
      <c r="D390" s="120" t="s">
        <v>805</v>
      </c>
      <c r="E390" s="110" t="s">
        <v>240</v>
      </c>
      <c r="F390" s="123" t="s">
        <v>2701</v>
      </c>
      <c r="G390" s="110" t="s">
        <v>1957</v>
      </c>
      <c r="H390" s="110">
        <v>2</v>
      </c>
      <c r="I390" s="110" t="s">
        <v>403</v>
      </c>
      <c r="J390" s="110">
        <v>3940</v>
      </c>
      <c r="K390" s="122">
        <v>880</v>
      </c>
      <c r="L390" s="117">
        <f t="shared" si="11"/>
        <v>140.80000000000001</v>
      </c>
      <c r="M390" s="117">
        <f t="shared" si="12"/>
        <v>1020.8</v>
      </c>
      <c r="N390" s="136" t="s">
        <v>243</v>
      </c>
      <c r="O390" s="199">
        <v>45750</v>
      </c>
      <c r="P390" s="156"/>
      <c r="Q390" s="169"/>
    </row>
    <row r="391" spans="1:17" x14ac:dyDescent="0.35">
      <c r="A391" s="119" t="s">
        <v>841</v>
      </c>
      <c r="B391" s="119" t="s">
        <v>842</v>
      </c>
      <c r="C391" s="242">
        <v>64700</v>
      </c>
      <c r="D391" s="119" t="s">
        <v>805</v>
      </c>
      <c r="E391" s="110" t="s">
        <v>240</v>
      </c>
      <c r="F391" s="110" t="s">
        <v>2710</v>
      </c>
      <c r="G391" s="110" t="s">
        <v>1891</v>
      </c>
      <c r="H391" s="110">
        <v>3</v>
      </c>
      <c r="I391" s="110" t="s">
        <v>403</v>
      </c>
      <c r="J391" s="110">
        <v>3941</v>
      </c>
      <c r="K391" s="122">
        <v>750</v>
      </c>
      <c r="L391" s="117">
        <f t="shared" si="11"/>
        <v>120</v>
      </c>
      <c r="M391" s="117">
        <f t="shared" si="12"/>
        <v>870</v>
      </c>
      <c r="N391" s="136" t="s">
        <v>243</v>
      </c>
      <c r="O391" s="199">
        <v>45751</v>
      </c>
      <c r="P391" s="156"/>
      <c r="Q391" s="169"/>
    </row>
    <row r="392" spans="1:17" x14ac:dyDescent="0.35">
      <c r="A392" s="244" t="s">
        <v>1539</v>
      </c>
      <c r="B392" s="244" t="s">
        <v>1540</v>
      </c>
      <c r="C392" s="242">
        <v>66646</v>
      </c>
      <c r="D392" s="247" t="s">
        <v>915</v>
      </c>
      <c r="E392" s="110" t="s">
        <v>240</v>
      </c>
      <c r="F392" s="110" t="s">
        <v>2711</v>
      </c>
      <c r="G392" s="110" t="s">
        <v>1891</v>
      </c>
      <c r="H392" s="110">
        <v>3</v>
      </c>
      <c r="I392" s="110" t="s">
        <v>403</v>
      </c>
      <c r="J392" s="110">
        <v>3942</v>
      </c>
      <c r="K392" s="122">
        <v>1500</v>
      </c>
      <c r="L392" s="117">
        <f t="shared" si="11"/>
        <v>240</v>
      </c>
      <c r="M392" s="117">
        <f t="shared" si="12"/>
        <v>1740</v>
      </c>
      <c r="N392" s="136" t="s">
        <v>243</v>
      </c>
      <c r="O392" s="199">
        <v>45762</v>
      </c>
      <c r="P392" s="156"/>
      <c r="Q392" s="169"/>
    </row>
    <row r="393" spans="1:17" x14ac:dyDescent="0.35">
      <c r="A393" s="142" t="s">
        <v>869</v>
      </c>
      <c r="B393" s="244" t="s">
        <v>870</v>
      </c>
      <c r="C393" s="110">
        <v>25034</v>
      </c>
      <c r="D393" s="142" t="s">
        <v>805</v>
      </c>
      <c r="E393" s="110" t="s">
        <v>240</v>
      </c>
      <c r="F393" s="110" t="s">
        <v>2712</v>
      </c>
      <c r="G393" s="110" t="s">
        <v>1891</v>
      </c>
      <c r="H393" s="110">
        <v>3</v>
      </c>
      <c r="I393" s="110" t="s">
        <v>403</v>
      </c>
      <c r="J393" s="110">
        <v>3943</v>
      </c>
      <c r="K393" s="122">
        <v>1500</v>
      </c>
      <c r="L393" s="117">
        <f t="shared" si="11"/>
        <v>240</v>
      </c>
      <c r="M393" s="117">
        <f t="shared" si="12"/>
        <v>1740</v>
      </c>
      <c r="N393" s="136" t="s">
        <v>243</v>
      </c>
      <c r="O393" s="199">
        <v>45756</v>
      </c>
      <c r="P393" s="156"/>
      <c r="Q393" s="169"/>
    </row>
    <row r="394" spans="1:17" x14ac:dyDescent="0.35">
      <c r="A394" s="5" t="s">
        <v>2380</v>
      </c>
      <c r="B394" s="5" t="s">
        <v>2381</v>
      </c>
      <c r="C394" s="169">
        <v>67120</v>
      </c>
      <c r="D394" s="120" t="s">
        <v>905</v>
      </c>
      <c r="E394" s="110" t="s">
        <v>240</v>
      </c>
      <c r="F394" s="110" t="s">
        <v>2713</v>
      </c>
      <c r="G394" s="110" t="s">
        <v>1891</v>
      </c>
      <c r="H394" s="110">
        <v>3</v>
      </c>
      <c r="I394" s="110" t="s">
        <v>403</v>
      </c>
      <c r="J394" s="110">
        <v>3944</v>
      </c>
      <c r="K394" s="122">
        <v>300</v>
      </c>
      <c r="L394" s="117">
        <f t="shared" si="11"/>
        <v>48</v>
      </c>
      <c r="M394" s="117">
        <f t="shared" si="12"/>
        <v>348</v>
      </c>
      <c r="N394" s="136" t="s">
        <v>243</v>
      </c>
      <c r="O394" s="199">
        <v>45751</v>
      </c>
      <c r="P394" s="156"/>
      <c r="Q394" s="169"/>
    </row>
    <row r="395" spans="1:17" x14ac:dyDescent="0.35">
      <c r="A395" s="244" t="s">
        <v>1471</v>
      </c>
      <c r="B395" s="244" t="s">
        <v>1472</v>
      </c>
      <c r="C395" s="245">
        <v>66050</v>
      </c>
      <c r="D395" s="247" t="s">
        <v>915</v>
      </c>
      <c r="E395" s="110" t="s">
        <v>240</v>
      </c>
      <c r="F395" s="110" t="s">
        <v>2714</v>
      </c>
      <c r="G395" s="110" t="s">
        <v>1891</v>
      </c>
      <c r="H395" s="110">
        <v>3</v>
      </c>
      <c r="I395" s="110" t="s">
        <v>403</v>
      </c>
      <c r="J395" s="110">
        <v>3945</v>
      </c>
      <c r="K395" s="122">
        <v>2400</v>
      </c>
      <c r="L395" s="117">
        <f t="shared" si="11"/>
        <v>384</v>
      </c>
      <c r="M395" s="117">
        <f t="shared" si="12"/>
        <v>2784</v>
      </c>
      <c r="N395" s="136" t="s">
        <v>243</v>
      </c>
      <c r="O395" s="199">
        <v>45754</v>
      </c>
      <c r="P395" s="156"/>
      <c r="Q395" s="169"/>
    </row>
    <row r="396" spans="1:17" x14ac:dyDescent="0.35">
      <c r="A396" s="244" t="s">
        <v>1468</v>
      </c>
      <c r="B396" s="244" t="s">
        <v>1469</v>
      </c>
      <c r="C396" s="245">
        <v>25720</v>
      </c>
      <c r="D396" s="247" t="s">
        <v>915</v>
      </c>
      <c r="E396" s="110" t="s">
        <v>240</v>
      </c>
      <c r="F396" s="110" t="s">
        <v>2715</v>
      </c>
      <c r="G396" s="110" t="s">
        <v>1891</v>
      </c>
      <c r="H396" s="110">
        <v>3</v>
      </c>
      <c r="I396" s="110" t="s">
        <v>403</v>
      </c>
      <c r="J396" s="110">
        <v>3946</v>
      </c>
      <c r="K396" s="122">
        <v>900</v>
      </c>
      <c r="L396" s="117">
        <f t="shared" si="11"/>
        <v>144</v>
      </c>
      <c r="M396" s="117">
        <f t="shared" si="12"/>
        <v>1044</v>
      </c>
      <c r="N396" s="136" t="s">
        <v>243</v>
      </c>
      <c r="O396" s="199">
        <v>45763</v>
      </c>
      <c r="P396" s="156"/>
      <c r="Q396" s="169"/>
    </row>
    <row r="397" spans="1:17" x14ac:dyDescent="0.35">
      <c r="A397" s="119" t="s">
        <v>813</v>
      </c>
      <c r="B397" s="244" t="s">
        <v>814</v>
      </c>
      <c r="C397" s="242">
        <v>64850</v>
      </c>
      <c r="D397" s="119" t="s">
        <v>805</v>
      </c>
      <c r="E397" s="110" t="s">
        <v>240</v>
      </c>
      <c r="F397" s="110" t="s">
        <v>2716</v>
      </c>
      <c r="G397" s="110" t="s">
        <v>1891</v>
      </c>
      <c r="H397" s="110">
        <v>3</v>
      </c>
      <c r="I397" s="110" t="s">
        <v>403</v>
      </c>
      <c r="J397" s="110">
        <v>3947</v>
      </c>
      <c r="K397" s="122">
        <v>0</v>
      </c>
      <c r="L397" s="117">
        <f t="shared" si="11"/>
        <v>0</v>
      </c>
      <c r="M397" s="117">
        <f t="shared" si="12"/>
        <v>0</v>
      </c>
      <c r="N397" s="132" t="s">
        <v>1890</v>
      </c>
      <c r="O397" s="199">
        <v>45757</v>
      </c>
      <c r="P397" s="156">
        <f>500*0.16+500</f>
        <v>580</v>
      </c>
      <c r="Q397" s="169"/>
    </row>
    <row r="398" spans="1:17" x14ac:dyDescent="0.35">
      <c r="A398" s="119" t="s">
        <v>857</v>
      </c>
      <c r="B398" s="119" t="s">
        <v>858</v>
      </c>
      <c r="C398" s="242">
        <v>64510</v>
      </c>
      <c r="D398" s="119" t="s">
        <v>805</v>
      </c>
      <c r="E398" s="110" t="s">
        <v>240</v>
      </c>
      <c r="F398" s="110" t="s">
        <v>2717</v>
      </c>
      <c r="G398" s="110" t="s">
        <v>1891</v>
      </c>
      <c r="H398" s="110">
        <v>3</v>
      </c>
      <c r="I398" s="110" t="s">
        <v>403</v>
      </c>
      <c r="J398" s="110">
        <v>3948</v>
      </c>
      <c r="K398" s="122">
        <v>1250</v>
      </c>
      <c r="L398" s="117">
        <f t="shared" si="11"/>
        <v>200</v>
      </c>
      <c r="M398" s="117">
        <f t="shared" si="12"/>
        <v>1450</v>
      </c>
      <c r="N398" s="136"/>
      <c r="O398" s="199"/>
      <c r="P398" s="156"/>
      <c r="Q398" s="169"/>
    </row>
    <row r="399" spans="1:17" x14ac:dyDescent="0.35">
      <c r="A399" s="345" t="s">
        <v>1447</v>
      </c>
      <c r="B399" s="344" t="s">
        <v>1448</v>
      </c>
      <c r="C399" s="110">
        <v>67195</v>
      </c>
      <c r="D399" s="142" t="s">
        <v>818</v>
      </c>
      <c r="E399" s="411" t="s">
        <v>241</v>
      </c>
      <c r="F399" s="123" t="s">
        <v>2718</v>
      </c>
      <c r="G399" s="110" t="s">
        <v>1891</v>
      </c>
      <c r="H399" s="110">
        <v>3</v>
      </c>
      <c r="I399" s="110" t="s">
        <v>403</v>
      </c>
      <c r="J399" s="110">
        <v>3949</v>
      </c>
      <c r="K399" s="122">
        <v>3250</v>
      </c>
      <c r="L399" s="117">
        <f t="shared" si="11"/>
        <v>520</v>
      </c>
      <c r="M399" s="117">
        <f t="shared" si="12"/>
        <v>3770</v>
      </c>
      <c r="N399" s="136" t="s">
        <v>243</v>
      </c>
      <c r="O399" s="199">
        <v>45756</v>
      </c>
      <c r="P399" s="156"/>
      <c r="Q399" s="169"/>
    </row>
    <row r="400" spans="1:17" x14ac:dyDescent="0.35">
      <c r="A400" s="244" t="s">
        <v>843</v>
      </c>
      <c r="B400" s="244" t="s">
        <v>844</v>
      </c>
      <c r="C400" s="245">
        <v>66350</v>
      </c>
      <c r="D400" s="247" t="s">
        <v>805</v>
      </c>
      <c r="E400" s="110" t="s">
        <v>240</v>
      </c>
      <c r="F400" s="110" t="s">
        <v>2719</v>
      </c>
      <c r="G400" s="110" t="s">
        <v>1891</v>
      </c>
      <c r="H400" s="110">
        <v>3</v>
      </c>
      <c r="I400" s="110" t="s">
        <v>403</v>
      </c>
      <c r="J400" s="110">
        <v>3950</v>
      </c>
      <c r="K400" s="122">
        <v>1400</v>
      </c>
      <c r="L400" s="117">
        <f t="shared" si="11"/>
        <v>224</v>
      </c>
      <c r="M400" s="117">
        <f t="shared" si="12"/>
        <v>1624</v>
      </c>
      <c r="N400" s="136" t="s">
        <v>243</v>
      </c>
      <c r="O400" s="199">
        <v>45754</v>
      </c>
      <c r="P400" s="156"/>
      <c r="Q400" s="169"/>
    </row>
    <row r="401" spans="1:17" x14ac:dyDescent="0.35">
      <c r="A401" s="142" t="s">
        <v>845</v>
      </c>
      <c r="B401" s="244" t="s">
        <v>846</v>
      </c>
      <c r="C401" s="245">
        <v>64440</v>
      </c>
      <c r="D401" s="247" t="s">
        <v>847</v>
      </c>
      <c r="E401" s="411" t="s">
        <v>848</v>
      </c>
      <c r="F401" s="110" t="s">
        <v>2720</v>
      </c>
      <c r="G401" s="110" t="s">
        <v>1891</v>
      </c>
      <c r="H401" s="110">
        <v>3</v>
      </c>
      <c r="I401" s="110" t="s">
        <v>403</v>
      </c>
      <c r="J401" s="110">
        <v>3951</v>
      </c>
      <c r="K401" s="122">
        <v>2800</v>
      </c>
      <c r="L401" s="117">
        <f t="shared" si="11"/>
        <v>448</v>
      </c>
      <c r="M401" s="117">
        <f t="shared" si="12"/>
        <v>3248</v>
      </c>
      <c r="N401" s="136" t="s">
        <v>243</v>
      </c>
      <c r="O401" s="199">
        <v>45754</v>
      </c>
      <c r="P401" s="156"/>
      <c r="Q401" s="169"/>
    </row>
    <row r="402" spans="1:17" x14ac:dyDescent="0.35">
      <c r="A402" s="119" t="s">
        <v>192</v>
      </c>
      <c r="B402" s="119" t="s">
        <v>193</v>
      </c>
      <c r="C402" s="242">
        <v>66649</v>
      </c>
      <c r="D402" s="119" t="s">
        <v>806</v>
      </c>
      <c r="E402" s="110" t="s">
        <v>240</v>
      </c>
      <c r="F402" s="110" t="s">
        <v>2721</v>
      </c>
      <c r="G402" s="110" t="s">
        <v>1891</v>
      </c>
      <c r="H402" s="110">
        <v>3</v>
      </c>
      <c r="I402" s="110" t="s">
        <v>403</v>
      </c>
      <c r="J402" s="110">
        <v>3952</v>
      </c>
      <c r="K402" s="122">
        <v>2100</v>
      </c>
      <c r="L402" s="117">
        <f t="shared" si="11"/>
        <v>336</v>
      </c>
      <c r="M402" s="117">
        <f t="shared" si="12"/>
        <v>2436</v>
      </c>
      <c r="N402" s="136" t="s">
        <v>243</v>
      </c>
      <c r="O402" s="199">
        <v>45750</v>
      </c>
      <c r="P402" s="156"/>
      <c r="Q402" s="169"/>
    </row>
    <row r="403" spans="1:17" x14ac:dyDescent="0.35">
      <c r="A403" s="244" t="s">
        <v>1868</v>
      </c>
      <c r="B403" s="244" t="s">
        <v>1869</v>
      </c>
      <c r="C403" s="110">
        <v>66647</v>
      </c>
      <c r="D403" s="142" t="s">
        <v>805</v>
      </c>
      <c r="E403" s="110" t="s">
        <v>240</v>
      </c>
      <c r="F403" s="110" t="s">
        <v>2722</v>
      </c>
      <c r="G403" s="110" t="s">
        <v>1891</v>
      </c>
      <c r="H403" s="110">
        <v>3</v>
      </c>
      <c r="I403" s="110" t="s">
        <v>403</v>
      </c>
      <c r="J403" s="110">
        <v>3953</v>
      </c>
      <c r="K403" s="122">
        <v>498</v>
      </c>
      <c r="L403" s="117">
        <f t="shared" si="11"/>
        <v>79.680000000000007</v>
      </c>
      <c r="M403" s="117">
        <f t="shared" si="12"/>
        <v>577.68000000000006</v>
      </c>
      <c r="N403" s="136" t="s">
        <v>243</v>
      </c>
      <c r="O403" s="199">
        <v>45754</v>
      </c>
      <c r="P403" s="156"/>
      <c r="Q403" s="169"/>
    </row>
    <row r="404" spans="1:17" x14ac:dyDescent="0.35">
      <c r="A404" s="244" t="s">
        <v>1548</v>
      </c>
      <c r="B404" s="244" t="s">
        <v>1549</v>
      </c>
      <c r="C404" s="242">
        <v>42985</v>
      </c>
      <c r="D404" s="247" t="s">
        <v>805</v>
      </c>
      <c r="E404" s="110" t="s">
        <v>240</v>
      </c>
      <c r="F404" s="110" t="s">
        <v>2723</v>
      </c>
      <c r="G404" s="110" t="s">
        <v>1891</v>
      </c>
      <c r="H404" s="110">
        <v>3</v>
      </c>
      <c r="I404" s="110" t="s">
        <v>403</v>
      </c>
      <c r="J404" s="110">
        <v>3954</v>
      </c>
      <c r="K404" s="122">
        <v>2700</v>
      </c>
      <c r="L404" s="117">
        <f t="shared" si="11"/>
        <v>432</v>
      </c>
      <c r="M404" s="117">
        <f t="shared" si="12"/>
        <v>3132</v>
      </c>
      <c r="N404" s="136" t="s">
        <v>243</v>
      </c>
      <c r="O404" s="199">
        <v>45751</v>
      </c>
      <c r="P404" s="156"/>
      <c r="Q404" s="169"/>
    </row>
    <row r="405" spans="1:17" x14ac:dyDescent="0.35">
      <c r="A405" s="244" t="s">
        <v>824</v>
      </c>
      <c r="B405" s="244" t="s">
        <v>825</v>
      </c>
      <c r="C405" s="245">
        <v>66080</v>
      </c>
      <c r="D405" s="247" t="s">
        <v>805</v>
      </c>
      <c r="E405" s="110" t="s">
        <v>240</v>
      </c>
      <c r="F405" s="110" t="s">
        <v>2724</v>
      </c>
      <c r="G405" s="110" t="s">
        <v>1891</v>
      </c>
      <c r="H405" s="110">
        <v>3</v>
      </c>
      <c r="I405" s="110" t="s">
        <v>403</v>
      </c>
      <c r="J405" s="110">
        <v>3955</v>
      </c>
      <c r="K405" s="122">
        <v>3900</v>
      </c>
      <c r="L405" s="117">
        <f t="shared" si="11"/>
        <v>624</v>
      </c>
      <c r="M405" s="117">
        <f t="shared" si="12"/>
        <v>4524</v>
      </c>
      <c r="N405" s="136" t="s">
        <v>243</v>
      </c>
      <c r="O405" s="199">
        <v>45762</v>
      </c>
      <c r="P405" s="156"/>
      <c r="Q405" s="169"/>
    </row>
    <row r="406" spans="1:17" x14ac:dyDescent="0.35">
      <c r="A406" s="349" t="s">
        <v>1927</v>
      </c>
      <c r="B406" s="349" t="s">
        <v>1926</v>
      </c>
      <c r="C406" s="242">
        <v>64410</v>
      </c>
      <c r="D406" s="142" t="s">
        <v>805</v>
      </c>
      <c r="E406" s="110" t="s">
        <v>240</v>
      </c>
      <c r="F406" s="110" t="s">
        <v>2725</v>
      </c>
      <c r="G406" s="110" t="s">
        <v>1891</v>
      </c>
      <c r="H406" s="110">
        <v>3</v>
      </c>
      <c r="I406" s="110" t="s">
        <v>403</v>
      </c>
      <c r="J406" s="110">
        <v>3956</v>
      </c>
      <c r="K406" s="122">
        <v>1250</v>
      </c>
      <c r="L406" s="117">
        <f t="shared" si="11"/>
        <v>200</v>
      </c>
      <c r="M406" s="117">
        <f t="shared" si="12"/>
        <v>1450</v>
      </c>
      <c r="N406" s="136" t="s">
        <v>243</v>
      </c>
      <c r="O406" s="199">
        <v>45750</v>
      </c>
      <c r="P406" s="156"/>
      <c r="Q406" s="169"/>
    </row>
    <row r="407" spans="1:17" x14ac:dyDescent="0.35">
      <c r="A407" s="119" t="s">
        <v>202</v>
      </c>
      <c r="B407" s="119" t="s">
        <v>203</v>
      </c>
      <c r="C407" s="242">
        <v>65760</v>
      </c>
      <c r="D407" s="119" t="s">
        <v>818</v>
      </c>
      <c r="E407" s="110" t="s">
        <v>240</v>
      </c>
      <c r="F407" s="110" t="s">
        <v>2726</v>
      </c>
      <c r="G407" s="110" t="s">
        <v>1891</v>
      </c>
      <c r="H407" s="110">
        <v>3</v>
      </c>
      <c r="I407" s="110" t="s">
        <v>403</v>
      </c>
      <c r="J407" s="110">
        <v>3957</v>
      </c>
      <c r="K407" s="122">
        <v>2475</v>
      </c>
      <c r="L407" s="117">
        <f t="shared" si="11"/>
        <v>396</v>
      </c>
      <c r="M407" s="117">
        <f t="shared" si="12"/>
        <v>2871</v>
      </c>
      <c r="N407" s="136" t="s">
        <v>243</v>
      </c>
      <c r="O407" s="199">
        <v>45758</v>
      </c>
      <c r="P407" s="156"/>
      <c r="Q407" s="169" t="s">
        <v>615</v>
      </c>
    </row>
    <row r="408" spans="1:17" x14ac:dyDescent="0.35">
      <c r="A408" s="244" t="s">
        <v>1893</v>
      </c>
      <c r="B408" s="244" t="s">
        <v>1894</v>
      </c>
      <c r="C408" s="110">
        <v>64720</v>
      </c>
      <c r="D408" s="142" t="s">
        <v>805</v>
      </c>
      <c r="E408" s="110" t="s">
        <v>240</v>
      </c>
      <c r="F408" s="110" t="s">
        <v>2727</v>
      </c>
      <c r="G408" s="110" t="s">
        <v>1891</v>
      </c>
      <c r="H408" s="110">
        <v>3</v>
      </c>
      <c r="I408" s="110" t="s">
        <v>403</v>
      </c>
      <c r="J408" s="110">
        <v>3958</v>
      </c>
      <c r="K408" s="122">
        <v>1126.23</v>
      </c>
      <c r="L408" s="117">
        <f t="shared" si="11"/>
        <v>180.1968</v>
      </c>
      <c r="M408" s="117">
        <f t="shared" si="12"/>
        <v>1306.4268</v>
      </c>
      <c r="N408" s="136" t="s">
        <v>243</v>
      </c>
      <c r="O408" s="199">
        <v>45750</v>
      </c>
      <c r="P408" s="156"/>
      <c r="Q408" s="169"/>
    </row>
    <row r="409" spans="1:17" x14ac:dyDescent="0.35">
      <c r="A409" s="248" t="s">
        <v>1345</v>
      </c>
      <c r="B409" s="244" t="s">
        <v>1344</v>
      </c>
      <c r="C409" s="169">
        <v>66645</v>
      </c>
      <c r="D409" s="119" t="s">
        <v>806</v>
      </c>
      <c r="E409" s="110" t="s">
        <v>240</v>
      </c>
      <c r="F409" s="110" t="s">
        <v>2728</v>
      </c>
      <c r="G409" s="110" t="s">
        <v>1891</v>
      </c>
      <c r="H409" s="110">
        <v>3</v>
      </c>
      <c r="I409" s="110" t="s">
        <v>403</v>
      </c>
      <c r="J409" s="110">
        <v>3959</v>
      </c>
      <c r="K409" s="122">
        <v>3900</v>
      </c>
      <c r="L409" s="117">
        <f t="shared" si="11"/>
        <v>624</v>
      </c>
      <c r="M409" s="117">
        <f t="shared" si="12"/>
        <v>4524</v>
      </c>
      <c r="N409" s="136"/>
      <c r="O409" s="199"/>
      <c r="P409" s="156"/>
      <c r="Q409" s="169"/>
    </row>
    <row r="410" spans="1:17" x14ac:dyDescent="0.35">
      <c r="A410" s="120" t="s">
        <v>849</v>
      </c>
      <c r="B410" s="120" t="s">
        <v>850</v>
      </c>
      <c r="C410" s="169">
        <v>64580</v>
      </c>
      <c r="D410" s="120" t="s">
        <v>806</v>
      </c>
      <c r="E410" s="110" t="s">
        <v>240</v>
      </c>
      <c r="F410" s="110" t="s">
        <v>2729</v>
      </c>
      <c r="G410" s="110" t="s">
        <v>1891</v>
      </c>
      <c r="H410" s="110">
        <v>3</v>
      </c>
      <c r="I410" s="110" t="s">
        <v>403</v>
      </c>
      <c r="J410" s="110">
        <v>3960</v>
      </c>
      <c r="K410" s="122">
        <v>1750</v>
      </c>
      <c r="L410" s="117">
        <f t="shared" si="11"/>
        <v>280</v>
      </c>
      <c r="M410" s="117">
        <f t="shared" si="12"/>
        <v>2030</v>
      </c>
      <c r="N410" s="136" t="s">
        <v>243</v>
      </c>
      <c r="O410" s="199">
        <v>45769</v>
      </c>
      <c r="P410" s="156"/>
      <c r="Q410" s="169"/>
    </row>
    <row r="411" spans="1:17" x14ac:dyDescent="0.35">
      <c r="A411" s="119" t="s">
        <v>224</v>
      </c>
      <c r="B411" s="119" t="s">
        <v>225</v>
      </c>
      <c r="C411" s="242">
        <v>64440</v>
      </c>
      <c r="D411" s="119" t="s">
        <v>805</v>
      </c>
      <c r="E411" s="110" t="s">
        <v>240</v>
      </c>
      <c r="F411" s="123" t="s">
        <v>2730</v>
      </c>
      <c r="G411" s="110" t="s">
        <v>1891</v>
      </c>
      <c r="H411" s="110">
        <v>3</v>
      </c>
      <c r="I411" s="110" t="s">
        <v>403</v>
      </c>
      <c r="J411" s="110">
        <v>3961</v>
      </c>
      <c r="K411" s="122">
        <v>600</v>
      </c>
      <c r="L411" s="122">
        <f t="shared" si="11"/>
        <v>96</v>
      </c>
      <c r="M411" s="122">
        <f t="shared" si="12"/>
        <v>696</v>
      </c>
      <c r="N411" s="136" t="s">
        <v>243</v>
      </c>
      <c r="O411" s="199">
        <v>45769</v>
      </c>
      <c r="P411" s="156"/>
      <c r="Q411" s="169"/>
    </row>
    <row r="412" spans="1:17" x14ac:dyDescent="0.35">
      <c r="A412" s="119" t="s">
        <v>2468</v>
      </c>
      <c r="B412" s="244" t="s">
        <v>2483</v>
      </c>
      <c r="C412" s="242">
        <v>7889</v>
      </c>
      <c r="D412" s="142" t="s">
        <v>905</v>
      </c>
      <c r="E412" s="110" t="s">
        <v>240</v>
      </c>
      <c r="F412" s="123" t="s">
        <v>2731</v>
      </c>
      <c r="G412" s="110" t="s">
        <v>1891</v>
      </c>
      <c r="H412" s="110">
        <v>3</v>
      </c>
      <c r="I412" s="110" t="s">
        <v>403</v>
      </c>
      <c r="J412" s="110">
        <v>3962</v>
      </c>
      <c r="K412" s="122">
        <v>170</v>
      </c>
      <c r="L412" s="122">
        <f t="shared" si="11"/>
        <v>27.2</v>
      </c>
      <c r="M412" s="122">
        <f t="shared" si="12"/>
        <v>197.2</v>
      </c>
      <c r="N412" s="136" t="s">
        <v>243</v>
      </c>
      <c r="O412" s="199">
        <v>45751</v>
      </c>
      <c r="P412" s="156"/>
      <c r="Q412" s="169"/>
    </row>
    <row r="413" spans="1:17" x14ac:dyDescent="0.35">
      <c r="A413" s="244" t="s">
        <v>851</v>
      </c>
      <c r="B413" s="119" t="s">
        <v>226</v>
      </c>
      <c r="C413" s="242">
        <v>66220</v>
      </c>
      <c r="D413" s="119" t="s">
        <v>852</v>
      </c>
      <c r="E413" s="411" t="s">
        <v>241</v>
      </c>
      <c r="F413" s="123" t="s">
        <v>2732</v>
      </c>
      <c r="G413" s="110" t="s">
        <v>1891</v>
      </c>
      <c r="H413" s="110">
        <v>3</v>
      </c>
      <c r="I413" s="110" t="s">
        <v>403</v>
      </c>
      <c r="J413" s="110">
        <v>3963</v>
      </c>
      <c r="K413" s="122">
        <v>350</v>
      </c>
      <c r="L413" s="117">
        <f t="shared" si="11"/>
        <v>56</v>
      </c>
      <c r="M413" s="117">
        <f t="shared" si="12"/>
        <v>406</v>
      </c>
      <c r="N413" s="136" t="s">
        <v>243</v>
      </c>
      <c r="O413" s="199">
        <v>45761</v>
      </c>
      <c r="P413" s="156"/>
      <c r="Q413" s="169"/>
    </row>
    <row r="414" spans="1:17" x14ac:dyDescent="0.35">
      <c r="A414" s="119" t="s">
        <v>227</v>
      </c>
      <c r="B414" s="119" t="s">
        <v>228</v>
      </c>
      <c r="C414" s="242">
        <v>64010</v>
      </c>
      <c r="D414" s="119" t="s">
        <v>805</v>
      </c>
      <c r="E414" s="110" t="s">
        <v>240</v>
      </c>
      <c r="F414" s="110" t="s">
        <v>2733</v>
      </c>
      <c r="G414" s="110" t="s">
        <v>1891</v>
      </c>
      <c r="H414" s="110">
        <v>3</v>
      </c>
      <c r="I414" s="110" t="s">
        <v>403</v>
      </c>
      <c r="J414" s="110">
        <v>3964</v>
      </c>
      <c r="K414" s="122">
        <v>1250</v>
      </c>
      <c r="L414" s="122">
        <f t="shared" si="11"/>
        <v>200</v>
      </c>
      <c r="M414" s="122">
        <f t="shared" si="12"/>
        <v>1450</v>
      </c>
      <c r="N414" s="136" t="s">
        <v>243</v>
      </c>
      <c r="O414" s="124">
        <v>45761</v>
      </c>
      <c r="P414" s="156"/>
      <c r="Q414" s="169" t="s">
        <v>615</v>
      </c>
    </row>
    <row r="415" spans="1:17" x14ac:dyDescent="0.35">
      <c r="A415" s="119" t="s">
        <v>229</v>
      </c>
      <c r="B415" s="119" t="s">
        <v>230</v>
      </c>
      <c r="C415" s="242">
        <v>64030</v>
      </c>
      <c r="D415" s="119" t="s">
        <v>805</v>
      </c>
      <c r="E415" s="110" t="s">
        <v>240</v>
      </c>
      <c r="F415" s="110" t="s">
        <v>2734</v>
      </c>
      <c r="G415" s="110" t="s">
        <v>1891</v>
      </c>
      <c r="H415" s="110">
        <v>3</v>
      </c>
      <c r="I415" s="110" t="s">
        <v>403</v>
      </c>
      <c r="J415" s="110">
        <v>3965</v>
      </c>
      <c r="K415" s="122">
        <v>6615</v>
      </c>
      <c r="L415" s="117">
        <f t="shared" si="11"/>
        <v>1058.4000000000001</v>
      </c>
      <c r="M415" s="117">
        <f t="shared" si="12"/>
        <v>7673.4</v>
      </c>
      <c r="N415" s="136" t="s">
        <v>243</v>
      </c>
      <c r="O415" s="124">
        <v>45762</v>
      </c>
      <c r="P415" s="241"/>
      <c r="Q415" s="169"/>
    </row>
    <row r="416" spans="1:17" x14ac:dyDescent="0.35">
      <c r="A416" s="244" t="s">
        <v>2541</v>
      </c>
      <c r="B416" s="244" t="s">
        <v>2548</v>
      </c>
      <c r="C416" s="242">
        <v>66050</v>
      </c>
      <c r="D416" s="119" t="s">
        <v>818</v>
      </c>
      <c r="E416" s="110" t="s">
        <v>240</v>
      </c>
      <c r="F416" s="110" t="s">
        <v>2735</v>
      </c>
      <c r="G416" s="110" t="s">
        <v>1891</v>
      </c>
      <c r="H416" s="110">
        <v>3</v>
      </c>
      <c r="I416" s="110" t="s">
        <v>403</v>
      </c>
      <c r="J416" s="110">
        <v>3966</v>
      </c>
      <c r="K416" s="122">
        <v>180</v>
      </c>
      <c r="L416" s="117">
        <f t="shared" si="11"/>
        <v>28.8</v>
      </c>
      <c r="M416" s="117">
        <f t="shared" si="12"/>
        <v>208.8</v>
      </c>
      <c r="N416" s="136" t="s">
        <v>243</v>
      </c>
      <c r="O416" s="124">
        <v>45766</v>
      </c>
      <c r="P416" s="241"/>
      <c r="Q416" s="169"/>
    </row>
    <row r="417" spans="1:17" x14ac:dyDescent="0.35">
      <c r="A417" s="119" t="s">
        <v>2474</v>
      </c>
      <c r="B417" s="244" t="s">
        <v>2484</v>
      </c>
      <c r="C417" s="242">
        <v>50360</v>
      </c>
      <c r="D417" s="142" t="s">
        <v>818</v>
      </c>
      <c r="E417" s="110" t="s">
        <v>240</v>
      </c>
      <c r="F417" s="110" t="s">
        <v>2736</v>
      </c>
      <c r="G417" s="110" t="s">
        <v>1891</v>
      </c>
      <c r="H417" s="110">
        <v>3</v>
      </c>
      <c r="I417" s="110" t="s">
        <v>403</v>
      </c>
      <c r="J417" s="110">
        <v>3967</v>
      </c>
      <c r="K417" s="122">
        <v>170</v>
      </c>
      <c r="L417" s="117">
        <f t="shared" si="11"/>
        <v>27.2</v>
      </c>
      <c r="M417" s="117">
        <f t="shared" si="12"/>
        <v>197.2</v>
      </c>
      <c r="N417" s="136" t="s">
        <v>243</v>
      </c>
      <c r="O417" s="124">
        <v>45761</v>
      </c>
      <c r="P417" s="241"/>
      <c r="Q417" s="169"/>
    </row>
    <row r="418" spans="1:17" x14ac:dyDescent="0.35">
      <c r="A418" s="119" t="s">
        <v>231</v>
      </c>
      <c r="B418" s="119" t="s">
        <v>232</v>
      </c>
      <c r="C418" s="242">
        <v>66655</v>
      </c>
      <c r="D418" s="119" t="s">
        <v>806</v>
      </c>
      <c r="E418" s="110" t="s">
        <v>240</v>
      </c>
      <c r="F418" s="110" t="s">
        <v>2737</v>
      </c>
      <c r="G418" s="110" t="s">
        <v>1891</v>
      </c>
      <c r="H418" s="110">
        <v>3</v>
      </c>
      <c r="I418" s="110" t="s">
        <v>403</v>
      </c>
      <c r="J418" s="110">
        <v>3968</v>
      </c>
      <c r="K418" s="122">
        <v>660</v>
      </c>
      <c r="L418" s="122">
        <f t="shared" si="11"/>
        <v>105.60000000000001</v>
      </c>
      <c r="M418" s="122">
        <f t="shared" si="12"/>
        <v>765.6</v>
      </c>
      <c r="N418" s="136" t="s">
        <v>243</v>
      </c>
      <c r="O418" s="124">
        <v>45763</v>
      </c>
      <c r="P418" s="241"/>
      <c r="Q418" s="169"/>
    </row>
    <row r="419" spans="1:17" x14ac:dyDescent="0.35">
      <c r="A419" s="119" t="s">
        <v>2587</v>
      </c>
      <c r="B419" s="119" t="s">
        <v>2588</v>
      </c>
      <c r="C419" s="242">
        <v>66614</v>
      </c>
      <c r="D419" s="119" t="s">
        <v>818</v>
      </c>
      <c r="E419" s="110" t="s">
        <v>240</v>
      </c>
      <c r="F419" s="110" t="s">
        <v>2738</v>
      </c>
      <c r="G419" s="110" t="s">
        <v>1891</v>
      </c>
      <c r="H419" s="110">
        <v>3</v>
      </c>
      <c r="I419" s="110" t="s">
        <v>403</v>
      </c>
      <c r="J419" s="110">
        <v>3969</v>
      </c>
      <c r="K419" s="122">
        <v>160</v>
      </c>
      <c r="L419" s="122">
        <f t="shared" si="11"/>
        <v>25.6</v>
      </c>
      <c r="M419" s="122">
        <f t="shared" si="12"/>
        <v>185.6</v>
      </c>
      <c r="N419" s="136" t="s">
        <v>243</v>
      </c>
      <c r="O419" s="124">
        <v>45761</v>
      </c>
      <c r="P419" s="241"/>
      <c r="Q419" s="169"/>
    </row>
    <row r="420" spans="1:17" x14ac:dyDescent="0.35">
      <c r="A420" s="142" t="s">
        <v>853</v>
      </c>
      <c r="B420" s="142" t="s">
        <v>854</v>
      </c>
      <c r="C420" s="110">
        <v>66610</v>
      </c>
      <c r="D420" s="142" t="s">
        <v>805</v>
      </c>
      <c r="E420" s="110" t="s">
        <v>240</v>
      </c>
      <c r="F420" s="110" t="s">
        <v>2739</v>
      </c>
      <c r="G420" s="110" t="s">
        <v>1891</v>
      </c>
      <c r="H420" s="110">
        <v>3</v>
      </c>
      <c r="I420" s="110" t="s">
        <v>403</v>
      </c>
      <c r="J420" s="110">
        <v>3970</v>
      </c>
      <c r="K420" s="122">
        <v>1900</v>
      </c>
      <c r="L420" s="122">
        <f t="shared" si="11"/>
        <v>304</v>
      </c>
      <c r="M420" s="122">
        <f t="shared" si="12"/>
        <v>2204</v>
      </c>
      <c r="N420" s="136" t="s">
        <v>243</v>
      </c>
      <c r="O420" s="124">
        <v>45750</v>
      </c>
      <c r="P420" s="241"/>
      <c r="Q420" s="169"/>
    </row>
    <row r="421" spans="1:17" x14ac:dyDescent="0.35">
      <c r="A421" s="162" t="s">
        <v>2019</v>
      </c>
      <c r="B421" s="162" t="s">
        <v>2020</v>
      </c>
      <c r="C421" s="110">
        <v>66610</v>
      </c>
      <c r="D421" s="142" t="s">
        <v>806</v>
      </c>
      <c r="E421" s="110" t="s">
        <v>240</v>
      </c>
      <c r="F421" s="110" t="s">
        <v>2740</v>
      </c>
      <c r="G421" s="110" t="s">
        <v>1891</v>
      </c>
      <c r="H421" s="110">
        <v>3</v>
      </c>
      <c r="I421" s="110" t="s">
        <v>403</v>
      </c>
      <c r="J421" s="110">
        <v>3971</v>
      </c>
      <c r="K421" s="122">
        <v>750</v>
      </c>
      <c r="L421" s="122">
        <f t="shared" si="11"/>
        <v>120</v>
      </c>
      <c r="M421" s="122">
        <f t="shared" si="12"/>
        <v>870</v>
      </c>
      <c r="N421" s="136" t="s">
        <v>243</v>
      </c>
      <c r="O421" s="124">
        <v>45763</v>
      </c>
      <c r="P421" s="241"/>
      <c r="Q421" s="169"/>
    </row>
    <row r="422" spans="1:17" x14ac:dyDescent="0.35">
      <c r="A422" s="244" t="s">
        <v>2516</v>
      </c>
      <c r="B422" s="244" t="s">
        <v>2517</v>
      </c>
      <c r="C422" s="242">
        <v>76147</v>
      </c>
      <c r="D422" s="119" t="s">
        <v>818</v>
      </c>
      <c r="E422" s="110" t="s">
        <v>240</v>
      </c>
      <c r="F422" s="110" t="s">
        <v>2741</v>
      </c>
      <c r="G422" s="110" t="s">
        <v>1891</v>
      </c>
      <c r="H422" s="110">
        <v>3</v>
      </c>
      <c r="I422" s="110" t="s">
        <v>403</v>
      </c>
      <c r="J422" s="110">
        <v>3972</v>
      </c>
      <c r="K422" s="122">
        <v>600</v>
      </c>
      <c r="L422" s="122">
        <f t="shared" si="11"/>
        <v>96</v>
      </c>
      <c r="M422" s="122">
        <f t="shared" si="12"/>
        <v>696</v>
      </c>
      <c r="N422" s="136" t="s">
        <v>243</v>
      </c>
      <c r="O422" s="124">
        <v>45766</v>
      </c>
      <c r="P422" s="241"/>
      <c r="Q422" s="169"/>
    </row>
    <row r="423" spans="1:17" x14ac:dyDescent="0.35">
      <c r="A423" s="119" t="s">
        <v>235</v>
      </c>
      <c r="B423" s="119" t="s">
        <v>236</v>
      </c>
      <c r="C423" s="242">
        <v>67180</v>
      </c>
      <c r="D423" s="119" t="s">
        <v>818</v>
      </c>
      <c r="E423" s="110" t="s">
        <v>240</v>
      </c>
      <c r="F423" s="110" t="s">
        <v>2742</v>
      </c>
      <c r="G423" s="110" t="s">
        <v>1891</v>
      </c>
      <c r="H423" s="110">
        <v>3</v>
      </c>
      <c r="I423" s="110" t="s">
        <v>403</v>
      </c>
      <c r="J423" s="110">
        <v>3973</v>
      </c>
      <c r="K423" s="122">
        <v>1250</v>
      </c>
      <c r="L423" s="117">
        <f t="shared" si="11"/>
        <v>200</v>
      </c>
      <c r="M423" s="117">
        <f t="shared" si="12"/>
        <v>1450</v>
      </c>
      <c r="N423" s="136" t="s">
        <v>243</v>
      </c>
      <c r="O423" s="124">
        <v>45756</v>
      </c>
      <c r="P423" s="241"/>
      <c r="Q423" s="169" t="s">
        <v>615</v>
      </c>
    </row>
    <row r="424" spans="1:17" x14ac:dyDescent="0.35">
      <c r="A424" s="119" t="s">
        <v>855</v>
      </c>
      <c r="B424" s="119" t="s">
        <v>237</v>
      </c>
      <c r="C424" s="242">
        <v>66052</v>
      </c>
      <c r="D424" s="119" t="s">
        <v>805</v>
      </c>
      <c r="E424" s="110" t="s">
        <v>240</v>
      </c>
      <c r="F424" s="110" t="s">
        <v>2743</v>
      </c>
      <c r="G424" s="110" t="s">
        <v>1891</v>
      </c>
      <c r="H424" s="110">
        <v>3</v>
      </c>
      <c r="I424" s="110" t="s">
        <v>403</v>
      </c>
      <c r="J424" s="110">
        <v>3974</v>
      </c>
      <c r="K424" s="122">
        <v>2400</v>
      </c>
      <c r="L424" s="122">
        <f t="shared" si="11"/>
        <v>384</v>
      </c>
      <c r="M424" s="122">
        <f t="shared" si="12"/>
        <v>2784</v>
      </c>
      <c r="N424" s="136" t="s">
        <v>243</v>
      </c>
      <c r="O424" s="124">
        <v>45755</v>
      </c>
      <c r="P424" s="241"/>
      <c r="Q424" s="169"/>
    </row>
    <row r="425" spans="1:17" x14ac:dyDescent="0.35">
      <c r="A425" s="244" t="s">
        <v>2520</v>
      </c>
      <c r="B425" s="244" t="s">
        <v>2521</v>
      </c>
      <c r="C425" s="242">
        <v>66230</v>
      </c>
      <c r="D425" s="119" t="s">
        <v>915</v>
      </c>
      <c r="E425" s="110" t="s">
        <v>240</v>
      </c>
      <c r="F425" s="110" t="s">
        <v>2744</v>
      </c>
      <c r="G425" s="110" t="s">
        <v>1891</v>
      </c>
      <c r="H425" s="110">
        <v>3</v>
      </c>
      <c r="I425" s="110" t="s">
        <v>403</v>
      </c>
      <c r="J425" s="110">
        <v>3975</v>
      </c>
      <c r="K425" s="122">
        <v>900</v>
      </c>
      <c r="L425" s="122">
        <f t="shared" si="11"/>
        <v>144</v>
      </c>
      <c r="M425" s="122">
        <f t="shared" si="12"/>
        <v>1044</v>
      </c>
      <c r="N425" s="136" t="s">
        <v>243</v>
      </c>
      <c r="O425" s="124">
        <v>45763</v>
      </c>
      <c r="P425" s="241"/>
      <c r="Q425" s="169"/>
    </row>
    <row r="426" spans="1:17" x14ac:dyDescent="0.35">
      <c r="A426" s="119" t="s">
        <v>238</v>
      </c>
      <c r="B426" s="119" t="s">
        <v>239</v>
      </c>
      <c r="C426" s="242">
        <v>66023</v>
      </c>
      <c r="D426" s="119" t="s">
        <v>806</v>
      </c>
      <c r="E426" s="110" t="s">
        <v>240</v>
      </c>
      <c r="F426" s="110" t="s">
        <v>2745</v>
      </c>
      <c r="G426" s="110" t="s">
        <v>1891</v>
      </c>
      <c r="H426" s="110">
        <v>3</v>
      </c>
      <c r="I426" s="110" t="s">
        <v>403</v>
      </c>
      <c r="J426" s="110">
        <v>3976</v>
      </c>
      <c r="K426" s="122">
        <v>1500</v>
      </c>
      <c r="L426" s="117">
        <f t="shared" si="11"/>
        <v>240</v>
      </c>
      <c r="M426" s="117">
        <f t="shared" si="12"/>
        <v>1740</v>
      </c>
      <c r="N426" s="136" t="s">
        <v>243</v>
      </c>
      <c r="O426" s="124">
        <v>45752</v>
      </c>
      <c r="P426" s="241"/>
      <c r="Q426" s="169"/>
    </row>
    <row r="427" spans="1:17" x14ac:dyDescent="0.35">
      <c r="A427" s="243" t="s">
        <v>1403</v>
      </c>
      <c r="B427" s="243" t="s">
        <v>1404</v>
      </c>
      <c r="C427" s="242">
        <v>64410</v>
      </c>
      <c r="D427" s="119" t="s">
        <v>805</v>
      </c>
      <c r="E427" s="110" t="s">
        <v>240</v>
      </c>
      <c r="F427" s="110" t="s">
        <v>2746</v>
      </c>
      <c r="G427" s="110" t="s">
        <v>1891</v>
      </c>
      <c r="H427" s="110">
        <v>3</v>
      </c>
      <c r="I427" s="110" t="s">
        <v>403</v>
      </c>
      <c r="J427" s="110">
        <v>3977</v>
      </c>
      <c r="K427" s="122">
        <f>3250+500</f>
        <v>3750</v>
      </c>
      <c r="L427" s="117">
        <f>K427*0.16</f>
        <v>600</v>
      </c>
      <c r="M427" s="117">
        <f>K427+L427</f>
        <v>4350</v>
      </c>
      <c r="N427" s="136" t="s">
        <v>243</v>
      </c>
      <c r="O427" s="124">
        <v>45750</v>
      </c>
      <c r="P427" s="241"/>
      <c r="Q427" s="169"/>
    </row>
    <row r="428" spans="1:17" x14ac:dyDescent="0.35">
      <c r="A428" s="248" t="s">
        <v>2185</v>
      </c>
      <c r="B428" s="248" t="s">
        <v>2182</v>
      </c>
      <c r="C428" s="110">
        <v>67132</v>
      </c>
      <c r="D428" s="248" t="s">
        <v>2183</v>
      </c>
      <c r="E428" s="169" t="s">
        <v>2184</v>
      </c>
      <c r="F428" s="110" t="s">
        <v>2747</v>
      </c>
      <c r="G428" s="110" t="s">
        <v>1891</v>
      </c>
      <c r="H428" s="110">
        <v>3</v>
      </c>
      <c r="I428" s="110" t="s">
        <v>403</v>
      </c>
      <c r="J428" s="110">
        <v>3978</v>
      </c>
      <c r="K428" s="122">
        <v>7800</v>
      </c>
      <c r="L428" s="122">
        <f t="shared" ref="L428:L452" si="13">K428*0.16</f>
        <v>1248</v>
      </c>
      <c r="M428" s="122">
        <f t="shared" ref="M428:M452" si="14">K428+L428</f>
        <v>9048</v>
      </c>
      <c r="N428" s="136" t="s">
        <v>243</v>
      </c>
      <c r="O428" s="124">
        <v>45772</v>
      </c>
      <c r="P428" s="241"/>
      <c r="Q428" s="169"/>
    </row>
    <row r="429" spans="1:17" x14ac:dyDescent="0.35">
      <c r="A429" s="119" t="s">
        <v>1929</v>
      </c>
      <c r="B429" s="244" t="s">
        <v>1930</v>
      </c>
      <c r="C429" s="242">
        <v>64610</v>
      </c>
      <c r="D429" s="142" t="s">
        <v>809</v>
      </c>
      <c r="E429" s="110" t="s">
        <v>240</v>
      </c>
      <c r="F429" s="123" t="s">
        <v>2748</v>
      </c>
      <c r="G429" s="110" t="s">
        <v>1891</v>
      </c>
      <c r="H429" s="110">
        <v>3</v>
      </c>
      <c r="I429" s="110" t="s">
        <v>403</v>
      </c>
      <c r="J429" s="110">
        <v>3979</v>
      </c>
      <c r="K429" s="122">
        <v>6138</v>
      </c>
      <c r="L429" s="117">
        <f t="shared" si="13"/>
        <v>982.08</v>
      </c>
      <c r="M429" s="117">
        <f t="shared" si="14"/>
        <v>7120.08</v>
      </c>
      <c r="N429" s="136" t="s">
        <v>243</v>
      </c>
      <c r="O429" s="124">
        <v>45759</v>
      </c>
      <c r="P429" s="241"/>
      <c r="Q429" s="169"/>
    </row>
    <row r="430" spans="1:17" x14ac:dyDescent="0.35">
      <c r="A430" s="142" t="s">
        <v>891</v>
      </c>
      <c r="B430" s="244" t="s">
        <v>892</v>
      </c>
      <c r="C430" s="110">
        <v>66054</v>
      </c>
      <c r="D430" s="142" t="s">
        <v>806</v>
      </c>
      <c r="E430" s="110" t="s">
        <v>240</v>
      </c>
      <c r="F430" s="110" t="s">
        <v>2749</v>
      </c>
      <c r="G430" s="110" t="s">
        <v>1891</v>
      </c>
      <c r="H430" s="110">
        <v>3</v>
      </c>
      <c r="I430" s="110" t="s">
        <v>403</v>
      </c>
      <c r="J430" s="110">
        <v>3980</v>
      </c>
      <c r="K430" s="122">
        <v>26151.200000000001</v>
      </c>
      <c r="L430" s="117">
        <f t="shared" si="13"/>
        <v>4184.192</v>
      </c>
      <c r="M430" s="117">
        <f t="shared" si="14"/>
        <v>30335.392</v>
      </c>
      <c r="N430" s="136" t="s">
        <v>243</v>
      </c>
      <c r="O430" s="124">
        <v>45771</v>
      </c>
      <c r="P430" s="241"/>
      <c r="Q430" s="169"/>
    </row>
    <row r="431" spans="1:17" x14ac:dyDescent="0.35">
      <c r="A431" s="142" t="s">
        <v>2762</v>
      </c>
      <c r="B431" s="244" t="s">
        <v>2763</v>
      </c>
      <c r="C431" s="110">
        <v>64390</v>
      </c>
      <c r="D431" s="401" t="s">
        <v>805</v>
      </c>
      <c r="E431" s="110" t="s">
        <v>240</v>
      </c>
      <c r="F431" s="110" t="s">
        <v>2764</v>
      </c>
      <c r="G431" s="110" t="s">
        <v>1897</v>
      </c>
      <c r="H431" s="110">
        <v>4</v>
      </c>
      <c r="I431" s="110" t="s">
        <v>403</v>
      </c>
      <c r="J431" s="110">
        <v>3981</v>
      </c>
      <c r="K431" s="122">
        <v>13200</v>
      </c>
      <c r="L431" s="117">
        <f t="shared" si="13"/>
        <v>2112</v>
      </c>
      <c r="M431" s="117">
        <f t="shared" si="14"/>
        <v>15312</v>
      </c>
      <c r="N431" s="136" t="s">
        <v>243</v>
      </c>
      <c r="O431" s="124">
        <v>45751</v>
      </c>
      <c r="P431" s="241"/>
      <c r="Q431" s="169"/>
    </row>
    <row r="432" spans="1:17" x14ac:dyDescent="0.35">
      <c r="A432" s="243" t="s">
        <v>865</v>
      </c>
      <c r="B432" s="243" t="s">
        <v>866</v>
      </c>
      <c r="C432" s="242">
        <v>64103</v>
      </c>
      <c r="D432" s="119" t="s">
        <v>805</v>
      </c>
      <c r="E432" s="110" t="s">
        <v>240</v>
      </c>
      <c r="F432" s="123" t="s">
        <v>2765</v>
      </c>
      <c r="G432" s="110" t="s">
        <v>1897</v>
      </c>
      <c r="H432" s="110">
        <v>4</v>
      </c>
      <c r="I432" s="110" t="s">
        <v>403</v>
      </c>
      <c r="J432" s="110">
        <v>3982</v>
      </c>
      <c r="K432" s="122">
        <v>8500</v>
      </c>
      <c r="L432" s="122">
        <f t="shared" si="13"/>
        <v>1360</v>
      </c>
      <c r="M432" s="122">
        <f t="shared" si="14"/>
        <v>9860</v>
      </c>
      <c r="N432" s="136"/>
      <c r="O432" s="124"/>
      <c r="P432" s="241"/>
      <c r="Q432" s="169"/>
    </row>
    <row r="433" spans="1:17" x14ac:dyDescent="0.35">
      <c r="A433" s="142" t="s">
        <v>1670</v>
      </c>
      <c r="B433" s="142" t="s">
        <v>1671</v>
      </c>
      <c r="C433" s="110">
        <v>76000</v>
      </c>
      <c r="D433" s="119" t="s">
        <v>805</v>
      </c>
      <c r="E433" s="110" t="s">
        <v>240</v>
      </c>
      <c r="F433" s="123" t="s">
        <v>2782</v>
      </c>
      <c r="G433" s="110" t="s">
        <v>1856</v>
      </c>
      <c r="H433" s="110">
        <v>8</v>
      </c>
      <c r="I433" s="110" t="s">
        <v>403</v>
      </c>
      <c r="J433" s="110">
        <v>3983</v>
      </c>
      <c r="K433" s="122">
        <v>2060</v>
      </c>
      <c r="L433" s="122">
        <f t="shared" si="13"/>
        <v>329.6</v>
      </c>
      <c r="M433" s="122">
        <f t="shared" si="14"/>
        <v>2389.6</v>
      </c>
      <c r="N433" s="136" t="s">
        <v>243</v>
      </c>
      <c r="O433" s="124">
        <v>45769</v>
      </c>
      <c r="P433" s="241"/>
      <c r="Q433" s="169"/>
    </row>
    <row r="434" spans="1:17" x14ac:dyDescent="0.35">
      <c r="A434" s="142" t="s">
        <v>869</v>
      </c>
      <c r="B434" s="244" t="s">
        <v>870</v>
      </c>
      <c r="C434" s="110">
        <v>25034</v>
      </c>
      <c r="D434" s="142" t="s">
        <v>805</v>
      </c>
      <c r="E434" s="110" t="s">
        <v>240</v>
      </c>
      <c r="F434" s="123" t="s">
        <v>2783</v>
      </c>
      <c r="G434" s="110" t="s">
        <v>1856</v>
      </c>
      <c r="H434" s="110">
        <v>8</v>
      </c>
      <c r="I434" s="110" t="s">
        <v>403</v>
      </c>
      <c r="J434" s="110">
        <v>3984</v>
      </c>
      <c r="K434" s="122">
        <v>2810</v>
      </c>
      <c r="L434" s="122">
        <f t="shared" si="13"/>
        <v>449.6</v>
      </c>
      <c r="M434" s="122">
        <f t="shared" si="14"/>
        <v>3259.6</v>
      </c>
      <c r="N434" s="136" t="s">
        <v>243</v>
      </c>
      <c r="O434" s="124">
        <v>45756</v>
      </c>
      <c r="P434" s="241"/>
      <c r="Q434" s="169"/>
    </row>
    <row r="435" spans="1:17" x14ac:dyDescent="0.35">
      <c r="A435" s="119" t="s">
        <v>1898</v>
      </c>
      <c r="B435" s="244" t="s">
        <v>1899</v>
      </c>
      <c r="C435" s="242">
        <v>66649</v>
      </c>
      <c r="D435" s="142" t="s">
        <v>806</v>
      </c>
      <c r="E435" s="110" t="s">
        <v>240</v>
      </c>
      <c r="F435" s="123" t="s">
        <v>2784</v>
      </c>
      <c r="G435" s="110" t="s">
        <v>1856</v>
      </c>
      <c r="H435" s="110">
        <v>8</v>
      </c>
      <c r="I435" s="110" t="s">
        <v>403</v>
      </c>
      <c r="J435" s="110">
        <v>3985</v>
      </c>
      <c r="K435" s="122">
        <v>600</v>
      </c>
      <c r="L435" s="122">
        <f t="shared" si="13"/>
        <v>96</v>
      </c>
      <c r="M435" s="122">
        <f t="shared" si="14"/>
        <v>696</v>
      </c>
      <c r="N435" s="136" t="s">
        <v>243</v>
      </c>
      <c r="O435" s="124">
        <v>45755</v>
      </c>
      <c r="P435" s="241"/>
      <c r="Q435" s="169"/>
    </row>
    <row r="436" spans="1:17" x14ac:dyDescent="0.35">
      <c r="A436" s="119" t="s">
        <v>2572</v>
      </c>
      <c r="B436" s="119" t="s">
        <v>2573</v>
      </c>
      <c r="C436" s="242">
        <v>45601</v>
      </c>
      <c r="D436" s="119" t="s">
        <v>818</v>
      </c>
      <c r="E436" s="110" t="s">
        <v>240</v>
      </c>
      <c r="F436" s="123" t="s">
        <v>2785</v>
      </c>
      <c r="G436" s="110" t="s">
        <v>1856</v>
      </c>
      <c r="H436" s="110">
        <v>8</v>
      </c>
      <c r="I436" s="110" t="s">
        <v>403</v>
      </c>
      <c r="J436" s="110">
        <v>3986</v>
      </c>
      <c r="K436" s="122">
        <v>2000</v>
      </c>
      <c r="L436" s="122">
        <f t="shared" si="13"/>
        <v>320</v>
      </c>
      <c r="M436" s="122">
        <f t="shared" si="14"/>
        <v>2320</v>
      </c>
      <c r="N436" s="136" t="s">
        <v>243</v>
      </c>
      <c r="O436" s="124">
        <v>45756</v>
      </c>
      <c r="P436" s="241"/>
      <c r="Q436" s="169"/>
    </row>
    <row r="437" spans="1:17" x14ac:dyDescent="0.35">
      <c r="A437" s="119" t="s">
        <v>2804</v>
      </c>
      <c r="B437" s="244" t="s">
        <v>2805</v>
      </c>
      <c r="C437" s="242">
        <v>64780</v>
      </c>
      <c r="D437" s="119" t="s">
        <v>818</v>
      </c>
      <c r="E437" s="110" t="s">
        <v>240</v>
      </c>
      <c r="F437" s="123" t="s">
        <v>2806</v>
      </c>
      <c r="G437" s="110" t="s">
        <v>1891</v>
      </c>
      <c r="H437" s="110">
        <v>10</v>
      </c>
      <c r="I437" s="110" t="s">
        <v>403</v>
      </c>
      <c r="J437" s="110">
        <v>3987</v>
      </c>
      <c r="K437" s="122">
        <v>500</v>
      </c>
      <c r="L437" s="122">
        <f t="shared" si="13"/>
        <v>80</v>
      </c>
      <c r="M437" s="122">
        <f t="shared" si="14"/>
        <v>580</v>
      </c>
      <c r="N437" s="136" t="s">
        <v>243</v>
      </c>
      <c r="O437" s="124">
        <v>45757</v>
      </c>
      <c r="P437" s="241"/>
      <c r="Q437" s="169"/>
    </row>
    <row r="438" spans="1:17" x14ac:dyDescent="0.35">
      <c r="A438" s="119" t="s">
        <v>2817</v>
      </c>
      <c r="B438" s="244" t="s">
        <v>2818</v>
      </c>
      <c r="C438" s="242">
        <v>53110</v>
      </c>
      <c r="D438" s="119" t="s">
        <v>805</v>
      </c>
      <c r="E438" s="110" t="s">
        <v>240</v>
      </c>
      <c r="F438" s="123" t="s">
        <v>2819</v>
      </c>
      <c r="G438" s="110" t="s">
        <v>2237</v>
      </c>
      <c r="H438" s="110">
        <v>12</v>
      </c>
      <c r="I438" s="110" t="s">
        <v>403</v>
      </c>
      <c r="J438" s="110">
        <v>3988</v>
      </c>
      <c r="K438" s="122">
        <v>1600</v>
      </c>
      <c r="L438" s="122">
        <f t="shared" si="13"/>
        <v>256</v>
      </c>
      <c r="M438" s="122">
        <f t="shared" si="14"/>
        <v>1856</v>
      </c>
      <c r="N438" s="136" t="s">
        <v>243</v>
      </c>
      <c r="O438" s="124">
        <v>45759</v>
      </c>
      <c r="P438" s="241"/>
      <c r="Q438" s="169"/>
    </row>
    <row r="439" spans="1:17" x14ac:dyDescent="0.35">
      <c r="A439" s="244" t="s">
        <v>1941</v>
      </c>
      <c r="B439" s="244" t="s">
        <v>1942</v>
      </c>
      <c r="C439" s="245">
        <v>66633</v>
      </c>
      <c r="D439" s="119" t="s">
        <v>805</v>
      </c>
      <c r="E439" s="110" t="s">
        <v>240</v>
      </c>
      <c r="F439" s="123" t="s">
        <v>2847</v>
      </c>
      <c r="G439" s="110" t="s">
        <v>1807</v>
      </c>
      <c r="H439" s="110">
        <v>14</v>
      </c>
      <c r="I439" s="110" t="s">
        <v>403</v>
      </c>
      <c r="J439" s="110">
        <v>3989</v>
      </c>
      <c r="K439" s="122">
        <v>4550</v>
      </c>
      <c r="L439" s="122">
        <f t="shared" si="13"/>
        <v>728</v>
      </c>
      <c r="M439" s="122">
        <f t="shared" si="14"/>
        <v>5278</v>
      </c>
      <c r="N439" s="136"/>
      <c r="O439" s="124"/>
      <c r="P439" s="241"/>
      <c r="Q439" s="169"/>
    </row>
    <row r="440" spans="1:17" x14ac:dyDescent="0.35">
      <c r="A440" s="119" t="s">
        <v>1929</v>
      </c>
      <c r="B440" s="244" t="s">
        <v>1930</v>
      </c>
      <c r="C440" s="242">
        <v>64610</v>
      </c>
      <c r="D440" s="142" t="s">
        <v>809</v>
      </c>
      <c r="E440" s="110" t="s">
        <v>240</v>
      </c>
      <c r="F440" s="123" t="s">
        <v>2848</v>
      </c>
      <c r="G440" s="110" t="s">
        <v>1807</v>
      </c>
      <c r="H440" s="110">
        <v>14</v>
      </c>
      <c r="I440" s="110" t="s">
        <v>403</v>
      </c>
      <c r="J440" s="110">
        <v>3990</v>
      </c>
      <c r="K440" s="122">
        <v>12497</v>
      </c>
      <c r="L440" s="122">
        <f t="shared" si="13"/>
        <v>1999.52</v>
      </c>
      <c r="M440" s="122">
        <f t="shared" si="14"/>
        <v>14496.52</v>
      </c>
      <c r="N440" s="136"/>
      <c r="O440" s="124"/>
      <c r="P440" s="241"/>
      <c r="Q440" s="169"/>
    </row>
    <row r="441" spans="1:17" x14ac:dyDescent="0.35">
      <c r="A441" s="119" t="s">
        <v>856</v>
      </c>
      <c r="B441" s="119" t="s">
        <v>270</v>
      </c>
      <c r="C441" s="242">
        <v>66200</v>
      </c>
      <c r="D441" s="119" t="s">
        <v>805</v>
      </c>
      <c r="E441" s="110" t="s">
        <v>240</v>
      </c>
      <c r="F441" s="123" t="s">
        <v>2849</v>
      </c>
      <c r="G441" s="110" t="s">
        <v>1856</v>
      </c>
      <c r="H441" s="110">
        <v>15</v>
      </c>
      <c r="I441" s="110" t="s">
        <v>403</v>
      </c>
      <c r="J441" s="110">
        <v>3991</v>
      </c>
      <c r="K441" s="122">
        <v>31372</v>
      </c>
      <c r="L441" s="122">
        <f t="shared" si="13"/>
        <v>5019.5200000000004</v>
      </c>
      <c r="M441" s="122">
        <f t="shared" si="14"/>
        <v>36391.520000000004</v>
      </c>
      <c r="N441" s="136" t="s">
        <v>243</v>
      </c>
      <c r="O441" s="124">
        <v>45762</v>
      </c>
      <c r="P441" s="241"/>
      <c r="Q441" s="169"/>
    </row>
    <row r="442" spans="1:17" x14ac:dyDescent="0.35">
      <c r="A442" s="243" t="s">
        <v>865</v>
      </c>
      <c r="B442" s="243" t="s">
        <v>866</v>
      </c>
      <c r="C442" s="242">
        <v>64103</v>
      </c>
      <c r="D442" s="119" t="s">
        <v>805</v>
      </c>
      <c r="E442" s="110" t="s">
        <v>240</v>
      </c>
      <c r="F442" s="351" t="s">
        <v>2850</v>
      </c>
      <c r="G442" s="110" t="s">
        <v>1856</v>
      </c>
      <c r="H442" s="110">
        <v>15</v>
      </c>
      <c r="I442" s="110" t="s">
        <v>403</v>
      </c>
      <c r="J442" s="110">
        <v>3992</v>
      </c>
      <c r="K442" s="122">
        <v>11450</v>
      </c>
      <c r="L442" s="117">
        <f t="shared" si="13"/>
        <v>1832</v>
      </c>
      <c r="M442" s="117">
        <f t="shared" si="14"/>
        <v>13282</v>
      </c>
      <c r="N442" s="136"/>
      <c r="O442" s="124"/>
      <c r="P442" s="241"/>
      <c r="Q442" s="169"/>
    </row>
    <row r="443" spans="1:17" x14ac:dyDescent="0.35">
      <c r="A443" s="244" t="s">
        <v>1483</v>
      </c>
      <c r="B443" s="244" t="s">
        <v>1484</v>
      </c>
      <c r="C443" s="242">
        <v>25295</v>
      </c>
      <c r="D443" s="119" t="s">
        <v>805</v>
      </c>
      <c r="E443" s="110" t="s">
        <v>240</v>
      </c>
      <c r="F443" s="120" t="s">
        <v>2851</v>
      </c>
      <c r="G443" s="110" t="s">
        <v>1856</v>
      </c>
      <c r="H443" s="110">
        <v>15</v>
      </c>
      <c r="I443" s="110" t="s">
        <v>403</v>
      </c>
      <c r="J443" s="110">
        <v>3993</v>
      </c>
      <c r="K443" s="122">
        <v>8750</v>
      </c>
      <c r="L443" s="122">
        <f t="shared" si="13"/>
        <v>1400</v>
      </c>
      <c r="M443" s="122">
        <f t="shared" si="14"/>
        <v>10150</v>
      </c>
      <c r="N443" s="136" t="s">
        <v>243</v>
      </c>
      <c r="O443" s="124">
        <v>45762</v>
      </c>
      <c r="P443" s="241"/>
      <c r="Q443" s="169"/>
    </row>
    <row r="444" spans="1:17" x14ac:dyDescent="0.35">
      <c r="A444" s="244" t="s">
        <v>1483</v>
      </c>
      <c r="B444" s="244" t="s">
        <v>1484</v>
      </c>
      <c r="C444" s="242">
        <v>25295</v>
      </c>
      <c r="D444" s="119" t="s">
        <v>805</v>
      </c>
      <c r="E444" s="110" t="s">
        <v>240</v>
      </c>
      <c r="F444" s="120" t="s">
        <v>2852</v>
      </c>
      <c r="G444" s="110" t="s">
        <v>1856</v>
      </c>
      <c r="H444" s="110">
        <v>15</v>
      </c>
      <c r="I444" s="110" t="s">
        <v>403</v>
      </c>
      <c r="J444" s="110">
        <v>3994</v>
      </c>
      <c r="K444" s="122">
        <v>2450</v>
      </c>
      <c r="L444" s="117">
        <f t="shared" si="13"/>
        <v>392</v>
      </c>
      <c r="M444" s="117">
        <f t="shared" si="14"/>
        <v>2842</v>
      </c>
      <c r="N444" s="136" t="s">
        <v>243</v>
      </c>
      <c r="O444" s="124">
        <v>45762</v>
      </c>
      <c r="P444" s="241"/>
      <c r="Q444" s="169"/>
    </row>
    <row r="445" spans="1:17" x14ac:dyDescent="0.35">
      <c r="A445" s="244" t="s">
        <v>233</v>
      </c>
      <c r="B445" s="244" t="s">
        <v>234</v>
      </c>
      <c r="C445" s="242">
        <v>67310</v>
      </c>
      <c r="D445" s="119" t="s">
        <v>915</v>
      </c>
      <c r="E445" s="110" t="s">
        <v>240</v>
      </c>
      <c r="F445" s="120" t="s">
        <v>2857</v>
      </c>
      <c r="G445" s="110" t="s">
        <v>1957</v>
      </c>
      <c r="H445" s="110">
        <v>16</v>
      </c>
      <c r="I445" s="110" t="s">
        <v>403</v>
      </c>
      <c r="J445" s="110">
        <v>3995</v>
      </c>
      <c r="K445" s="122">
        <v>900</v>
      </c>
      <c r="L445" s="117">
        <f t="shared" si="13"/>
        <v>144</v>
      </c>
      <c r="M445" s="117">
        <f t="shared" si="14"/>
        <v>1044</v>
      </c>
      <c r="N445" s="136" t="s">
        <v>243</v>
      </c>
      <c r="O445" s="124">
        <v>45763</v>
      </c>
      <c r="P445" s="241"/>
      <c r="Q445" s="169"/>
    </row>
    <row r="446" spans="1:17" x14ac:dyDescent="0.35">
      <c r="A446" s="244" t="s">
        <v>2864</v>
      </c>
      <c r="B446" s="244" t="s">
        <v>2865</v>
      </c>
      <c r="C446" s="242">
        <v>64700</v>
      </c>
      <c r="D446" s="119" t="s">
        <v>805</v>
      </c>
      <c r="E446" s="110" t="s">
        <v>240</v>
      </c>
      <c r="F446" s="120" t="s">
        <v>2866</v>
      </c>
      <c r="G446" s="110" t="s">
        <v>1807</v>
      </c>
      <c r="H446" s="110">
        <v>21</v>
      </c>
      <c r="I446" s="110" t="s">
        <v>403</v>
      </c>
      <c r="J446" s="110">
        <v>3996</v>
      </c>
      <c r="K446" s="122">
        <v>19450</v>
      </c>
      <c r="L446" s="117">
        <f t="shared" si="13"/>
        <v>3112</v>
      </c>
      <c r="M446" s="117">
        <f t="shared" si="14"/>
        <v>22562</v>
      </c>
      <c r="N446" s="136"/>
      <c r="O446" s="124"/>
      <c r="P446" s="241"/>
      <c r="Q446" s="169"/>
    </row>
    <row r="447" spans="1:17" x14ac:dyDescent="0.35">
      <c r="A447" s="119" t="s">
        <v>827</v>
      </c>
      <c r="B447" s="119" t="s">
        <v>828</v>
      </c>
      <c r="C447" s="242">
        <v>66477</v>
      </c>
      <c r="D447" s="119" t="s">
        <v>806</v>
      </c>
      <c r="E447" s="110" t="s">
        <v>240</v>
      </c>
      <c r="F447" s="120" t="s">
        <v>2867</v>
      </c>
      <c r="G447" s="110" t="s">
        <v>1807</v>
      </c>
      <c r="H447" s="110">
        <v>21</v>
      </c>
      <c r="I447" s="110" t="s">
        <v>403</v>
      </c>
      <c r="J447" s="110">
        <v>3997</v>
      </c>
      <c r="K447" s="122">
        <v>660</v>
      </c>
      <c r="L447" s="117">
        <f t="shared" si="13"/>
        <v>105.60000000000001</v>
      </c>
      <c r="M447" s="117">
        <f t="shared" si="14"/>
        <v>765.6</v>
      </c>
      <c r="N447" s="136" t="s">
        <v>243</v>
      </c>
      <c r="O447" s="124">
        <v>45749</v>
      </c>
      <c r="P447" s="241"/>
      <c r="Q447" s="169"/>
    </row>
    <row r="448" spans="1:17" x14ac:dyDescent="0.35">
      <c r="A448" s="119" t="s">
        <v>821</v>
      </c>
      <c r="B448" s="119" t="s">
        <v>822</v>
      </c>
      <c r="C448" s="242">
        <v>64060</v>
      </c>
      <c r="D448" s="119" t="s">
        <v>805</v>
      </c>
      <c r="E448" s="110" t="s">
        <v>240</v>
      </c>
      <c r="F448" s="120" t="s">
        <v>2920</v>
      </c>
      <c r="G448" s="110" t="s">
        <v>1891</v>
      </c>
      <c r="H448" s="110">
        <v>24</v>
      </c>
      <c r="I448" s="110" t="s">
        <v>403</v>
      </c>
      <c r="J448" s="110">
        <v>3998</v>
      </c>
      <c r="K448" s="122">
        <v>2240</v>
      </c>
      <c r="L448" s="117">
        <f t="shared" si="13"/>
        <v>358.40000000000003</v>
      </c>
      <c r="M448" s="117">
        <f t="shared" si="14"/>
        <v>2598.4</v>
      </c>
      <c r="N448" s="136"/>
      <c r="O448" s="124"/>
      <c r="P448" s="241"/>
      <c r="Q448" s="169"/>
    </row>
    <row r="449" spans="1:17" x14ac:dyDescent="0.35">
      <c r="A449" s="119" t="s">
        <v>2902</v>
      </c>
      <c r="B449" s="119" t="s">
        <v>2919</v>
      </c>
      <c r="C449" s="242">
        <v>64530</v>
      </c>
      <c r="D449" s="119" t="s">
        <v>915</v>
      </c>
      <c r="E449" s="110" t="s">
        <v>240</v>
      </c>
      <c r="F449" s="120" t="s">
        <v>2921</v>
      </c>
      <c r="G449" s="110" t="s">
        <v>1891</v>
      </c>
      <c r="H449" s="110">
        <v>24</v>
      </c>
      <c r="I449" s="110" t="s">
        <v>403</v>
      </c>
      <c r="J449" s="110">
        <v>3999</v>
      </c>
      <c r="K449" s="122">
        <v>2350</v>
      </c>
      <c r="L449" s="117">
        <f t="shared" si="13"/>
        <v>376</v>
      </c>
      <c r="M449" s="117">
        <f t="shared" si="14"/>
        <v>2726</v>
      </c>
      <c r="N449" s="136" t="s">
        <v>243</v>
      </c>
      <c r="O449" s="124">
        <v>45770</v>
      </c>
      <c r="P449" s="241"/>
      <c r="Q449" s="169"/>
    </row>
    <row r="450" spans="1:17" x14ac:dyDescent="0.35">
      <c r="A450" s="119" t="s">
        <v>2872</v>
      </c>
      <c r="B450" s="119" t="s">
        <v>2876</v>
      </c>
      <c r="C450" s="242">
        <v>67262</v>
      </c>
      <c r="D450" s="119" t="s">
        <v>805</v>
      </c>
      <c r="E450" s="110" t="s">
        <v>240</v>
      </c>
      <c r="F450" s="120" t="s">
        <v>2922</v>
      </c>
      <c r="G450" s="110" t="s">
        <v>1891</v>
      </c>
      <c r="H450" s="110">
        <v>24</v>
      </c>
      <c r="I450" s="110" t="s">
        <v>403</v>
      </c>
      <c r="J450" s="110">
        <v>4000</v>
      </c>
      <c r="K450" s="122">
        <v>0</v>
      </c>
      <c r="L450" s="117">
        <f t="shared" si="13"/>
        <v>0</v>
      </c>
      <c r="M450" s="117">
        <f t="shared" si="14"/>
        <v>0</v>
      </c>
      <c r="N450" s="136" t="s">
        <v>1890</v>
      </c>
      <c r="O450" s="124">
        <v>45771</v>
      </c>
      <c r="P450" s="241">
        <f>6784*0.16+6784</f>
        <v>7869.4400000000005</v>
      </c>
      <c r="Q450" s="169"/>
    </row>
    <row r="451" spans="1:17" x14ac:dyDescent="0.35">
      <c r="A451" s="119" t="s">
        <v>2872</v>
      </c>
      <c r="B451" s="119" t="s">
        <v>2876</v>
      </c>
      <c r="C451" s="242">
        <v>67262</v>
      </c>
      <c r="D451" s="119" t="s">
        <v>805</v>
      </c>
      <c r="E451" s="110" t="s">
        <v>240</v>
      </c>
      <c r="F451" s="120" t="s">
        <v>2923</v>
      </c>
      <c r="G451" s="110" t="s">
        <v>1891</v>
      </c>
      <c r="H451" s="110">
        <v>24</v>
      </c>
      <c r="I451" s="110" t="s">
        <v>403</v>
      </c>
      <c r="J451" s="110">
        <v>4001</v>
      </c>
      <c r="K451" s="122">
        <v>5936</v>
      </c>
      <c r="L451" s="117">
        <f t="shared" si="13"/>
        <v>949.76</v>
      </c>
      <c r="M451" s="117">
        <f t="shared" si="14"/>
        <v>6885.76</v>
      </c>
      <c r="N451" s="136" t="s">
        <v>243</v>
      </c>
      <c r="O451" s="124">
        <v>45771</v>
      </c>
      <c r="P451" s="241"/>
      <c r="Q451" s="169"/>
    </row>
    <row r="452" spans="1:17" x14ac:dyDescent="0.35">
      <c r="A452" s="119" t="s">
        <v>2926</v>
      </c>
      <c r="B452" s="119" t="s">
        <v>2927</v>
      </c>
      <c r="C452" s="242">
        <v>64166</v>
      </c>
      <c r="D452" s="119" t="s">
        <v>805</v>
      </c>
      <c r="E452" s="110" t="s">
        <v>240</v>
      </c>
      <c r="F452" s="120" t="s">
        <v>2928</v>
      </c>
      <c r="G452" s="110" t="s">
        <v>1891</v>
      </c>
      <c r="H452" s="110">
        <v>24</v>
      </c>
      <c r="I452" s="110" t="s">
        <v>403</v>
      </c>
      <c r="J452" s="110">
        <v>4002</v>
      </c>
      <c r="K452" s="122">
        <v>2044</v>
      </c>
      <c r="L452" s="117">
        <f t="shared" si="13"/>
        <v>327.04000000000002</v>
      </c>
      <c r="M452" s="117">
        <f t="shared" si="14"/>
        <v>2371.04</v>
      </c>
      <c r="N452" s="136" t="s">
        <v>243</v>
      </c>
      <c r="O452" s="124">
        <v>45772</v>
      </c>
      <c r="P452" s="241"/>
      <c r="Q452" s="169"/>
    </row>
    <row r="453" spans="1:17" ht="18.5" x14ac:dyDescent="0.45">
      <c r="A453" s="338" t="s">
        <v>2567</v>
      </c>
      <c r="B453" s="235"/>
      <c r="C453" s="235"/>
      <c r="D453" s="235"/>
      <c r="E453" s="235"/>
      <c r="F453" s="235"/>
      <c r="G453" s="273"/>
      <c r="H453" s="236"/>
      <c r="I453" s="237" t="s">
        <v>242</v>
      </c>
      <c r="J453" s="238">
        <f>COUNT(J330:J452)</f>
        <v>123</v>
      </c>
      <c r="K453" s="239">
        <f>SUM(K330:K452)</f>
        <v>339408.09</v>
      </c>
      <c r="L453" s="239">
        <f>SUM(L330:L452)</f>
        <v>54305.294399999999</v>
      </c>
      <c r="M453" s="239">
        <f>SUM(M330:M452)</f>
        <v>393713.38439999998</v>
      </c>
      <c r="N453" s="338"/>
      <c r="O453" s="339"/>
      <c r="P453" s="327">
        <f>COUNT(P334:P452)</f>
        <v>4</v>
      </c>
      <c r="Q453" s="240">
        <v>4</v>
      </c>
    </row>
    <row r="454" spans="1:17" x14ac:dyDescent="0.35">
      <c r="A454" s="248" t="s">
        <v>1318</v>
      </c>
      <c r="B454" s="244" t="s">
        <v>1319</v>
      </c>
      <c r="C454" s="169">
        <v>67250</v>
      </c>
      <c r="D454" s="120" t="s">
        <v>818</v>
      </c>
      <c r="E454" s="110" t="s">
        <v>240</v>
      </c>
      <c r="F454" s="123"/>
      <c r="G454" s="110"/>
      <c r="H454" s="110"/>
      <c r="I454" s="110" t="s">
        <v>442</v>
      </c>
      <c r="J454" s="110"/>
      <c r="K454" s="122"/>
      <c r="L454" s="122">
        <f>K454*0.16</f>
        <v>0</v>
      </c>
      <c r="M454" s="122">
        <f>K454+L454</f>
        <v>0</v>
      </c>
      <c r="N454" s="136"/>
      <c r="O454" s="124"/>
      <c r="P454" s="156"/>
      <c r="Q454" s="169"/>
    </row>
    <row r="455" spans="1:17" x14ac:dyDescent="0.35">
      <c r="A455" s="248" t="s">
        <v>839</v>
      </c>
      <c r="B455" s="248" t="s">
        <v>840</v>
      </c>
      <c r="C455" s="169">
        <v>66632</v>
      </c>
      <c r="D455" s="248" t="s">
        <v>805</v>
      </c>
      <c r="E455" s="110" t="s">
        <v>240</v>
      </c>
      <c r="F455" s="110"/>
      <c r="G455" s="110"/>
      <c r="H455" s="110"/>
      <c r="I455" s="110" t="s">
        <v>442</v>
      </c>
      <c r="J455" s="110"/>
      <c r="K455" s="110"/>
      <c r="L455" s="110"/>
      <c r="M455" s="110"/>
      <c r="N455" s="110"/>
      <c r="O455" s="110"/>
      <c r="P455" s="156"/>
      <c r="Q455" s="169"/>
    </row>
    <row r="456" spans="1:17" x14ac:dyDescent="0.35">
      <c r="A456" s="243" t="s">
        <v>807</v>
      </c>
      <c r="B456" s="244" t="s">
        <v>808</v>
      </c>
      <c r="C456" s="245">
        <v>66482</v>
      </c>
      <c r="D456" s="244" t="s">
        <v>809</v>
      </c>
      <c r="E456" s="110" t="s">
        <v>240</v>
      </c>
      <c r="F456" s="110"/>
      <c r="G456" s="110"/>
      <c r="H456" s="110"/>
      <c r="I456" s="110" t="s">
        <v>442</v>
      </c>
      <c r="J456" s="110"/>
      <c r="K456" s="110"/>
      <c r="L456" s="110"/>
      <c r="M456" s="110"/>
      <c r="N456" s="110"/>
      <c r="O456" s="110"/>
      <c r="P456" s="156"/>
      <c r="Q456" s="169"/>
    </row>
    <row r="457" spans="1:17" x14ac:dyDescent="0.35">
      <c r="A457" s="142" t="s">
        <v>750</v>
      </c>
      <c r="B457" s="244" t="s">
        <v>810</v>
      </c>
      <c r="C457" s="110">
        <v>89560</v>
      </c>
      <c r="D457" s="142" t="s">
        <v>809</v>
      </c>
      <c r="E457" s="110" t="s">
        <v>240</v>
      </c>
      <c r="F457" s="110"/>
      <c r="G457" s="110"/>
      <c r="H457" s="110"/>
      <c r="I457" s="110" t="s">
        <v>442</v>
      </c>
      <c r="J457" s="110"/>
      <c r="K457" s="110"/>
      <c r="L457" s="110"/>
      <c r="M457" s="110"/>
      <c r="N457" s="110"/>
      <c r="O457" s="110"/>
      <c r="P457" s="156"/>
      <c r="Q457" s="169"/>
    </row>
    <row r="458" spans="1:17" x14ac:dyDescent="0.35">
      <c r="A458" s="119" t="s">
        <v>198</v>
      </c>
      <c r="B458" s="119" t="s">
        <v>199</v>
      </c>
      <c r="C458" s="242">
        <v>64000</v>
      </c>
      <c r="D458" s="119" t="s">
        <v>805</v>
      </c>
      <c r="E458" s="110" t="s">
        <v>240</v>
      </c>
      <c r="F458" s="110"/>
      <c r="G458" s="110"/>
      <c r="H458" s="110"/>
      <c r="I458" s="110" t="s">
        <v>442</v>
      </c>
      <c r="J458" s="110"/>
      <c r="K458" s="110"/>
      <c r="L458" s="110"/>
      <c r="M458" s="110"/>
      <c r="N458" s="110"/>
      <c r="O458" s="110"/>
      <c r="P458" s="156"/>
      <c r="Q458" s="169"/>
    </row>
    <row r="459" spans="1:17" x14ac:dyDescent="0.35">
      <c r="A459" s="244" t="s">
        <v>779</v>
      </c>
      <c r="B459" s="244" t="s">
        <v>811</v>
      </c>
      <c r="C459" s="242">
        <v>66266</v>
      </c>
      <c r="D459" s="119" t="s">
        <v>805</v>
      </c>
      <c r="E459" s="110" t="s">
        <v>240</v>
      </c>
      <c r="F459" s="110"/>
      <c r="G459" s="110"/>
      <c r="H459" s="110"/>
      <c r="I459" s="110" t="s">
        <v>442</v>
      </c>
      <c r="J459" s="110"/>
      <c r="K459" s="110"/>
      <c r="L459" s="110"/>
      <c r="M459" s="110"/>
      <c r="N459" s="110"/>
      <c r="O459" s="110"/>
      <c r="P459" s="156"/>
      <c r="Q459" s="169"/>
    </row>
    <row r="460" spans="1:17" x14ac:dyDescent="0.35">
      <c r="A460" s="142" t="s">
        <v>1083</v>
      </c>
      <c r="B460" s="142" t="s">
        <v>1084</v>
      </c>
      <c r="C460" s="110">
        <v>64250</v>
      </c>
      <c r="D460" s="119" t="s">
        <v>806</v>
      </c>
      <c r="E460" s="110" t="s">
        <v>240</v>
      </c>
      <c r="F460" s="110"/>
      <c r="G460" s="110"/>
      <c r="H460" s="110"/>
      <c r="I460" s="110" t="s">
        <v>442</v>
      </c>
      <c r="J460" s="110"/>
      <c r="K460" s="110"/>
      <c r="L460" s="110"/>
      <c r="M460" s="110"/>
      <c r="N460" s="110"/>
      <c r="O460" s="110"/>
      <c r="P460" s="156"/>
      <c r="Q460" s="169"/>
    </row>
    <row r="461" spans="1:17" x14ac:dyDescent="0.35">
      <c r="A461" s="119" t="s">
        <v>1578</v>
      </c>
      <c r="B461" s="119" t="s">
        <v>2171</v>
      </c>
      <c r="C461" s="242">
        <v>67190</v>
      </c>
      <c r="D461" s="142" t="s">
        <v>806</v>
      </c>
      <c r="E461" s="110" t="s">
        <v>240</v>
      </c>
      <c r="F461" s="110"/>
      <c r="G461" s="110"/>
      <c r="H461" s="110"/>
      <c r="I461" s="110" t="s">
        <v>442</v>
      </c>
      <c r="J461" s="110"/>
      <c r="K461" s="110"/>
      <c r="L461" s="110"/>
      <c r="M461" s="110"/>
      <c r="N461" s="110"/>
      <c r="O461" s="110"/>
      <c r="P461" s="156"/>
      <c r="Q461" s="169"/>
    </row>
    <row r="462" spans="1:17" x14ac:dyDescent="0.35">
      <c r="A462" s="244" t="s">
        <v>783</v>
      </c>
      <c r="B462" s="119" t="s">
        <v>812</v>
      </c>
      <c r="C462" s="242">
        <v>64630</v>
      </c>
      <c r="D462" s="119" t="s">
        <v>805</v>
      </c>
      <c r="E462" s="110" t="s">
        <v>240</v>
      </c>
      <c r="F462" s="110"/>
      <c r="G462" s="110"/>
      <c r="H462" s="110"/>
      <c r="I462" s="110" t="s">
        <v>442</v>
      </c>
      <c r="J462" s="110"/>
      <c r="K462" s="110"/>
      <c r="L462" s="110"/>
      <c r="M462" s="110"/>
      <c r="N462" s="110"/>
      <c r="O462" s="110"/>
      <c r="P462" s="156"/>
      <c r="Q462" s="169"/>
    </row>
    <row r="463" spans="1:17" x14ac:dyDescent="0.35">
      <c r="A463" s="246" t="s">
        <v>194</v>
      </c>
      <c r="B463" s="119" t="s">
        <v>195</v>
      </c>
      <c r="C463" s="242">
        <v>67190</v>
      </c>
      <c r="D463" s="119" t="s">
        <v>805</v>
      </c>
      <c r="E463" s="110" t="s">
        <v>240</v>
      </c>
      <c r="F463" s="110"/>
      <c r="G463" s="110"/>
      <c r="H463" s="110"/>
      <c r="I463" s="110" t="s">
        <v>442</v>
      </c>
      <c r="J463" s="110"/>
      <c r="K463" s="110"/>
      <c r="L463" s="110"/>
      <c r="M463" s="110"/>
      <c r="N463" s="110"/>
      <c r="O463" s="110"/>
      <c r="P463" s="156"/>
      <c r="Q463" s="169"/>
    </row>
    <row r="464" spans="1:17" x14ac:dyDescent="0.35">
      <c r="A464" s="119" t="s">
        <v>274</v>
      </c>
      <c r="B464" s="119" t="s">
        <v>275</v>
      </c>
      <c r="C464" s="242">
        <v>66023</v>
      </c>
      <c r="D464" s="119" t="s">
        <v>805</v>
      </c>
      <c r="E464" s="110" t="s">
        <v>240</v>
      </c>
      <c r="F464" s="110"/>
      <c r="G464" s="110"/>
      <c r="H464" s="110"/>
      <c r="I464" s="110" t="s">
        <v>442</v>
      </c>
      <c r="J464" s="110"/>
      <c r="K464" s="110"/>
      <c r="L464" s="110"/>
      <c r="M464" s="110"/>
      <c r="N464" s="110"/>
      <c r="O464" s="110"/>
      <c r="P464" s="156"/>
      <c r="Q464" s="169"/>
    </row>
    <row r="465" spans="1:17" x14ac:dyDescent="0.35">
      <c r="A465" s="119" t="s">
        <v>803</v>
      </c>
      <c r="B465" s="119" t="s">
        <v>804</v>
      </c>
      <c r="C465" s="242">
        <v>66469</v>
      </c>
      <c r="D465" s="119" t="s">
        <v>805</v>
      </c>
      <c r="E465" s="110" t="s">
        <v>240</v>
      </c>
      <c r="F465" s="110"/>
      <c r="G465" s="110"/>
      <c r="H465" s="110"/>
      <c r="I465" s="110" t="s">
        <v>442</v>
      </c>
      <c r="J465" s="110"/>
      <c r="K465" s="110"/>
      <c r="L465" s="110"/>
      <c r="M465" s="110"/>
      <c r="N465" s="110"/>
      <c r="O465" s="110"/>
      <c r="P465" s="156"/>
      <c r="Q465" s="169"/>
    </row>
    <row r="466" spans="1:17" x14ac:dyDescent="0.35">
      <c r="A466" s="119" t="s">
        <v>859</v>
      </c>
      <c r="B466" s="119" t="s">
        <v>860</v>
      </c>
      <c r="C466" s="242">
        <v>64710</v>
      </c>
      <c r="D466" s="119" t="s">
        <v>805</v>
      </c>
      <c r="E466" s="110" t="s">
        <v>240</v>
      </c>
      <c r="F466" s="110"/>
      <c r="G466" s="110"/>
      <c r="H466" s="110"/>
      <c r="I466" s="110" t="s">
        <v>442</v>
      </c>
      <c r="J466" s="110"/>
      <c r="K466" s="110"/>
      <c r="L466" s="110"/>
      <c r="M466" s="110"/>
      <c r="N466" s="110"/>
      <c r="O466" s="110"/>
      <c r="P466" s="156"/>
      <c r="Q466" s="169"/>
    </row>
    <row r="467" spans="1:17" x14ac:dyDescent="0.35">
      <c r="A467" s="244" t="s">
        <v>1631</v>
      </c>
      <c r="B467" s="244" t="s">
        <v>1630</v>
      </c>
      <c r="C467" s="242">
        <v>64710</v>
      </c>
      <c r="D467" s="119" t="s">
        <v>818</v>
      </c>
      <c r="E467" s="110" t="s">
        <v>240</v>
      </c>
      <c r="F467" s="110"/>
      <c r="G467" s="110"/>
      <c r="H467" s="110"/>
      <c r="I467" s="110" t="s">
        <v>442</v>
      </c>
      <c r="J467" s="110"/>
      <c r="K467" s="110"/>
      <c r="L467" s="110"/>
      <c r="M467" s="110"/>
      <c r="N467" s="110"/>
      <c r="O467" s="110"/>
      <c r="P467" s="156"/>
      <c r="Q467" s="169" t="s">
        <v>615</v>
      </c>
    </row>
    <row r="468" spans="1:17" x14ac:dyDescent="0.35">
      <c r="A468" s="119" t="s">
        <v>1274</v>
      </c>
      <c r="B468" s="119" t="s">
        <v>1275</v>
      </c>
      <c r="C468" s="242">
        <v>64349</v>
      </c>
      <c r="D468" s="119" t="s">
        <v>818</v>
      </c>
      <c r="E468" s="110" t="s">
        <v>240</v>
      </c>
      <c r="F468" s="110"/>
      <c r="G468" s="110"/>
      <c r="H468" s="110"/>
      <c r="I468" s="110" t="s">
        <v>442</v>
      </c>
      <c r="J468" s="110"/>
      <c r="K468" s="110"/>
      <c r="L468" s="110"/>
      <c r="M468" s="110"/>
      <c r="N468" s="110"/>
      <c r="O468" s="110"/>
      <c r="P468" s="156"/>
      <c r="Q468" s="169"/>
    </row>
    <row r="469" spans="1:17" x14ac:dyDescent="0.35">
      <c r="A469" s="119" t="s">
        <v>196</v>
      </c>
      <c r="B469" s="119" t="s">
        <v>197</v>
      </c>
      <c r="C469" s="242">
        <v>64530</v>
      </c>
      <c r="D469" s="119" t="s">
        <v>806</v>
      </c>
      <c r="E469" s="110" t="s">
        <v>240</v>
      </c>
      <c r="F469" s="110"/>
      <c r="G469" s="110"/>
      <c r="H469" s="110"/>
      <c r="I469" s="110" t="s">
        <v>442</v>
      </c>
      <c r="J469" s="110"/>
      <c r="K469" s="110"/>
      <c r="L469" s="110"/>
      <c r="M469" s="110"/>
      <c r="N469" s="110"/>
      <c r="O469" s="110"/>
      <c r="P469" s="156"/>
      <c r="Q469" s="169"/>
    </row>
    <row r="470" spans="1:17" x14ac:dyDescent="0.35">
      <c r="A470" s="244" t="s">
        <v>815</v>
      </c>
      <c r="B470" s="244" t="s">
        <v>219</v>
      </c>
      <c r="C470" s="245">
        <v>64000</v>
      </c>
      <c r="D470" s="247" t="s">
        <v>805</v>
      </c>
      <c r="E470" s="110" t="s">
        <v>240</v>
      </c>
      <c r="F470" s="110"/>
      <c r="G470" s="110"/>
      <c r="H470" s="110"/>
      <c r="I470" s="110" t="s">
        <v>442</v>
      </c>
      <c r="J470" s="110"/>
      <c r="K470" s="110"/>
      <c r="L470" s="110"/>
      <c r="M470" s="110"/>
      <c r="N470" s="110"/>
      <c r="O470" s="110"/>
      <c r="P470" s="156"/>
      <c r="Q470" s="169"/>
    </row>
    <row r="471" spans="1:17" x14ac:dyDescent="0.35">
      <c r="A471" s="243" t="s">
        <v>876</v>
      </c>
      <c r="B471" s="243" t="s">
        <v>877</v>
      </c>
      <c r="C471" s="242">
        <v>64718</v>
      </c>
      <c r="D471" s="119" t="s">
        <v>805</v>
      </c>
      <c r="E471" s="110" t="s">
        <v>240</v>
      </c>
      <c r="F471" s="110"/>
      <c r="G471" s="110"/>
      <c r="H471" s="110"/>
      <c r="I471" s="110" t="s">
        <v>442</v>
      </c>
      <c r="J471" s="110"/>
      <c r="K471" s="110"/>
      <c r="L471" s="110"/>
      <c r="M471" s="110"/>
      <c r="N471" s="110"/>
      <c r="O471" s="110"/>
      <c r="P471" s="156"/>
      <c r="Q471" s="169"/>
    </row>
    <row r="472" spans="1:17" x14ac:dyDescent="0.35">
      <c r="A472" s="244" t="s">
        <v>1444</v>
      </c>
      <c r="B472" s="244" t="s">
        <v>1445</v>
      </c>
      <c r="C472" s="242">
        <v>64000</v>
      </c>
      <c r="D472" s="119" t="s">
        <v>818</v>
      </c>
      <c r="E472" s="110" t="s">
        <v>240</v>
      </c>
      <c r="F472" s="110"/>
      <c r="G472" s="110"/>
      <c r="H472" s="110"/>
      <c r="I472" s="110" t="s">
        <v>442</v>
      </c>
      <c r="J472" s="110"/>
      <c r="K472" s="110"/>
      <c r="L472" s="110"/>
      <c r="M472" s="110"/>
      <c r="N472" s="110"/>
      <c r="O472" s="110"/>
      <c r="P472" s="156"/>
      <c r="Q472" s="169"/>
    </row>
    <row r="473" spans="1:17" x14ac:dyDescent="0.35">
      <c r="A473" s="119" t="s">
        <v>1451</v>
      </c>
      <c r="B473" s="119" t="s">
        <v>1452</v>
      </c>
      <c r="C473" s="242">
        <v>64760</v>
      </c>
      <c r="D473" s="119" t="s">
        <v>806</v>
      </c>
      <c r="E473" s="110" t="s">
        <v>240</v>
      </c>
      <c r="F473" s="110"/>
      <c r="G473" s="110"/>
      <c r="H473" s="110"/>
      <c r="I473" s="110" t="s">
        <v>442</v>
      </c>
      <c r="J473" s="110"/>
      <c r="K473" s="110"/>
      <c r="L473" s="110"/>
      <c r="M473" s="110"/>
      <c r="N473" s="110"/>
      <c r="O473" s="110"/>
      <c r="P473" s="156"/>
      <c r="Q473" s="169"/>
    </row>
    <row r="474" spans="1:17" x14ac:dyDescent="0.35">
      <c r="A474" s="244" t="s">
        <v>1683</v>
      </c>
      <c r="B474" s="244" t="s">
        <v>1684</v>
      </c>
      <c r="C474" s="242">
        <v>64000</v>
      </c>
      <c r="D474" s="119" t="s">
        <v>805</v>
      </c>
      <c r="E474" s="110" t="s">
        <v>240</v>
      </c>
      <c r="F474" s="110"/>
      <c r="G474" s="110"/>
      <c r="H474" s="110"/>
      <c r="I474" s="110" t="s">
        <v>442</v>
      </c>
      <c r="J474" s="110"/>
      <c r="K474" s="110"/>
      <c r="L474" s="110"/>
      <c r="M474" s="110"/>
      <c r="N474" s="110"/>
      <c r="O474" s="110"/>
      <c r="P474" s="156"/>
      <c r="Q474" s="169"/>
    </row>
    <row r="475" spans="1:17" x14ac:dyDescent="0.35">
      <c r="A475" s="244" t="s">
        <v>1491</v>
      </c>
      <c r="B475" s="244" t="s">
        <v>1492</v>
      </c>
      <c r="C475" s="242">
        <v>64010</v>
      </c>
      <c r="D475" s="247" t="s">
        <v>805</v>
      </c>
      <c r="E475" s="110" t="s">
        <v>240</v>
      </c>
      <c r="F475" s="110"/>
      <c r="G475" s="110"/>
      <c r="H475" s="110"/>
      <c r="I475" s="110" t="s">
        <v>442</v>
      </c>
      <c r="J475" s="110"/>
      <c r="K475" s="110"/>
      <c r="L475" s="110"/>
      <c r="M475" s="110"/>
      <c r="N475" s="110"/>
      <c r="O475" s="110"/>
      <c r="P475" s="156"/>
      <c r="Q475" s="169"/>
    </row>
    <row r="476" spans="1:17" x14ac:dyDescent="0.35">
      <c r="A476" s="119" t="s">
        <v>204</v>
      </c>
      <c r="B476" s="119" t="s">
        <v>205</v>
      </c>
      <c r="C476" s="242">
        <v>89515</v>
      </c>
      <c r="D476" s="119" t="s">
        <v>806</v>
      </c>
      <c r="E476" s="110" t="s">
        <v>240</v>
      </c>
      <c r="F476" s="110"/>
      <c r="G476" s="110"/>
      <c r="H476" s="110"/>
      <c r="I476" s="110" t="s">
        <v>442</v>
      </c>
      <c r="J476" s="110"/>
      <c r="K476" s="110"/>
      <c r="L476" s="110"/>
      <c r="M476" s="110"/>
      <c r="N476" s="110"/>
      <c r="O476" s="110"/>
      <c r="P476" s="156"/>
      <c r="Q476" s="169"/>
    </row>
    <row r="477" spans="1:17" x14ac:dyDescent="0.35">
      <c r="A477" s="119" t="s">
        <v>206</v>
      </c>
      <c r="B477" s="119" t="s">
        <v>207</v>
      </c>
      <c r="C477" s="242">
        <v>64020</v>
      </c>
      <c r="D477" s="119" t="s">
        <v>805</v>
      </c>
      <c r="E477" s="411" t="s">
        <v>241</v>
      </c>
      <c r="F477" s="110"/>
      <c r="G477" s="110"/>
      <c r="H477" s="110"/>
      <c r="I477" s="110" t="s">
        <v>442</v>
      </c>
      <c r="J477" s="110"/>
      <c r="K477" s="110"/>
      <c r="L477" s="110"/>
      <c r="M477" s="110"/>
      <c r="N477" s="110"/>
      <c r="O477" s="110"/>
      <c r="P477" s="156"/>
      <c r="Q477" s="169"/>
    </row>
    <row r="478" spans="1:17" x14ac:dyDescent="0.35">
      <c r="A478" s="119" t="s">
        <v>823</v>
      </c>
      <c r="B478" s="119" t="s">
        <v>208</v>
      </c>
      <c r="C478" s="242">
        <v>64020</v>
      </c>
      <c r="D478" s="119" t="s">
        <v>805</v>
      </c>
      <c r="E478" s="411" t="s">
        <v>241</v>
      </c>
      <c r="F478" s="110"/>
      <c r="G478" s="110"/>
      <c r="H478" s="110"/>
      <c r="I478" s="110" t="s">
        <v>442</v>
      </c>
      <c r="J478" s="110"/>
      <c r="K478" s="110"/>
      <c r="L478" s="110"/>
      <c r="M478" s="110"/>
      <c r="N478" s="110"/>
      <c r="O478" s="110"/>
      <c r="P478" s="156"/>
      <c r="Q478" s="169"/>
    </row>
    <row r="479" spans="1:17" x14ac:dyDescent="0.35">
      <c r="A479" s="243" t="s">
        <v>1457</v>
      </c>
      <c r="B479" s="243" t="s">
        <v>1456</v>
      </c>
      <c r="C479" s="242">
        <v>66024</v>
      </c>
      <c r="D479" s="142" t="s">
        <v>806</v>
      </c>
      <c r="E479" s="110" t="s">
        <v>240</v>
      </c>
      <c r="F479" s="110"/>
      <c r="G479" s="110"/>
      <c r="H479" s="110"/>
      <c r="I479" s="110" t="s">
        <v>442</v>
      </c>
      <c r="J479" s="110"/>
      <c r="K479" s="110"/>
      <c r="L479" s="110"/>
      <c r="M479" s="110"/>
      <c r="N479" s="110"/>
      <c r="O479" s="110"/>
      <c r="P479" s="156"/>
      <c r="Q479" s="169"/>
    </row>
    <row r="480" spans="1:17" x14ac:dyDescent="0.35">
      <c r="A480" s="119" t="s">
        <v>200</v>
      </c>
      <c r="B480" s="119" t="s">
        <v>201</v>
      </c>
      <c r="C480" s="242">
        <v>66052</v>
      </c>
      <c r="D480" s="119" t="s">
        <v>805</v>
      </c>
      <c r="E480" s="110" t="s">
        <v>240</v>
      </c>
      <c r="F480" s="110"/>
      <c r="G480" s="110"/>
      <c r="H480" s="110"/>
      <c r="I480" s="110" t="s">
        <v>442</v>
      </c>
      <c r="J480" s="110"/>
      <c r="K480" s="110"/>
      <c r="L480" s="110"/>
      <c r="M480" s="110"/>
      <c r="N480" s="110"/>
      <c r="O480" s="110"/>
      <c r="P480" s="156"/>
      <c r="Q480" s="169"/>
    </row>
    <row r="481" spans="1:17" x14ac:dyDescent="0.35">
      <c r="A481" s="119" t="s">
        <v>2455</v>
      </c>
      <c r="B481" s="244" t="s">
        <v>2456</v>
      </c>
      <c r="C481" s="242">
        <v>64570</v>
      </c>
      <c r="D481" s="142" t="s">
        <v>818</v>
      </c>
      <c r="E481" s="110" t="s">
        <v>240</v>
      </c>
      <c r="F481" s="110"/>
      <c r="G481" s="110"/>
      <c r="H481" s="110"/>
      <c r="I481" s="110" t="s">
        <v>442</v>
      </c>
      <c r="J481" s="110"/>
      <c r="K481" s="110"/>
      <c r="L481" s="110"/>
      <c r="M481" s="110"/>
      <c r="N481" s="110"/>
      <c r="O481" s="110"/>
      <c r="P481" s="156"/>
      <c r="Q481" s="169"/>
    </row>
    <row r="482" spans="1:17" x14ac:dyDescent="0.35">
      <c r="A482" s="119" t="s">
        <v>780</v>
      </c>
      <c r="B482" s="119" t="s">
        <v>826</v>
      </c>
      <c r="C482" s="242">
        <v>45019</v>
      </c>
      <c r="D482" s="119" t="s">
        <v>805</v>
      </c>
      <c r="E482" s="110" t="s">
        <v>240</v>
      </c>
      <c r="F482" s="110"/>
      <c r="G482" s="110"/>
      <c r="H482" s="110"/>
      <c r="I482" s="110" t="s">
        <v>442</v>
      </c>
      <c r="J482" s="110"/>
      <c r="K482" s="110"/>
      <c r="L482" s="110"/>
      <c r="M482" s="110"/>
      <c r="N482" s="110"/>
      <c r="O482" s="110"/>
      <c r="P482" s="156"/>
      <c r="Q482" s="169"/>
    </row>
    <row r="483" spans="1:17" x14ac:dyDescent="0.35">
      <c r="A483" s="244" t="s">
        <v>816</v>
      </c>
      <c r="B483" s="244" t="s">
        <v>817</v>
      </c>
      <c r="C483" s="245">
        <v>64000</v>
      </c>
      <c r="D483" s="247" t="s">
        <v>818</v>
      </c>
      <c r="E483" s="110" t="s">
        <v>240</v>
      </c>
      <c r="F483" s="110"/>
      <c r="G483" s="110"/>
      <c r="H483" s="110"/>
      <c r="I483" s="110" t="s">
        <v>442</v>
      </c>
      <c r="J483" s="110"/>
      <c r="K483" s="110"/>
      <c r="L483" s="110"/>
      <c r="M483" s="110"/>
      <c r="N483" s="110"/>
      <c r="O483" s="110"/>
      <c r="P483" s="156"/>
      <c r="Q483" s="169"/>
    </row>
    <row r="484" spans="1:17" x14ac:dyDescent="0.35">
      <c r="A484" s="142" t="s">
        <v>833</v>
      </c>
      <c r="B484" s="142" t="s">
        <v>834</v>
      </c>
      <c r="C484" s="110">
        <v>67250</v>
      </c>
      <c r="D484" s="142" t="s">
        <v>806</v>
      </c>
      <c r="E484" s="110" t="s">
        <v>240</v>
      </c>
      <c r="F484" s="110"/>
      <c r="G484" s="110"/>
      <c r="H484" s="110"/>
      <c r="I484" s="110" t="s">
        <v>442</v>
      </c>
      <c r="J484" s="110"/>
      <c r="K484" s="110"/>
      <c r="L484" s="110"/>
      <c r="M484" s="110"/>
      <c r="N484" s="110"/>
      <c r="O484" s="110"/>
      <c r="P484" s="156"/>
      <c r="Q484" s="169"/>
    </row>
    <row r="485" spans="1:17" x14ac:dyDescent="0.35">
      <c r="A485" s="120" t="s">
        <v>245</v>
      </c>
      <c r="B485" s="120" t="s">
        <v>247</v>
      </c>
      <c r="C485" s="169">
        <v>66650</v>
      </c>
      <c r="D485" s="120" t="s">
        <v>805</v>
      </c>
      <c r="E485" s="110" t="s">
        <v>240</v>
      </c>
      <c r="F485" s="110"/>
      <c r="G485" s="110"/>
      <c r="H485" s="110"/>
      <c r="I485" s="110" t="s">
        <v>442</v>
      </c>
      <c r="J485" s="110"/>
      <c r="K485" s="110"/>
      <c r="L485" s="110"/>
      <c r="M485" s="110"/>
      <c r="N485" s="110"/>
      <c r="O485" s="110"/>
      <c r="P485" s="156"/>
      <c r="Q485" s="169"/>
    </row>
    <row r="486" spans="1:17" x14ac:dyDescent="0.35">
      <c r="A486" s="243" t="s">
        <v>1403</v>
      </c>
      <c r="B486" s="243" t="s">
        <v>1404</v>
      </c>
      <c r="C486" s="242">
        <v>64410</v>
      </c>
      <c r="D486" s="119" t="s">
        <v>805</v>
      </c>
      <c r="E486" s="110" t="s">
        <v>240</v>
      </c>
      <c r="F486" s="110"/>
      <c r="G486" s="110"/>
      <c r="H486" s="110"/>
      <c r="I486" s="110" t="s">
        <v>442</v>
      </c>
      <c r="J486" s="110"/>
      <c r="K486" s="110"/>
      <c r="L486" s="110"/>
      <c r="M486" s="110"/>
      <c r="N486" s="110"/>
      <c r="O486" s="110"/>
      <c r="P486" s="156"/>
      <c r="Q486" s="169"/>
    </row>
    <row r="487" spans="1:17" x14ac:dyDescent="0.35">
      <c r="A487" s="248" t="s">
        <v>1067</v>
      </c>
      <c r="B487" s="244" t="s">
        <v>1068</v>
      </c>
      <c r="C487" s="169">
        <v>64030</v>
      </c>
      <c r="D487" s="120" t="s">
        <v>805</v>
      </c>
      <c r="E487" s="110" t="s">
        <v>240</v>
      </c>
      <c r="F487" s="110"/>
      <c r="G487" s="110"/>
      <c r="H487" s="110"/>
      <c r="I487" s="110" t="s">
        <v>442</v>
      </c>
      <c r="J487" s="110"/>
      <c r="K487" s="110"/>
      <c r="L487" s="110"/>
      <c r="M487" s="110"/>
      <c r="N487" s="110"/>
      <c r="O487" s="110"/>
      <c r="P487" s="156"/>
      <c r="Q487" s="169"/>
    </row>
    <row r="488" spans="1:17" x14ac:dyDescent="0.35">
      <c r="A488" s="119" t="s">
        <v>209</v>
      </c>
      <c r="B488" s="119" t="s">
        <v>210</v>
      </c>
      <c r="C488" s="242">
        <v>67110</v>
      </c>
      <c r="D488" s="119" t="s">
        <v>806</v>
      </c>
      <c r="E488" s="411" t="s">
        <v>241</v>
      </c>
      <c r="F488" s="110"/>
      <c r="G488" s="110"/>
      <c r="H488" s="110"/>
      <c r="I488" s="110" t="s">
        <v>442</v>
      </c>
      <c r="J488" s="110"/>
      <c r="K488" s="110"/>
      <c r="L488" s="110"/>
      <c r="M488" s="110"/>
      <c r="N488" s="110"/>
      <c r="O488" s="110"/>
      <c r="P488" s="156"/>
      <c r="Q488" s="169"/>
    </row>
    <row r="489" spans="1:17" x14ac:dyDescent="0.35">
      <c r="A489" s="119" t="s">
        <v>2443</v>
      </c>
      <c r="B489" s="244" t="s">
        <v>2442</v>
      </c>
      <c r="C489" s="242">
        <v>36878</v>
      </c>
      <c r="D489" s="142" t="s">
        <v>818</v>
      </c>
      <c r="E489" s="110" t="s">
        <v>240</v>
      </c>
      <c r="F489" s="110"/>
      <c r="G489" s="110"/>
      <c r="H489" s="110"/>
      <c r="I489" s="110" t="s">
        <v>442</v>
      </c>
      <c r="J489" s="110"/>
      <c r="K489" s="110"/>
      <c r="L489" s="110"/>
      <c r="M489" s="110"/>
      <c r="N489" s="110"/>
      <c r="O489" s="110"/>
      <c r="P489" s="156"/>
      <c r="Q489" s="169"/>
    </row>
    <row r="490" spans="1:17" x14ac:dyDescent="0.35">
      <c r="A490" s="244" t="s">
        <v>1028</v>
      </c>
      <c r="B490" s="244" t="s">
        <v>1029</v>
      </c>
      <c r="C490" s="245">
        <v>66607</v>
      </c>
      <c r="D490" s="119" t="s">
        <v>915</v>
      </c>
      <c r="E490" s="110" t="s">
        <v>240</v>
      </c>
      <c r="F490" s="110"/>
      <c r="G490" s="110"/>
      <c r="H490" s="110"/>
      <c r="I490" s="110" t="s">
        <v>442</v>
      </c>
      <c r="J490" s="110"/>
      <c r="K490" s="110"/>
      <c r="L490" s="110"/>
      <c r="M490" s="110"/>
      <c r="N490" s="110"/>
      <c r="O490" s="110"/>
      <c r="P490" s="156"/>
      <c r="Q490" s="169"/>
    </row>
    <row r="491" spans="1:17" x14ac:dyDescent="0.35">
      <c r="A491" s="244" t="s">
        <v>913</v>
      </c>
      <c r="B491" s="244" t="s">
        <v>914</v>
      </c>
      <c r="C491" s="245">
        <v>67150</v>
      </c>
      <c r="D491" s="247" t="s">
        <v>915</v>
      </c>
      <c r="E491" s="110" t="s">
        <v>240</v>
      </c>
      <c r="F491" s="110"/>
      <c r="G491" s="110"/>
      <c r="H491" s="110"/>
      <c r="I491" s="110" t="s">
        <v>442</v>
      </c>
      <c r="J491" s="110"/>
      <c r="K491" s="110"/>
      <c r="L491" s="110"/>
      <c r="M491" s="110"/>
      <c r="N491" s="110"/>
      <c r="O491" s="110"/>
      <c r="P491" s="156"/>
      <c r="Q491" s="169"/>
    </row>
    <row r="492" spans="1:17" x14ac:dyDescent="0.35">
      <c r="A492" s="119" t="s">
        <v>827</v>
      </c>
      <c r="B492" s="119" t="s">
        <v>828</v>
      </c>
      <c r="C492" s="242">
        <v>66477</v>
      </c>
      <c r="D492" s="119" t="s">
        <v>901</v>
      </c>
      <c r="E492" s="411" t="s">
        <v>848</v>
      </c>
      <c r="F492" s="110"/>
      <c r="G492" s="110"/>
      <c r="H492" s="110"/>
      <c r="I492" s="110" t="s">
        <v>442</v>
      </c>
      <c r="J492" s="110"/>
      <c r="K492" s="110"/>
      <c r="L492" s="110"/>
      <c r="M492" s="110"/>
      <c r="N492" s="110"/>
      <c r="O492" s="110"/>
      <c r="P492" s="156"/>
      <c r="Q492" s="169"/>
    </row>
    <row r="493" spans="1:17" x14ac:dyDescent="0.35">
      <c r="A493" s="119" t="s">
        <v>220</v>
      </c>
      <c r="B493" s="119" t="s">
        <v>221</v>
      </c>
      <c r="C493" s="242">
        <v>66460</v>
      </c>
      <c r="D493" s="119" t="s">
        <v>806</v>
      </c>
      <c r="E493" s="110" t="s">
        <v>240</v>
      </c>
      <c r="F493" s="110"/>
      <c r="G493" s="110"/>
      <c r="H493" s="110"/>
      <c r="I493" s="110" t="s">
        <v>442</v>
      </c>
      <c r="J493" s="110"/>
      <c r="K493" s="110"/>
      <c r="L493" s="110"/>
      <c r="M493" s="110"/>
      <c r="N493" s="110"/>
      <c r="O493" s="110"/>
      <c r="P493" s="156"/>
      <c r="Q493" s="169"/>
    </row>
    <row r="494" spans="1:17" x14ac:dyDescent="0.35">
      <c r="A494" s="119" t="s">
        <v>712</v>
      </c>
      <c r="B494" s="119" t="s">
        <v>829</v>
      </c>
      <c r="C494" s="242">
        <v>66070</v>
      </c>
      <c r="D494" s="119" t="s">
        <v>830</v>
      </c>
      <c r="E494" s="110" t="s">
        <v>240</v>
      </c>
      <c r="F494" s="110"/>
      <c r="G494" s="110"/>
      <c r="H494" s="110"/>
      <c r="I494" s="110" t="s">
        <v>442</v>
      </c>
      <c r="J494" s="110"/>
      <c r="K494" s="110"/>
      <c r="L494" s="110"/>
      <c r="M494" s="110"/>
      <c r="N494" s="110"/>
      <c r="O494" s="110"/>
      <c r="P494" s="156"/>
      <c r="Q494" s="169"/>
    </row>
    <row r="495" spans="1:17" x14ac:dyDescent="0.35">
      <c r="A495" s="244" t="s">
        <v>1551</v>
      </c>
      <c r="B495" s="244" t="s">
        <v>1553</v>
      </c>
      <c r="C495" s="242">
        <v>76079</v>
      </c>
      <c r="D495" s="247" t="s">
        <v>915</v>
      </c>
      <c r="E495" s="110" t="s">
        <v>240</v>
      </c>
      <c r="F495" s="110"/>
      <c r="G495" s="110"/>
      <c r="H495" s="110"/>
      <c r="I495" s="110" t="s">
        <v>442</v>
      </c>
      <c r="J495" s="110"/>
      <c r="K495" s="110"/>
      <c r="L495" s="110"/>
      <c r="M495" s="110"/>
      <c r="N495" s="110"/>
      <c r="O495" s="110"/>
      <c r="P495" s="156"/>
      <c r="Q495" s="169"/>
    </row>
    <row r="496" spans="1:17" x14ac:dyDescent="0.35">
      <c r="A496" s="244" t="s">
        <v>831</v>
      </c>
      <c r="B496" s="244" t="s">
        <v>832</v>
      </c>
      <c r="C496" s="110">
        <v>64530</v>
      </c>
      <c r="D496" s="142" t="s">
        <v>805</v>
      </c>
      <c r="E496" s="110" t="s">
        <v>240</v>
      </c>
      <c r="F496" s="110"/>
      <c r="G496" s="110"/>
      <c r="H496" s="110"/>
      <c r="I496" s="110" t="s">
        <v>442</v>
      </c>
      <c r="J496" s="110"/>
      <c r="K496" s="110"/>
      <c r="L496" s="110"/>
      <c r="M496" s="110"/>
      <c r="N496" s="110"/>
      <c r="O496" s="110"/>
      <c r="P496" s="156"/>
      <c r="Q496" s="169"/>
    </row>
    <row r="497" spans="1:17" x14ac:dyDescent="0.35">
      <c r="A497" s="244" t="s">
        <v>1619</v>
      </c>
      <c r="B497" s="244" t="s">
        <v>1620</v>
      </c>
      <c r="C497" s="110">
        <v>67196</v>
      </c>
      <c r="D497" s="119" t="s">
        <v>806</v>
      </c>
      <c r="E497" s="110" t="s">
        <v>240</v>
      </c>
      <c r="F497" s="110"/>
      <c r="G497" s="110"/>
      <c r="H497" s="110"/>
      <c r="I497" s="110" t="s">
        <v>442</v>
      </c>
      <c r="J497" s="110"/>
      <c r="K497" s="110"/>
      <c r="L497" s="110"/>
      <c r="M497" s="110"/>
      <c r="N497" s="110"/>
      <c r="O497" s="110"/>
      <c r="P497" s="156"/>
      <c r="Q497" s="169"/>
    </row>
    <row r="498" spans="1:17" x14ac:dyDescent="0.35">
      <c r="A498" s="142" t="s">
        <v>1670</v>
      </c>
      <c r="B498" s="142" t="s">
        <v>1671</v>
      </c>
      <c r="C498" s="110">
        <v>76000</v>
      </c>
      <c r="D498" s="119" t="s">
        <v>805</v>
      </c>
      <c r="E498" s="110" t="s">
        <v>240</v>
      </c>
      <c r="F498" s="110"/>
      <c r="G498" s="110"/>
      <c r="H498" s="110"/>
      <c r="I498" s="110" t="s">
        <v>442</v>
      </c>
      <c r="J498" s="110"/>
      <c r="K498" s="110"/>
      <c r="L498" s="110"/>
      <c r="M498" s="110"/>
      <c r="N498" s="110"/>
      <c r="O498" s="110"/>
      <c r="P498" s="156"/>
      <c r="Q498" s="169"/>
    </row>
    <row r="499" spans="1:17" x14ac:dyDescent="0.35">
      <c r="A499" s="248" t="s">
        <v>836</v>
      </c>
      <c r="B499" s="244" t="s">
        <v>837</v>
      </c>
      <c r="C499" s="110">
        <v>66062</v>
      </c>
      <c r="D499" s="248" t="s">
        <v>805</v>
      </c>
      <c r="E499" s="110" t="s">
        <v>240</v>
      </c>
      <c r="F499" s="110"/>
      <c r="G499" s="110"/>
      <c r="H499" s="110"/>
      <c r="I499" s="110" t="s">
        <v>442</v>
      </c>
      <c r="J499" s="110"/>
      <c r="K499" s="110"/>
      <c r="L499" s="110"/>
      <c r="M499" s="110"/>
      <c r="N499" s="110"/>
      <c r="O499" s="110"/>
      <c r="P499" s="156"/>
      <c r="Q499" s="169"/>
    </row>
    <row r="500" spans="1:17" x14ac:dyDescent="0.35">
      <c r="A500" s="248" t="s">
        <v>323</v>
      </c>
      <c r="B500" s="244" t="s">
        <v>2687</v>
      </c>
      <c r="C500" s="110">
        <v>64290</v>
      </c>
      <c r="D500" s="120" t="s">
        <v>805</v>
      </c>
      <c r="E500" s="110" t="s">
        <v>240</v>
      </c>
      <c r="F500" s="110"/>
      <c r="G500" s="110"/>
      <c r="H500" s="110"/>
      <c r="I500" s="110" t="s">
        <v>442</v>
      </c>
      <c r="J500" s="110"/>
      <c r="K500" s="110"/>
      <c r="L500" s="110"/>
      <c r="M500" s="110"/>
      <c r="N500" s="110"/>
      <c r="O500" s="110"/>
      <c r="P500" s="156"/>
      <c r="Q500" s="169"/>
    </row>
    <row r="501" spans="1:17" x14ac:dyDescent="0.35">
      <c r="A501" s="119" t="s">
        <v>838</v>
      </c>
      <c r="B501" s="119" t="s">
        <v>211</v>
      </c>
      <c r="C501" s="242">
        <v>64350</v>
      </c>
      <c r="D501" s="119" t="s">
        <v>806</v>
      </c>
      <c r="E501" s="110" t="s">
        <v>240</v>
      </c>
      <c r="F501" s="110"/>
      <c r="G501" s="110"/>
      <c r="H501" s="110"/>
      <c r="I501" s="110" t="s">
        <v>442</v>
      </c>
      <c r="J501" s="110"/>
      <c r="K501" s="110"/>
      <c r="L501" s="110"/>
      <c r="M501" s="110"/>
      <c r="N501" s="110"/>
      <c r="O501" s="110"/>
      <c r="P501" s="156"/>
      <c r="Q501" s="169"/>
    </row>
    <row r="502" spans="1:17" x14ac:dyDescent="0.35">
      <c r="A502" s="119" t="s">
        <v>53</v>
      </c>
      <c r="B502" s="119" t="s">
        <v>212</v>
      </c>
      <c r="C502" s="242">
        <v>64850</v>
      </c>
      <c r="D502" s="119" t="s">
        <v>806</v>
      </c>
      <c r="E502" s="110" t="s">
        <v>240</v>
      </c>
      <c r="F502" s="110"/>
      <c r="G502" s="110"/>
      <c r="H502" s="110"/>
      <c r="I502" s="110" t="s">
        <v>442</v>
      </c>
      <c r="J502" s="110"/>
      <c r="K502" s="110"/>
      <c r="L502" s="110"/>
      <c r="M502" s="110"/>
      <c r="N502" s="110"/>
      <c r="O502" s="110"/>
      <c r="P502" s="156"/>
      <c r="Q502" s="169"/>
    </row>
    <row r="503" spans="1:17" x14ac:dyDescent="0.35">
      <c r="A503" s="119" t="s">
        <v>1032</v>
      </c>
      <c r="B503" s="119" t="s">
        <v>1033</v>
      </c>
      <c r="C503" s="242">
        <v>64610</v>
      </c>
      <c r="D503" s="119" t="s">
        <v>915</v>
      </c>
      <c r="E503" s="110" t="s">
        <v>240</v>
      </c>
      <c r="F503" s="110"/>
      <c r="G503" s="110"/>
      <c r="H503" s="110"/>
      <c r="I503" s="110" t="s">
        <v>442</v>
      </c>
      <c r="J503" s="110"/>
      <c r="K503" s="110"/>
      <c r="L503" s="110"/>
      <c r="M503" s="110"/>
      <c r="N503" s="110"/>
      <c r="O503" s="110"/>
      <c r="P503" s="156"/>
      <c r="Q503" s="169"/>
    </row>
    <row r="504" spans="1:17" x14ac:dyDescent="0.35">
      <c r="A504" s="119" t="s">
        <v>1061</v>
      </c>
      <c r="B504" s="119" t="s">
        <v>1060</v>
      </c>
      <c r="C504" s="242">
        <v>66614</v>
      </c>
      <c r="D504" s="119" t="s">
        <v>806</v>
      </c>
      <c r="E504" s="110" t="s">
        <v>240</v>
      </c>
      <c r="F504" s="110"/>
      <c r="G504" s="110"/>
      <c r="H504" s="110"/>
      <c r="I504" s="110" t="s">
        <v>442</v>
      </c>
      <c r="J504" s="110"/>
      <c r="K504" s="110"/>
      <c r="L504" s="110"/>
      <c r="M504" s="110"/>
      <c r="N504" s="110"/>
      <c r="O504" s="110"/>
      <c r="P504" s="156"/>
      <c r="Q504" s="169"/>
    </row>
    <row r="505" spans="1:17" x14ac:dyDescent="0.35">
      <c r="A505" s="248" t="s">
        <v>964</v>
      </c>
      <c r="B505" s="248" t="s">
        <v>965</v>
      </c>
      <c r="C505" s="169">
        <v>64000</v>
      </c>
      <c r="D505" s="248" t="s">
        <v>805</v>
      </c>
      <c r="E505" s="110" t="s">
        <v>240</v>
      </c>
      <c r="F505" s="110"/>
      <c r="G505" s="110"/>
      <c r="H505" s="110"/>
      <c r="I505" s="110" t="s">
        <v>442</v>
      </c>
      <c r="J505" s="110"/>
      <c r="K505" s="110"/>
      <c r="L505" s="110"/>
      <c r="M505" s="110"/>
      <c r="N505" s="110"/>
      <c r="O505" s="110"/>
      <c r="P505" s="156"/>
      <c r="Q505" s="169"/>
    </row>
    <row r="506" spans="1:17" x14ac:dyDescent="0.35">
      <c r="A506" s="243" t="s">
        <v>1022</v>
      </c>
      <c r="B506" s="243" t="s">
        <v>1023</v>
      </c>
      <c r="C506" s="242">
        <v>66630</v>
      </c>
      <c r="D506" s="119" t="s">
        <v>805</v>
      </c>
      <c r="E506" s="110" t="s">
        <v>240</v>
      </c>
      <c r="F506" s="110"/>
      <c r="G506" s="110"/>
      <c r="H506" s="110"/>
      <c r="I506" s="110" t="s">
        <v>442</v>
      </c>
      <c r="J506" s="110"/>
      <c r="K506" s="110"/>
      <c r="L506" s="110"/>
      <c r="M506" s="110"/>
      <c r="N506" s="110"/>
      <c r="O506" s="110"/>
      <c r="P506" s="156"/>
      <c r="Q506" s="169"/>
    </row>
    <row r="507" spans="1:17" x14ac:dyDescent="0.35">
      <c r="A507" s="244" t="s">
        <v>819</v>
      </c>
      <c r="B507" s="244" t="s">
        <v>820</v>
      </c>
      <c r="C507" s="242">
        <v>67113</v>
      </c>
      <c r="D507" s="119" t="s">
        <v>805</v>
      </c>
      <c r="E507" s="110" t="s">
        <v>240</v>
      </c>
      <c r="F507" s="110"/>
      <c r="G507" s="110"/>
      <c r="H507" s="110"/>
      <c r="I507" s="110" t="s">
        <v>442</v>
      </c>
      <c r="J507" s="110"/>
      <c r="K507" s="110"/>
      <c r="L507" s="110"/>
      <c r="M507" s="110"/>
      <c r="N507" s="110"/>
      <c r="O507" s="110"/>
      <c r="P507" s="156"/>
      <c r="Q507" s="169"/>
    </row>
    <row r="508" spans="1:17" x14ac:dyDescent="0.35">
      <c r="A508" s="119" t="s">
        <v>213</v>
      </c>
      <c r="B508" s="119" t="s">
        <v>214</v>
      </c>
      <c r="C508" s="242">
        <v>64984</v>
      </c>
      <c r="D508" s="119" t="s">
        <v>806</v>
      </c>
      <c r="E508" s="110" t="s">
        <v>240</v>
      </c>
      <c r="F508" s="110"/>
      <c r="G508" s="110"/>
      <c r="H508" s="110"/>
      <c r="I508" s="110" t="s">
        <v>442</v>
      </c>
      <c r="J508" s="110"/>
      <c r="K508" s="110"/>
      <c r="L508" s="110"/>
      <c r="M508" s="110"/>
      <c r="N508" s="110"/>
      <c r="O508" s="110"/>
      <c r="P508" s="156"/>
      <c r="Q508" s="169"/>
    </row>
    <row r="509" spans="1:17" x14ac:dyDescent="0.35">
      <c r="A509" s="246" t="s">
        <v>215</v>
      </c>
      <c r="B509" s="119" t="s">
        <v>216</v>
      </c>
      <c r="C509" s="242">
        <v>64500</v>
      </c>
      <c r="D509" s="119" t="s">
        <v>818</v>
      </c>
      <c r="E509" s="110" t="s">
        <v>240</v>
      </c>
      <c r="F509" s="110"/>
      <c r="G509" s="110"/>
      <c r="H509" s="110"/>
      <c r="I509" s="110" t="s">
        <v>442</v>
      </c>
      <c r="J509" s="110"/>
      <c r="K509" s="110"/>
      <c r="L509" s="110"/>
      <c r="M509" s="110"/>
      <c r="N509" s="110"/>
      <c r="O509" s="110"/>
      <c r="P509" s="156"/>
      <c r="Q509" s="169"/>
    </row>
    <row r="510" spans="1:17" x14ac:dyDescent="0.35">
      <c r="A510" s="119" t="s">
        <v>2173</v>
      </c>
      <c r="B510" s="119" t="s">
        <v>2172</v>
      </c>
      <c r="C510" s="242">
        <v>66612</v>
      </c>
      <c r="D510" s="119" t="s">
        <v>830</v>
      </c>
      <c r="E510" s="110" t="s">
        <v>240</v>
      </c>
      <c r="F510" s="110"/>
      <c r="G510" s="110"/>
      <c r="H510" s="110"/>
      <c r="I510" s="110" t="s">
        <v>442</v>
      </c>
      <c r="J510" s="110"/>
      <c r="K510" s="110"/>
      <c r="L510" s="110"/>
      <c r="M510" s="110"/>
      <c r="N510" s="110"/>
      <c r="O510" s="110"/>
      <c r="P510" s="156"/>
      <c r="Q510" s="169"/>
    </row>
    <row r="511" spans="1:17" x14ac:dyDescent="0.35">
      <c r="A511" s="244" t="s">
        <v>1437</v>
      </c>
      <c r="B511" s="244" t="s">
        <v>1438</v>
      </c>
      <c r="C511" s="242">
        <v>66460</v>
      </c>
      <c r="D511" s="119" t="s">
        <v>818</v>
      </c>
      <c r="E511" s="110" t="s">
        <v>240</v>
      </c>
      <c r="F511" s="110"/>
      <c r="G511" s="110"/>
      <c r="H511" s="110"/>
      <c r="I511" s="110" t="s">
        <v>442</v>
      </c>
      <c r="J511" s="110"/>
      <c r="K511" s="110"/>
      <c r="L511" s="110"/>
      <c r="M511" s="110"/>
      <c r="N511" s="110"/>
      <c r="O511" s="110"/>
      <c r="P511" s="156"/>
      <c r="Q511" s="169"/>
    </row>
    <row r="512" spans="1:17" x14ac:dyDescent="0.35">
      <c r="A512" s="119" t="s">
        <v>217</v>
      </c>
      <c r="B512" s="119" t="s">
        <v>218</v>
      </c>
      <c r="C512" s="242">
        <v>66400</v>
      </c>
      <c r="D512" s="119" t="s">
        <v>818</v>
      </c>
      <c r="E512" s="110" t="s">
        <v>240</v>
      </c>
      <c r="F512" s="110"/>
      <c r="G512" s="110"/>
      <c r="H512" s="110"/>
      <c r="I512" s="110" t="s">
        <v>442</v>
      </c>
      <c r="J512" s="110"/>
      <c r="K512" s="110"/>
      <c r="L512" s="110"/>
      <c r="M512" s="110"/>
      <c r="N512" s="110"/>
      <c r="O512" s="110"/>
      <c r="P512" s="156"/>
      <c r="Q512" s="169"/>
    </row>
    <row r="513" spans="1:17" x14ac:dyDescent="0.35">
      <c r="A513" s="5" t="s">
        <v>1062</v>
      </c>
      <c r="B513" s="120" t="s">
        <v>1063</v>
      </c>
      <c r="C513" s="169">
        <v>66350</v>
      </c>
      <c r="D513" s="120" t="s">
        <v>805</v>
      </c>
      <c r="E513" s="110" t="s">
        <v>240</v>
      </c>
      <c r="F513" s="110"/>
      <c r="G513" s="110"/>
      <c r="H513" s="110"/>
      <c r="I513" s="110" t="s">
        <v>442</v>
      </c>
      <c r="J513" s="110"/>
      <c r="K513" s="110"/>
      <c r="L513" s="110"/>
      <c r="M513" s="110"/>
      <c r="N513" s="110"/>
      <c r="O513" s="110"/>
      <c r="P513" s="156"/>
      <c r="Q513" s="169"/>
    </row>
    <row r="514" spans="1:17" x14ac:dyDescent="0.35">
      <c r="A514" s="119" t="s">
        <v>841</v>
      </c>
      <c r="B514" s="119" t="s">
        <v>842</v>
      </c>
      <c r="C514" s="242">
        <v>64700</v>
      </c>
      <c r="D514" s="119" t="s">
        <v>805</v>
      </c>
      <c r="E514" s="110" t="s">
        <v>240</v>
      </c>
      <c r="F514" s="110"/>
      <c r="G514" s="110"/>
      <c r="H514" s="110"/>
      <c r="I514" s="110" t="s">
        <v>442</v>
      </c>
      <c r="J514" s="110"/>
      <c r="K514" s="110"/>
      <c r="L514" s="110"/>
      <c r="M514" s="110"/>
      <c r="N514" s="110"/>
      <c r="O514" s="110"/>
      <c r="P514" s="156"/>
      <c r="Q514" s="169"/>
    </row>
    <row r="515" spans="1:17" x14ac:dyDescent="0.35">
      <c r="A515" s="244" t="s">
        <v>1539</v>
      </c>
      <c r="B515" s="244" t="s">
        <v>1540</v>
      </c>
      <c r="C515" s="242">
        <v>66646</v>
      </c>
      <c r="D515" s="247" t="s">
        <v>915</v>
      </c>
      <c r="E515" s="110" t="s">
        <v>240</v>
      </c>
      <c r="F515" s="110"/>
      <c r="G515" s="110"/>
      <c r="H515" s="110"/>
      <c r="I515" s="110" t="s">
        <v>442</v>
      </c>
      <c r="J515" s="110"/>
      <c r="K515" s="110"/>
      <c r="L515" s="110"/>
      <c r="M515" s="110"/>
      <c r="N515" s="110"/>
      <c r="O515" s="110"/>
      <c r="P515" s="156"/>
      <c r="Q515" s="169"/>
    </row>
    <row r="516" spans="1:17" x14ac:dyDescent="0.35">
      <c r="A516" s="142" t="s">
        <v>869</v>
      </c>
      <c r="B516" s="244" t="s">
        <v>870</v>
      </c>
      <c r="C516" s="110">
        <v>25034</v>
      </c>
      <c r="D516" s="142" t="s">
        <v>805</v>
      </c>
      <c r="E516" s="110" t="s">
        <v>240</v>
      </c>
      <c r="F516" s="110"/>
      <c r="G516" s="110"/>
      <c r="H516" s="110"/>
      <c r="I516" s="110" t="s">
        <v>442</v>
      </c>
      <c r="J516" s="110"/>
      <c r="K516" s="110"/>
      <c r="L516" s="110"/>
      <c r="M516" s="110"/>
      <c r="N516" s="110"/>
      <c r="O516" s="110"/>
      <c r="P516" s="156"/>
      <c r="Q516" s="169"/>
    </row>
    <row r="517" spans="1:17" x14ac:dyDescent="0.35">
      <c r="A517" s="5" t="s">
        <v>2380</v>
      </c>
      <c r="B517" s="5" t="s">
        <v>2381</v>
      </c>
      <c r="C517" s="169">
        <v>67120</v>
      </c>
      <c r="D517" s="120" t="s">
        <v>905</v>
      </c>
      <c r="E517" s="110" t="s">
        <v>240</v>
      </c>
      <c r="F517" s="110"/>
      <c r="G517" s="110"/>
      <c r="H517" s="110"/>
      <c r="I517" s="110" t="s">
        <v>442</v>
      </c>
      <c r="J517" s="110"/>
      <c r="K517" s="110"/>
      <c r="L517" s="110"/>
      <c r="M517" s="110"/>
      <c r="N517" s="110"/>
      <c r="O517" s="110"/>
      <c r="P517" s="156"/>
      <c r="Q517" s="169"/>
    </row>
    <row r="518" spans="1:17" x14ac:dyDescent="0.35">
      <c r="A518" s="244" t="s">
        <v>1471</v>
      </c>
      <c r="B518" s="244" t="s">
        <v>1472</v>
      </c>
      <c r="C518" s="245">
        <v>66050</v>
      </c>
      <c r="D518" s="247" t="s">
        <v>915</v>
      </c>
      <c r="E518" s="110" t="s">
        <v>240</v>
      </c>
      <c r="F518" s="110"/>
      <c r="G518" s="110"/>
      <c r="H518" s="110"/>
      <c r="I518" s="110" t="s">
        <v>442</v>
      </c>
      <c r="J518" s="110"/>
      <c r="K518" s="110"/>
      <c r="L518" s="110"/>
      <c r="M518" s="110"/>
      <c r="N518" s="110"/>
      <c r="O518" s="110"/>
      <c r="P518" s="156"/>
      <c r="Q518" s="169"/>
    </row>
    <row r="519" spans="1:17" x14ac:dyDescent="0.35">
      <c r="A519" s="244" t="s">
        <v>1468</v>
      </c>
      <c r="B519" s="244" t="s">
        <v>1469</v>
      </c>
      <c r="C519" s="245">
        <v>25720</v>
      </c>
      <c r="D519" s="247" t="s">
        <v>915</v>
      </c>
      <c r="E519" s="110" t="s">
        <v>240</v>
      </c>
      <c r="F519" s="110"/>
      <c r="G519" s="110"/>
      <c r="H519" s="110"/>
      <c r="I519" s="110" t="s">
        <v>442</v>
      </c>
      <c r="J519" s="110"/>
      <c r="K519" s="110"/>
      <c r="L519" s="110"/>
      <c r="M519" s="110"/>
      <c r="N519" s="110"/>
      <c r="O519" s="110"/>
      <c r="P519" s="156"/>
      <c r="Q519" s="169"/>
    </row>
    <row r="520" spans="1:17" x14ac:dyDescent="0.35">
      <c r="A520" s="119" t="s">
        <v>813</v>
      </c>
      <c r="B520" s="244" t="s">
        <v>814</v>
      </c>
      <c r="C520" s="242">
        <v>64850</v>
      </c>
      <c r="D520" s="119" t="s">
        <v>805</v>
      </c>
      <c r="E520" s="110" t="s">
        <v>240</v>
      </c>
      <c r="F520" s="110"/>
      <c r="G520" s="110"/>
      <c r="H520" s="110"/>
      <c r="I520" s="110" t="s">
        <v>442</v>
      </c>
      <c r="J520" s="110"/>
      <c r="K520" s="110"/>
      <c r="L520" s="110"/>
      <c r="M520" s="110"/>
      <c r="N520" s="110"/>
      <c r="O520" s="110"/>
      <c r="P520" s="156"/>
      <c r="Q520" s="169"/>
    </row>
    <row r="521" spans="1:17" x14ac:dyDescent="0.35">
      <c r="A521" s="119" t="s">
        <v>857</v>
      </c>
      <c r="B521" s="119" t="s">
        <v>858</v>
      </c>
      <c r="C521" s="242">
        <v>64510</v>
      </c>
      <c r="D521" s="119" t="s">
        <v>805</v>
      </c>
      <c r="E521" s="110" t="s">
        <v>240</v>
      </c>
      <c r="F521" s="110"/>
      <c r="G521" s="110"/>
      <c r="H521" s="110"/>
      <c r="I521" s="110" t="s">
        <v>442</v>
      </c>
      <c r="J521" s="110"/>
      <c r="K521" s="110"/>
      <c r="L521" s="110"/>
      <c r="M521" s="110"/>
      <c r="N521" s="110"/>
      <c r="O521" s="110"/>
      <c r="P521" s="156"/>
      <c r="Q521" s="169"/>
    </row>
    <row r="522" spans="1:17" x14ac:dyDescent="0.35">
      <c r="A522" s="345" t="s">
        <v>1447</v>
      </c>
      <c r="B522" s="344" t="s">
        <v>1448</v>
      </c>
      <c r="C522" s="110">
        <v>67195</v>
      </c>
      <c r="D522" s="142" t="s">
        <v>818</v>
      </c>
      <c r="E522" s="411" t="s">
        <v>241</v>
      </c>
      <c r="F522" s="110"/>
      <c r="G522" s="110"/>
      <c r="H522" s="110"/>
      <c r="I522" s="110" t="s">
        <v>442</v>
      </c>
      <c r="J522" s="110"/>
      <c r="K522" s="110"/>
      <c r="L522" s="110"/>
      <c r="M522" s="110"/>
      <c r="N522" s="110"/>
      <c r="O522" s="110"/>
      <c r="P522" s="156"/>
      <c r="Q522" s="169"/>
    </row>
    <row r="523" spans="1:17" x14ac:dyDescent="0.35">
      <c r="A523" s="244" t="s">
        <v>843</v>
      </c>
      <c r="B523" s="244" t="s">
        <v>844</v>
      </c>
      <c r="C523" s="245">
        <v>66350</v>
      </c>
      <c r="D523" s="247" t="s">
        <v>805</v>
      </c>
      <c r="E523" s="110" t="s">
        <v>240</v>
      </c>
      <c r="F523" s="110"/>
      <c r="G523" s="110"/>
      <c r="H523" s="110"/>
      <c r="I523" s="110" t="s">
        <v>442</v>
      </c>
      <c r="J523" s="110"/>
      <c r="K523" s="110"/>
      <c r="L523" s="110"/>
      <c r="M523" s="110"/>
      <c r="N523" s="110"/>
      <c r="O523" s="110"/>
      <c r="P523" s="156"/>
      <c r="Q523" s="169"/>
    </row>
    <row r="524" spans="1:17" x14ac:dyDescent="0.35">
      <c r="A524" s="142" t="s">
        <v>845</v>
      </c>
      <c r="B524" s="244" t="s">
        <v>846</v>
      </c>
      <c r="C524" s="245">
        <v>64440</v>
      </c>
      <c r="D524" s="247" t="s">
        <v>847</v>
      </c>
      <c r="E524" s="411" t="s">
        <v>848</v>
      </c>
      <c r="F524" s="110"/>
      <c r="G524" s="110"/>
      <c r="H524" s="110"/>
      <c r="I524" s="110" t="s">
        <v>442</v>
      </c>
      <c r="J524" s="110"/>
      <c r="K524" s="110"/>
      <c r="L524" s="110"/>
      <c r="M524" s="110"/>
      <c r="N524" s="110"/>
      <c r="O524" s="110"/>
      <c r="P524" s="156"/>
      <c r="Q524" s="169"/>
    </row>
    <row r="525" spans="1:17" x14ac:dyDescent="0.35">
      <c r="A525" s="119" t="s">
        <v>192</v>
      </c>
      <c r="B525" s="119" t="s">
        <v>193</v>
      </c>
      <c r="C525" s="242">
        <v>66649</v>
      </c>
      <c r="D525" s="119" t="s">
        <v>806</v>
      </c>
      <c r="E525" s="110" t="s">
        <v>240</v>
      </c>
      <c r="F525" s="110"/>
      <c r="G525" s="110"/>
      <c r="H525" s="110"/>
      <c r="I525" s="110" t="s">
        <v>442</v>
      </c>
      <c r="J525" s="110"/>
      <c r="K525" s="110"/>
      <c r="L525" s="110"/>
      <c r="M525" s="110"/>
      <c r="N525" s="110"/>
      <c r="O525" s="110"/>
      <c r="P525" s="156"/>
      <c r="Q525" s="169"/>
    </row>
    <row r="526" spans="1:17" x14ac:dyDescent="0.35">
      <c r="A526" s="244" t="s">
        <v>1868</v>
      </c>
      <c r="B526" s="244" t="s">
        <v>1869</v>
      </c>
      <c r="C526" s="110">
        <v>66647</v>
      </c>
      <c r="D526" s="142" t="s">
        <v>805</v>
      </c>
      <c r="E526" s="110" t="s">
        <v>240</v>
      </c>
      <c r="F526" s="110"/>
      <c r="G526" s="110"/>
      <c r="H526" s="110"/>
      <c r="I526" s="110" t="s">
        <v>442</v>
      </c>
      <c r="J526" s="110"/>
      <c r="K526" s="110"/>
      <c r="L526" s="110"/>
      <c r="M526" s="110"/>
      <c r="N526" s="110"/>
      <c r="O526" s="110"/>
      <c r="P526" s="156"/>
      <c r="Q526" s="169"/>
    </row>
    <row r="527" spans="1:17" x14ac:dyDescent="0.35">
      <c r="A527" s="244" t="s">
        <v>1548</v>
      </c>
      <c r="B527" s="244" t="s">
        <v>1549</v>
      </c>
      <c r="C527" s="242">
        <v>42985</v>
      </c>
      <c r="D527" s="247" t="s">
        <v>805</v>
      </c>
      <c r="E527" s="110" t="s">
        <v>240</v>
      </c>
      <c r="F527" s="110"/>
      <c r="G527" s="110"/>
      <c r="H527" s="110"/>
      <c r="I527" s="110" t="s">
        <v>442</v>
      </c>
      <c r="J527" s="110"/>
      <c r="K527" s="110"/>
      <c r="L527" s="110"/>
      <c r="M527" s="110"/>
      <c r="N527" s="110"/>
      <c r="O527" s="110"/>
      <c r="P527" s="156"/>
      <c r="Q527" s="169"/>
    </row>
    <row r="528" spans="1:17" x14ac:dyDescent="0.35">
      <c r="A528" s="244" t="s">
        <v>824</v>
      </c>
      <c r="B528" s="244" t="s">
        <v>825</v>
      </c>
      <c r="C528" s="245">
        <v>66080</v>
      </c>
      <c r="D528" s="247" t="s">
        <v>805</v>
      </c>
      <c r="E528" s="110" t="s">
        <v>240</v>
      </c>
      <c r="F528" s="110"/>
      <c r="G528" s="110"/>
      <c r="H528" s="110"/>
      <c r="I528" s="110" t="s">
        <v>442</v>
      </c>
      <c r="J528" s="110"/>
      <c r="K528" s="110"/>
      <c r="L528" s="110"/>
      <c r="M528" s="110"/>
      <c r="N528" s="110"/>
      <c r="O528" s="110"/>
      <c r="P528" s="156"/>
      <c r="Q528" s="169"/>
    </row>
    <row r="529" spans="1:17" x14ac:dyDescent="0.35">
      <c r="A529" s="349" t="s">
        <v>1927</v>
      </c>
      <c r="B529" s="349" t="s">
        <v>1926</v>
      </c>
      <c r="C529" s="242">
        <v>64410</v>
      </c>
      <c r="D529" s="142" t="s">
        <v>805</v>
      </c>
      <c r="E529" s="110" t="s">
        <v>240</v>
      </c>
      <c r="F529" s="110"/>
      <c r="G529" s="110"/>
      <c r="H529" s="110"/>
      <c r="I529" s="110" t="s">
        <v>442</v>
      </c>
      <c r="J529" s="110"/>
      <c r="K529" s="110"/>
      <c r="L529" s="110"/>
      <c r="M529" s="110"/>
      <c r="N529" s="110"/>
      <c r="O529" s="110"/>
      <c r="P529" s="156"/>
      <c r="Q529" s="169"/>
    </row>
    <row r="530" spans="1:17" x14ac:dyDescent="0.35">
      <c r="A530" s="119" t="s">
        <v>202</v>
      </c>
      <c r="B530" s="119" t="s">
        <v>203</v>
      </c>
      <c r="C530" s="242">
        <v>65760</v>
      </c>
      <c r="D530" s="119" t="s">
        <v>818</v>
      </c>
      <c r="E530" s="110" t="s">
        <v>240</v>
      </c>
      <c r="F530" s="110"/>
      <c r="G530" s="110"/>
      <c r="H530" s="110"/>
      <c r="I530" s="110" t="s">
        <v>442</v>
      </c>
      <c r="J530" s="110"/>
      <c r="K530" s="110"/>
      <c r="L530" s="110"/>
      <c r="M530" s="110"/>
      <c r="N530" s="110"/>
      <c r="O530" s="110"/>
      <c r="P530" s="156"/>
      <c r="Q530" s="169" t="s">
        <v>615</v>
      </c>
    </row>
    <row r="531" spans="1:17" x14ac:dyDescent="0.35">
      <c r="A531" s="244" t="s">
        <v>1893</v>
      </c>
      <c r="B531" s="244" t="s">
        <v>1894</v>
      </c>
      <c r="C531" s="110">
        <v>64720</v>
      </c>
      <c r="D531" s="142" t="s">
        <v>805</v>
      </c>
      <c r="E531" s="110" t="s">
        <v>240</v>
      </c>
      <c r="F531" s="110"/>
      <c r="G531" s="110"/>
      <c r="H531" s="110"/>
      <c r="I531" s="110" t="s">
        <v>442</v>
      </c>
      <c r="J531" s="110"/>
      <c r="K531" s="110"/>
      <c r="L531" s="110"/>
      <c r="M531" s="110"/>
      <c r="N531" s="110"/>
      <c r="O531" s="110"/>
      <c r="P531" s="156"/>
      <c r="Q531" s="169"/>
    </row>
    <row r="532" spans="1:17" x14ac:dyDescent="0.35">
      <c r="A532" s="248" t="s">
        <v>1345</v>
      </c>
      <c r="B532" s="244" t="s">
        <v>1344</v>
      </c>
      <c r="C532" s="169">
        <v>66645</v>
      </c>
      <c r="D532" s="119" t="s">
        <v>806</v>
      </c>
      <c r="E532" s="110" t="s">
        <v>240</v>
      </c>
      <c r="F532" s="110"/>
      <c r="G532" s="110"/>
      <c r="H532" s="110"/>
      <c r="I532" s="110" t="s">
        <v>442</v>
      </c>
      <c r="J532" s="110"/>
      <c r="K532" s="110"/>
      <c r="L532" s="110"/>
      <c r="M532" s="110"/>
      <c r="N532" s="110"/>
      <c r="O532" s="110"/>
      <c r="P532" s="156"/>
      <c r="Q532" s="169"/>
    </row>
    <row r="533" spans="1:17" x14ac:dyDescent="0.35">
      <c r="A533" s="120" t="s">
        <v>849</v>
      </c>
      <c r="B533" s="120" t="s">
        <v>850</v>
      </c>
      <c r="C533" s="169">
        <v>64580</v>
      </c>
      <c r="D533" s="120" t="s">
        <v>806</v>
      </c>
      <c r="E533" s="110" t="s">
        <v>240</v>
      </c>
      <c r="F533" s="110"/>
      <c r="G533" s="110"/>
      <c r="H533" s="110"/>
      <c r="I533" s="110" t="s">
        <v>442</v>
      </c>
      <c r="J533" s="110"/>
      <c r="K533" s="110"/>
      <c r="L533" s="110"/>
      <c r="M533" s="110"/>
      <c r="N533" s="110"/>
      <c r="O533" s="110"/>
      <c r="P533" s="156"/>
      <c r="Q533" s="169"/>
    </row>
    <row r="534" spans="1:17" x14ac:dyDescent="0.35">
      <c r="A534" s="119" t="s">
        <v>224</v>
      </c>
      <c r="B534" s="119" t="s">
        <v>225</v>
      </c>
      <c r="C534" s="242">
        <v>64440</v>
      </c>
      <c r="D534" s="119" t="s">
        <v>805</v>
      </c>
      <c r="E534" s="110" t="s">
        <v>240</v>
      </c>
      <c r="F534" s="110"/>
      <c r="G534" s="110"/>
      <c r="H534" s="110"/>
      <c r="I534" s="110" t="s">
        <v>442</v>
      </c>
      <c r="J534" s="110"/>
      <c r="K534" s="110"/>
      <c r="L534" s="110"/>
      <c r="M534" s="110"/>
      <c r="N534" s="110"/>
      <c r="O534" s="110"/>
      <c r="P534" s="156"/>
      <c r="Q534" s="169"/>
    </row>
    <row r="535" spans="1:17" x14ac:dyDescent="0.35">
      <c r="A535" s="119" t="s">
        <v>2468</v>
      </c>
      <c r="B535" s="244" t="s">
        <v>2483</v>
      </c>
      <c r="C535" s="242">
        <v>7889</v>
      </c>
      <c r="D535" s="142" t="s">
        <v>905</v>
      </c>
      <c r="E535" s="110" t="s">
        <v>240</v>
      </c>
      <c r="F535" s="110"/>
      <c r="G535" s="110"/>
      <c r="H535" s="110"/>
      <c r="I535" s="110" t="s">
        <v>442</v>
      </c>
      <c r="J535" s="110"/>
      <c r="K535" s="110"/>
      <c r="L535" s="110"/>
      <c r="M535" s="110"/>
      <c r="N535" s="110"/>
      <c r="O535" s="110"/>
      <c r="P535" s="156"/>
      <c r="Q535" s="169"/>
    </row>
    <row r="536" spans="1:17" x14ac:dyDescent="0.35">
      <c r="A536" s="244" t="s">
        <v>851</v>
      </c>
      <c r="B536" s="119" t="s">
        <v>226</v>
      </c>
      <c r="C536" s="242">
        <v>66220</v>
      </c>
      <c r="D536" s="119" t="s">
        <v>852</v>
      </c>
      <c r="E536" s="411" t="s">
        <v>241</v>
      </c>
      <c r="F536" s="110"/>
      <c r="G536" s="110"/>
      <c r="H536" s="110"/>
      <c r="I536" s="110" t="s">
        <v>442</v>
      </c>
      <c r="J536" s="110"/>
      <c r="K536" s="110"/>
      <c r="L536" s="110"/>
      <c r="M536" s="110"/>
      <c r="N536" s="110"/>
      <c r="O536" s="110"/>
      <c r="P536" s="156"/>
      <c r="Q536" s="169"/>
    </row>
    <row r="537" spans="1:17" x14ac:dyDescent="0.35">
      <c r="A537" s="119" t="s">
        <v>227</v>
      </c>
      <c r="B537" s="119" t="s">
        <v>228</v>
      </c>
      <c r="C537" s="242">
        <v>64010</v>
      </c>
      <c r="D537" s="119" t="s">
        <v>805</v>
      </c>
      <c r="E537" s="110" t="s">
        <v>240</v>
      </c>
      <c r="F537" s="110"/>
      <c r="G537" s="110"/>
      <c r="H537" s="110"/>
      <c r="I537" s="110" t="s">
        <v>442</v>
      </c>
      <c r="J537" s="110"/>
      <c r="K537" s="110"/>
      <c r="L537" s="110"/>
      <c r="M537" s="110"/>
      <c r="N537" s="110"/>
      <c r="O537" s="110"/>
      <c r="P537" s="156"/>
      <c r="Q537" s="169" t="s">
        <v>615</v>
      </c>
    </row>
    <row r="538" spans="1:17" x14ac:dyDescent="0.35">
      <c r="A538" s="119" t="s">
        <v>229</v>
      </c>
      <c r="B538" s="119" t="s">
        <v>230</v>
      </c>
      <c r="C538" s="242">
        <v>64030</v>
      </c>
      <c r="D538" s="119" t="s">
        <v>805</v>
      </c>
      <c r="E538" s="110" t="s">
        <v>240</v>
      </c>
      <c r="F538" s="110"/>
      <c r="G538" s="110"/>
      <c r="H538" s="110"/>
      <c r="I538" s="110" t="s">
        <v>442</v>
      </c>
      <c r="J538" s="110"/>
      <c r="K538" s="110"/>
      <c r="L538" s="110"/>
      <c r="M538" s="110"/>
      <c r="N538" s="110"/>
      <c r="O538" s="110"/>
      <c r="P538" s="156"/>
      <c r="Q538" s="169"/>
    </row>
    <row r="539" spans="1:17" x14ac:dyDescent="0.35">
      <c r="A539" s="244" t="s">
        <v>2541</v>
      </c>
      <c r="B539" s="244" t="s">
        <v>2548</v>
      </c>
      <c r="C539" s="242">
        <v>66050</v>
      </c>
      <c r="D539" s="119" t="s">
        <v>818</v>
      </c>
      <c r="E539" s="110" t="s">
        <v>240</v>
      </c>
      <c r="F539" s="110"/>
      <c r="G539" s="110"/>
      <c r="H539" s="110"/>
      <c r="I539" s="110" t="s">
        <v>442</v>
      </c>
      <c r="J539" s="110"/>
      <c r="K539" s="110"/>
      <c r="L539" s="110"/>
      <c r="M539" s="110"/>
      <c r="N539" s="110"/>
      <c r="O539" s="110"/>
      <c r="P539" s="156"/>
      <c r="Q539" s="169"/>
    </row>
    <row r="540" spans="1:17" x14ac:dyDescent="0.35">
      <c r="A540" s="119" t="s">
        <v>2474</v>
      </c>
      <c r="B540" s="244" t="s">
        <v>2484</v>
      </c>
      <c r="C540" s="242">
        <v>50360</v>
      </c>
      <c r="D540" s="142" t="s">
        <v>818</v>
      </c>
      <c r="E540" s="110" t="s">
        <v>240</v>
      </c>
      <c r="F540" s="110"/>
      <c r="G540" s="110"/>
      <c r="H540" s="110"/>
      <c r="I540" s="110" t="s">
        <v>442</v>
      </c>
      <c r="J540" s="110"/>
      <c r="K540" s="110"/>
      <c r="L540" s="110"/>
      <c r="M540" s="110"/>
      <c r="N540" s="110"/>
      <c r="O540" s="110"/>
      <c r="P540" s="156"/>
      <c r="Q540" s="169"/>
    </row>
    <row r="541" spans="1:17" x14ac:dyDescent="0.35">
      <c r="A541" s="119" t="s">
        <v>231</v>
      </c>
      <c r="B541" s="119" t="s">
        <v>232</v>
      </c>
      <c r="C541" s="242">
        <v>66655</v>
      </c>
      <c r="D541" s="119" t="s">
        <v>806</v>
      </c>
      <c r="E541" s="110" t="s">
        <v>240</v>
      </c>
      <c r="F541" s="110"/>
      <c r="G541" s="110"/>
      <c r="H541" s="110"/>
      <c r="I541" s="110" t="s">
        <v>442</v>
      </c>
      <c r="J541" s="110"/>
      <c r="K541" s="110"/>
      <c r="L541" s="110"/>
      <c r="M541" s="110"/>
      <c r="N541" s="110"/>
      <c r="O541" s="110"/>
      <c r="P541" s="156"/>
      <c r="Q541" s="169"/>
    </row>
    <row r="542" spans="1:17" x14ac:dyDescent="0.35">
      <c r="A542" s="119" t="s">
        <v>2587</v>
      </c>
      <c r="B542" s="119" t="s">
        <v>2588</v>
      </c>
      <c r="C542" s="242">
        <v>66614</v>
      </c>
      <c r="D542" s="119" t="s">
        <v>818</v>
      </c>
      <c r="E542" s="110" t="s">
        <v>240</v>
      </c>
      <c r="F542" s="110"/>
      <c r="G542" s="110"/>
      <c r="H542" s="110"/>
      <c r="I542" s="110" t="s">
        <v>442</v>
      </c>
      <c r="J542" s="110"/>
      <c r="K542" s="110"/>
      <c r="L542" s="110"/>
      <c r="M542" s="110"/>
      <c r="N542" s="110"/>
      <c r="O542" s="110"/>
      <c r="P542" s="156"/>
      <c r="Q542" s="169"/>
    </row>
    <row r="543" spans="1:17" x14ac:dyDescent="0.35">
      <c r="A543" s="142" t="s">
        <v>853</v>
      </c>
      <c r="B543" s="142" t="s">
        <v>854</v>
      </c>
      <c r="C543" s="110">
        <v>66610</v>
      </c>
      <c r="D543" s="142" t="s">
        <v>805</v>
      </c>
      <c r="E543" s="110" t="s">
        <v>240</v>
      </c>
      <c r="F543" s="110"/>
      <c r="G543" s="110"/>
      <c r="H543" s="110"/>
      <c r="I543" s="110" t="s">
        <v>442</v>
      </c>
      <c r="J543" s="110"/>
      <c r="K543" s="110"/>
      <c r="L543" s="110"/>
      <c r="M543" s="110"/>
      <c r="N543" s="110"/>
      <c r="O543" s="110"/>
      <c r="P543" s="156"/>
      <c r="Q543" s="169"/>
    </row>
    <row r="544" spans="1:17" x14ac:dyDescent="0.35">
      <c r="A544" s="162" t="s">
        <v>2019</v>
      </c>
      <c r="B544" s="162" t="s">
        <v>2020</v>
      </c>
      <c r="C544" s="110">
        <v>66610</v>
      </c>
      <c r="D544" s="142" t="s">
        <v>806</v>
      </c>
      <c r="E544" s="110" t="s">
        <v>240</v>
      </c>
      <c r="F544" s="110"/>
      <c r="G544" s="110"/>
      <c r="H544" s="110"/>
      <c r="I544" s="110" t="s">
        <v>442</v>
      </c>
      <c r="J544" s="110"/>
      <c r="K544" s="110"/>
      <c r="L544" s="110"/>
      <c r="M544" s="110"/>
      <c r="N544" s="110"/>
      <c r="O544" s="110"/>
      <c r="P544" s="156"/>
      <c r="Q544" s="169"/>
    </row>
    <row r="545" spans="1:17" x14ac:dyDescent="0.35">
      <c r="A545" s="244" t="s">
        <v>2516</v>
      </c>
      <c r="B545" s="244" t="s">
        <v>2517</v>
      </c>
      <c r="C545" s="242">
        <v>76147</v>
      </c>
      <c r="D545" s="119" t="s">
        <v>818</v>
      </c>
      <c r="E545" s="110" t="s">
        <v>240</v>
      </c>
      <c r="F545" s="110"/>
      <c r="G545" s="110"/>
      <c r="H545" s="110"/>
      <c r="I545" s="110" t="s">
        <v>442</v>
      </c>
      <c r="J545" s="110"/>
      <c r="K545" s="110"/>
      <c r="L545" s="110"/>
      <c r="M545" s="110"/>
      <c r="N545" s="110"/>
      <c r="O545" s="110"/>
      <c r="P545" s="156"/>
      <c r="Q545" s="169"/>
    </row>
    <row r="546" spans="1:17" x14ac:dyDescent="0.35">
      <c r="A546" s="119" t="s">
        <v>235</v>
      </c>
      <c r="B546" s="119" t="s">
        <v>236</v>
      </c>
      <c r="C546" s="242">
        <v>67180</v>
      </c>
      <c r="D546" s="119" t="s">
        <v>818</v>
      </c>
      <c r="E546" s="110" t="s">
        <v>240</v>
      </c>
      <c r="F546" s="110"/>
      <c r="G546" s="110"/>
      <c r="H546" s="110"/>
      <c r="I546" s="110" t="s">
        <v>442</v>
      </c>
      <c r="J546" s="110"/>
      <c r="K546" s="110"/>
      <c r="L546" s="110"/>
      <c r="M546" s="110"/>
      <c r="N546" s="110"/>
      <c r="O546" s="110"/>
      <c r="P546" s="156"/>
      <c r="Q546" s="169" t="s">
        <v>615</v>
      </c>
    </row>
    <row r="547" spans="1:17" x14ac:dyDescent="0.35">
      <c r="A547" s="119" t="s">
        <v>855</v>
      </c>
      <c r="B547" s="119" t="s">
        <v>237</v>
      </c>
      <c r="C547" s="242">
        <v>66052</v>
      </c>
      <c r="D547" s="119" t="s">
        <v>805</v>
      </c>
      <c r="E547" s="110" t="s">
        <v>240</v>
      </c>
      <c r="F547" s="110"/>
      <c r="G547" s="110"/>
      <c r="H547" s="110"/>
      <c r="I547" s="110" t="s">
        <v>442</v>
      </c>
      <c r="J547" s="110"/>
      <c r="K547" s="110"/>
      <c r="L547" s="110"/>
      <c r="M547" s="110"/>
      <c r="N547" s="110"/>
      <c r="O547" s="110"/>
      <c r="P547" s="156"/>
      <c r="Q547" s="169"/>
    </row>
    <row r="548" spans="1:17" x14ac:dyDescent="0.35">
      <c r="A548" s="244" t="s">
        <v>2520</v>
      </c>
      <c r="B548" s="244" t="s">
        <v>2521</v>
      </c>
      <c r="C548" s="242">
        <v>66230</v>
      </c>
      <c r="D548" s="119" t="s">
        <v>915</v>
      </c>
      <c r="E548" s="110" t="s">
        <v>240</v>
      </c>
      <c r="F548" s="110"/>
      <c r="G548" s="110"/>
      <c r="H548" s="110"/>
      <c r="I548" s="110" t="s">
        <v>442</v>
      </c>
      <c r="J548" s="110"/>
      <c r="K548" s="110"/>
      <c r="L548" s="110"/>
      <c r="M548" s="110"/>
      <c r="N548" s="110"/>
      <c r="O548" s="110"/>
      <c r="P548" s="156"/>
      <c r="Q548" s="169"/>
    </row>
    <row r="549" spans="1:17" x14ac:dyDescent="0.35">
      <c r="A549" s="119" t="s">
        <v>238</v>
      </c>
      <c r="B549" s="119" t="s">
        <v>239</v>
      </c>
      <c r="C549" s="242">
        <v>66023</v>
      </c>
      <c r="D549" s="119" t="s">
        <v>806</v>
      </c>
      <c r="E549" s="110" t="s">
        <v>240</v>
      </c>
      <c r="F549" s="110"/>
      <c r="G549" s="110"/>
      <c r="H549" s="110"/>
      <c r="I549" s="110" t="s">
        <v>442</v>
      </c>
      <c r="J549" s="110"/>
      <c r="K549" s="110"/>
      <c r="L549" s="110"/>
      <c r="M549" s="110"/>
      <c r="N549" s="110"/>
      <c r="O549" s="110"/>
      <c r="P549" s="156"/>
      <c r="Q549" s="169"/>
    </row>
    <row r="550" spans="1:17" x14ac:dyDescent="0.35">
      <c r="A550" s="243" t="s">
        <v>1403</v>
      </c>
      <c r="B550" s="243" t="s">
        <v>1404</v>
      </c>
      <c r="C550" s="242">
        <v>64410</v>
      </c>
      <c r="D550" s="119" t="s">
        <v>805</v>
      </c>
      <c r="E550" s="110" t="s">
        <v>240</v>
      </c>
      <c r="F550" s="110"/>
      <c r="G550" s="110"/>
      <c r="H550" s="110"/>
      <c r="I550" s="110" t="s">
        <v>442</v>
      </c>
      <c r="J550" s="110"/>
      <c r="K550" s="110"/>
      <c r="L550" s="110"/>
      <c r="M550" s="110"/>
      <c r="N550" s="110"/>
      <c r="O550" s="110"/>
      <c r="P550" s="156"/>
      <c r="Q550" s="169"/>
    </row>
    <row r="551" spans="1:17" x14ac:dyDescent="0.35">
      <c r="A551" s="248" t="s">
        <v>2185</v>
      </c>
      <c r="B551" s="248" t="s">
        <v>2182</v>
      </c>
      <c r="C551" s="110">
        <v>67132</v>
      </c>
      <c r="D551" s="248" t="s">
        <v>2183</v>
      </c>
      <c r="E551" s="412" t="s">
        <v>2184</v>
      </c>
      <c r="F551" s="110"/>
      <c r="G551" s="110"/>
      <c r="H551" s="110"/>
      <c r="I551" s="110" t="s">
        <v>442</v>
      </c>
      <c r="J551" s="110"/>
      <c r="K551" s="110"/>
      <c r="L551" s="110"/>
      <c r="M551" s="110"/>
      <c r="N551" s="110"/>
      <c r="O551" s="110"/>
      <c r="P551" s="156"/>
      <c r="Q551" s="169"/>
    </row>
    <row r="552" spans="1:17" x14ac:dyDescent="0.35">
      <c r="A552" s="119" t="s">
        <v>1929</v>
      </c>
      <c r="B552" s="244" t="s">
        <v>1930</v>
      </c>
      <c r="C552" s="242">
        <v>64610</v>
      </c>
      <c r="D552" s="142" t="s">
        <v>809</v>
      </c>
      <c r="E552" s="110" t="s">
        <v>240</v>
      </c>
      <c r="F552" s="110"/>
      <c r="G552" s="110"/>
      <c r="H552" s="110"/>
      <c r="I552" s="110" t="s">
        <v>442</v>
      </c>
      <c r="J552" s="110"/>
      <c r="K552" s="110"/>
      <c r="L552" s="110"/>
      <c r="M552" s="110"/>
      <c r="N552" s="110"/>
      <c r="O552" s="110"/>
      <c r="P552" s="156"/>
      <c r="Q552" s="169"/>
    </row>
    <row r="553" spans="1:17" x14ac:dyDescent="0.35">
      <c r="A553" s="142" t="s">
        <v>891</v>
      </c>
      <c r="B553" s="244" t="s">
        <v>892</v>
      </c>
      <c r="C553" s="110">
        <v>66054</v>
      </c>
      <c r="D553" s="142" t="s">
        <v>806</v>
      </c>
      <c r="E553" s="110" t="s">
        <v>240</v>
      </c>
      <c r="F553" s="110"/>
      <c r="G553" s="110"/>
      <c r="H553" s="110"/>
      <c r="I553" s="110" t="s">
        <v>442</v>
      </c>
      <c r="J553" s="110"/>
      <c r="K553" s="110"/>
      <c r="L553" s="110"/>
      <c r="M553" s="110"/>
      <c r="N553" s="110"/>
      <c r="O553" s="110"/>
      <c r="P553" s="156"/>
      <c r="Q553" s="169"/>
    </row>
    <row r="554" spans="1:17" x14ac:dyDescent="0.35">
      <c r="A554" s="142" t="s">
        <v>2762</v>
      </c>
      <c r="B554" s="244" t="s">
        <v>2763</v>
      </c>
      <c r="C554" s="110">
        <v>64390</v>
      </c>
      <c r="D554" s="401" t="s">
        <v>805</v>
      </c>
      <c r="E554" s="110" t="s">
        <v>240</v>
      </c>
      <c r="F554" s="110"/>
      <c r="G554" s="110"/>
      <c r="H554" s="110"/>
      <c r="I554" s="110" t="s">
        <v>442</v>
      </c>
      <c r="J554" s="110"/>
      <c r="K554" s="110"/>
      <c r="L554" s="110"/>
      <c r="M554" s="110"/>
      <c r="N554" s="110"/>
      <c r="O554" s="110"/>
      <c r="P554" s="156"/>
      <c r="Q554" s="169"/>
    </row>
    <row r="555" spans="1:17" x14ac:dyDescent="0.35">
      <c r="A555" s="243" t="s">
        <v>865</v>
      </c>
      <c r="B555" s="243" t="s">
        <v>866</v>
      </c>
      <c r="C555" s="242">
        <v>64103</v>
      </c>
      <c r="D555" s="119" t="s">
        <v>805</v>
      </c>
      <c r="E555" s="110" t="s">
        <v>240</v>
      </c>
      <c r="F555" s="110"/>
      <c r="G555" s="110"/>
      <c r="H555" s="110"/>
      <c r="I555" s="110" t="s">
        <v>442</v>
      </c>
      <c r="J555" s="110"/>
      <c r="K555" s="110"/>
      <c r="L555" s="110"/>
      <c r="M555" s="110"/>
      <c r="N555" s="110"/>
      <c r="O555" s="110"/>
      <c r="P555" s="156"/>
      <c r="Q555" s="169"/>
    </row>
    <row r="556" spans="1:17" x14ac:dyDescent="0.35">
      <c r="A556" s="142" t="s">
        <v>1670</v>
      </c>
      <c r="B556" s="142" t="s">
        <v>1671</v>
      </c>
      <c r="C556" s="110">
        <v>76000</v>
      </c>
      <c r="D556" s="119" t="s">
        <v>805</v>
      </c>
      <c r="E556" s="110" t="s">
        <v>240</v>
      </c>
      <c r="F556" s="110"/>
      <c r="G556" s="110"/>
      <c r="H556" s="110"/>
      <c r="I556" s="110" t="s">
        <v>442</v>
      </c>
      <c r="J556" s="110"/>
      <c r="K556" s="110"/>
      <c r="L556" s="110"/>
      <c r="M556" s="110"/>
      <c r="N556" s="110"/>
      <c r="O556" s="110"/>
      <c r="P556" s="156"/>
      <c r="Q556" s="169"/>
    </row>
    <row r="557" spans="1:17" x14ac:dyDescent="0.35">
      <c r="A557" s="142" t="s">
        <v>869</v>
      </c>
      <c r="B557" s="244" t="s">
        <v>870</v>
      </c>
      <c r="C557" s="110">
        <v>25034</v>
      </c>
      <c r="D557" s="142" t="s">
        <v>805</v>
      </c>
      <c r="E557" s="110" t="s">
        <v>240</v>
      </c>
      <c r="F557" s="110"/>
      <c r="G557" s="110"/>
      <c r="H557" s="110"/>
      <c r="I557" s="110" t="s">
        <v>442</v>
      </c>
      <c r="J557" s="110"/>
      <c r="K557" s="110"/>
      <c r="L557" s="110"/>
      <c r="M557" s="110"/>
      <c r="N557" s="110"/>
      <c r="O557" s="110"/>
      <c r="P557" s="156"/>
      <c r="Q557" s="169"/>
    </row>
    <row r="558" spans="1:17" x14ac:dyDescent="0.35">
      <c r="A558" s="119" t="s">
        <v>1898</v>
      </c>
      <c r="B558" s="244" t="s">
        <v>1899</v>
      </c>
      <c r="C558" s="242">
        <v>66649</v>
      </c>
      <c r="D558" s="142" t="s">
        <v>806</v>
      </c>
      <c r="E558" s="110" t="s">
        <v>240</v>
      </c>
      <c r="F558" s="110"/>
      <c r="G558" s="110"/>
      <c r="H558" s="110"/>
      <c r="I558" s="110" t="s">
        <v>442</v>
      </c>
      <c r="J558" s="110"/>
      <c r="K558" s="110"/>
      <c r="L558" s="110"/>
      <c r="M558" s="110"/>
      <c r="N558" s="110"/>
      <c r="O558" s="110"/>
      <c r="P558" s="156"/>
      <c r="Q558" s="169"/>
    </row>
    <row r="559" spans="1:17" x14ac:dyDescent="0.35">
      <c r="A559" s="119" t="s">
        <v>2572</v>
      </c>
      <c r="B559" s="119" t="s">
        <v>2573</v>
      </c>
      <c r="C559" s="242">
        <v>45601</v>
      </c>
      <c r="D559" s="119" t="s">
        <v>818</v>
      </c>
      <c r="E559" s="110" t="s">
        <v>240</v>
      </c>
      <c r="F559" s="110"/>
      <c r="G559" s="110"/>
      <c r="H559" s="110"/>
      <c r="I559" s="110" t="s">
        <v>442</v>
      </c>
      <c r="J559" s="110"/>
      <c r="K559" s="110"/>
      <c r="L559" s="110"/>
      <c r="M559" s="110"/>
      <c r="N559" s="110"/>
      <c r="O559" s="110"/>
      <c r="P559" s="156"/>
      <c r="Q559" s="169"/>
    </row>
    <row r="560" spans="1:17" x14ac:dyDescent="0.35">
      <c r="A560" s="119" t="s">
        <v>2804</v>
      </c>
      <c r="B560" s="244" t="s">
        <v>2805</v>
      </c>
      <c r="C560" s="242">
        <v>64780</v>
      </c>
      <c r="D560" s="119" t="s">
        <v>818</v>
      </c>
      <c r="E560" s="110" t="s">
        <v>240</v>
      </c>
      <c r="F560" s="110"/>
      <c r="G560" s="110"/>
      <c r="H560" s="110"/>
      <c r="I560" s="110" t="s">
        <v>442</v>
      </c>
      <c r="J560" s="110"/>
      <c r="K560" s="110"/>
      <c r="L560" s="110"/>
      <c r="M560" s="110"/>
      <c r="N560" s="110"/>
      <c r="O560" s="110"/>
      <c r="P560" s="156"/>
      <c r="Q560" s="169"/>
    </row>
    <row r="561" spans="1:17" x14ac:dyDescent="0.35">
      <c r="A561" s="119" t="s">
        <v>2817</v>
      </c>
      <c r="B561" s="244" t="s">
        <v>2818</v>
      </c>
      <c r="C561" s="242">
        <v>53110</v>
      </c>
      <c r="D561" s="119" t="s">
        <v>805</v>
      </c>
      <c r="E561" s="110" t="s">
        <v>240</v>
      </c>
      <c r="F561" s="110"/>
      <c r="G561" s="110"/>
      <c r="H561" s="110"/>
      <c r="I561" s="110" t="s">
        <v>442</v>
      </c>
      <c r="J561" s="110"/>
      <c r="K561" s="110"/>
      <c r="L561" s="110"/>
      <c r="M561" s="110"/>
      <c r="N561" s="110"/>
      <c r="O561" s="110"/>
      <c r="P561" s="156"/>
      <c r="Q561" s="169"/>
    </row>
    <row r="562" spans="1:17" x14ac:dyDescent="0.35">
      <c r="A562" s="244" t="s">
        <v>1941</v>
      </c>
      <c r="B562" s="244" t="s">
        <v>1942</v>
      </c>
      <c r="C562" s="245">
        <v>66633</v>
      </c>
      <c r="D562" s="119" t="s">
        <v>805</v>
      </c>
      <c r="E562" s="110" t="s">
        <v>240</v>
      </c>
      <c r="F562" s="110"/>
      <c r="G562" s="110"/>
      <c r="H562" s="110"/>
      <c r="I562" s="110" t="s">
        <v>442</v>
      </c>
      <c r="J562" s="110"/>
      <c r="K562" s="110"/>
      <c r="L562" s="110"/>
      <c r="M562" s="110"/>
      <c r="N562" s="110"/>
      <c r="O562" s="110"/>
      <c r="P562" s="156"/>
      <c r="Q562" s="169"/>
    </row>
    <row r="563" spans="1:17" x14ac:dyDescent="0.35">
      <c r="A563" s="119" t="s">
        <v>1929</v>
      </c>
      <c r="B563" s="244" t="s">
        <v>1930</v>
      </c>
      <c r="C563" s="242">
        <v>64610</v>
      </c>
      <c r="D563" s="142" t="s">
        <v>809</v>
      </c>
      <c r="E563" s="110" t="s">
        <v>240</v>
      </c>
      <c r="F563" s="110"/>
      <c r="G563" s="110"/>
      <c r="H563" s="110"/>
      <c r="I563" s="110" t="s">
        <v>442</v>
      </c>
      <c r="J563" s="110"/>
      <c r="K563" s="110"/>
      <c r="L563" s="110"/>
      <c r="M563" s="110"/>
      <c r="N563" s="110"/>
      <c r="O563" s="110"/>
      <c r="P563" s="156"/>
      <c r="Q563" s="169"/>
    </row>
    <row r="564" spans="1:17" x14ac:dyDescent="0.35">
      <c r="A564" s="119" t="s">
        <v>856</v>
      </c>
      <c r="B564" s="119" t="s">
        <v>270</v>
      </c>
      <c r="C564" s="242">
        <v>66200</v>
      </c>
      <c r="D564" s="119" t="s">
        <v>805</v>
      </c>
      <c r="E564" s="110" t="s">
        <v>240</v>
      </c>
      <c r="F564" s="110"/>
      <c r="G564" s="110"/>
      <c r="H564" s="110"/>
      <c r="I564" s="110" t="s">
        <v>442</v>
      </c>
      <c r="J564" s="110"/>
      <c r="K564" s="110"/>
      <c r="L564" s="110"/>
      <c r="M564" s="110"/>
      <c r="N564" s="110"/>
      <c r="O564" s="110"/>
      <c r="P564" s="156"/>
      <c r="Q564" s="169"/>
    </row>
    <row r="565" spans="1:17" x14ac:dyDescent="0.35">
      <c r="A565" s="243" t="s">
        <v>865</v>
      </c>
      <c r="B565" s="243" t="s">
        <v>866</v>
      </c>
      <c r="C565" s="242">
        <v>64103</v>
      </c>
      <c r="D565" s="119" t="s">
        <v>805</v>
      </c>
      <c r="E565" s="110" t="s">
        <v>240</v>
      </c>
      <c r="F565" s="110"/>
      <c r="G565" s="110"/>
      <c r="H565" s="110"/>
      <c r="I565" s="110" t="s">
        <v>442</v>
      </c>
      <c r="J565" s="110"/>
      <c r="K565" s="110"/>
      <c r="L565" s="110"/>
      <c r="M565" s="110"/>
      <c r="N565" s="110"/>
      <c r="O565" s="110"/>
      <c r="P565" s="156"/>
      <c r="Q565" s="169"/>
    </row>
    <row r="566" spans="1:17" x14ac:dyDescent="0.35">
      <c r="A566" s="244" t="s">
        <v>1483</v>
      </c>
      <c r="B566" s="244" t="s">
        <v>1484</v>
      </c>
      <c r="C566" s="242">
        <v>25295</v>
      </c>
      <c r="D566" s="119" t="s">
        <v>805</v>
      </c>
      <c r="E566" s="110" t="s">
        <v>240</v>
      </c>
      <c r="F566" s="110"/>
      <c r="G566" s="110"/>
      <c r="H566" s="110"/>
      <c r="I566" s="110" t="s">
        <v>442</v>
      </c>
      <c r="J566" s="110"/>
      <c r="K566" s="110"/>
      <c r="L566" s="110"/>
      <c r="M566" s="110"/>
      <c r="N566" s="110"/>
      <c r="O566" s="110"/>
      <c r="P566" s="156"/>
      <c r="Q566" s="169"/>
    </row>
    <row r="567" spans="1:17" x14ac:dyDescent="0.35">
      <c r="A567" s="244" t="s">
        <v>1483</v>
      </c>
      <c r="B567" s="244" t="s">
        <v>1484</v>
      </c>
      <c r="C567" s="242">
        <v>25295</v>
      </c>
      <c r="D567" s="119" t="s">
        <v>805</v>
      </c>
      <c r="E567" s="110" t="s">
        <v>240</v>
      </c>
      <c r="F567" s="110"/>
      <c r="G567" s="110"/>
      <c r="H567" s="110"/>
      <c r="I567" s="110" t="s">
        <v>442</v>
      </c>
      <c r="J567" s="110"/>
      <c r="K567" s="110"/>
      <c r="L567" s="110"/>
      <c r="M567" s="110"/>
      <c r="N567" s="110"/>
      <c r="O567" s="110"/>
      <c r="P567" s="156"/>
      <c r="Q567" s="169"/>
    </row>
    <row r="568" spans="1:17" x14ac:dyDescent="0.35">
      <c r="A568" s="244" t="s">
        <v>233</v>
      </c>
      <c r="B568" s="244" t="s">
        <v>234</v>
      </c>
      <c r="C568" s="242">
        <v>67310</v>
      </c>
      <c r="D568" s="119" t="s">
        <v>915</v>
      </c>
      <c r="E568" s="110" t="s">
        <v>240</v>
      </c>
      <c r="F568" s="110"/>
      <c r="G568" s="110"/>
      <c r="H568" s="110"/>
      <c r="I568" s="110" t="s">
        <v>442</v>
      </c>
      <c r="J568" s="110"/>
      <c r="K568" s="110"/>
      <c r="L568" s="110"/>
      <c r="M568" s="110"/>
      <c r="N568" s="110"/>
      <c r="O568" s="110"/>
      <c r="P568" s="156"/>
      <c r="Q568" s="169"/>
    </row>
    <row r="569" spans="1:17" x14ac:dyDescent="0.35">
      <c r="A569" s="119" t="s">
        <v>856</v>
      </c>
      <c r="B569" s="119" t="s">
        <v>270</v>
      </c>
      <c r="C569" s="242">
        <v>66200</v>
      </c>
      <c r="D569" s="119" t="s">
        <v>805</v>
      </c>
      <c r="E569" s="110" t="s">
        <v>240</v>
      </c>
      <c r="F569" s="110"/>
      <c r="G569" s="110"/>
      <c r="H569" s="110"/>
      <c r="I569" s="110" t="s">
        <v>442</v>
      </c>
      <c r="J569" s="110"/>
      <c r="K569" s="110"/>
      <c r="L569" s="110"/>
      <c r="M569" s="110"/>
      <c r="N569" s="110"/>
      <c r="O569" s="110"/>
      <c r="P569" s="156"/>
      <c r="Q569" s="169"/>
    </row>
    <row r="570" spans="1:17" x14ac:dyDescent="0.35">
      <c r="A570" s="244" t="s">
        <v>1352</v>
      </c>
      <c r="B570" s="244" t="s">
        <v>1353</v>
      </c>
      <c r="C570" s="169">
        <v>66023</v>
      </c>
      <c r="D570" s="120" t="s">
        <v>805</v>
      </c>
      <c r="E570" s="110" t="s">
        <v>240</v>
      </c>
      <c r="F570" s="110"/>
      <c r="G570" s="110"/>
      <c r="H570" s="110"/>
      <c r="I570" s="110" t="s">
        <v>442</v>
      </c>
      <c r="J570" s="110"/>
      <c r="K570" s="110"/>
      <c r="L570" s="110"/>
      <c r="M570" s="110"/>
      <c r="N570" s="110"/>
      <c r="O570" s="110"/>
      <c r="P570" s="156"/>
      <c r="Q570" s="169"/>
    </row>
    <row r="571" spans="1:17" x14ac:dyDescent="0.35">
      <c r="A571" s="142" t="s">
        <v>2339</v>
      </c>
      <c r="B571" s="142" t="s">
        <v>2340</v>
      </c>
      <c r="C571" s="110">
        <v>67480</v>
      </c>
      <c r="D571" s="142" t="s">
        <v>805</v>
      </c>
      <c r="E571" s="110" t="s">
        <v>240</v>
      </c>
      <c r="F571" s="110"/>
      <c r="G571" s="110"/>
      <c r="H571" s="110"/>
      <c r="I571" s="110" t="s">
        <v>442</v>
      </c>
      <c r="J571" s="110"/>
      <c r="K571" s="110"/>
      <c r="L571" s="110"/>
      <c r="M571" s="110"/>
      <c r="N571" s="110"/>
      <c r="O571" s="110"/>
      <c r="P571" s="156"/>
      <c r="Q571" s="169"/>
    </row>
    <row r="572" spans="1:17" x14ac:dyDescent="0.35">
      <c r="A572" s="119" t="s">
        <v>2606</v>
      </c>
      <c r="B572" s="244" t="s">
        <v>2607</v>
      </c>
      <c r="C572" s="242">
        <v>67205</v>
      </c>
      <c r="D572" s="119" t="s">
        <v>915</v>
      </c>
      <c r="E572" s="110" t="s">
        <v>240</v>
      </c>
      <c r="F572" s="110"/>
      <c r="G572" s="110"/>
      <c r="H572" s="110"/>
      <c r="I572" s="110" t="s">
        <v>442</v>
      </c>
      <c r="J572" s="110"/>
      <c r="K572" s="110"/>
      <c r="L572" s="110"/>
      <c r="M572" s="110"/>
      <c r="N572" s="110"/>
      <c r="O572" s="110"/>
      <c r="P572" s="156"/>
      <c r="Q572" s="169"/>
    </row>
    <row r="573" spans="1:17" x14ac:dyDescent="0.35">
      <c r="A573" s="119" t="s">
        <v>821</v>
      </c>
      <c r="B573" s="119" t="s">
        <v>822</v>
      </c>
      <c r="C573" s="242">
        <v>64060</v>
      </c>
      <c r="D573" s="119" t="s">
        <v>805</v>
      </c>
      <c r="E573" s="110" t="s">
        <v>240</v>
      </c>
      <c r="F573" s="110"/>
      <c r="G573" s="110"/>
      <c r="H573" s="110"/>
      <c r="I573" s="110" t="s">
        <v>442</v>
      </c>
      <c r="J573" s="110"/>
      <c r="K573" s="110"/>
      <c r="L573" s="110"/>
      <c r="M573" s="110"/>
      <c r="N573" s="110"/>
      <c r="O573" s="110"/>
      <c r="P573" s="156"/>
      <c r="Q573" s="169"/>
    </row>
    <row r="574" spans="1:17" x14ac:dyDescent="0.35">
      <c r="A574" s="244" t="s">
        <v>1542</v>
      </c>
      <c r="B574" s="244" t="s">
        <v>1591</v>
      </c>
      <c r="C574" s="245">
        <v>66470</v>
      </c>
      <c r="D574" s="247" t="s">
        <v>818</v>
      </c>
      <c r="E574" s="110" t="s">
        <v>240</v>
      </c>
      <c r="F574" s="110"/>
      <c r="G574" s="110"/>
      <c r="H574" s="110"/>
      <c r="I574" s="110" t="s">
        <v>442</v>
      </c>
      <c r="J574" s="110"/>
      <c r="K574" s="110"/>
      <c r="L574" s="110"/>
      <c r="M574" s="110"/>
      <c r="N574" s="110"/>
      <c r="O574" s="110"/>
      <c r="P574" s="156"/>
      <c r="Q574" s="169"/>
    </row>
    <row r="575" spans="1:17" ht="18.5" x14ac:dyDescent="0.45">
      <c r="A575" s="413" t="s">
        <v>2863</v>
      </c>
      <c r="B575" s="413"/>
      <c r="C575" s="413"/>
      <c r="D575" s="413"/>
      <c r="E575" s="413"/>
      <c r="F575" s="413"/>
      <c r="G575" s="413"/>
      <c r="H575" s="413"/>
      <c r="I575" s="237" t="s">
        <v>242</v>
      </c>
      <c r="J575" s="238">
        <f>COUNT(J454:J574)</f>
        <v>0</v>
      </c>
      <c r="K575" s="239">
        <f>SUM(K454:K574)</f>
        <v>0</v>
      </c>
      <c r="L575" s="239">
        <f>SUM(L454:L574)</f>
        <v>0</v>
      </c>
      <c r="M575" s="239">
        <f>SUM(M454:M574)</f>
        <v>0</v>
      </c>
      <c r="N575" s="338"/>
      <c r="O575" s="339"/>
      <c r="P575" s="327">
        <f>COUNT(P454:P574)</f>
        <v>0</v>
      </c>
      <c r="Q575" s="240"/>
    </row>
  </sheetData>
  <autoFilter ref="A1:Q575" xr:uid="{00000000-0009-0000-0000-000005000000}"/>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I562"/>
  <sheetViews>
    <sheetView zoomScale="86" zoomScaleNormal="86" workbookViewId="0">
      <pane xSplit="1" ySplit="1" topLeftCell="B372" activePane="bottomRight" state="frozenSplit"/>
      <selection pane="topRight" activeCell="E1" sqref="E1"/>
      <selection pane="bottomLeft" activeCell="A14" sqref="A14"/>
      <selection pane="bottomRight" activeCell="G448" sqref="G448"/>
    </sheetView>
  </sheetViews>
  <sheetFormatPr baseColWidth="10" defaultColWidth="11.453125" defaultRowHeight="14.5" x14ac:dyDescent="0.35"/>
  <cols>
    <col min="1" max="1" width="59.453125" style="1" customWidth="1"/>
    <col min="2" max="2" width="17.26953125" style="1" customWidth="1"/>
    <col min="3" max="3" width="14.81640625" style="144" customWidth="1"/>
    <col min="4" max="4" width="12.453125" style="104" customWidth="1"/>
    <col min="5" max="5" width="21.453125" style="104" customWidth="1"/>
    <col min="6" max="6" width="21.1796875" style="210" customWidth="1"/>
    <col min="7" max="7" width="19.54296875" style="210" customWidth="1"/>
    <col min="8" max="8" width="60.1796875" style="27" customWidth="1"/>
    <col min="9" max="9" width="16.26953125" style="207" customWidth="1"/>
    <col min="10" max="16384" width="11.453125" style="207"/>
  </cols>
  <sheetData>
    <row r="1" spans="1:9" x14ac:dyDescent="0.35">
      <c r="A1" s="105" t="s">
        <v>165</v>
      </c>
      <c r="B1" s="105" t="s">
        <v>167</v>
      </c>
      <c r="C1" s="143" t="s">
        <v>166</v>
      </c>
      <c r="D1" s="105" t="s">
        <v>163</v>
      </c>
      <c r="E1" s="105" t="s">
        <v>162</v>
      </c>
      <c r="F1" s="143" t="s">
        <v>296</v>
      </c>
      <c r="G1" s="143" t="s">
        <v>297</v>
      </c>
      <c r="H1" s="204" t="s">
        <v>11</v>
      </c>
    </row>
    <row r="2" spans="1:9" x14ac:dyDescent="0.35">
      <c r="A2" s="142" t="s">
        <v>1756</v>
      </c>
      <c r="B2" s="110" t="s">
        <v>164</v>
      </c>
      <c r="C2" s="117">
        <f>ENERO!G18+ENERO!S18+ENERO!T18</f>
        <v>580</v>
      </c>
      <c r="D2" s="132" t="s">
        <v>2078</v>
      </c>
      <c r="E2" s="124"/>
      <c r="F2" s="208">
        <f>SUM(ENERO!V18:AZ18)</f>
        <v>0</v>
      </c>
      <c r="G2" s="208">
        <f>C2-F2</f>
        <v>580</v>
      </c>
      <c r="H2" s="215"/>
    </row>
    <row r="3" spans="1:9" x14ac:dyDescent="0.35">
      <c r="A3" s="142" t="s">
        <v>1757</v>
      </c>
      <c r="B3" s="110" t="s">
        <v>164</v>
      </c>
      <c r="C3" s="117">
        <f>ENERO!G19+ENERO!S19+ENERO!T19</f>
        <v>8699.6047999999973</v>
      </c>
      <c r="D3" s="136" t="s">
        <v>243</v>
      </c>
      <c r="E3" s="124">
        <v>45670</v>
      </c>
      <c r="F3" s="208">
        <f>SUM(ENERO!V19:AZ19)</f>
        <v>8700</v>
      </c>
      <c r="G3" s="208">
        <f>C3-F3</f>
        <v>-0.39520000000266009</v>
      </c>
      <c r="H3" s="361" t="s">
        <v>1791</v>
      </c>
    </row>
    <row r="4" spans="1:9" ht="17.25" customHeight="1" x14ac:dyDescent="0.35">
      <c r="A4" s="357" t="s">
        <v>1758</v>
      </c>
      <c r="B4" s="110" t="s">
        <v>164</v>
      </c>
      <c r="C4" s="117">
        <f>ENERO!G20+ENERO!S20+ENERO!T20</f>
        <v>5336.0027999999993</v>
      </c>
      <c r="D4" s="136" t="s">
        <v>243</v>
      </c>
      <c r="E4" s="124">
        <v>45685</v>
      </c>
      <c r="F4" s="208">
        <f>SUM(ENERO!V20:AZ20)</f>
        <v>5336</v>
      </c>
      <c r="G4" s="208">
        <f>C4-F4</f>
        <v>2.7999999992971425E-3</v>
      </c>
      <c r="H4" s="362" t="s">
        <v>1779</v>
      </c>
    </row>
    <row r="5" spans="1:9" x14ac:dyDescent="0.35">
      <c r="A5" s="142" t="s">
        <v>375</v>
      </c>
      <c r="B5" s="110" t="s">
        <v>164</v>
      </c>
      <c r="C5" s="117">
        <f>ENERO!G21+ENERO!S21+ENERO!T21</f>
        <v>1040.5168000000065</v>
      </c>
      <c r="D5" s="136" t="s">
        <v>243</v>
      </c>
      <c r="E5" s="124">
        <v>45672</v>
      </c>
      <c r="F5" s="208">
        <f>SUM(ENERO!V21:AZ21)</f>
        <v>1040.52</v>
      </c>
      <c r="G5" s="208">
        <f>C5-F5</f>
        <v>-3.1999999935123924E-3</v>
      </c>
      <c r="H5" s="215"/>
    </row>
    <row r="6" spans="1:9" x14ac:dyDescent="0.35">
      <c r="A6" s="142" t="s">
        <v>750</v>
      </c>
      <c r="B6" s="110" t="s">
        <v>164</v>
      </c>
      <c r="C6" s="117">
        <f>ENERO!G22+ENERO!S22+ENERO!T22</f>
        <v>3131.6047999999973</v>
      </c>
      <c r="D6" s="136" t="s">
        <v>243</v>
      </c>
      <c r="E6" s="124">
        <v>45663</v>
      </c>
      <c r="F6" s="208">
        <f>SUM(ENERO!V22:AZ22)</f>
        <v>3132</v>
      </c>
      <c r="G6" s="208">
        <f>C6-F6</f>
        <v>-0.39520000000266009</v>
      </c>
      <c r="H6" s="215"/>
    </row>
    <row r="7" spans="1:9" x14ac:dyDescent="0.35">
      <c r="A7" s="142" t="s">
        <v>1723</v>
      </c>
      <c r="B7" s="110" t="s">
        <v>164</v>
      </c>
      <c r="C7" s="117">
        <f>ENERO!G23+ENERO!S23+ENERO!T23</f>
        <v>1044</v>
      </c>
      <c r="D7" s="149" t="s">
        <v>1911</v>
      </c>
      <c r="E7" s="124">
        <v>45680</v>
      </c>
      <c r="F7" s="208">
        <f>SUM(ENERO!V23:AZ23)</f>
        <v>348</v>
      </c>
      <c r="G7" s="208">
        <f t="shared" ref="G7:G14" si="0">C7-F7</f>
        <v>696</v>
      </c>
      <c r="H7" s="215" t="s">
        <v>1589</v>
      </c>
    </row>
    <row r="8" spans="1:9" x14ac:dyDescent="0.35">
      <c r="A8" s="142" t="s">
        <v>779</v>
      </c>
      <c r="B8" s="110" t="s">
        <v>164</v>
      </c>
      <c r="C8" s="117">
        <f>ENERO!G24+ENERO!S24+ENERO!T24</f>
        <v>290</v>
      </c>
      <c r="D8" s="136" t="s">
        <v>243</v>
      </c>
      <c r="E8" s="124">
        <v>45663</v>
      </c>
      <c r="F8" s="208">
        <f>SUM(ENERO!V24:AZ24)</f>
        <v>290</v>
      </c>
      <c r="G8" s="208">
        <f t="shared" si="0"/>
        <v>0</v>
      </c>
      <c r="H8" s="215"/>
    </row>
    <row r="9" spans="1:9" x14ac:dyDescent="0.35">
      <c r="A9" s="142" t="s">
        <v>1724</v>
      </c>
      <c r="B9" s="110" t="s">
        <v>164</v>
      </c>
      <c r="C9" s="117">
        <f>ENERO!G25+ENERO!S25+ENERO!T25</f>
        <v>1450.0067999999992</v>
      </c>
      <c r="D9" s="136" t="s">
        <v>243</v>
      </c>
      <c r="E9" s="124">
        <v>45663</v>
      </c>
      <c r="F9" s="208">
        <f>SUM(ENERO!V25:AZ25)</f>
        <v>1450</v>
      </c>
      <c r="G9" s="208">
        <f t="shared" si="0"/>
        <v>6.799999999202555E-3</v>
      </c>
      <c r="H9" s="215"/>
    </row>
    <row r="10" spans="1:9" x14ac:dyDescent="0.35">
      <c r="A10" s="142" t="s">
        <v>783</v>
      </c>
      <c r="B10" s="110" t="s">
        <v>164</v>
      </c>
      <c r="C10" s="117">
        <f>ENERO!G26+ENERO!S26+ENERO!T26</f>
        <v>1618.2039999999988</v>
      </c>
      <c r="D10" s="136" t="s">
        <v>243</v>
      </c>
      <c r="E10" s="124">
        <v>45663</v>
      </c>
      <c r="F10" s="208">
        <f>SUM(ENERO!V26:AZ26)</f>
        <v>1618.2</v>
      </c>
      <c r="G10" s="208">
        <f t="shared" si="0"/>
        <v>3.9999999987685442E-3</v>
      </c>
      <c r="H10" s="215"/>
    </row>
    <row r="11" spans="1:9" x14ac:dyDescent="0.35">
      <c r="A11" s="142" t="s">
        <v>1759</v>
      </c>
      <c r="B11" s="110" t="s">
        <v>164</v>
      </c>
      <c r="C11" s="117">
        <f>ENERO!G27+ENERO!S27+ENERO!T27-ENERO!U27</f>
        <v>1879.2028000000003</v>
      </c>
      <c r="D11" s="136" t="s">
        <v>243</v>
      </c>
      <c r="E11" s="124">
        <v>45672</v>
      </c>
      <c r="F11" s="208">
        <f>SUM(ENERO!V27:AZ27)</f>
        <v>1879.2</v>
      </c>
      <c r="G11" s="208">
        <f t="shared" si="0"/>
        <v>2.8000000002066372E-3</v>
      </c>
      <c r="H11" s="360" t="s">
        <v>1778</v>
      </c>
    </row>
    <row r="12" spans="1:9" ht="18" customHeight="1" x14ac:dyDescent="0.35">
      <c r="A12" s="142" t="s">
        <v>1725</v>
      </c>
      <c r="B12" s="110" t="s">
        <v>164</v>
      </c>
      <c r="C12" s="117">
        <f>ENERO!G28+ENERO!S28+ENERO!T28</f>
        <v>1392</v>
      </c>
      <c r="D12" s="136" t="s">
        <v>243</v>
      </c>
      <c r="E12" s="124">
        <v>45664</v>
      </c>
      <c r="F12" s="208">
        <f>SUM(ENERO!V28:AZ28)</f>
        <v>1392</v>
      </c>
      <c r="G12" s="208">
        <f t="shared" si="0"/>
        <v>0</v>
      </c>
      <c r="H12" s="215"/>
    </row>
    <row r="13" spans="1:9" x14ac:dyDescent="0.35">
      <c r="A13" s="142" t="s">
        <v>1352</v>
      </c>
      <c r="B13" s="110" t="s">
        <v>164</v>
      </c>
      <c r="C13" s="117">
        <f>ENERO!G29+ENERO!S29+ENERO!T29</f>
        <v>-1740</v>
      </c>
      <c r="D13" s="136" t="s">
        <v>243</v>
      </c>
      <c r="E13" s="124">
        <v>45635</v>
      </c>
      <c r="F13" s="208">
        <f>SUM(ENERO!V29:AZ29)</f>
        <v>0</v>
      </c>
      <c r="G13" s="208">
        <f t="shared" si="0"/>
        <v>-1740</v>
      </c>
      <c r="H13" s="215" t="s">
        <v>1673</v>
      </c>
    </row>
    <row r="14" spans="1:9" x14ac:dyDescent="0.35">
      <c r="A14" s="142" t="s">
        <v>1726</v>
      </c>
      <c r="B14" s="110" t="s">
        <v>164</v>
      </c>
      <c r="C14" s="117">
        <f>ENERO!G30+ENERO!S30+ENERO!T30</f>
        <v>1902</v>
      </c>
      <c r="D14" s="136" t="s">
        <v>243</v>
      </c>
      <c r="E14" s="124">
        <v>45681</v>
      </c>
      <c r="F14" s="208">
        <f>SUM(ENERO!V30:AZ30)</f>
        <v>2030</v>
      </c>
      <c r="G14" s="208">
        <f t="shared" si="0"/>
        <v>-128</v>
      </c>
      <c r="H14" s="363"/>
    </row>
    <row r="15" spans="1:9" x14ac:dyDescent="0.35">
      <c r="A15" s="142" t="s">
        <v>1727</v>
      </c>
      <c r="B15" s="110" t="s">
        <v>164</v>
      </c>
      <c r="C15" s="117">
        <f>ENERO!G31+ENERO!S31+ENERO!T31</f>
        <v>1508.0011999999997</v>
      </c>
      <c r="D15" s="136" t="s">
        <v>243</v>
      </c>
      <c r="E15" s="124">
        <v>45663</v>
      </c>
      <c r="F15" s="208">
        <f>SUM(ENERO!V31:AZ31)</f>
        <v>1508</v>
      </c>
      <c r="G15" s="208">
        <f>C15-F15</f>
        <v>1.1999999996987754E-3</v>
      </c>
      <c r="H15" s="362"/>
    </row>
    <row r="16" spans="1:9" x14ac:dyDescent="0.35">
      <c r="A16" s="142" t="s">
        <v>1632</v>
      </c>
      <c r="B16" s="110" t="s">
        <v>164</v>
      </c>
      <c r="C16" s="117">
        <f>ENERO!G32+ENERO!S32+ENERO!T32</f>
        <v>3865.2359999999999</v>
      </c>
      <c r="D16" s="136" t="s">
        <v>243</v>
      </c>
      <c r="E16" s="124">
        <v>45664</v>
      </c>
      <c r="F16" s="208">
        <f>SUM(ENERO!V32:AZ32)</f>
        <v>3865.24</v>
      </c>
      <c r="G16" s="208">
        <f>C16-F16</f>
        <v>-3.9999999999054126E-3</v>
      </c>
      <c r="H16" s="215" t="s">
        <v>1785</v>
      </c>
      <c r="I16" s="340" t="s">
        <v>931</v>
      </c>
    </row>
    <row r="17" spans="1:9" x14ac:dyDescent="0.35">
      <c r="A17" s="142" t="s">
        <v>1728</v>
      </c>
      <c r="B17" s="110" t="s">
        <v>164</v>
      </c>
      <c r="C17" s="117">
        <f>ENERO!G33+ENERO!S33+ENERO!T33</f>
        <v>2598.4</v>
      </c>
      <c r="D17" s="132" t="s">
        <v>2078</v>
      </c>
      <c r="E17" s="124"/>
      <c r="F17" s="208">
        <f>SUM(ENERO!V33:AZ33)</f>
        <v>0</v>
      </c>
      <c r="G17" s="208">
        <f>C17-F17</f>
        <v>2598.4</v>
      </c>
      <c r="H17" s="215" t="s">
        <v>456</v>
      </c>
    </row>
    <row r="18" spans="1:9" x14ac:dyDescent="0.35">
      <c r="A18" s="142" t="s">
        <v>1760</v>
      </c>
      <c r="B18" s="110" t="s">
        <v>164</v>
      </c>
      <c r="C18" s="117">
        <f>ENERO!G34+ENERO!S34+ENERO!T34</f>
        <v>0</v>
      </c>
      <c r="D18" s="136" t="s">
        <v>243</v>
      </c>
      <c r="E18" s="124">
        <v>45560</v>
      </c>
      <c r="F18" s="208">
        <f>SUM(ENERO!V34:AZ34)</f>
        <v>0</v>
      </c>
      <c r="G18" s="208">
        <f>C18-F18</f>
        <v>0</v>
      </c>
      <c r="H18" s="361" t="s">
        <v>2001</v>
      </c>
    </row>
    <row r="19" spans="1:9" x14ac:dyDescent="0.35">
      <c r="A19" s="142" t="s">
        <v>1274</v>
      </c>
      <c r="B19" s="110" t="s">
        <v>164</v>
      </c>
      <c r="C19" s="117">
        <f>ENERO!G35+ENERO!S35+ENERO!T35</f>
        <v>290</v>
      </c>
      <c r="D19" s="136" t="s">
        <v>243</v>
      </c>
      <c r="E19" s="124">
        <v>45667</v>
      </c>
      <c r="F19" s="208">
        <f>SUM(ENERO!V35:AZ35)</f>
        <v>290</v>
      </c>
      <c r="G19" s="208">
        <f t="shared" ref="G19:G24" si="1">C19-F19</f>
        <v>0</v>
      </c>
      <c r="H19" s="215"/>
    </row>
    <row r="20" spans="1:9" x14ac:dyDescent="0.35">
      <c r="A20" s="142" t="s">
        <v>654</v>
      </c>
      <c r="B20" s="110" t="s">
        <v>164</v>
      </c>
      <c r="C20" s="117">
        <f>ENERO!G36+ENERO!S36+ENERO!T36</f>
        <v>2726</v>
      </c>
      <c r="D20" s="136" t="s">
        <v>243</v>
      </c>
      <c r="E20" s="124">
        <v>45667</v>
      </c>
      <c r="F20" s="208">
        <f>SUM(ENERO!V36:AZ36)</f>
        <v>2726</v>
      </c>
      <c r="G20" s="208">
        <f t="shared" si="1"/>
        <v>0</v>
      </c>
      <c r="H20" s="215" t="s">
        <v>1912</v>
      </c>
    </row>
    <row r="21" spans="1:9" x14ac:dyDescent="0.35">
      <c r="A21" s="142" t="s">
        <v>1761</v>
      </c>
      <c r="B21" s="110" t="s">
        <v>164</v>
      </c>
      <c r="C21" s="117">
        <f>ENERO!G37+ENERO!S37+ENERO!T37</f>
        <v>2088.0075999999995</v>
      </c>
      <c r="D21" s="136" t="s">
        <v>243</v>
      </c>
      <c r="E21" s="124">
        <v>45667</v>
      </c>
      <c r="F21" s="208">
        <f>SUM(ENERO!V37:AZ37)</f>
        <v>2842</v>
      </c>
      <c r="G21" s="208">
        <f t="shared" si="1"/>
        <v>-753.99240000000054</v>
      </c>
      <c r="H21" s="360"/>
    </row>
    <row r="22" spans="1:9" x14ac:dyDescent="0.35">
      <c r="A22" s="142" t="s">
        <v>1730</v>
      </c>
      <c r="B22" s="110" t="s">
        <v>164</v>
      </c>
      <c r="C22" s="117">
        <f>ENERO!G38+ENERO!S38+ENERO!T38</f>
        <v>1155.3600000000008</v>
      </c>
      <c r="D22" s="136" t="s">
        <v>243</v>
      </c>
      <c r="E22" s="124">
        <v>45667</v>
      </c>
      <c r="F22" s="208">
        <f>SUM(ENERO!V38:AZ38)</f>
        <v>1155.3599999999999</v>
      </c>
      <c r="G22" s="208">
        <f t="shared" si="1"/>
        <v>0</v>
      </c>
      <c r="H22" s="215"/>
    </row>
    <row r="23" spans="1:9" x14ac:dyDescent="0.35">
      <c r="A23" s="142" t="s">
        <v>1446</v>
      </c>
      <c r="B23" s="110" t="s">
        <v>164</v>
      </c>
      <c r="C23" s="117">
        <f>ENERO!G39+ENERO!S39+ENERO!T39</f>
        <v>696</v>
      </c>
      <c r="D23" s="136" t="s">
        <v>243</v>
      </c>
      <c r="E23" s="124">
        <v>45670</v>
      </c>
      <c r="F23" s="208">
        <f>SUM(ENERO!V39:AZ39)</f>
        <v>696</v>
      </c>
      <c r="G23" s="208">
        <f t="shared" si="1"/>
        <v>0</v>
      </c>
      <c r="H23" s="215" t="s">
        <v>1588</v>
      </c>
    </row>
    <row r="24" spans="1:9" x14ac:dyDescent="0.35">
      <c r="A24" s="142" t="s">
        <v>960</v>
      </c>
      <c r="B24" s="110" t="s">
        <v>164</v>
      </c>
      <c r="C24" s="117">
        <f>ENERO!G40+ENERO!S40+ENERO!T40</f>
        <v>33600.425999999985</v>
      </c>
      <c r="D24" s="149" t="s">
        <v>1911</v>
      </c>
      <c r="E24" s="124">
        <v>45677</v>
      </c>
      <c r="F24" s="208">
        <f>SUM(ENERO!V40:AZ40)</f>
        <v>30380.400000000001</v>
      </c>
      <c r="G24" s="208">
        <f t="shared" si="1"/>
        <v>3220.0259999999835</v>
      </c>
      <c r="H24" s="215" t="s">
        <v>1928</v>
      </c>
      <c r="I24" s="252"/>
    </row>
    <row r="25" spans="1:9" x14ac:dyDescent="0.35">
      <c r="A25" s="142" t="s">
        <v>1453</v>
      </c>
      <c r="B25" s="110" t="s">
        <v>164</v>
      </c>
      <c r="C25" s="117">
        <f>ENERO!G41+ENERO!S41+ENERO!T41</f>
        <v>696</v>
      </c>
      <c r="D25" s="136" t="s">
        <v>243</v>
      </c>
      <c r="E25" s="124">
        <v>45664</v>
      </c>
      <c r="F25" s="208">
        <f>SUM(ENERO!V41:AZ41)</f>
        <v>696</v>
      </c>
      <c r="G25" s="208">
        <f>C25-F25</f>
        <v>0</v>
      </c>
      <c r="H25" s="215"/>
      <c r="I25" s="252"/>
    </row>
    <row r="26" spans="1:9" x14ac:dyDescent="0.35">
      <c r="A26" s="142" t="s">
        <v>428</v>
      </c>
      <c r="B26" s="110" t="s">
        <v>164</v>
      </c>
      <c r="C26" s="117">
        <f>ENERO!G42+ENERO!S42+ENERO!T42</f>
        <v>5486.7956000000004</v>
      </c>
      <c r="D26" s="132" t="s">
        <v>2078</v>
      </c>
      <c r="E26" s="124"/>
      <c r="F26" s="208">
        <f>SUM(ENERO!V42:AZ42)</f>
        <v>0</v>
      </c>
      <c r="G26" s="208">
        <f t="shared" ref="G26" si="2">C26-F26</f>
        <v>5486.7956000000004</v>
      </c>
      <c r="H26" s="215" t="s">
        <v>1784</v>
      </c>
      <c r="I26" s="252"/>
    </row>
    <row r="27" spans="1:9" x14ac:dyDescent="0.35">
      <c r="A27" s="142" t="s">
        <v>1685</v>
      </c>
      <c r="B27" s="110" t="s">
        <v>164</v>
      </c>
      <c r="C27" s="117">
        <f>ENERO!G43+ENERO!S43+ENERO!T43</f>
        <v>3247.2112000000002</v>
      </c>
      <c r="D27" s="136" t="s">
        <v>243</v>
      </c>
      <c r="E27" s="124">
        <v>45664</v>
      </c>
      <c r="F27" s="208">
        <f>SUM(ENERO!V43:AZ43)</f>
        <v>3247.21</v>
      </c>
      <c r="G27" s="208">
        <f>C27-F27</f>
        <v>1.2000000001535227E-3</v>
      </c>
      <c r="H27" s="215" t="s">
        <v>1961</v>
      </c>
      <c r="I27" s="252"/>
    </row>
    <row r="28" spans="1:9" x14ac:dyDescent="0.35">
      <c r="A28" s="142" t="s">
        <v>1493</v>
      </c>
      <c r="B28" s="110" t="s">
        <v>164</v>
      </c>
      <c r="C28" s="117">
        <f>ENERO!G44+ENERO!S44+ENERO!T44</f>
        <v>4872.0000000000009</v>
      </c>
      <c r="D28" s="136" t="s">
        <v>243</v>
      </c>
      <c r="E28" s="124">
        <v>45667</v>
      </c>
      <c r="F28" s="208">
        <f>SUM(ENERO!V44:AZ44)</f>
        <v>4872</v>
      </c>
      <c r="G28" s="208">
        <f t="shared" ref="G28" si="3">C28-F28</f>
        <v>0</v>
      </c>
      <c r="H28" s="215"/>
    </row>
    <row r="29" spans="1:9" x14ac:dyDescent="0.35">
      <c r="A29" s="142" t="s">
        <v>1936</v>
      </c>
      <c r="B29" s="110" t="s">
        <v>164</v>
      </c>
      <c r="C29" s="117">
        <f>ENERO!G45+ENERO!S45+ENERO!T45</f>
        <v>19209.599999999999</v>
      </c>
      <c r="D29" s="136" t="s">
        <v>243</v>
      </c>
      <c r="E29" s="124">
        <v>45677</v>
      </c>
      <c r="F29" s="208">
        <f>SUM(ENERO!V45:AZ45)</f>
        <v>9604.7999999999993</v>
      </c>
      <c r="G29" s="208">
        <f>C29-F29</f>
        <v>9604.7999999999993</v>
      </c>
      <c r="H29" s="215" t="s">
        <v>1937</v>
      </c>
    </row>
    <row r="30" spans="1:9" x14ac:dyDescent="0.35">
      <c r="A30" s="142" t="s">
        <v>655</v>
      </c>
      <c r="B30" s="110" t="s">
        <v>164</v>
      </c>
      <c r="C30" s="117">
        <f>ENERO!G46+ENERO!S46+ENERO!T46</f>
        <v>4059.999600000001</v>
      </c>
      <c r="D30" s="136" t="s">
        <v>243</v>
      </c>
      <c r="E30" s="124">
        <v>45664</v>
      </c>
      <c r="F30" s="208">
        <f>SUM(ENERO!V46:AZ46)</f>
        <v>4060</v>
      </c>
      <c r="G30" s="208">
        <f>C30-F30</f>
        <v>-3.9999999899009708E-4</v>
      </c>
      <c r="H30" s="360"/>
    </row>
    <row r="31" spans="1:9" x14ac:dyDescent="0.35">
      <c r="A31" s="142" t="s">
        <v>1768</v>
      </c>
      <c r="B31" s="110" t="s">
        <v>164</v>
      </c>
      <c r="C31" s="117">
        <f>ENERO!G47+ENERO!S47+ENERO!T47</f>
        <v>348</v>
      </c>
      <c r="D31" s="136" t="s">
        <v>243</v>
      </c>
      <c r="E31" s="124">
        <v>45678</v>
      </c>
      <c r="F31" s="208">
        <f>SUM(ENERO!V47:AZ47)</f>
        <v>348</v>
      </c>
      <c r="G31" s="208">
        <f t="shared" ref="G31" si="4">C31-F31</f>
        <v>0</v>
      </c>
      <c r="H31" s="215"/>
    </row>
    <row r="32" spans="1:9" x14ac:dyDescent="0.35">
      <c r="A32" s="142" t="s">
        <v>1769</v>
      </c>
      <c r="B32" s="110" t="s">
        <v>164</v>
      </c>
      <c r="C32" s="117">
        <f>ENERO!G48+ENERO!S48+ENERO!T48</f>
        <v>696</v>
      </c>
      <c r="D32" s="136" t="s">
        <v>243</v>
      </c>
      <c r="E32" s="124">
        <v>45674</v>
      </c>
      <c r="F32" s="208">
        <f>SUM(ENERO!V48:AZ48)</f>
        <v>696</v>
      </c>
      <c r="G32" s="208">
        <f t="shared" ref="G32:G40" si="5">C32-F32</f>
        <v>0</v>
      </c>
      <c r="H32" s="215"/>
    </row>
    <row r="33" spans="1:8" x14ac:dyDescent="0.35">
      <c r="A33" s="142" t="s">
        <v>1458</v>
      </c>
      <c r="B33" s="110" t="s">
        <v>164</v>
      </c>
      <c r="C33" s="117">
        <f>ENERO!G49+ENERO!S49+ENERO!T49</f>
        <v>1044</v>
      </c>
      <c r="D33" s="136" t="s">
        <v>243</v>
      </c>
      <c r="E33" s="124">
        <v>45664</v>
      </c>
      <c r="F33" s="208">
        <f>SUM(ENERO!V49:AZ49)</f>
        <v>1044</v>
      </c>
      <c r="G33" s="208">
        <f t="shared" si="5"/>
        <v>0</v>
      </c>
      <c r="H33" s="215"/>
    </row>
    <row r="34" spans="1:8" x14ac:dyDescent="0.35">
      <c r="A34" s="142" t="s">
        <v>1762</v>
      </c>
      <c r="B34" s="110" t="s">
        <v>164</v>
      </c>
      <c r="C34" s="117">
        <f>ENERO!G50+ENERO!S50+ENERO!T50</f>
        <v>1044</v>
      </c>
      <c r="D34" s="136" t="s">
        <v>243</v>
      </c>
      <c r="E34" s="124">
        <v>45674</v>
      </c>
      <c r="F34" s="208">
        <f>SUM(ENERO!V50:AZ50)</f>
        <v>1044</v>
      </c>
      <c r="G34" s="208">
        <f t="shared" si="5"/>
        <v>0</v>
      </c>
      <c r="H34" s="215"/>
    </row>
    <row r="35" spans="1:8" x14ac:dyDescent="0.35">
      <c r="A35" s="142" t="s">
        <v>780</v>
      </c>
      <c r="B35" s="110" t="s">
        <v>164</v>
      </c>
      <c r="C35" s="117">
        <f>ENERO!G51+ENERO!S51+ENERO!T51</f>
        <v>1392</v>
      </c>
      <c r="D35" s="136" t="s">
        <v>243</v>
      </c>
      <c r="E35" s="124">
        <v>45664</v>
      </c>
      <c r="F35" s="208">
        <f>SUM(ENERO!V51:AZ51)</f>
        <v>1392</v>
      </c>
      <c r="G35" s="208">
        <f t="shared" si="5"/>
        <v>0</v>
      </c>
      <c r="H35" s="215"/>
    </row>
    <row r="36" spans="1:8" x14ac:dyDescent="0.35">
      <c r="A36" s="142" t="s">
        <v>1731</v>
      </c>
      <c r="B36" s="110" t="s">
        <v>164</v>
      </c>
      <c r="C36" s="117">
        <f>ENERO!G52+ENERO!S52+ENERO!T52</f>
        <v>870.00000000000091</v>
      </c>
      <c r="D36" s="136" t="s">
        <v>243</v>
      </c>
      <c r="E36" s="124">
        <v>45665</v>
      </c>
      <c r="F36" s="208">
        <f>SUM(ENERO!V52:AZ52)</f>
        <v>870</v>
      </c>
      <c r="G36" s="208">
        <f t="shared" si="5"/>
        <v>9.0949470177292824E-13</v>
      </c>
      <c r="H36" s="215"/>
    </row>
    <row r="37" spans="1:8" x14ac:dyDescent="0.35">
      <c r="A37" s="142" t="s">
        <v>1732</v>
      </c>
      <c r="B37" s="110" t="s">
        <v>164</v>
      </c>
      <c r="C37" s="117">
        <f>ENERO!G53+ENERO!S53+ENERO!T53</f>
        <v>348</v>
      </c>
      <c r="D37" s="136" t="s">
        <v>243</v>
      </c>
      <c r="E37" s="124">
        <v>45677</v>
      </c>
      <c r="F37" s="208">
        <f>SUM(ENERO!V53:AZ53)</f>
        <v>348</v>
      </c>
      <c r="G37" s="208">
        <f t="shared" si="5"/>
        <v>0</v>
      </c>
      <c r="H37" s="215"/>
    </row>
    <row r="38" spans="1:8" x14ac:dyDescent="0.35">
      <c r="A38" s="142" t="s">
        <v>1734</v>
      </c>
      <c r="B38" s="110" t="s">
        <v>164</v>
      </c>
      <c r="C38" s="117">
        <f>ENERO!G54+ENERO!S54+ENERO!T54</f>
        <v>1619.3632000000057</v>
      </c>
      <c r="D38" s="136" t="s">
        <v>243</v>
      </c>
      <c r="E38" s="124">
        <v>45680</v>
      </c>
      <c r="F38" s="208">
        <f>SUM(ENERO!V54:AZ54)</f>
        <v>1619.36</v>
      </c>
      <c r="G38" s="208">
        <f t="shared" si="5"/>
        <v>3.2000000057905709E-3</v>
      </c>
      <c r="H38" s="215"/>
    </row>
    <row r="39" spans="1:8" x14ac:dyDescent="0.35">
      <c r="A39" s="142" t="s">
        <v>1415</v>
      </c>
      <c r="B39" s="110" t="s">
        <v>164</v>
      </c>
      <c r="C39" s="117">
        <f>ENERO!G55+ENERO!S55+ENERO!T55</f>
        <v>5005.006400000002</v>
      </c>
      <c r="D39" s="136" t="s">
        <v>243</v>
      </c>
      <c r="E39" s="124">
        <v>45665</v>
      </c>
      <c r="F39" s="208">
        <f>SUM(ENERO!V55:AZ55)</f>
        <v>5005.01</v>
      </c>
      <c r="G39" s="208">
        <f t="shared" si="5"/>
        <v>-3.5999999981868314E-3</v>
      </c>
      <c r="H39" s="215"/>
    </row>
    <row r="40" spans="1:8" ht="14.25" customHeight="1" x14ac:dyDescent="0.35">
      <c r="A40" s="142" t="s">
        <v>1763</v>
      </c>
      <c r="B40" s="110" t="s">
        <v>164</v>
      </c>
      <c r="C40" s="117">
        <f>ENERO!G56+ENERO!S56+ENERO!T56</f>
        <v>6310.4047999999984</v>
      </c>
      <c r="D40" s="136" t="s">
        <v>243</v>
      </c>
      <c r="E40" s="124">
        <v>45667</v>
      </c>
      <c r="F40" s="208">
        <f>SUM(ENERO!V56:AZ56)</f>
        <v>6310.4</v>
      </c>
      <c r="G40" s="208">
        <f t="shared" si="5"/>
        <v>4.7999999987951014E-3</v>
      </c>
      <c r="H40" s="215" t="s">
        <v>1892</v>
      </c>
    </row>
    <row r="41" spans="1:8" x14ac:dyDescent="0.35">
      <c r="A41" s="142" t="s">
        <v>656</v>
      </c>
      <c r="B41" s="110" t="s">
        <v>164</v>
      </c>
      <c r="C41" s="117">
        <f>ENERO!G57+ENERO!S57+ENERO!T57</f>
        <v>1531.1952000000003</v>
      </c>
      <c r="D41" s="136" t="s">
        <v>243</v>
      </c>
      <c r="E41" s="124">
        <v>45663</v>
      </c>
      <c r="F41" s="208">
        <f>SUM(ENERO!V57:AZ57)</f>
        <v>1531.2</v>
      </c>
      <c r="G41" s="208">
        <f>C41-F41</f>
        <v>-4.7999999997045961E-3</v>
      </c>
      <c r="H41" s="215"/>
    </row>
    <row r="42" spans="1:8" x14ac:dyDescent="0.35">
      <c r="A42" s="142" t="s">
        <v>1736</v>
      </c>
      <c r="B42" s="110" t="s">
        <v>164</v>
      </c>
      <c r="C42" s="117">
        <f>ENERO!G58+ENERO!S58+ENERO!T58</f>
        <v>348</v>
      </c>
      <c r="D42" s="136" t="s">
        <v>243</v>
      </c>
      <c r="E42" s="124">
        <v>45665</v>
      </c>
      <c r="F42" s="208">
        <f>SUM(ENERO!V58:AZ58)</f>
        <v>348</v>
      </c>
      <c r="G42" s="208">
        <f>C42-F42</f>
        <v>0</v>
      </c>
      <c r="H42" s="360"/>
    </row>
    <row r="43" spans="1:8" x14ac:dyDescent="0.35">
      <c r="A43" s="142" t="s">
        <v>1737</v>
      </c>
      <c r="B43" s="110" t="s">
        <v>164</v>
      </c>
      <c r="C43" s="117">
        <f>ENERO!G59+ENERO!S59+ENERO!T59</f>
        <v>1386</v>
      </c>
      <c r="D43" s="136" t="s">
        <v>243</v>
      </c>
      <c r="E43" s="124">
        <v>45664</v>
      </c>
      <c r="F43" s="208">
        <f>SUM(ENERO!V59:AZ59)</f>
        <v>1392</v>
      </c>
      <c r="G43" s="208">
        <f t="shared" ref="G43:G78" si="6">C43-F43</f>
        <v>-6</v>
      </c>
      <c r="H43" s="215"/>
    </row>
    <row r="44" spans="1:8" x14ac:dyDescent="0.35">
      <c r="A44" s="142" t="s">
        <v>827</v>
      </c>
      <c r="B44" s="110" t="s">
        <v>164</v>
      </c>
      <c r="C44" s="117">
        <f>ENERO!G60+ENERO!S60+ENERO!T60</f>
        <v>765.60000000000025</v>
      </c>
      <c r="D44" s="136" t="s">
        <v>243</v>
      </c>
      <c r="E44" s="124">
        <v>45665</v>
      </c>
      <c r="F44" s="208">
        <f>SUM(ENERO!V60:AZ60)</f>
        <v>765.6</v>
      </c>
      <c r="G44" s="208">
        <f t="shared" si="6"/>
        <v>0</v>
      </c>
      <c r="H44" s="215"/>
    </row>
    <row r="45" spans="1:8" x14ac:dyDescent="0.35">
      <c r="A45" s="142" t="s">
        <v>1738</v>
      </c>
      <c r="B45" s="110" t="s">
        <v>164</v>
      </c>
      <c r="C45" s="117">
        <f>ENERO!G61+ENERO!S61+ENERO!T61</f>
        <v>4693.3640000000178</v>
      </c>
      <c r="D45" s="132" t="s">
        <v>2078</v>
      </c>
      <c r="E45" s="124"/>
      <c r="F45" s="208">
        <f>SUM(ENERO!V61:AZ61)</f>
        <v>0</v>
      </c>
      <c r="G45" s="208">
        <f t="shared" si="6"/>
        <v>4693.3640000000178</v>
      </c>
      <c r="H45" s="360"/>
    </row>
    <row r="46" spans="1:8" x14ac:dyDescent="0.35">
      <c r="A46" s="142" t="s">
        <v>1740</v>
      </c>
      <c r="B46" s="110" t="s">
        <v>164</v>
      </c>
      <c r="C46" s="117">
        <f>ENERO!G62+ENERO!S62+ENERO!T62</f>
        <v>0</v>
      </c>
      <c r="D46" s="132" t="s">
        <v>456</v>
      </c>
      <c r="E46" s="124">
        <v>45680</v>
      </c>
      <c r="F46" s="208">
        <f>SUM(ENERO!V62:AZ62)</f>
        <v>0</v>
      </c>
      <c r="G46" s="208">
        <f t="shared" si="6"/>
        <v>0</v>
      </c>
      <c r="H46" s="215" t="s">
        <v>1971</v>
      </c>
    </row>
    <row r="47" spans="1:8" x14ac:dyDescent="0.35">
      <c r="A47" s="142" t="s">
        <v>713</v>
      </c>
      <c r="B47" s="110" t="s">
        <v>164</v>
      </c>
      <c r="C47" s="117">
        <f>ENERO!G63+ENERO!S63+ENERO!T63</f>
        <v>3735.1995999999999</v>
      </c>
      <c r="D47" s="136" t="s">
        <v>243</v>
      </c>
      <c r="E47" s="124">
        <v>45664</v>
      </c>
      <c r="F47" s="208">
        <f>SUM(ENERO!V63:AZ63)</f>
        <v>3735.2</v>
      </c>
      <c r="G47" s="208">
        <f t="shared" si="6"/>
        <v>-3.9999999989959178E-4</v>
      </c>
      <c r="H47" s="215" t="s">
        <v>1785</v>
      </c>
    </row>
    <row r="48" spans="1:8" x14ac:dyDescent="0.35">
      <c r="A48" s="142" t="s">
        <v>1551</v>
      </c>
      <c r="B48" s="110" t="s">
        <v>164</v>
      </c>
      <c r="C48" s="117">
        <f>ENERO!G64+ENERO!S64+ENERO!T64</f>
        <v>232</v>
      </c>
      <c r="D48" s="136" t="s">
        <v>243</v>
      </c>
      <c r="E48" s="124">
        <v>45671</v>
      </c>
      <c r="F48" s="208">
        <f>SUM(ENERO!V64:AZ64)</f>
        <v>232</v>
      </c>
      <c r="G48" s="208">
        <f t="shared" si="6"/>
        <v>0</v>
      </c>
      <c r="H48" s="215"/>
    </row>
    <row r="49" spans="1:8" x14ac:dyDescent="0.35">
      <c r="A49" s="142" t="s">
        <v>693</v>
      </c>
      <c r="B49" s="110" t="s">
        <v>164</v>
      </c>
      <c r="C49" s="117">
        <f>ENERO!G65+ENERO!S65+ENERO!T65</f>
        <v>348</v>
      </c>
      <c r="D49" s="136" t="s">
        <v>243</v>
      </c>
      <c r="E49" s="124">
        <v>45665</v>
      </c>
      <c r="F49" s="208">
        <f>SUM(ENERO!V65:AZ65)</f>
        <v>348</v>
      </c>
      <c r="G49" s="208">
        <f t="shared" si="6"/>
        <v>0</v>
      </c>
      <c r="H49" s="215"/>
    </row>
    <row r="50" spans="1:8" x14ac:dyDescent="0.35">
      <c r="A50" s="142" t="s">
        <v>1621</v>
      </c>
      <c r="B50" s="110" t="s">
        <v>164</v>
      </c>
      <c r="C50" s="117">
        <f>ENERO!G66+ENERO!S66+ENERO!T66</f>
        <v>290</v>
      </c>
      <c r="D50" s="136" t="s">
        <v>243</v>
      </c>
      <c r="E50" s="124">
        <v>45670</v>
      </c>
      <c r="F50" s="208">
        <f>SUM(ENERO!V66:AZ66)</f>
        <v>290</v>
      </c>
      <c r="G50" s="208">
        <f t="shared" si="6"/>
        <v>0</v>
      </c>
      <c r="H50" s="215"/>
    </row>
    <row r="51" spans="1:8" x14ac:dyDescent="0.35">
      <c r="A51" s="142" t="s">
        <v>533</v>
      </c>
      <c r="B51" s="110" t="s">
        <v>164</v>
      </c>
      <c r="C51" s="117">
        <f>ENERO!G67+ENERO!S67+ENERO!T67</f>
        <v>9314.8020000000142</v>
      </c>
      <c r="D51" s="136" t="s">
        <v>243</v>
      </c>
      <c r="E51" s="124">
        <v>45674</v>
      </c>
      <c r="F51" s="208">
        <f>SUM(ENERO!V67:AZ67)</f>
        <v>9314.7999999999993</v>
      </c>
      <c r="G51" s="208">
        <f t="shared" si="6"/>
        <v>2.0000000149593689E-3</v>
      </c>
      <c r="H51" s="215" t="s">
        <v>1780</v>
      </c>
    </row>
    <row r="52" spans="1:8" x14ac:dyDescent="0.35">
      <c r="A52" s="142" t="s">
        <v>1676</v>
      </c>
      <c r="B52" s="110" t="s">
        <v>164</v>
      </c>
      <c r="C52" s="117">
        <f>ENERO!G68+ENERO!S68+ENERO!T68</f>
        <v>487.2</v>
      </c>
      <c r="D52" s="136" t="s">
        <v>243</v>
      </c>
      <c r="E52" s="124">
        <v>45666</v>
      </c>
      <c r="F52" s="208">
        <f>SUM(ENERO!V68:AZ68)</f>
        <v>487.2</v>
      </c>
      <c r="G52" s="208">
        <f t="shared" ref="G52" si="7">C52-F52</f>
        <v>0</v>
      </c>
      <c r="H52" s="215" t="s">
        <v>1793</v>
      </c>
    </row>
    <row r="53" spans="1:8" x14ac:dyDescent="0.35">
      <c r="A53" s="142" t="s">
        <v>496</v>
      </c>
      <c r="B53" s="110" t="s">
        <v>164</v>
      </c>
      <c r="C53" s="117">
        <f>ENERO!G69+ENERO!S69+ENERO!T69</f>
        <v>577.67200000000196</v>
      </c>
      <c r="D53" s="136" t="s">
        <v>243</v>
      </c>
      <c r="E53" s="124">
        <v>45682</v>
      </c>
      <c r="F53" s="208">
        <f>SUM(ENERO!V69:AZ69)</f>
        <v>577.67999999999995</v>
      </c>
      <c r="G53" s="208">
        <f t="shared" si="6"/>
        <v>-7.9999999979918357E-3</v>
      </c>
      <c r="H53" s="215"/>
    </row>
    <row r="54" spans="1:8" x14ac:dyDescent="0.35">
      <c r="A54" s="142" t="s">
        <v>323</v>
      </c>
      <c r="B54" s="110" t="s">
        <v>164</v>
      </c>
      <c r="C54" s="117">
        <f>ENERO!G70+ENERO!S70+ENERO!T70</f>
        <v>-577.67999999999779</v>
      </c>
      <c r="D54" s="136" t="s">
        <v>243</v>
      </c>
      <c r="E54" s="124">
        <v>45583</v>
      </c>
      <c r="F54" s="208">
        <f>SUM(ENERO!V70:AZ70)</f>
        <v>0</v>
      </c>
      <c r="G54" s="208">
        <f t="shared" si="6"/>
        <v>-577.67999999999779</v>
      </c>
      <c r="H54" s="215" t="s">
        <v>1449</v>
      </c>
    </row>
    <row r="55" spans="1:8" x14ac:dyDescent="0.35">
      <c r="A55" s="142" t="s">
        <v>657</v>
      </c>
      <c r="B55" s="110" t="s">
        <v>164</v>
      </c>
      <c r="C55" s="117">
        <f>ENERO!G71+ENERO!S71+ENERO!T71</f>
        <v>348</v>
      </c>
      <c r="D55" s="136" t="s">
        <v>243</v>
      </c>
      <c r="E55" s="124">
        <v>45674</v>
      </c>
      <c r="F55" s="208">
        <f>SUM(ENERO!V71:AZ71)</f>
        <v>348</v>
      </c>
      <c r="G55" s="208">
        <f t="shared" ref="G55" si="8">C55-F55</f>
        <v>0</v>
      </c>
      <c r="H55" s="362"/>
    </row>
    <row r="56" spans="1:8" x14ac:dyDescent="0.35">
      <c r="A56" s="142" t="s">
        <v>53</v>
      </c>
      <c r="B56" s="110" t="s">
        <v>164</v>
      </c>
      <c r="C56" s="117">
        <f>ENERO!G72+ENERO!S72+ENERO!T72</f>
        <v>348</v>
      </c>
      <c r="D56" s="136" t="s">
        <v>243</v>
      </c>
      <c r="E56" s="124">
        <v>45671</v>
      </c>
      <c r="F56" s="208">
        <f>SUM(ENERO!V72:AZ72)</f>
        <v>348</v>
      </c>
      <c r="G56" s="208">
        <f t="shared" si="6"/>
        <v>0</v>
      </c>
      <c r="H56" s="362"/>
    </row>
    <row r="57" spans="1:8" x14ac:dyDescent="0.35">
      <c r="A57" s="142" t="s">
        <v>1741</v>
      </c>
      <c r="B57" s="110" t="s">
        <v>164</v>
      </c>
      <c r="C57" s="117">
        <f>ENERO!G73+ENERO!S73+ENERO!T73</f>
        <v>11957.652400000001</v>
      </c>
      <c r="D57" s="136" t="s">
        <v>243</v>
      </c>
      <c r="E57" s="124">
        <v>45663</v>
      </c>
      <c r="F57" s="208">
        <f>SUM(ENERO!V73:AZ73)</f>
        <v>11957.66</v>
      </c>
      <c r="G57" s="208">
        <f t="shared" si="6"/>
        <v>-7.5999999990017386E-3</v>
      </c>
      <c r="H57" s="361" t="s">
        <v>1786</v>
      </c>
    </row>
    <row r="58" spans="1:8" x14ac:dyDescent="0.35">
      <c r="A58" s="142" t="s">
        <v>1061</v>
      </c>
      <c r="B58" s="110" t="s">
        <v>164</v>
      </c>
      <c r="C58" s="117">
        <f>ENERO!G74+ENERO!S74+ENERO!T74</f>
        <v>870.0011999999997</v>
      </c>
      <c r="D58" s="136" t="s">
        <v>243</v>
      </c>
      <c r="E58" s="124">
        <v>45664</v>
      </c>
      <c r="F58" s="208">
        <f>SUM(ENERO!V74:AZ74)</f>
        <v>870</v>
      </c>
      <c r="G58" s="208">
        <f t="shared" si="6"/>
        <v>1.1999999996987754E-3</v>
      </c>
      <c r="H58" s="362"/>
    </row>
    <row r="59" spans="1:8" x14ac:dyDescent="0.35">
      <c r="A59" s="142" t="s">
        <v>1742</v>
      </c>
      <c r="B59" s="110" t="s">
        <v>164</v>
      </c>
      <c r="C59" s="117">
        <f>ENERO!G75+ENERO!S75+ENERO!T75</f>
        <v>1740</v>
      </c>
      <c r="D59" s="136" t="s">
        <v>243</v>
      </c>
      <c r="E59" s="124">
        <v>45666</v>
      </c>
      <c r="F59" s="208">
        <f>SUM(ENERO!V75:AZ75)</f>
        <v>1740</v>
      </c>
      <c r="G59" s="208">
        <f t="shared" si="6"/>
        <v>0</v>
      </c>
      <c r="H59" s="360"/>
    </row>
    <row r="60" spans="1:8" x14ac:dyDescent="0.35">
      <c r="A60" s="142" t="s">
        <v>1743</v>
      </c>
      <c r="B60" s="110" t="s">
        <v>164</v>
      </c>
      <c r="C60" s="117">
        <f>ENERO!G76+ENERO!S76+ENERO!T76</f>
        <v>5229.6279999999979</v>
      </c>
      <c r="D60" s="136" t="s">
        <v>243</v>
      </c>
      <c r="E60" s="124">
        <v>45665</v>
      </c>
      <c r="F60" s="208">
        <f>SUM(ENERO!V76:AZ76)</f>
        <v>5229.63</v>
      </c>
      <c r="G60" s="208">
        <f t="shared" si="6"/>
        <v>-2.000000002226443E-3</v>
      </c>
      <c r="H60" s="215" t="s">
        <v>1788</v>
      </c>
    </row>
    <row r="61" spans="1:8" x14ac:dyDescent="0.35">
      <c r="A61" s="142" t="s">
        <v>1744</v>
      </c>
      <c r="B61" s="110" t="s">
        <v>164</v>
      </c>
      <c r="C61" s="117">
        <f>ENERO!G77+ENERO!S77+ENERO!T77</f>
        <v>2496.3204000000005</v>
      </c>
      <c r="D61" s="136" t="s">
        <v>243</v>
      </c>
      <c r="E61" s="124">
        <v>45671</v>
      </c>
      <c r="F61" s="208">
        <f>SUM(ENERO!V77:AZ77)</f>
        <v>2496.3200000000002</v>
      </c>
      <c r="G61" s="208">
        <f t="shared" si="6"/>
        <v>4.0000000035433914E-4</v>
      </c>
      <c r="H61" s="215"/>
    </row>
    <row r="62" spans="1:8" x14ac:dyDescent="0.35">
      <c r="A62" s="142" t="s">
        <v>1745</v>
      </c>
      <c r="B62" s="110" t="s">
        <v>164</v>
      </c>
      <c r="C62" s="117">
        <f>ENERO!G78+ENERO!S78+ENERO!T78</f>
        <v>5028.6000000000004</v>
      </c>
      <c r="D62" s="136" t="s">
        <v>243</v>
      </c>
      <c r="E62" s="124">
        <v>45667</v>
      </c>
      <c r="F62" s="208">
        <f>SUM(ENERO!V78:AZ78)</f>
        <v>5028.6000000000004</v>
      </c>
      <c r="G62" s="208">
        <f t="shared" si="6"/>
        <v>0</v>
      </c>
      <c r="H62" s="362"/>
    </row>
    <row r="63" spans="1:8" x14ac:dyDescent="0.35">
      <c r="A63" s="355" t="s">
        <v>1764</v>
      </c>
      <c r="B63" s="110" t="s">
        <v>164</v>
      </c>
      <c r="C63" s="117">
        <f>ENERO!G79+ENERO!S79+ENERO!T79</f>
        <v>6437.9988000000012</v>
      </c>
      <c r="D63" s="136" t="s">
        <v>243</v>
      </c>
      <c r="E63" s="124">
        <v>45687</v>
      </c>
      <c r="F63" s="208">
        <f>SUM(ENERO!V79:AZ79)</f>
        <v>6438</v>
      </c>
      <c r="G63" s="208">
        <f t="shared" si="6"/>
        <v>-1.1999999987892807E-3</v>
      </c>
      <c r="H63" s="364"/>
    </row>
    <row r="64" spans="1:8" x14ac:dyDescent="0.35">
      <c r="A64" s="142" t="s">
        <v>1437</v>
      </c>
      <c r="B64" s="110" t="s">
        <v>164</v>
      </c>
      <c r="C64" s="117">
        <f>ENERO!G80+ENERO!S80+ENERO!T80</f>
        <v>1576.44</v>
      </c>
      <c r="D64" s="136" t="s">
        <v>243</v>
      </c>
      <c r="E64" s="124">
        <v>45680</v>
      </c>
      <c r="F64" s="208">
        <f>SUM(ENERO!V80:AZ80)</f>
        <v>1576.44</v>
      </c>
      <c r="G64" s="208">
        <f t="shared" si="6"/>
        <v>0</v>
      </c>
      <c r="H64" s="215" t="s">
        <v>1794</v>
      </c>
    </row>
    <row r="65" spans="1:8" x14ac:dyDescent="0.35">
      <c r="A65" s="142" t="s">
        <v>1765</v>
      </c>
      <c r="B65" s="110" t="s">
        <v>164</v>
      </c>
      <c r="C65" s="117">
        <f>ENERO!G81+ENERO!S81+ENERO!T81</f>
        <v>5568.0048000000006</v>
      </c>
      <c r="D65" s="136" t="s">
        <v>243</v>
      </c>
      <c r="E65" s="124">
        <v>45674</v>
      </c>
      <c r="F65" s="208">
        <f>SUM(ENERO!V81:AZ81)</f>
        <v>5568</v>
      </c>
      <c r="G65" s="208">
        <f t="shared" si="6"/>
        <v>4.8000000006140908E-3</v>
      </c>
      <c r="H65" s="215"/>
    </row>
    <row r="66" spans="1:8" x14ac:dyDescent="0.35">
      <c r="A66" s="142" t="s">
        <v>1071</v>
      </c>
      <c r="B66" s="110" t="s">
        <v>164</v>
      </c>
      <c r="C66" s="117">
        <f>ENERO!G82+ENERO!S82+ENERO!T82</f>
        <v>1020.8</v>
      </c>
      <c r="D66" s="136" t="s">
        <v>243</v>
      </c>
      <c r="E66" s="124">
        <v>45670</v>
      </c>
      <c r="F66" s="208">
        <f>SUM(ENERO!V82:AZ82)</f>
        <v>1020.8</v>
      </c>
      <c r="G66" s="208">
        <f t="shared" si="6"/>
        <v>0</v>
      </c>
      <c r="H66" s="215"/>
    </row>
    <row r="67" spans="1:8" x14ac:dyDescent="0.35">
      <c r="A67" s="142" t="s">
        <v>1766</v>
      </c>
      <c r="B67" s="110" t="s">
        <v>164</v>
      </c>
      <c r="C67" s="117">
        <f>ENERO!G83+ENERO!S83+ENERO!T83</f>
        <v>0</v>
      </c>
      <c r="D67" s="132" t="s">
        <v>456</v>
      </c>
      <c r="E67" s="124">
        <v>45684</v>
      </c>
      <c r="F67" s="208">
        <f>SUM(ENERO!V83:AZ83)</f>
        <v>0</v>
      </c>
      <c r="G67" s="208">
        <f t="shared" si="6"/>
        <v>0</v>
      </c>
      <c r="H67" s="215" t="s">
        <v>2027</v>
      </c>
    </row>
    <row r="68" spans="1:8" x14ac:dyDescent="0.35">
      <c r="A68" s="142" t="s">
        <v>688</v>
      </c>
      <c r="B68" s="110" t="s">
        <v>164</v>
      </c>
      <c r="C68" s="117">
        <f>ENERO!G84+ENERO!S84+ENERO!T84</f>
        <v>869.99559999999997</v>
      </c>
      <c r="D68" s="136" t="s">
        <v>243</v>
      </c>
      <c r="E68" s="124">
        <v>45667</v>
      </c>
      <c r="F68" s="208">
        <f>SUM(ENERO!V84:AZ84)</f>
        <v>870</v>
      </c>
      <c r="G68" s="208">
        <f t="shared" si="6"/>
        <v>-4.400000000032378E-3</v>
      </c>
      <c r="H68" s="215"/>
    </row>
    <row r="69" spans="1:8" x14ac:dyDescent="0.35">
      <c r="A69" s="142" t="s">
        <v>1543</v>
      </c>
      <c r="B69" s="110" t="s">
        <v>164</v>
      </c>
      <c r="C69" s="117">
        <f>ENERO!G85+ENERO!S85+ENERO!T85</f>
        <v>1044.0000000000005</v>
      </c>
      <c r="D69" s="136" t="s">
        <v>243</v>
      </c>
      <c r="E69" s="124">
        <v>45670</v>
      </c>
      <c r="F69" s="208">
        <f>SUM(ENERO!V85:AZ85)</f>
        <v>1044</v>
      </c>
      <c r="G69" s="208">
        <f t="shared" si="6"/>
        <v>0</v>
      </c>
      <c r="H69" s="215"/>
    </row>
    <row r="70" spans="1:8" x14ac:dyDescent="0.35">
      <c r="A70" s="142" t="s">
        <v>869</v>
      </c>
      <c r="B70" s="110" t="s">
        <v>164</v>
      </c>
      <c r="C70" s="117">
        <f>ENERO!G86+ENERO!S86+ENERO!T86</f>
        <v>1740</v>
      </c>
      <c r="D70" s="136" t="s">
        <v>243</v>
      </c>
      <c r="E70" s="124">
        <v>45674</v>
      </c>
      <c r="F70" s="208">
        <f>SUM(ENERO!V86:AZ86)</f>
        <v>1740</v>
      </c>
      <c r="G70" s="208">
        <f t="shared" si="6"/>
        <v>0</v>
      </c>
      <c r="H70" s="215"/>
    </row>
    <row r="71" spans="1:8" x14ac:dyDescent="0.35">
      <c r="A71" s="142" t="s">
        <v>1471</v>
      </c>
      <c r="B71" s="110" t="s">
        <v>164</v>
      </c>
      <c r="C71" s="117">
        <f>ENERO!G87+ENERO!S87+ENERO!T87</f>
        <v>4034.48</v>
      </c>
      <c r="D71" s="136" t="s">
        <v>243</v>
      </c>
      <c r="E71" s="124">
        <v>45666</v>
      </c>
      <c r="F71" s="208">
        <f>SUM(ENERO!V87:AZ87)</f>
        <v>4034.48</v>
      </c>
      <c r="G71" s="208">
        <f t="shared" si="6"/>
        <v>0</v>
      </c>
      <c r="H71" s="215" t="s">
        <v>1787</v>
      </c>
    </row>
    <row r="72" spans="1:8" x14ac:dyDescent="0.35">
      <c r="A72" s="142" t="s">
        <v>1467</v>
      </c>
      <c r="B72" s="110" t="s">
        <v>164</v>
      </c>
      <c r="C72" s="117">
        <f>ENERO!G88+ENERO!S88+ENERO!T88</f>
        <v>1044</v>
      </c>
      <c r="D72" s="136" t="s">
        <v>243</v>
      </c>
      <c r="E72" s="124">
        <v>45667</v>
      </c>
      <c r="F72" s="208">
        <f>SUM(ENERO!V88:AZ88)</f>
        <v>1044</v>
      </c>
      <c r="G72" s="208">
        <f t="shared" si="6"/>
        <v>0</v>
      </c>
      <c r="H72" s="215"/>
    </row>
    <row r="73" spans="1:8" x14ac:dyDescent="0.35">
      <c r="A73" s="142" t="s">
        <v>1747</v>
      </c>
      <c r="B73" s="110" t="s">
        <v>164</v>
      </c>
      <c r="C73" s="117">
        <f>ENERO!G89+ENERO!S89+ENERO!T89</f>
        <v>580.00120000000015</v>
      </c>
      <c r="D73" s="136" t="s">
        <v>243</v>
      </c>
      <c r="E73" s="124">
        <v>45681</v>
      </c>
      <c r="F73" s="208">
        <f>SUM(ENERO!V89:AZ89)</f>
        <v>580</v>
      </c>
      <c r="G73" s="208">
        <f t="shared" si="6"/>
        <v>1.2000000001535227E-3</v>
      </c>
      <c r="H73" s="215"/>
    </row>
    <row r="74" spans="1:8" x14ac:dyDescent="0.35">
      <c r="A74" s="142" t="s">
        <v>1767</v>
      </c>
      <c r="B74" s="110" t="s">
        <v>164</v>
      </c>
      <c r="C74" s="117">
        <f>ENERO!G90+ENERO!S90+ENERO!T90</f>
        <v>4350</v>
      </c>
      <c r="D74" s="132" t="s">
        <v>2078</v>
      </c>
      <c r="E74" s="124"/>
      <c r="F74" s="208">
        <f>SUM(ENERO!V90:AZ90)</f>
        <v>0</v>
      </c>
      <c r="G74" s="208">
        <f t="shared" si="6"/>
        <v>4350</v>
      </c>
      <c r="H74" s="360" t="s">
        <v>796</v>
      </c>
    </row>
    <row r="75" spans="1:8" x14ac:dyDescent="0.35">
      <c r="A75" s="142" t="s">
        <v>1749</v>
      </c>
      <c r="B75" s="110" t="s">
        <v>164</v>
      </c>
      <c r="C75" s="117">
        <f>ENERO!G91+ENERO!S91+ENERO!T91</f>
        <v>3480</v>
      </c>
      <c r="D75" s="136" t="s">
        <v>243</v>
      </c>
      <c r="E75" s="124">
        <v>45670</v>
      </c>
      <c r="F75" s="208">
        <f>SUM(ENERO!V91:AZ91)</f>
        <v>3480</v>
      </c>
      <c r="G75" s="208">
        <f t="shared" si="6"/>
        <v>0</v>
      </c>
      <c r="H75" s="215"/>
    </row>
    <row r="76" spans="1:8" x14ac:dyDescent="0.35">
      <c r="A76" s="142" t="s">
        <v>409</v>
      </c>
      <c r="B76" s="110" t="s">
        <v>164</v>
      </c>
      <c r="C76" s="117">
        <f>ENERO!G92+ENERO!S92+ENERO!T92</f>
        <v>6727.9152000000049</v>
      </c>
      <c r="D76" s="136" t="s">
        <v>243</v>
      </c>
      <c r="E76" s="124">
        <v>45672</v>
      </c>
      <c r="F76" s="208">
        <f>SUM(ENERO!V92:AZ92)</f>
        <v>6728</v>
      </c>
      <c r="G76" s="208">
        <f t="shared" si="6"/>
        <v>-8.4799999995084363E-2</v>
      </c>
      <c r="H76" s="360" t="s">
        <v>1792</v>
      </c>
    </row>
    <row r="77" spans="1:8" x14ac:dyDescent="0.35">
      <c r="A77" s="142" t="s">
        <v>410</v>
      </c>
      <c r="B77" s="110" t="s">
        <v>164</v>
      </c>
      <c r="C77" s="117">
        <f>ENERO!G93+ENERO!S93+ENERO!T93</f>
        <v>1217.9912000000004</v>
      </c>
      <c r="D77" s="136" t="s">
        <v>243</v>
      </c>
      <c r="E77" s="124">
        <v>45672</v>
      </c>
      <c r="F77" s="208">
        <f>SUM(ENERO!V93:AZ93)</f>
        <v>1218</v>
      </c>
      <c r="G77" s="208">
        <f t="shared" si="6"/>
        <v>-8.7999999996100087E-3</v>
      </c>
      <c r="H77" s="360"/>
    </row>
    <row r="78" spans="1:8" x14ac:dyDescent="0.35">
      <c r="A78" s="142" t="s">
        <v>1750</v>
      </c>
      <c r="B78" s="110" t="s">
        <v>164</v>
      </c>
      <c r="C78" s="117">
        <f>ENERO!G94+ENERO!S94+ENERO!T94</f>
        <v>2030</v>
      </c>
      <c r="D78" s="136" t="s">
        <v>243</v>
      </c>
      <c r="E78" s="124">
        <v>45668</v>
      </c>
      <c r="F78" s="208">
        <f>SUM(ENERO!V94:AZ94)</f>
        <v>2030</v>
      </c>
      <c r="G78" s="208">
        <f t="shared" si="6"/>
        <v>0</v>
      </c>
      <c r="H78" s="215"/>
    </row>
    <row r="79" spans="1:8" x14ac:dyDescent="0.35">
      <c r="A79" s="347" t="s">
        <v>1904</v>
      </c>
      <c r="B79" s="110" t="s">
        <v>164</v>
      </c>
      <c r="C79" s="117">
        <f>ENERO!G95+ENERO!S95+ENERO!T95</f>
        <v>2434.84</v>
      </c>
      <c r="D79" s="136" t="s">
        <v>243</v>
      </c>
      <c r="E79" s="124">
        <v>45666</v>
      </c>
      <c r="F79" s="208">
        <f>SUM(ENERO!V95:AZ95)</f>
        <v>2434.84</v>
      </c>
      <c r="G79" s="208">
        <f t="shared" ref="G79" si="9">C79-F79</f>
        <v>0</v>
      </c>
      <c r="H79" s="215" t="s">
        <v>1902</v>
      </c>
    </row>
    <row r="80" spans="1:8" x14ac:dyDescent="0.35">
      <c r="A80" s="142" t="s">
        <v>1548</v>
      </c>
      <c r="B80" s="110" t="s">
        <v>164</v>
      </c>
      <c r="C80" s="117">
        <f>ENERO!G96+ENERO!S96+ENERO!T96</f>
        <v>3132.0000000000005</v>
      </c>
      <c r="D80" s="136" t="s">
        <v>243</v>
      </c>
      <c r="E80" s="124">
        <v>45687</v>
      </c>
      <c r="F80" s="208">
        <f>SUM(ENERO!V96:AZ96)</f>
        <v>3132</v>
      </c>
      <c r="G80" s="208">
        <f>C80-F80</f>
        <v>0</v>
      </c>
      <c r="H80" s="360"/>
    </row>
    <row r="81" spans="1:9" x14ac:dyDescent="0.35">
      <c r="A81" s="142" t="s">
        <v>1752</v>
      </c>
      <c r="B81" s="110" t="s">
        <v>164</v>
      </c>
      <c r="C81" s="117">
        <f>ENERO!G97+ENERO!S97+ENERO!T97</f>
        <v>4523.9996000000001</v>
      </c>
      <c r="D81" s="136" t="s">
        <v>243</v>
      </c>
      <c r="E81" s="124">
        <v>45681</v>
      </c>
      <c r="F81" s="208">
        <f>SUM(ENERO!V97:AZ97)</f>
        <v>4524</v>
      </c>
      <c r="G81" s="208">
        <f t="shared" ref="G81:G89" si="10">C81-F81</f>
        <v>-3.9999999989959178E-4</v>
      </c>
      <c r="H81" s="215"/>
    </row>
    <row r="82" spans="1:9" x14ac:dyDescent="0.35">
      <c r="A82" s="142" t="s">
        <v>1541</v>
      </c>
      <c r="B82" s="110" t="s">
        <v>164</v>
      </c>
      <c r="C82" s="117">
        <f>ENERO!G98+ENERO!S98+ENERO!T98</f>
        <v>3895.6628000000001</v>
      </c>
      <c r="D82" s="132" t="s">
        <v>2078</v>
      </c>
      <c r="E82" s="124"/>
      <c r="F82" s="208">
        <f>SUM(ENERO!V98:AZ98)</f>
        <v>0</v>
      </c>
      <c r="G82" s="208">
        <f t="shared" si="10"/>
        <v>3895.6628000000001</v>
      </c>
      <c r="H82" s="215" t="s">
        <v>1783</v>
      </c>
    </row>
    <row r="83" spans="1:9" x14ac:dyDescent="0.35">
      <c r="A83" s="162" t="s">
        <v>1924</v>
      </c>
      <c r="B83" s="110" t="s">
        <v>164</v>
      </c>
      <c r="C83" s="117">
        <f>ENERO!G99+ENERO!S99+ENERO!T99</f>
        <v>4634.2000000000007</v>
      </c>
      <c r="D83" s="136" t="s">
        <v>243</v>
      </c>
      <c r="E83" s="124">
        <v>45671</v>
      </c>
      <c r="F83" s="208">
        <f>SUM(ENERO!V99:AZ99)</f>
        <v>4634.2</v>
      </c>
      <c r="G83" s="208">
        <f t="shared" ref="G83" si="11">C83-F83</f>
        <v>0</v>
      </c>
      <c r="H83" s="215" t="s">
        <v>1925</v>
      </c>
    </row>
    <row r="84" spans="1:9" x14ac:dyDescent="0.35">
      <c r="A84" s="142" t="s">
        <v>1753</v>
      </c>
      <c r="B84" s="110" t="s">
        <v>164</v>
      </c>
      <c r="C84" s="117">
        <f>ENERO!G100+ENERO!S100+ENERO!T100</f>
        <v>3625.0028000000057</v>
      </c>
      <c r="D84" s="136" t="s">
        <v>243</v>
      </c>
      <c r="E84" s="124">
        <v>45680</v>
      </c>
      <c r="F84" s="208">
        <f>SUM(ENERO!V100:AZ100)</f>
        <v>3625</v>
      </c>
      <c r="G84" s="208">
        <f>C84-F84</f>
        <v>2.8000000056636054E-3</v>
      </c>
      <c r="H84" s="215" t="s">
        <v>1779</v>
      </c>
      <c r="I84" s="211" t="s">
        <v>617</v>
      </c>
    </row>
    <row r="85" spans="1:9" x14ac:dyDescent="0.35">
      <c r="A85" s="142" t="s">
        <v>1893</v>
      </c>
      <c r="B85" s="110" t="s">
        <v>164</v>
      </c>
      <c r="C85" s="117">
        <f>ENERO!G101+ENERO!S101+ENERO!T101</f>
        <v>4918.4000000000005</v>
      </c>
      <c r="D85" s="136" t="s">
        <v>243</v>
      </c>
      <c r="E85" s="124">
        <v>45667</v>
      </c>
      <c r="F85" s="208">
        <f>SUM(ENERO!V101:AZ101)</f>
        <v>4918.3999999999996</v>
      </c>
      <c r="G85" s="208">
        <f>C85-F85</f>
        <v>0</v>
      </c>
      <c r="H85" s="215" t="s">
        <v>1950</v>
      </c>
    </row>
    <row r="86" spans="1:9" x14ac:dyDescent="0.35">
      <c r="A86" s="142" t="s">
        <v>1754</v>
      </c>
      <c r="B86" s="110" t="s">
        <v>164</v>
      </c>
      <c r="C86" s="117">
        <f>ENERO!G102+ENERO!S102+ENERO!T102</f>
        <v>4524</v>
      </c>
      <c r="D86" s="136" t="s">
        <v>243</v>
      </c>
      <c r="E86" s="124">
        <v>45682</v>
      </c>
      <c r="F86" s="208">
        <f>SUM(ENERO!V102:AZ102)</f>
        <v>4524</v>
      </c>
      <c r="G86" s="208">
        <f t="shared" si="10"/>
        <v>0</v>
      </c>
      <c r="H86" s="215"/>
    </row>
    <row r="87" spans="1:9" x14ac:dyDescent="0.35">
      <c r="A87" s="142" t="s">
        <v>658</v>
      </c>
      <c r="B87" s="110" t="s">
        <v>164</v>
      </c>
      <c r="C87" s="117">
        <f>ENERO!G103+ENERO!S103+ENERO!T103</f>
        <v>2030</v>
      </c>
      <c r="D87" s="136" t="s">
        <v>243</v>
      </c>
      <c r="E87" s="124">
        <v>45670</v>
      </c>
      <c r="F87" s="208">
        <f>SUM(ENERO!V103:AZ103)</f>
        <v>2030</v>
      </c>
      <c r="G87" s="208">
        <f t="shared" si="10"/>
        <v>0</v>
      </c>
      <c r="H87" s="361"/>
    </row>
    <row r="88" spans="1:9" x14ac:dyDescent="0.35">
      <c r="A88" s="355" t="s">
        <v>2005</v>
      </c>
      <c r="B88" s="110" t="s">
        <v>164</v>
      </c>
      <c r="C88" s="117">
        <f>ENERO!G104+ENERO!S104+ENERO!T104</f>
        <v>104801.36000000002</v>
      </c>
      <c r="D88" s="136" t="s">
        <v>243</v>
      </c>
      <c r="E88" s="124">
        <v>45672</v>
      </c>
      <c r="F88" s="208">
        <f>SUM(ENERO!V104:AZ104)</f>
        <v>104801.35999999999</v>
      </c>
      <c r="G88" s="208">
        <f t="shared" si="10"/>
        <v>0</v>
      </c>
      <c r="H88" s="215" t="s">
        <v>2066</v>
      </c>
    </row>
    <row r="89" spans="1:9" x14ac:dyDescent="0.35">
      <c r="A89" s="142" t="s">
        <v>2006</v>
      </c>
      <c r="B89" s="110" t="s">
        <v>164</v>
      </c>
      <c r="C89" s="117">
        <f>ENERO!G105+ENERO!S105+ENERO!T105</f>
        <v>696</v>
      </c>
      <c r="D89" s="136" t="s">
        <v>243</v>
      </c>
      <c r="E89" s="124">
        <v>45680</v>
      </c>
      <c r="F89" s="208">
        <f>SUM(ENERO!V105:AZ105)</f>
        <v>696</v>
      </c>
      <c r="G89" s="208">
        <f t="shared" si="10"/>
        <v>0</v>
      </c>
      <c r="H89" s="361"/>
    </row>
    <row r="90" spans="1:9" x14ac:dyDescent="0.35">
      <c r="A90" s="142" t="s">
        <v>2007</v>
      </c>
      <c r="B90" s="110" t="s">
        <v>164</v>
      </c>
      <c r="C90" s="117">
        <f>ENERO!G106+ENERO!S106+ENERO!T106</f>
        <v>16123.995600000002</v>
      </c>
      <c r="D90" s="136" t="s">
        <v>243</v>
      </c>
      <c r="E90" s="124">
        <v>45671</v>
      </c>
      <c r="F90" s="208">
        <f>SUM(ENERO!V106:AZ106)</f>
        <v>16124</v>
      </c>
      <c r="G90" s="208">
        <f>C90-F90</f>
        <v>-4.3999999979860149E-3</v>
      </c>
      <c r="H90" s="360" t="s">
        <v>1943</v>
      </c>
    </row>
    <row r="91" spans="1:9" x14ac:dyDescent="0.35">
      <c r="A91" s="142" t="s">
        <v>70</v>
      </c>
      <c r="B91" s="110" t="s">
        <v>164</v>
      </c>
      <c r="C91" s="117">
        <f>ENERO!G107+ENERO!S107+ENERO!T107</f>
        <v>406</v>
      </c>
      <c r="D91" s="136" t="s">
        <v>243</v>
      </c>
      <c r="E91" s="124">
        <v>45673</v>
      </c>
      <c r="F91" s="208">
        <f>SUM(ENERO!V107:AZ107)</f>
        <v>406</v>
      </c>
      <c r="G91" s="208">
        <f t="shared" ref="G91:G104" si="12">C91-F91</f>
        <v>0</v>
      </c>
      <c r="H91" s="215"/>
    </row>
    <row r="92" spans="1:9" x14ac:dyDescent="0.35">
      <c r="A92" s="142" t="s">
        <v>2008</v>
      </c>
      <c r="B92" s="110" t="s">
        <v>164</v>
      </c>
      <c r="C92" s="117">
        <f>ENERO!G108+ENERO!S108+ENERO!T108</f>
        <v>1160</v>
      </c>
      <c r="D92" s="136" t="s">
        <v>243</v>
      </c>
      <c r="E92" s="124">
        <v>45680</v>
      </c>
      <c r="F92" s="208">
        <f>SUM(ENERO!V108:AZ108)</f>
        <v>1160</v>
      </c>
      <c r="G92" s="208">
        <f t="shared" si="12"/>
        <v>0</v>
      </c>
      <c r="H92" s="360"/>
      <c r="I92" s="211" t="s">
        <v>617</v>
      </c>
    </row>
    <row r="93" spans="1:9" x14ac:dyDescent="0.35">
      <c r="A93" s="142" t="s">
        <v>2009</v>
      </c>
      <c r="B93" s="110" t="s">
        <v>164</v>
      </c>
      <c r="C93" s="117">
        <f>ENERO!G109+ENERO!S109+ENERO!T109</f>
        <v>9773.3839999999727</v>
      </c>
      <c r="D93" s="136" t="s">
        <v>243</v>
      </c>
      <c r="E93" s="124">
        <v>45677</v>
      </c>
      <c r="F93" s="208">
        <f>SUM(ENERO!V109:AZ109)</f>
        <v>9773.41</v>
      </c>
      <c r="G93" s="208">
        <f t="shared" si="12"/>
        <v>-2.600000002712477E-2</v>
      </c>
      <c r="H93" s="361" t="s">
        <v>1798</v>
      </c>
    </row>
    <row r="94" spans="1:9" x14ac:dyDescent="0.35">
      <c r="A94" s="142" t="s">
        <v>78</v>
      </c>
      <c r="B94" s="110" t="s">
        <v>164</v>
      </c>
      <c r="C94" s="117">
        <f>ENERO!G110+ENERO!S110+ENERO!T110</f>
        <v>346.84</v>
      </c>
      <c r="D94" s="132" t="s">
        <v>456</v>
      </c>
      <c r="E94" s="124">
        <v>45687</v>
      </c>
      <c r="F94" s="208">
        <f>SUM(ENERO!V110:AZ110)</f>
        <v>0</v>
      </c>
      <c r="G94" s="208">
        <f t="shared" si="12"/>
        <v>346.84</v>
      </c>
      <c r="H94" s="215" t="s">
        <v>2054</v>
      </c>
    </row>
    <row r="95" spans="1:9" x14ac:dyDescent="0.35">
      <c r="A95" s="142" t="s">
        <v>2010</v>
      </c>
      <c r="B95" s="110" t="s">
        <v>164</v>
      </c>
      <c r="C95" s="117">
        <f>ENERO!G111+ENERO!S111+ENERO!T111</f>
        <v>765.60000000000093</v>
      </c>
      <c r="D95" s="136" t="s">
        <v>243</v>
      </c>
      <c r="E95" s="124">
        <v>45673</v>
      </c>
      <c r="F95" s="208">
        <f>SUM(ENERO!V111:AZ111)</f>
        <v>765.6</v>
      </c>
      <c r="G95" s="208">
        <f t="shared" si="12"/>
        <v>9.0949470177292824E-13</v>
      </c>
      <c r="H95" s="365"/>
    </row>
    <row r="96" spans="1:9" x14ac:dyDescent="0.35">
      <c r="A96" s="142" t="s">
        <v>2011</v>
      </c>
      <c r="B96" s="110" t="s">
        <v>164</v>
      </c>
      <c r="C96" s="117">
        <f>ENERO!G112+ENERO!S112+ENERO!T112</f>
        <v>939.59999999999809</v>
      </c>
      <c r="D96" s="136" t="s">
        <v>243</v>
      </c>
      <c r="E96" s="124">
        <v>45670</v>
      </c>
      <c r="F96" s="208">
        <f>SUM(ENERO!V112:AZ112)</f>
        <v>939</v>
      </c>
      <c r="G96" s="208">
        <f t="shared" si="12"/>
        <v>0.59999999999809006</v>
      </c>
      <c r="H96" s="362"/>
    </row>
    <row r="97" spans="1:9" x14ac:dyDescent="0.35">
      <c r="A97" s="142" t="s">
        <v>1781</v>
      </c>
      <c r="B97" s="110" t="s">
        <v>164</v>
      </c>
      <c r="C97" s="117">
        <f>ENERO!G113+ENERO!S113+ENERO!T113</f>
        <v>10018.526799999996</v>
      </c>
      <c r="D97" s="136" t="s">
        <v>243</v>
      </c>
      <c r="E97" s="124">
        <v>45685</v>
      </c>
      <c r="F97" s="208">
        <f>SUM(ENERO!V113:AZ113)</f>
        <v>12164.53</v>
      </c>
      <c r="G97" s="208">
        <f t="shared" si="12"/>
        <v>-2146.0032000000047</v>
      </c>
      <c r="H97" s="360" t="s">
        <v>1782</v>
      </c>
    </row>
    <row r="98" spans="1:9" x14ac:dyDescent="0.35">
      <c r="A98" s="142" t="s">
        <v>2012</v>
      </c>
      <c r="B98" s="110" t="s">
        <v>164</v>
      </c>
      <c r="C98" s="117">
        <f>ENERO!G114+ENERO!S114+ENERO!T114</f>
        <v>1450</v>
      </c>
      <c r="D98" s="136" t="s">
        <v>243</v>
      </c>
      <c r="E98" s="124">
        <v>45663</v>
      </c>
      <c r="F98" s="208">
        <f>SUM(ENERO!V114:AZ114)</f>
        <v>1450</v>
      </c>
      <c r="G98" s="208">
        <f t="shared" si="12"/>
        <v>0</v>
      </c>
      <c r="H98" s="365"/>
      <c r="I98" s="211" t="s">
        <v>617</v>
      </c>
    </row>
    <row r="99" spans="1:9" x14ac:dyDescent="0.35">
      <c r="A99" s="142" t="s">
        <v>2013</v>
      </c>
      <c r="B99" s="110" t="s">
        <v>164</v>
      </c>
      <c r="C99" s="117">
        <f>ENERO!G115+ENERO!S115+ENERO!T115</f>
        <v>7990.0799999999981</v>
      </c>
      <c r="D99" s="136" t="s">
        <v>243</v>
      </c>
      <c r="E99" s="124">
        <v>45671</v>
      </c>
      <c r="F99" s="208">
        <f>SUM(ENERO!V115:AZ115)</f>
        <v>7990.08</v>
      </c>
      <c r="G99" s="208">
        <f t="shared" si="12"/>
        <v>0</v>
      </c>
      <c r="H99" s="361" t="s">
        <v>1947</v>
      </c>
    </row>
    <row r="100" spans="1:9" x14ac:dyDescent="0.35">
      <c r="A100" s="142" t="s">
        <v>1478</v>
      </c>
      <c r="B100" s="157" t="s">
        <v>164</v>
      </c>
      <c r="C100" s="342">
        <f>ENERO!G116+ENERO!S116+ENERO!T116</f>
        <v>14268</v>
      </c>
      <c r="D100" s="136" t="s">
        <v>243</v>
      </c>
      <c r="E100" s="124">
        <v>45672</v>
      </c>
      <c r="F100" s="208">
        <f>SUM(ENERO!V116:AZ116)</f>
        <v>14268</v>
      </c>
      <c r="G100" s="208">
        <f t="shared" si="12"/>
        <v>0</v>
      </c>
      <c r="H100" s="360" t="s">
        <v>1955</v>
      </c>
    </row>
    <row r="101" spans="1:9" x14ac:dyDescent="0.35">
      <c r="A101" s="142" t="s">
        <v>299</v>
      </c>
      <c r="B101" s="110" t="s">
        <v>164</v>
      </c>
      <c r="C101" s="117">
        <f>ENERO!G117+ENERO!S117+ENERO!T117</f>
        <v>2303.7600000000002</v>
      </c>
      <c r="D101" s="136" t="s">
        <v>243</v>
      </c>
      <c r="E101" s="124">
        <v>45685</v>
      </c>
      <c r="F101" s="208">
        <f>SUM(ENERO!V117:AZ117)</f>
        <v>2303.7600000000002</v>
      </c>
      <c r="G101" s="208">
        <f t="shared" ref="G101" si="13">C101-F101</f>
        <v>0</v>
      </c>
      <c r="H101" s="360" t="s">
        <v>1952</v>
      </c>
    </row>
    <row r="102" spans="1:9" x14ac:dyDescent="0.35">
      <c r="A102" s="142" t="s">
        <v>1680</v>
      </c>
      <c r="B102" s="110" t="s">
        <v>164</v>
      </c>
      <c r="C102" s="117">
        <f>ENERO!G118+ENERO!S118+ENERO!T118</f>
        <v>5146.92</v>
      </c>
      <c r="D102" s="136" t="s">
        <v>243</v>
      </c>
      <c r="E102" s="124">
        <v>45665</v>
      </c>
      <c r="F102" s="208">
        <f>SUM(ENERO!V118:AZ118)</f>
        <v>5146.92</v>
      </c>
      <c r="G102" s="208">
        <f t="shared" si="12"/>
        <v>0</v>
      </c>
      <c r="H102" s="360"/>
    </row>
    <row r="103" spans="1:9" x14ac:dyDescent="0.35">
      <c r="A103" s="142" t="s">
        <v>2014</v>
      </c>
      <c r="B103" s="157" t="s">
        <v>164</v>
      </c>
      <c r="C103" s="342">
        <f>ENERO!G119+ENERO!S119+ENERO!T119-ENERO!U119</f>
        <v>21339.360000000001</v>
      </c>
      <c r="D103" s="136" t="s">
        <v>243</v>
      </c>
      <c r="E103" s="124">
        <v>45667</v>
      </c>
      <c r="F103" s="208">
        <f>SUM(ENERO!V119:AZ119)</f>
        <v>21339.360000000001</v>
      </c>
      <c r="G103" s="208">
        <f t="shared" ref="G103" si="14">C103-F103</f>
        <v>0</v>
      </c>
      <c r="H103" s="215" t="s">
        <v>1902</v>
      </c>
    </row>
    <row r="104" spans="1:9" x14ac:dyDescent="0.35">
      <c r="A104" s="142" t="s">
        <v>766</v>
      </c>
      <c r="B104" s="110" t="s">
        <v>164</v>
      </c>
      <c r="C104" s="117">
        <f>ENERO!G120+ENERO!S120+ENERO!T120</f>
        <v>9221.3511999999973</v>
      </c>
      <c r="D104" s="136" t="s">
        <v>243</v>
      </c>
      <c r="E104" s="124">
        <v>45674</v>
      </c>
      <c r="F104" s="208">
        <f>SUM(ENERO!V120:AZ120)</f>
        <v>9221.35</v>
      </c>
      <c r="G104" s="208">
        <f t="shared" si="12"/>
        <v>1.1999999969702912E-3</v>
      </c>
      <c r="H104" s="360" t="s">
        <v>2002</v>
      </c>
    </row>
    <row r="105" spans="1:9" x14ac:dyDescent="0.35">
      <c r="A105" s="142" t="s">
        <v>659</v>
      </c>
      <c r="B105" s="110" t="s">
        <v>164</v>
      </c>
      <c r="C105" s="117">
        <f>ENERO!G121+ENERO!S121+ENERO!T121</f>
        <v>1740</v>
      </c>
      <c r="D105" s="136" t="s">
        <v>243</v>
      </c>
      <c r="E105" s="124">
        <v>45671</v>
      </c>
      <c r="F105" s="208">
        <f>SUM(ENERO!V121:AZ121)</f>
        <v>1740</v>
      </c>
      <c r="G105" s="208">
        <f>C105-F105</f>
        <v>0</v>
      </c>
      <c r="H105" s="360"/>
    </row>
    <row r="106" spans="1:9" ht="15.5" x14ac:dyDescent="0.35">
      <c r="A106" s="155" t="s">
        <v>1718</v>
      </c>
      <c r="B106" s="196">
        <v>104</v>
      </c>
      <c r="C106" s="197">
        <f>SUM(C2:C105)</f>
        <v>466479.01879999996</v>
      </c>
      <c r="D106" s="196"/>
      <c r="E106" s="196"/>
      <c r="F106" s="209">
        <f>SUM(F2:F105)</f>
        <v>436359.11999999994</v>
      </c>
      <c r="G106" s="209">
        <f>SUM(G2:G105)</f>
        <v>30119.898800000003</v>
      </c>
      <c r="H106" s="206"/>
    </row>
    <row r="107" spans="1:9" x14ac:dyDescent="0.35">
      <c r="A107" s="142" t="s">
        <v>1756</v>
      </c>
      <c r="B107" s="110" t="s">
        <v>290</v>
      </c>
      <c r="C107" s="117">
        <f>FEBRERO!H18+FEBRERO!S18+FEBRERO!T18</f>
        <v>870</v>
      </c>
      <c r="D107" s="132" t="s">
        <v>2078</v>
      </c>
      <c r="E107" s="124"/>
      <c r="F107" s="208">
        <f>SUM(FEBRERO!V18:AW18)</f>
        <v>0</v>
      </c>
      <c r="G107" s="208">
        <f>C107-F107</f>
        <v>870</v>
      </c>
      <c r="H107" s="203"/>
    </row>
    <row r="108" spans="1:9" x14ac:dyDescent="0.35">
      <c r="A108" s="142" t="s">
        <v>1757</v>
      </c>
      <c r="B108" s="110" t="s">
        <v>290</v>
      </c>
      <c r="C108" s="117">
        <f>FEBRERO!H19+FEBRERO!S19+FEBRERO!T19</f>
        <v>6263.6047999999973</v>
      </c>
      <c r="D108" s="136" t="s">
        <v>243</v>
      </c>
      <c r="E108" s="124">
        <v>45695</v>
      </c>
      <c r="F108" s="208">
        <f>SUM(FEBRERO!V19:AW19)</f>
        <v>6263.6</v>
      </c>
      <c r="G108" s="208">
        <f>C108-F108</f>
        <v>4.799999996976112E-3</v>
      </c>
      <c r="H108" s="388"/>
    </row>
    <row r="109" spans="1:9" x14ac:dyDescent="0.35">
      <c r="A109" s="357" t="s">
        <v>1758</v>
      </c>
      <c r="B109" s="110" t="s">
        <v>290</v>
      </c>
      <c r="C109" s="117">
        <f>FEBRERO!H20+FEBRERO!S20+FEBRERO!T20</f>
        <v>1624.0027999999993</v>
      </c>
      <c r="D109" s="136" t="s">
        <v>243</v>
      </c>
      <c r="E109" s="124">
        <v>45693</v>
      </c>
      <c r="F109" s="208">
        <f>SUM(FEBRERO!V20:AW20)</f>
        <v>1624</v>
      </c>
      <c r="G109" s="208">
        <f>C109-F109</f>
        <v>2.7999999992971425E-3</v>
      </c>
      <c r="H109" s="387"/>
    </row>
    <row r="110" spans="1:9" x14ac:dyDescent="0.35">
      <c r="A110" s="142" t="s">
        <v>375</v>
      </c>
      <c r="B110" s="110" t="s">
        <v>290</v>
      </c>
      <c r="C110" s="117">
        <f>FEBRERO!H21+FEBRERO!S21+FEBRERO!T21</f>
        <v>1040.5168000000065</v>
      </c>
      <c r="D110" s="136" t="s">
        <v>243</v>
      </c>
      <c r="E110" s="124">
        <v>45706</v>
      </c>
      <c r="F110" s="208">
        <f>SUM(FEBRERO!V21:AW21)</f>
        <v>1040.52</v>
      </c>
      <c r="G110" s="208">
        <f>C110-F110</f>
        <v>-3.1999999935123924E-3</v>
      </c>
      <c r="H110" s="203"/>
    </row>
    <row r="111" spans="1:9" x14ac:dyDescent="0.35">
      <c r="A111" s="142" t="s">
        <v>750</v>
      </c>
      <c r="B111" s="110" t="s">
        <v>290</v>
      </c>
      <c r="C111" s="117">
        <f>FEBRERO!H22+FEBRERO!S22+FEBRERO!T22</f>
        <v>3131.6047999999973</v>
      </c>
      <c r="D111" s="136" t="s">
        <v>243</v>
      </c>
      <c r="E111" s="124">
        <v>45695</v>
      </c>
      <c r="F111" s="208">
        <f>SUM(FEBRERO!V22:AW22)</f>
        <v>3131.6</v>
      </c>
      <c r="G111" s="208">
        <f>C111-F111</f>
        <v>4.7999999974308594E-3</v>
      </c>
      <c r="H111" s="203"/>
    </row>
    <row r="112" spans="1:9" x14ac:dyDescent="0.35">
      <c r="A112" s="142" t="s">
        <v>1723</v>
      </c>
      <c r="B112" s="110" t="s">
        <v>290</v>
      </c>
      <c r="C112" s="117">
        <f>FEBRERO!H23+FEBRERO!S23+FEBRERO!T23</f>
        <v>1044</v>
      </c>
      <c r="D112" s="136" t="s">
        <v>243</v>
      </c>
      <c r="E112" s="124">
        <v>45714</v>
      </c>
      <c r="F112" s="208">
        <f>SUM(FEBRERO!V23:AW23)</f>
        <v>1044</v>
      </c>
      <c r="G112" s="208">
        <f t="shared" ref="G112:G120" si="15">C112-F112</f>
        <v>0</v>
      </c>
      <c r="H112" s="203" t="s">
        <v>1589</v>
      </c>
    </row>
    <row r="113" spans="1:9" x14ac:dyDescent="0.35">
      <c r="A113" s="142" t="s">
        <v>779</v>
      </c>
      <c r="B113" s="110" t="s">
        <v>290</v>
      </c>
      <c r="C113" s="117">
        <f>FEBRERO!H24+FEBRERO!S24+FEBRERO!T24</f>
        <v>290</v>
      </c>
      <c r="D113" s="136" t="s">
        <v>243</v>
      </c>
      <c r="E113" s="124">
        <v>45692</v>
      </c>
      <c r="F113" s="208">
        <f>SUM(FEBRERO!V24:AW24)</f>
        <v>290</v>
      </c>
      <c r="G113" s="208">
        <f t="shared" si="15"/>
        <v>0</v>
      </c>
      <c r="H113" s="203"/>
    </row>
    <row r="114" spans="1:9" x14ac:dyDescent="0.35">
      <c r="A114" s="142" t="s">
        <v>1724</v>
      </c>
      <c r="B114" s="110" t="s">
        <v>290</v>
      </c>
      <c r="C114" s="117">
        <f>FEBRERO!H25+FEBRERO!S25+FEBRERO!T25</f>
        <v>1450.0067999999992</v>
      </c>
      <c r="D114" s="136" t="s">
        <v>243</v>
      </c>
      <c r="E114" s="124">
        <v>45695</v>
      </c>
      <c r="F114" s="208">
        <f>SUM(FEBRERO!V25:AW25)</f>
        <v>1450.01</v>
      </c>
      <c r="G114" s="208">
        <f t="shared" si="15"/>
        <v>-3.20000000078835E-3</v>
      </c>
      <c r="H114" s="203"/>
    </row>
    <row r="115" spans="1:9" x14ac:dyDescent="0.35">
      <c r="A115" s="91" t="s">
        <v>1578</v>
      </c>
      <c r="B115" s="110" t="s">
        <v>290</v>
      </c>
      <c r="C115" s="117">
        <f>FEBRERO!H26+FEBRERO!S26+FEBRERO!T26</f>
        <v>396</v>
      </c>
      <c r="D115" s="136" t="s">
        <v>243</v>
      </c>
      <c r="E115" s="124">
        <v>45693</v>
      </c>
      <c r="F115" s="208">
        <f>SUM(FEBRERO!V26:AW26)</f>
        <v>396</v>
      </c>
      <c r="G115" s="208">
        <f t="shared" ref="G115" si="16">C115-F115</f>
        <v>0</v>
      </c>
      <c r="H115" s="203" t="s">
        <v>2195</v>
      </c>
    </row>
    <row r="116" spans="1:9" x14ac:dyDescent="0.35">
      <c r="A116" s="142" t="s">
        <v>783</v>
      </c>
      <c r="B116" s="110" t="s">
        <v>290</v>
      </c>
      <c r="C116" s="117">
        <f>FEBRERO!H27+FEBRERO!S27+FEBRERO!T27</f>
        <v>1618.2039999999986</v>
      </c>
      <c r="D116" s="136" t="s">
        <v>243</v>
      </c>
      <c r="E116" s="124">
        <v>45693</v>
      </c>
      <c r="F116" s="208">
        <f>SUM(FEBRERO!V27:AW27)</f>
        <v>1618.2</v>
      </c>
      <c r="G116" s="208">
        <f t="shared" si="15"/>
        <v>3.9999999985411705E-3</v>
      </c>
      <c r="H116" s="203"/>
    </row>
    <row r="117" spans="1:9" x14ac:dyDescent="0.35">
      <c r="A117" s="142" t="s">
        <v>1759</v>
      </c>
      <c r="B117" s="110" t="s">
        <v>290</v>
      </c>
      <c r="C117" s="117">
        <f>FEBRERO!H28+FEBRERO!S28+FEBRERO!T28</f>
        <v>1624.0028000000002</v>
      </c>
      <c r="D117" s="136" t="s">
        <v>243</v>
      </c>
      <c r="E117" s="124">
        <v>45693</v>
      </c>
      <c r="F117" s="208">
        <f>SUM(FEBRERO!V28:AW28)</f>
        <v>1624</v>
      </c>
      <c r="G117" s="208">
        <f t="shared" si="15"/>
        <v>2.8000000002066372E-3</v>
      </c>
      <c r="H117" s="386"/>
    </row>
    <row r="118" spans="1:9" x14ac:dyDescent="0.35">
      <c r="A118" s="142" t="s">
        <v>1725</v>
      </c>
      <c r="B118" s="110" t="s">
        <v>290</v>
      </c>
      <c r="C118" s="117">
        <f>FEBRERO!H29+FEBRERO!S29+FEBRERO!T29</f>
        <v>1392</v>
      </c>
      <c r="D118" s="136" t="s">
        <v>243</v>
      </c>
      <c r="E118" s="124">
        <v>45695</v>
      </c>
      <c r="F118" s="208">
        <f>SUM(FEBRERO!V29:AW29)</f>
        <v>1392</v>
      </c>
      <c r="G118" s="208">
        <f t="shared" si="15"/>
        <v>0</v>
      </c>
      <c r="H118" s="203"/>
    </row>
    <row r="119" spans="1:9" x14ac:dyDescent="0.35">
      <c r="A119" s="142" t="s">
        <v>1352</v>
      </c>
      <c r="B119" s="110" t="s">
        <v>290</v>
      </c>
      <c r="C119" s="117">
        <f>FEBRERO!H30+FEBRERO!S30+FEBRERO!T30</f>
        <v>0</v>
      </c>
      <c r="D119" s="136" t="s">
        <v>243</v>
      </c>
      <c r="E119" s="124">
        <v>45635</v>
      </c>
      <c r="F119" s="208">
        <f>SUM(FEBRERO!V30:AW30)</f>
        <v>0</v>
      </c>
      <c r="G119" s="208">
        <f t="shared" si="15"/>
        <v>0</v>
      </c>
      <c r="H119" s="203" t="s">
        <v>1673</v>
      </c>
    </row>
    <row r="120" spans="1:9" x14ac:dyDescent="0.35">
      <c r="A120" s="142" t="s">
        <v>1726</v>
      </c>
      <c r="B120" s="110" t="s">
        <v>290</v>
      </c>
      <c r="C120" s="117">
        <f>FEBRERO!H31+FEBRERO!S31+FEBRERO!T31</f>
        <v>1902</v>
      </c>
      <c r="D120" s="136" t="s">
        <v>243</v>
      </c>
      <c r="E120" s="124">
        <v>45708</v>
      </c>
      <c r="F120" s="208">
        <f>SUM(FEBRERO!V31:AW31)</f>
        <v>2030</v>
      </c>
      <c r="G120" s="208">
        <f t="shared" si="15"/>
        <v>-128</v>
      </c>
      <c r="H120" s="389"/>
    </row>
    <row r="121" spans="1:9" x14ac:dyDescent="0.35">
      <c r="A121" s="142" t="s">
        <v>1727</v>
      </c>
      <c r="B121" s="110" t="s">
        <v>290</v>
      </c>
      <c r="C121" s="117">
        <f>FEBRERO!H32+FEBRERO!S32+FEBRERO!T32</f>
        <v>1508.0011999999997</v>
      </c>
      <c r="D121" s="136" t="s">
        <v>243</v>
      </c>
      <c r="E121" s="124">
        <v>45692</v>
      </c>
      <c r="F121" s="208">
        <f>SUM(FEBRERO!V32:AW32)</f>
        <v>1508</v>
      </c>
      <c r="G121" s="208">
        <f>C121-F121</f>
        <v>1.1999999996987754E-3</v>
      </c>
      <c r="H121" s="387"/>
    </row>
    <row r="122" spans="1:9" x14ac:dyDescent="0.35">
      <c r="A122" s="142" t="s">
        <v>1632</v>
      </c>
      <c r="B122" s="110" t="s">
        <v>290</v>
      </c>
      <c r="C122" s="117">
        <f>FEBRERO!H33+FEBRERO!S33+FEBRERO!T33</f>
        <v>1941.836</v>
      </c>
      <c r="D122" s="136" t="s">
        <v>243</v>
      </c>
      <c r="E122" s="124">
        <v>45695</v>
      </c>
      <c r="F122" s="208">
        <f>SUM(FEBRERO!V33:AW33)</f>
        <v>1941.84</v>
      </c>
      <c r="G122" s="208">
        <f>C122-F122</f>
        <v>-3.9999999999054126E-3</v>
      </c>
      <c r="H122" s="203"/>
      <c r="I122" s="340" t="s">
        <v>931</v>
      </c>
    </row>
    <row r="123" spans="1:9" x14ac:dyDescent="0.35">
      <c r="A123" s="142" t="s">
        <v>1728</v>
      </c>
      <c r="B123" s="110" t="s">
        <v>290</v>
      </c>
      <c r="C123" s="117">
        <f>FEBRERO!H34+FEBRERO!S34+FEBRERO!T34</f>
        <v>2598.4</v>
      </c>
      <c r="D123" s="132" t="s">
        <v>2078</v>
      </c>
      <c r="E123" s="124"/>
      <c r="F123" s="208">
        <f>SUM(FEBRERO!V34:AW34)</f>
        <v>0</v>
      </c>
      <c r="G123" s="208">
        <f>C123-F123</f>
        <v>2598.4</v>
      </c>
      <c r="H123" s="203" t="s">
        <v>456</v>
      </c>
    </row>
    <row r="124" spans="1:9" ht="52" x14ac:dyDescent="0.35">
      <c r="A124" s="142" t="s">
        <v>1760</v>
      </c>
      <c r="B124" s="110" t="s">
        <v>290</v>
      </c>
      <c r="C124" s="117">
        <f>FEBRERO!H35+FEBRERO!S35+FEBRERO!T35</f>
        <v>0</v>
      </c>
      <c r="D124" s="136" t="s">
        <v>243</v>
      </c>
      <c r="E124" s="124">
        <v>45560</v>
      </c>
      <c r="F124" s="208">
        <f>SUM(FEBRERO!V35:AW35)</f>
        <v>0</v>
      </c>
      <c r="G124" s="208">
        <f>C124-F124</f>
        <v>0</v>
      </c>
      <c r="H124" s="388" t="s">
        <v>2001</v>
      </c>
    </row>
    <row r="125" spans="1:9" x14ac:dyDescent="0.35">
      <c r="A125" s="142" t="s">
        <v>1274</v>
      </c>
      <c r="B125" s="110" t="s">
        <v>290</v>
      </c>
      <c r="C125" s="117">
        <f>FEBRERO!H36+FEBRERO!S36+FEBRERO!T36</f>
        <v>290</v>
      </c>
      <c r="D125" s="136" t="s">
        <v>243</v>
      </c>
      <c r="E125" s="124">
        <v>45696</v>
      </c>
      <c r="F125" s="208">
        <f>SUM(FEBRERO!V36:AW36)</f>
        <v>290</v>
      </c>
      <c r="G125" s="208">
        <f t="shared" ref="G125:G130" si="17">C125-F125</f>
        <v>0</v>
      </c>
      <c r="H125" s="203"/>
    </row>
    <row r="126" spans="1:9" x14ac:dyDescent="0.35">
      <c r="A126" s="142" t="s">
        <v>654</v>
      </c>
      <c r="B126" s="110" t="s">
        <v>290</v>
      </c>
      <c r="C126" s="117">
        <f>FEBRERO!H37+FEBRERO!S37+FEBRERO!T37</f>
        <v>483.32560000000001</v>
      </c>
      <c r="D126" s="136" t="s">
        <v>243</v>
      </c>
      <c r="E126" s="124">
        <v>45701</v>
      </c>
      <c r="F126" s="208">
        <f>SUM(FEBRERO!V37:AW37)</f>
        <v>483.33</v>
      </c>
      <c r="G126" s="208">
        <f t="shared" si="17"/>
        <v>-4.3999999999755346E-3</v>
      </c>
      <c r="H126" s="203" t="s">
        <v>2047</v>
      </c>
    </row>
    <row r="127" spans="1:9" x14ac:dyDescent="0.35">
      <c r="A127" s="142" t="s">
        <v>1761</v>
      </c>
      <c r="B127" s="110" t="s">
        <v>290</v>
      </c>
      <c r="C127" s="117">
        <f>FEBRERO!H38+FEBRERO!S38+FEBRERO!T38</f>
        <v>2088.0075999999995</v>
      </c>
      <c r="D127" s="136" t="s">
        <v>243</v>
      </c>
      <c r="E127" s="124">
        <v>45694</v>
      </c>
      <c r="F127" s="208">
        <f>SUM(FEBRERO!V38:AW38)</f>
        <v>2842</v>
      </c>
      <c r="G127" s="208">
        <f t="shared" si="17"/>
        <v>-753.99240000000054</v>
      </c>
      <c r="H127" s="386"/>
    </row>
    <row r="128" spans="1:9" x14ac:dyDescent="0.35">
      <c r="A128" s="142" t="s">
        <v>1730</v>
      </c>
      <c r="B128" s="110" t="s">
        <v>290</v>
      </c>
      <c r="C128" s="117">
        <f>FEBRERO!H39+FEBRERO!S39+FEBRERO!T39</f>
        <v>1155.360000000001</v>
      </c>
      <c r="D128" s="136" t="s">
        <v>243</v>
      </c>
      <c r="E128" s="124">
        <v>45702</v>
      </c>
      <c r="F128" s="208">
        <f>SUM(FEBRERO!V39:AW39)</f>
        <v>1155.3599999999999</v>
      </c>
      <c r="G128" s="208">
        <f t="shared" si="17"/>
        <v>0</v>
      </c>
      <c r="H128" s="203"/>
    </row>
    <row r="129" spans="1:9" x14ac:dyDescent="0.35">
      <c r="A129" s="142" t="s">
        <v>1446</v>
      </c>
      <c r="B129" s="110" t="s">
        <v>290</v>
      </c>
      <c r="C129" s="117">
        <f>FEBRERO!H40+FEBRERO!S40+FEBRERO!T40</f>
        <v>696</v>
      </c>
      <c r="D129" s="136" t="s">
        <v>243</v>
      </c>
      <c r="E129" s="124">
        <v>45695</v>
      </c>
      <c r="F129" s="208">
        <f>SUM(FEBRERO!V40:AW40)</f>
        <v>696</v>
      </c>
      <c r="G129" s="208">
        <f t="shared" si="17"/>
        <v>0</v>
      </c>
      <c r="H129" s="203" t="s">
        <v>1588</v>
      </c>
    </row>
    <row r="130" spans="1:9" x14ac:dyDescent="0.35">
      <c r="A130" s="142" t="s">
        <v>960</v>
      </c>
      <c r="B130" s="110" t="s">
        <v>290</v>
      </c>
      <c r="C130" s="117">
        <f>FEBRERO!H41+FEBRERO!S41+FEBRERO!T41</f>
        <v>33555.417999999976</v>
      </c>
      <c r="D130" s="149" t="s">
        <v>1911</v>
      </c>
      <c r="E130" s="124">
        <v>45706</v>
      </c>
      <c r="F130" s="208">
        <f>SUM(FEBRERO!V41:AW41)</f>
        <v>30335.39</v>
      </c>
      <c r="G130" s="208">
        <f t="shared" si="17"/>
        <v>3220.0279999999766</v>
      </c>
      <c r="H130" s="203"/>
      <c r="I130" s="252"/>
    </row>
    <row r="131" spans="1:9" x14ac:dyDescent="0.35">
      <c r="A131" s="142" t="s">
        <v>1453</v>
      </c>
      <c r="B131" s="110" t="s">
        <v>290</v>
      </c>
      <c r="C131" s="117">
        <f>FEBRERO!H42+FEBRERO!S42+FEBRERO!T42</f>
        <v>348</v>
      </c>
      <c r="D131" s="136" t="s">
        <v>243</v>
      </c>
      <c r="E131" s="124">
        <v>45698</v>
      </c>
      <c r="F131" s="208">
        <f>SUM(FEBRERO!V42:AW42)</f>
        <v>348</v>
      </c>
      <c r="G131" s="208">
        <f>C131-F131</f>
        <v>0</v>
      </c>
      <c r="H131" s="203"/>
      <c r="I131" s="252"/>
    </row>
    <row r="132" spans="1:9" x14ac:dyDescent="0.35">
      <c r="A132" s="142" t="s">
        <v>428</v>
      </c>
      <c r="B132" s="110" t="s">
        <v>290</v>
      </c>
      <c r="C132" s="117">
        <f>FEBRERO!H43+FEBRERO!S43+FEBRERO!T43</f>
        <v>8085.1956000000009</v>
      </c>
      <c r="D132" s="132" t="s">
        <v>2078</v>
      </c>
      <c r="E132" s="124"/>
      <c r="F132" s="208">
        <f>SUM(FEBRERO!V43:AW43)</f>
        <v>0</v>
      </c>
      <c r="G132" s="208">
        <f t="shared" ref="G132" si="18">C132-F132</f>
        <v>8085.1956000000009</v>
      </c>
      <c r="H132" s="203"/>
      <c r="I132" s="252"/>
    </row>
    <row r="133" spans="1:9" x14ac:dyDescent="0.35">
      <c r="A133" s="142" t="s">
        <v>1685</v>
      </c>
      <c r="B133" s="110" t="s">
        <v>290</v>
      </c>
      <c r="C133" s="117">
        <f>FEBRERO!H44+FEBRERO!S44+FEBRERO!T44</f>
        <v>6920.5496000000003</v>
      </c>
      <c r="D133" s="136" t="s">
        <v>243</v>
      </c>
      <c r="E133" s="124">
        <v>45695</v>
      </c>
      <c r="F133" s="208">
        <f>SUM(FEBRERO!V44:AW44)</f>
        <v>6920.55</v>
      </c>
      <c r="G133" s="208">
        <f>C133-F133</f>
        <v>-3.9999999989959178E-4</v>
      </c>
      <c r="H133" s="203" t="s">
        <v>2034</v>
      </c>
      <c r="I133" s="252"/>
    </row>
    <row r="134" spans="1:9" x14ac:dyDescent="0.35">
      <c r="A134" s="142" t="s">
        <v>1493</v>
      </c>
      <c r="B134" s="110" t="s">
        <v>290</v>
      </c>
      <c r="C134" s="117">
        <f>FEBRERO!H45+FEBRERO!S45+FEBRERO!T45</f>
        <v>8487.9520000000011</v>
      </c>
      <c r="D134" s="136" t="s">
        <v>243</v>
      </c>
      <c r="E134" s="124">
        <v>45695</v>
      </c>
      <c r="F134" s="208">
        <f>SUM(FEBRERO!V45:AW45)</f>
        <v>8487.9500000000007</v>
      </c>
      <c r="G134" s="208">
        <f t="shared" ref="G134" si="19">C134-F134</f>
        <v>2.0000000004074536E-3</v>
      </c>
      <c r="H134" s="203" t="s">
        <v>2036</v>
      </c>
    </row>
    <row r="135" spans="1:9" ht="26" x14ac:dyDescent="0.35">
      <c r="A135" s="142" t="s">
        <v>1936</v>
      </c>
      <c r="B135" s="110" t="s">
        <v>290</v>
      </c>
      <c r="C135" s="117">
        <f>FEBRERO!H46+FEBRERO!S46+FEBRERO!T46</f>
        <v>10985.663999999999</v>
      </c>
      <c r="D135" s="149" t="s">
        <v>1911</v>
      </c>
      <c r="E135" s="124">
        <v>45689</v>
      </c>
      <c r="F135" s="208">
        <f>SUM(FEBRERO!V46:AW46)</f>
        <v>9604.7999999999993</v>
      </c>
      <c r="G135" s="208">
        <f>C135-F135</f>
        <v>1380.8639999999996</v>
      </c>
      <c r="H135" s="203" t="s">
        <v>2206</v>
      </c>
    </row>
    <row r="136" spans="1:9" x14ac:dyDescent="0.35">
      <c r="A136" s="142" t="s">
        <v>655</v>
      </c>
      <c r="B136" s="110" t="s">
        <v>290</v>
      </c>
      <c r="C136" s="117">
        <f>FEBRERO!H47+FEBRERO!S47+FEBRERO!T47</f>
        <v>4059.999600000001</v>
      </c>
      <c r="D136" s="136" t="s">
        <v>243</v>
      </c>
      <c r="E136" s="124">
        <v>45698</v>
      </c>
      <c r="F136" s="208">
        <f>SUM(FEBRERO!V47:AW47)</f>
        <v>4060</v>
      </c>
      <c r="G136" s="208">
        <f>C136-F136</f>
        <v>-3.9999999899009708E-4</v>
      </c>
      <c r="H136" s="386"/>
    </row>
    <row r="137" spans="1:9" x14ac:dyDescent="0.35">
      <c r="A137" s="142" t="s">
        <v>1768</v>
      </c>
      <c r="B137" s="110" t="s">
        <v>290</v>
      </c>
      <c r="C137" s="117">
        <f>FEBRERO!H48+FEBRERO!S48+FEBRERO!T48</f>
        <v>348</v>
      </c>
      <c r="D137" s="136" t="s">
        <v>243</v>
      </c>
      <c r="E137" s="124">
        <v>45695</v>
      </c>
      <c r="F137" s="208">
        <f>SUM(FEBRERO!V48:AW48)</f>
        <v>348</v>
      </c>
      <c r="G137" s="208">
        <f t="shared" ref="G137:G146" si="20">C137-F137</f>
        <v>0</v>
      </c>
      <c r="H137" s="203"/>
    </row>
    <row r="138" spans="1:9" x14ac:dyDescent="0.35">
      <c r="A138" s="142" t="s">
        <v>1769</v>
      </c>
      <c r="B138" s="110" t="s">
        <v>290</v>
      </c>
      <c r="C138" s="117">
        <f>FEBRERO!H49+FEBRERO!S49+FEBRERO!T49</f>
        <v>696</v>
      </c>
      <c r="D138" s="136" t="s">
        <v>243</v>
      </c>
      <c r="E138" s="124">
        <v>45695</v>
      </c>
      <c r="F138" s="208">
        <f>SUM(FEBRERO!V49:AW49)</f>
        <v>696</v>
      </c>
      <c r="G138" s="208">
        <f t="shared" si="20"/>
        <v>0</v>
      </c>
      <c r="H138" s="203"/>
    </row>
    <row r="139" spans="1:9" x14ac:dyDescent="0.35">
      <c r="A139" s="142" t="s">
        <v>1458</v>
      </c>
      <c r="B139" s="110" t="s">
        <v>290</v>
      </c>
      <c r="C139" s="117">
        <f>FEBRERO!H50+FEBRERO!S50+FEBRERO!T50</f>
        <v>1044</v>
      </c>
      <c r="D139" s="136" t="s">
        <v>243</v>
      </c>
      <c r="E139" s="124">
        <v>45695</v>
      </c>
      <c r="F139" s="208">
        <f>SUM(FEBRERO!V50:AW50)</f>
        <v>1044</v>
      </c>
      <c r="G139" s="208">
        <f t="shared" si="20"/>
        <v>0</v>
      </c>
      <c r="H139" s="203"/>
    </row>
    <row r="140" spans="1:9" x14ac:dyDescent="0.35">
      <c r="A140" s="142" t="s">
        <v>1762</v>
      </c>
      <c r="B140" s="110" t="s">
        <v>290</v>
      </c>
      <c r="C140" s="117">
        <f>FEBRERO!H51+FEBRERO!S51+FEBRERO!T51</f>
        <v>1044</v>
      </c>
      <c r="D140" s="136" t="s">
        <v>243</v>
      </c>
      <c r="E140" s="124">
        <v>45698</v>
      </c>
      <c r="F140" s="208">
        <f>SUM(FEBRERO!V51:AW51)</f>
        <v>1044</v>
      </c>
      <c r="G140" s="208">
        <f t="shared" si="20"/>
        <v>0</v>
      </c>
      <c r="H140" s="203"/>
    </row>
    <row r="141" spans="1:9" x14ac:dyDescent="0.35">
      <c r="A141" s="142" t="s">
        <v>780</v>
      </c>
      <c r="B141" s="110" t="s">
        <v>290</v>
      </c>
      <c r="C141" s="117">
        <f>FEBRERO!H52+FEBRERO!S52+FEBRERO!T52</f>
        <v>1392</v>
      </c>
      <c r="D141" s="136" t="s">
        <v>243</v>
      </c>
      <c r="E141" s="124">
        <v>45692</v>
      </c>
      <c r="F141" s="208">
        <f>SUM(FEBRERO!V52:AW52)</f>
        <v>1392</v>
      </c>
      <c r="G141" s="208">
        <f t="shared" si="20"/>
        <v>0</v>
      </c>
      <c r="H141" s="203"/>
    </row>
    <row r="142" spans="1:9" x14ac:dyDescent="0.35">
      <c r="A142" s="142" t="s">
        <v>1731</v>
      </c>
      <c r="B142" s="110" t="s">
        <v>290</v>
      </c>
      <c r="C142" s="117">
        <f>FEBRERO!H53+FEBRERO!S53+FEBRERO!T53</f>
        <v>870.00000000000091</v>
      </c>
      <c r="D142" s="136" t="s">
        <v>243</v>
      </c>
      <c r="E142" s="124">
        <v>45698</v>
      </c>
      <c r="F142" s="208">
        <f>SUM(FEBRERO!V53:AW53)</f>
        <v>870</v>
      </c>
      <c r="G142" s="208">
        <f t="shared" si="20"/>
        <v>9.0949470177292824E-13</v>
      </c>
      <c r="H142" s="203"/>
    </row>
    <row r="143" spans="1:9" x14ac:dyDescent="0.35">
      <c r="A143" s="142" t="s">
        <v>1732</v>
      </c>
      <c r="B143" s="110" t="s">
        <v>290</v>
      </c>
      <c r="C143" s="117">
        <f>FEBRERO!H54+FEBRERO!S54+FEBRERO!T54</f>
        <v>348</v>
      </c>
      <c r="D143" s="136" t="s">
        <v>243</v>
      </c>
      <c r="E143" s="124">
        <v>45698</v>
      </c>
      <c r="F143" s="208">
        <f>SUM(FEBRERO!V54:AW54)</f>
        <v>348</v>
      </c>
      <c r="G143" s="208">
        <f t="shared" si="20"/>
        <v>0</v>
      </c>
      <c r="H143" s="203"/>
    </row>
    <row r="144" spans="1:9" x14ac:dyDescent="0.35">
      <c r="A144" s="142" t="s">
        <v>1734</v>
      </c>
      <c r="B144" s="110" t="s">
        <v>290</v>
      </c>
      <c r="C144" s="117">
        <f>FEBRERO!H55+FEBRERO!S55+FEBRERO!T55</f>
        <v>1619.3632000000059</v>
      </c>
      <c r="D144" s="136" t="s">
        <v>243</v>
      </c>
      <c r="E144" s="124">
        <v>45701</v>
      </c>
      <c r="F144" s="208">
        <f>SUM(FEBRERO!V55:AW55)</f>
        <v>1619.36</v>
      </c>
      <c r="G144" s="208">
        <f t="shared" si="20"/>
        <v>3.2000000060179445E-3</v>
      </c>
      <c r="H144" s="203"/>
    </row>
    <row r="145" spans="1:8" x14ac:dyDescent="0.35">
      <c r="A145" s="142" t="s">
        <v>1415</v>
      </c>
      <c r="B145" s="110" t="s">
        <v>290</v>
      </c>
      <c r="C145" s="117">
        <f>FEBRERO!H56+FEBRERO!S56+FEBRERO!T56</f>
        <v>4406.836400000002</v>
      </c>
      <c r="D145" s="136" t="s">
        <v>243</v>
      </c>
      <c r="E145" s="124">
        <v>45692</v>
      </c>
      <c r="F145" s="208">
        <f>SUM(FEBRERO!V56:AW56)</f>
        <v>4406.84</v>
      </c>
      <c r="G145" s="208">
        <f t="shared" si="20"/>
        <v>-3.5999999981868314E-3</v>
      </c>
      <c r="H145" s="203" t="s">
        <v>2053</v>
      </c>
    </row>
    <row r="146" spans="1:8" x14ac:dyDescent="0.35">
      <c r="A146" s="142" t="s">
        <v>1763</v>
      </c>
      <c r="B146" s="110" t="s">
        <v>290</v>
      </c>
      <c r="C146" s="117">
        <f>FEBRERO!H57+FEBRERO!S57+FEBRERO!T57</f>
        <v>4048.4047999999984</v>
      </c>
      <c r="D146" s="136" t="s">
        <v>243</v>
      </c>
      <c r="E146" s="124">
        <v>45695</v>
      </c>
      <c r="F146" s="208">
        <f>SUM(FEBRERO!V57:AW57)</f>
        <v>4048.4</v>
      </c>
      <c r="G146" s="208">
        <f t="shared" si="20"/>
        <v>4.7999999983403541E-3</v>
      </c>
      <c r="H146" s="203" t="s">
        <v>2048</v>
      </c>
    </row>
    <row r="147" spans="1:8" x14ac:dyDescent="0.35">
      <c r="A147" s="142" t="s">
        <v>656</v>
      </c>
      <c r="B147" s="110" t="s">
        <v>290</v>
      </c>
      <c r="C147" s="117">
        <f>FEBRERO!H58+FEBRERO!S58+FEBRERO!T58</f>
        <v>1531.1952000000003</v>
      </c>
      <c r="D147" s="136" t="s">
        <v>243</v>
      </c>
      <c r="E147" s="124">
        <v>45694</v>
      </c>
      <c r="F147" s="208">
        <f>SUM(FEBRERO!V58:AW58)</f>
        <v>1531.2</v>
      </c>
      <c r="G147" s="208">
        <f>C147-F147</f>
        <v>-4.7999999997045961E-3</v>
      </c>
      <c r="H147" s="203"/>
    </row>
    <row r="148" spans="1:8" x14ac:dyDescent="0.35">
      <c r="A148" s="142" t="s">
        <v>1736</v>
      </c>
      <c r="B148" s="110" t="s">
        <v>290</v>
      </c>
      <c r="C148" s="117">
        <f>FEBRERO!H59+FEBRERO!S59+FEBRERO!T59</f>
        <v>348</v>
      </c>
      <c r="D148" s="136" t="s">
        <v>243</v>
      </c>
      <c r="E148" s="124">
        <v>45692</v>
      </c>
      <c r="F148" s="208">
        <f>SUM(FEBRERO!V59:AW59)</f>
        <v>348</v>
      </c>
      <c r="G148" s="208">
        <f>C148-F148</f>
        <v>0</v>
      </c>
      <c r="H148" s="386"/>
    </row>
    <row r="149" spans="1:8" x14ac:dyDescent="0.35">
      <c r="A149" s="142" t="s">
        <v>1737</v>
      </c>
      <c r="B149" s="110" t="s">
        <v>290</v>
      </c>
      <c r="C149" s="117">
        <f>FEBRERO!H60+FEBRERO!S60+FEBRERO!T60</f>
        <v>1386</v>
      </c>
      <c r="D149" s="136" t="s">
        <v>243</v>
      </c>
      <c r="E149" s="124">
        <v>45695</v>
      </c>
      <c r="F149" s="208">
        <f>SUM(FEBRERO!V60:AW60)</f>
        <v>1386</v>
      </c>
      <c r="G149" s="208">
        <f t="shared" ref="G149:G185" si="21">C149-F149</f>
        <v>0</v>
      </c>
      <c r="H149" s="203"/>
    </row>
    <row r="150" spans="1:8" x14ac:dyDescent="0.35">
      <c r="A150" s="142" t="s">
        <v>827</v>
      </c>
      <c r="B150" s="110" t="s">
        <v>290</v>
      </c>
      <c r="C150" s="117">
        <f>FEBRERO!H61+FEBRERO!S61+FEBRERO!T61</f>
        <v>765.60000000000025</v>
      </c>
      <c r="D150" s="136" t="s">
        <v>243</v>
      </c>
      <c r="E150" s="124">
        <v>45694</v>
      </c>
      <c r="F150" s="208">
        <f>SUM(FEBRERO!V61:AW61)</f>
        <v>765.6</v>
      </c>
      <c r="G150" s="208">
        <f t="shared" si="21"/>
        <v>0</v>
      </c>
      <c r="H150" s="203"/>
    </row>
    <row r="151" spans="1:8" x14ac:dyDescent="0.35">
      <c r="A151" s="142" t="s">
        <v>1738</v>
      </c>
      <c r="B151" s="110" t="s">
        <v>290</v>
      </c>
      <c r="C151" s="117">
        <f>FEBRERO!H62+FEBRERO!S62+FEBRERO!T62</f>
        <v>9386.7240000000183</v>
      </c>
      <c r="D151" s="136" t="s">
        <v>243</v>
      </c>
      <c r="E151" s="124">
        <v>45699</v>
      </c>
      <c r="F151" s="208">
        <f>SUM(FEBRERO!V62:AW62)</f>
        <v>9386.7199999999993</v>
      </c>
      <c r="G151" s="208">
        <f t="shared" si="21"/>
        <v>4.0000000190048013E-3</v>
      </c>
      <c r="H151" s="386"/>
    </row>
    <row r="152" spans="1:8" x14ac:dyDescent="0.35">
      <c r="A152" s="142" t="s">
        <v>713</v>
      </c>
      <c r="B152" s="110" t="s">
        <v>290</v>
      </c>
      <c r="C152" s="117">
        <f>FEBRERO!H63+FEBRERO!S63+FEBRERO!T63</f>
        <v>1391.9996000000001</v>
      </c>
      <c r="D152" s="136" t="s">
        <v>243</v>
      </c>
      <c r="E152" s="124">
        <v>45694</v>
      </c>
      <c r="F152" s="208">
        <f>SUM(FEBRERO!V63:AW63)</f>
        <v>1392</v>
      </c>
      <c r="G152" s="208">
        <f t="shared" si="21"/>
        <v>-3.9999999989959178E-4</v>
      </c>
      <c r="H152" s="203"/>
    </row>
    <row r="153" spans="1:8" x14ac:dyDescent="0.35">
      <c r="A153" s="142" t="s">
        <v>1551</v>
      </c>
      <c r="B153" s="110" t="s">
        <v>290</v>
      </c>
      <c r="C153" s="117">
        <f>FEBRERO!H64+FEBRERO!S64+FEBRERO!T64</f>
        <v>986</v>
      </c>
      <c r="D153" s="136" t="s">
        <v>243</v>
      </c>
      <c r="E153" s="124">
        <v>45699</v>
      </c>
      <c r="F153" s="208">
        <f>SUM(FEBRERO!V64:AW64)</f>
        <v>986</v>
      </c>
      <c r="G153" s="208">
        <f t="shared" si="21"/>
        <v>0</v>
      </c>
      <c r="H153" s="203" t="s">
        <v>2038</v>
      </c>
    </row>
    <row r="154" spans="1:8" x14ac:dyDescent="0.35">
      <c r="A154" s="142" t="s">
        <v>693</v>
      </c>
      <c r="B154" s="110" t="s">
        <v>290</v>
      </c>
      <c r="C154" s="117">
        <f>FEBRERO!H65+FEBRERO!S65+FEBRERO!T65</f>
        <v>348</v>
      </c>
      <c r="D154" s="136" t="s">
        <v>243</v>
      </c>
      <c r="E154" s="124">
        <v>45694</v>
      </c>
      <c r="F154" s="208">
        <f>SUM(FEBRERO!V65:AW65)</f>
        <v>348</v>
      </c>
      <c r="G154" s="208">
        <f t="shared" si="21"/>
        <v>0</v>
      </c>
      <c r="H154" s="203"/>
    </row>
    <row r="155" spans="1:8" x14ac:dyDescent="0.35">
      <c r="A155" s="142" t="s">
        <v>1621</v>
      </c>
      <c r="B155" s="110" t="s">
        <v>290</v>
      </c>
      <c r="C155" s="117">
        <f>FEBRERO!H66+FEBRERO!S66+FEBRERO!T66</f>
        <v>290</v>
      </c>
      <c r="D155" s="136" t="s">
        <v>243</v>
      </c>
      <c r="E155" s="124">
        <v>45699</v>
      </c>
      <c r="F155" s="208">
        <f>SUM(FEBRERO!V66:AW66)</f>
        <v>290</v>
      </c>
      <c r="G155" s="208">
        <f t="shared" si="21"/>
        <v>0</v>
      </c>
      <c r="H155" s="203"/>
    </row>
    <row r="156" spans="1:8" x14ac:dyDescent="0.35">
      <c r="A156" s="142" t="s">
        <v>533</v>
      </c>
      <c r="B156" s="110" t="s">
        <v>290</v>
      </c>
      <c r="C156" s="117">
        <f>FEBRERO!H67+FEBRERO!S67+FEBRERO!T67</f>
        <v>5487.9620000000159</v>
      </c>
      <c r="D156" s="136" t="s">
        <v>243</v>
      </c>
      <c r="E156" s="124">
        <v>45693</v>
      </c>
      <c r="F156" s="208">
        <f>SUM(FEBRERO!V67:AW67)</f>
        <v>5487.96</v>
      </c>
      <c r="G156" s="208">
        <f t="shared" si="21"/>
        <v>2.0000000158688636E-3</v>
      </c>
      <c r="H156" s="203"/>
    </row>
    <row r="157" spans="1:8" x14ac:dyDescent="0.35">
      <c r="A157" s="142" t="s">
        <v>1676</v>
      </c>
      <c r="B157" s="110" t="s">
        <v>290</v>
      </c>
      <c r="C157" s="117">
        <f>FEBRERO!H68+FEBRERO!S68+FEBRERO!T68</f>
        <v>5892.8</v>
      </c>
      <c r="D157" s="136" t="s">
        <v>243</v>
      </c>
      <c r="E157" s="124">
        <v>45692</v>
      </c>
      <c r="F157" s="208">
        <f>SUM(FEBRERO!V68:AW68)</f>
        <v>5892.8</v>
      </c>
      <c r="G157" s="208">
        <f t="shared" si="21"/>
        <v>0</v>
      </c>
      <c r="H157" s="203" t="s">
        <v>2031</v>
      </c>
    </row>
    <row r="158" spans="1:8" x14ac:dyDescent="0.35">
      <c r="A158" s="142" t="s">
        <v>496</v>
      </c>
      <c r="B158" s="110" t="s">
        <v>290</v>
      </c>
      <c r="C158" s="117">
        <f>FEBRERO!H69+FEBRERO!S69+FEBRERO!T69</f>
        <v>577.67200000000207</v>
      </c>
      <c r="D158" s="136" t="s">
        <v>243</v>
      </c>
      <c r="E158" s="124">
        <v>45701</v>
      </c>
      <c r="F158" s="208">
        <f>SUM(FEBRERO!V69:AW69)</f>
        <v>577.66999999999996</v>
      </c>
      <c r="G158" s="208">
        <f t="shared" si="21"/>
        <v>2.0000000021127562E-3</v>
      </c>
      <c r="H158" s="203"/>
    </row>
    <row r="159" spans="1:8" x14ac:dyDescent="0.35">
      <c r="A159" s="142" t="s">
        <v>323</v>
      </c>
      <c r="B159" s="110" t="s">
        <v>290</v>
      </c>
      <c r="C159" s="117">
        <f>FEBRERO!H70+FEBRERO!S70+FEBRERO!T70</f>
        <v>-288.83999999999776</v>
      </c>
      <c r="D159" s="136" t="s">
        <v>243</v>
      </c>
      <c r="E159" s="124">
        <v>45583</v>
      </c>
      <c r="F159" s="208">
        <f>SUM(FEBRERO!V70:AW70)</f>
        <v>0</v>
      </c>
      <c r="G159" s="208">
        <f t="shared" si="21"/>
        <v>-288.83999999999776</v>
      </c>
      <c r="H159" s="203" t="s">
        <v>1449</v>
      </c>
    </row>
    <row r="160" spans="1:8" x14ac:dyDescent="0.35">
      <c r="A160" s="142" t="s">
        <v>657</v>
      </c>
      <c r="B160" s="110" t="s">
        <v>290</v>
      </c>
      <c r="C160" s="117">
        <f>FEBRERO!H71+FEBRERO!S71+FEBRERO!T71</f>
        <v>348</v>
      </c>
      <c r="D160" s="136" t="s">
        <v>243</v>
      </c>
      <c r="E160" s="124">
        <v>45695</v>
      </c>
      <c r="F160" s="208">
        <f>SUM(FEBRERO!V71:AW71)</f>
        <v>348</v>
      </c>
      <c r="G160" s="208">
        <f t="shared" si="21"/>
        <v>0</v>
      </c>
      <c r="H160" s="387"/>
    </row>
    <row r="161" spans="1:8" x14ac:dyDescent="0.35">
      <c r="A161" s="142" t="s">
        <v>53</v>
      </c>
      <c r="B161" s="110" t="s">
        <v>290</v>
      </c>
      <c r="C161" s="117">
        <f>FEBRERO!H72+FEBRERO!S72+FEBRERO!T72</f>
        <v>348</v>
      </c>
      <c r="D161" s="136" t="s">
        <v>243</v>
      </c>
      <c r="E161" s="124">
        <v>45698</v>
      </c>
      <c r="F161" s="208">
        <f>SUM(FEBRERO!V72:AW72)</f>
        <v>348</v>
      </c>
      <c r="G161" s="208">
        <f t="shared" si="21"/>
        <v>0</v>
      </c>
      <c r="H161" s="387"/>
    </row>
    <row r="162" spans="1:8" x14ac:dyDescent="0.35">
      <c r="A162" s="142" t="s">
        <v>1741</v>
      </c>
      <c r="B162" s="110" t="s">
        <v>290</v>
      </c>
      <c r="C162" s="117">
        <f>FEBRERO!H73+FEBRERO!S73+FEBRERO!T73</f>
        <v>3189.992400000001</v>
      </c>
      <c r="D162" s="136" t="s">
        <v>243</v>
      </c>
      <c r="E162" s="124">
        <v>45693</v>
      </c>
      <c r="F162" s="208">
        <f>SUM(FEBRERO!V73:AW73)</f>
        <v>3189.99</v>
      </c>
      <c r="G162" s="208">
        <f t="shared" si="21"/>
        <v>2.4000000012165401E-3</v>
      </c>
      <c r="H162" s="388"/>
    </row>
    <row r="163" spans="1:8" x14ac:dyDescent="0.35">
      <c r="A163" s="142" t="s">
        <v>1061</v>
      </c>
      <c r="B163" s="110" t="s">
        <v>290</v>
      </c>
      <c r="C163" s="117">
        <f>FEBRERO!H74+FEBRERO!S74+FEBRERO!T74</f>
        <v>870.0011999999997</v>
      </c>
      <c r="D163" s="136" t="s">
        <v>243</v>
      </c>
      <c r="E163" s="124">
        <v>45696</v>
      </c>
      <c r="F163" s="208">
        <f>SUM(FEBRERO!V74:AW74)</f>
        <v>870</v>
      </c>
      <c r="G163" s="208">
        <f t="shared" si="21"/>
        <v>1.1999999996987754E-3</v>
      </c>
      <c r="H163" s="387"/>
    </row>
    <row r="164" spans="1:8" x14ac:dyDescent="0.35">
      <c r="A164" s="142" t="s">
        <v>1742</v>
      </c>
      <c r="B164" s="110" t="s">
        <v>290</v>
      </c>
      <c r="C164" s="117">
        <f>FEBRERO!H75+FEBRERO!S75+FEBRERO!T75</f>
        <v>1740</v>
      </c>
      <c r="D164" s="136" t="s">
        <v>243</v>
      </c>
      <c r="E164" s="124">
        <v>45693</v>
      </c>
      <c r="F164" s="208">
        <f>SUM(FEBRERO!V75:AW75)</f>
        <v>1740</v>
      </c>
      <c r="G164" s="208">
        <f t="shared" si="21"/>
        <v>0</v>
      </c>
      <c r="H164" s="386"/>
    </row>
    <row r="165" spans="1:8" x14ac:dyDescent="0.35">
      <c r="A165" s="142" t="s">
        <v>1743</v>
      </c>
      <c r="B165" s="110" t="s">
        <v>290</v>
      </c>
      <c r="C165" s="117">
        <f>FEBRERO!H76+FEBRERO!S76+FEBRERO!T76</f>
        <v>4530.9579999999978</v>
      </c>
      <c r="D165" s="136" t="s">
        <v>243</v>
      </c>
      <c r="E165" s="124">
        <v>45693</v>
      </c>
      <c r="F165" s="208">
        <f>SUM(FEBRERO!V76:AW76)</f>
        <v>4530.96</v>
      </c>
      <c r="G165" s="208">
        <f t="shared" si="21"/>
        <v>-2.000000002226443E-3</v>
      </c>
      <c r="H165" s="203"/>
    </row>
    <row r="166" spans="1:8" x14ac:dyDescent="0.35">
      <c r="A166" s="142" t="s">
        <v>1744</v>
      </c>
      <c r="B166" s="110" t="s">
        <v>290</v>
      </c>
      <c r="C166" s="117">
        <f>FEBRERO!H77+FEBRERO!S77+FEBRERO!T77</f>
        <v>3388.3604000000005</v>
      </c>
      <c r="D166" s="136" t="s">
        <v>243</v>
      </c>
      <c r="E166" s="124">
        <v>45693</v>
      </c>
      <c r="F166" s="208">
        <f>SUM(FEBRERO!V77:AW77)</f>
        <v>3388.36</v>
      </c>
      <c r="G166" s="208">
        <f t="shared" si="21"/>
        <v>4.0000000035433914E-4</v>
      </c>
      <c r="H166" s="203" t="s">
        <v>2037</v>
      </c>
    </row>
    <row r="167" spans="1:8" x14ac:dyDescent="0.35">
      <c r="A167" s="142" t="s">
        <v>1745</v>
      </c>
      <c r="B167" s="110" t="s">
        <v>290</v>
      </c>
      <c r="C167" s="117">
        <f>FEBRERO!H78+FEBRERO!S78+FEBRERO!T78</f>
        <v>6693.0375999999997</v>
      </c>
      <c r="D167" s="136" t="s">
        <v>243</v>
      </c>
      <c r="E167" s="124">
        <v>45716</v>
      </c>
      <c r="F167" s="208">
        <f>SUM(FEBRERO!V78:AW78)</f>
        <v>6693.04</v>
      </c>
      <c r="G167" s="208">
        <f t="shared" si="21"/>
        <v>-2.4000000003070454E-3</v>
      </c>
      <c r="H167" s="387" t="s">
        <v>2040</v>
      </c>
    </row>
    <row r="168" spans="1:8" x14ac:dyDescent="0.35">
      <c r="A168" s="355" t="s">
        <v>1764</v>
      </c>
      <c r="B168" s="110" t="s">
        <v>290</v>
      </c>
      <c r="C168" s="117">
        <f>FEBRERO!H79+FEBRERO!S79+FEBRERO!T79</f>
        <v>6437.9988000000012</v>
      </c>
      <c r="D168" s="136" t="s">
        <v>243</v>
      </c>
      <c r="E168" s="124">
        <v>45715</v>
      </c>
      <c r="F168" s="208">
        <f>SUM(FEBRERO!V79:AW79)</f>
        <v>6438</v>
      </c>
      <c r="G168" s="208">
        <f t="shared" si="21"/>
        <v>-1.1999999987892807E-3</v>
      </c>
      <c r="H168" s="390" t="s">
        <v>2313</v>
      </c>
    </row>
    <row r="169" spans="1:8" ht="26" x14ac:dyDescent="0.35">
      <c r="A169" s="91" t="s">
        <v>2187</v>
      </c>
      <c r="B169" s="110" t="s">
        <v>290</v>
      </c>
      <c r="C169" s="117">
        <f>FEBRERO!H80+FEBRERO!S80+FEBRERO!T80</f>
        <v>3650.5</v>
      </c>
      <c r="D169" s="136" t="s">
        <v>243</v>
      </c>
      <c r="E169" s="124">
        <v>45692</v>
      </c>
      <c r="F169" s="208">
        <f>SUM(FEBRERO!V80:AW80)</f>
        <v>3650.5</v>
      </c>
      <c r="G169" s="208">
        <f t="shared" ref="G169" si="22">C169-F169</f>
        <v>0</v>
      </c>
      <c r="H169" s="386" t="s">
        <v>2186</v>
      </c>
    </row>
    <row r="170" spans="1:8" x14ac:dyDescent="0.35">
      <c r="A170" s="142" t="s">
        <v>1437</v>
      </c>
      <c r="B170" s="110" t="s">
        <v>290</v>
      </c>
      <c r="C170" s="117">
        <f>FEBRERO!H81+FEBRERO!S81+FEBRERO!T81</f>
        <v>696</v>
      </c>
      <c r="D170" s="136" t="s">
        <v>243</v>
      </c>
      <c r="E170" s="124">
        <v>45702</v>
      </c>
      <c r="F170" s="208">
        <f>SUM(FEBRERO!V81:AW81)</f>
        <v>696</v>
      </c>
      <c r="G170" s="208">
        <f t="shared" si="21"/>
        <v>0</v>
      </c>
      <c r="H170" s="203"/>
    </row>
    <row r="171" spans="1:8" x14ac:dyDescent="0.35">
      <c r="A171" s="142" t="s">
        <v>1765</v>
      </c>
      <c r="B171" s="110" t="s">
        <v>290</v>
      </c>
      <c r="C171" s="117">
        <f>FEBRERO!H82+FEBRERO!S82+FEBRERO!T82</f>
        <v>2784.0048000000006</v>
      </c>
      <c r="D171" s="136" t="s">
        <v>243</v>
      </c>
      <c r="E171" s="124">
        <v>45695</v>
      </c>
      <c r="F171" s="208">
        <f>SUM(FEBRERO!V82:AW82)</f>
        <v>2784</v>
      </c>
      <c r="G171" s="208">
        <f t="shared" si="21"/>
        <v>4.8000000006140908E-3</v>
      </c>
      <c r="H171" s="203"/>
    </row>
    <row r="172" spans="1:8" x14ac:dyDescent="0.35">
      <c r="A172" s="142" t="s">
        <v>1071</v>
      </c>
      <c r="B172" s="110" t="s">
        <v>290</v>
      </c>
      <c r="C172" s="117">
        <f>FEBRERO!H83+FEBRERO!S83+FEBRERO!T83</f>
        <v>1020.8</v>
      </c>
      <c r="D172" s="136" t="s">
        <v>243</v>
      </c>
      <c r="E172" s="124">
        <v>45698</v>
      </c>
      <c r="F172" s="208">
        <f>SUM(FEBRERO!V83:AW83)</f>
        <v>1020.8</v>
      </c>
      <c r="G172" s="208">
        <f t="shared" si="21"/>
        <v>0</v>
      </c>
      <c r="H172" s="203"/>
    </row>
    <row r="173" spans="1:8" x14ac:dyDescent="0.35">
      <c r="A173" s="142" t="s">
        <v>688</v>
      </c>
      <c r="B173" s="110" t="s">
        <v>290</v>
      </c>
      <c r="C173" s="117">
        <f>FEBRERO!H84+FEBRERO!S84+FEBRERO!T84</f>
        <v>869.99559999999997</v>
      </c>
      <c r="D173" s="136" t="s">
        <v>243</v>
      </c>
      <c r="E173" s="124">
        <v>45695</v>
      </c>
      <c r="F173" s="208">
        <f>SUM(FEBRERO!V84:AW84)</f>
        <v>870</v>
      </c>
      <c r="G173" s="208">
        <f t="shared" si="21"/>
        <v>-4.400000000032378E-3</v>
      </c>
      <c r="H173" s="203"/>
    </row>
    <row r="174" spans="1:8" x14ac:dyDescent="0.35">
      <c r="A174" s="142" t="s">
        <v>1543</v>
      </c>
      <c r="B174" s="110" t="s">
        <v>290</v>
      </c>
      <c r="C174" s="117">
        <f>FEBRERO!H85+FEBRERO!S85+FEBRERO!T85</f>
        <v>1044.0000000000005</v>
      </c>
      <c r="D174" s="136" t="s">
        <v>243</v>
      </c>
      <c r="E174" s="124">
        <v>45698</v>
      </c>
      <c r="F174" s="208">
        <f>SUM(FEBRERO!V85:AW85)</f>
        <v>1044</v>
      </c>
      <c r="G174" s="208">
        <f t="shared" si="21"/>
        <v>0</v>
      </c>
      <c r="H174" s="203"/>
    </row>
    <row r="175" spans="1:8" x14ac:dyDescent="0.35">
      <c r="A175" s="142" t="s">
        <v>869</v>
      </c>
      <c r="B175" s="110" t="s">
        <v>290</v>
      </c>
      <c r="C175" s="117">
        <f>FEBRERO!H86+FEBRERO!S86+FEBRERO!T86</f>
        <v>1740</v>
      </c>
      <c r="D175" s="136" t="s">
        <v>243</v>
      </c>
      <c r="E175" s="124">
        <v>45696</v>
      </c>
      <c r="F175" s="208">
        <f>SUM(FEBRERO!V86:AW86)</f>
        <v>1740</v>
      </c>
      <c r="G175" s="208">
        <f t="shared" si="21"/>
        <v>0</v>
      </c>
      <c r="H175" s="203"/>
    </row>
    <row r="176" spans="1:8" x14ac:dyDescent="0.35">
      <c r="A176" s="142" t="s">
        <v>1471</v>
      </c>
      <c r="B176" s="110" t="s">
        <v>290</v>
      </c>
      <c r="C176" s="117">
        <f>FEBRERO!H87+FEBRERO!S87+FEBRERO!T87</f>
        <v>2784</v>
      </c>
      <c r="D176" s="136" t="s">
        <v>243</v>
      </c>
      <c r="E176" s="124">
        <v>45696</v>
      </c>
      <c r="F176" s="208">
        <f>SUM(FEBRERO!V87:AW87)</f>
        <v>2784</v>
      </c>
      <c r="G176" s="208">
        <f t="shared" si="21"/>
        <v>0</v>
      </c>
      <c r="H176" s="203"/>
    </row>
    <row r="177" spans="1:9" x14ac:dyDescent="0.35">
      <c r="A177" s="142" t="s">
        <v>1467</v>
      </c>
      <c r="B177" s="110" t="s">
        <v>290</v>
      </c>
      <c r="C177" s="117">
        <f>FEBRERO!H88+FEBRERO!S88+FEBRERO!T88</f>
        <v>1044</v>
      </c>
      <c r="D177" s="136" t="s">
        <v>243</v>
      </c>
      <c r="E177" s="124">
        <v>45699</v>
      </c>
      <c r="F177" s="208">
        <f>SUM(FEBRERO!V88:AW88)</f>
        <v>1044</v>
      </c>
      <c r="G177" s="208">
        <f t="shared" si="21"/>
        <v>0</v>
      </c>
      <c r="H177" s="203"/>
    </row>
    <row r="178" spans="1:9" x14ac:dyDescent="0.35">
      <c r="A178" s="142" t="s">
        <v>1747</v>
      </c>
      <c r="B178" s="110" t="s">
        <v>290</v>
      </c>
      <c r="C178" s="117">
        <f>FEBRERO!H89+FEBRERO!S89+FEBRERO!T89</f>
        <v>580.00120000000015</v>
      </c>
      <c r="D178" s="136" t="s">
        <v>243</v>
      </c>
      <c r="E178" s="124">
        <v>45695</v>
      </c>
      <c r="F178" s="208">
        <f>SUM(FEBRERO!V89:AW89)</f>
        <v>580</v>
      </c>
      <c r="G178" s="208">
        <f t="shared" si="21"/>
        <v>1.2000000001535227E-3</v>
      </c>
      <c r="H178" s="203"/>
    </row>
    <row r="179" spans="1:9" ht="26" x14ac:dyDescent="0.35">
      <c r="A179" s="91" t="s">
        <v>1102</v>
      </c>
      <c r="B179" s="110" t="s">
        <v>290</v>
      </c>
      <c r="C179" s="117">
        <f>FEBRERO!H90+FEBRERO!S90+FEBRERO!T90</f>
        <v>947.32560000000001</v>
      </c>
      <c r="D179" s="136" t="s">
        <v>243</v>
      </c>
      <c r="E179" s="124">
        <v>45698</v>
      </c>
      <c r="F179" s="208">
        <f>SUM(FEBRERO!V90:AW90)</f>
        <v>947.33</v>
      </c>
      <c r="G179" s="208">
        <f t="shared" ref="G179" si="23">C179-F179</f>
        <v>-4.400000000032378E-3</v>
      </c>
      <c r="H179" s="203" t="s">
        <v>2212</v>
      </c>
    </row>
    <row r="180" spans="1:9" x14ac:dyDescent="0.35">
      <c r="A180" s="142" t="s">
        <v>1767</v>
      </c>
      <c r="B180" s="110" t="s">
        <v>290</v>
      </c>
      <c r="C180" s="117">
        <f>FEBRERO!H91+FEBRERO!S91+FEBRERO!T91</f>
        <v>5800</v>
      </c>
      <c r="D180" s="136" t="s">
        <v>243</v>
      </c>
      <c r="E180" s="124">
        <v>45706</v>
      </c>
      <c r="F180" s="208">
        <f>SUM(FEBRERO!V91:AW91)</f>
        <v>5800</v>
      </c>
      <c r="G180" s="208">
        <f t="shared" si="21"/>
        <v>0</v>
      </c>
      <c r="H180" s="386" t="s">
        <v>796</v>
      </c>
    </row>
    <row r="181" spans="1:9" x14ac:dyDescent="0.35">
      <c r="A181" s="142" t="s">
        <v>1749</v>
      </c>
      <c r="B181" s="110" t="s">
        <v>290</v>
      </c>
      <c r="C181" s="117">
        <f>FEBRERO!H92+FEBRERO!S92+FEBRERO!T92</f>
        <v>3480</v>
      </c>
      <c r="D181" s="136" t="s">
        <v>243</v>
      </c>
      <c r="E181" s="124">
        <v>45694</v>
      </c>
      <c r="F181" s="208">
        <f>SUM(FEBRERO!V92:AW92)</f>
        <v>3480</v>
      </c>
      <c r="G181" s="208">
        <f t="shared" si="21"/>
        <v>0</v>
      </c>
      <c r="H181" s="203"/>
    </row>
    <row r="182" spans="1:9" ht="39" x14ac:dyDescent="0.35">
      <c r="A182" s="142" t="s">
        <v>409</v>
      </c>
      <c r="B182" s="110" t="s">
        <v>290</v>
      </c>
      <c r="C182" s="117">
        <f>FEBRERO!H93+FEBRERO!S93+FEBRERO!T93</f>
        <v>2899.9152000000049</v>
      </c>
      <c r="D182" s="136" t="s">
        <v>243</v>
      </c>
      <c r="E182" s="124">
        <v>45699</v>
      </c>
      <c r="F182" s="208">
        <f>SUM(FEBRERO!V93:AW93)</f>
        <v>2899.92</v>
      </c>
      <c r="G182" s="208">
        <f t="shared" si="21"/>
        <v>-4.7999999951571226E-3</v>
      </c>
      <c r="H182" s="386" t="s">
        <v>2032</v>
      </c>
    </row>
    <row r="183" spans="1:9" ht="26" x14ac:dyDescent="0.35">
      <c r="A183" s="142" t="s">
        <v>410</v>
      </c>
      <c r="B183" s="110" t="s">
        <v>290</v>
      </c>
      <c r="C183" s="117">
        <f>FEBRERO!H94+FEBRERO!S94+FEBRERO!T94</f>
        <v>3247.9912000000004</v>
      </c>
      <c r="D183" s="136" t="s">
        <v>243</v>
      </c>
      <c r="E183" s="124">
        <v>45699</v>
      </c>
      <c r="F183" s="208">
        <f>SUM(FEBRERO!V94:AW94)</f>
        <v>3247.99</v>
      </c>
      <c r="G183" s="208">
        <f t="shared" si="21"/>
        <v>1.2000000006082701E-3</v>
      </c>
      <c r="H183" s="386" t="s">
        <v>2033</v>
      </c>
    </row>
    <row r="184" spans="1:9" x14ac:dyDescent="0.35">
      <c r="A184" s="142" t="s">
        <v>1750</v>
      </c>
      <c r="B184" s="110" t="s">
        <v>290</v>
      </c>
      <c r="C184" s="117">
        <f>FEBRERO!H95+FEBRERO!S95+FEBRERO!T95</f>
        <v>4645.8</v>
      </c>
      <c r="D184" s="136" t="s">
        <v>243</v>
      </c>
      <c r="E184" s="124">
        <v>45693</v>
      </c>
      <c r="F184" s="208">
        <f>SUM(FEBRERO!V95:AW95)</f>
        <v>4645.8</v>
      </c>
      <c r="G184" s="208">
        <f t="shared" si="21"/>
        <v>0</v>
      </c>
      <c r="H184" s="203" t="s">
        <v>2039</v>
      </c>
    </row>
    <row r="185" spans="1:9" x14ac:dyDescent="0.35">
      <c r="A185" s="347" t="s">
        <v>1904</v>
      </c>
      <c r="B185" s="110" t="s">
        <v>290</v>
      </c>
      <c r="C185" s="117">
        <f>FEBRERO!H96+FEBRERO!S96+FEBRERO!T96</f>
        <v>288.84000000000003</v>
      </c>
      <c r="D185" s="136" t="s">
        <v>243</v>
      </c>
      <c r="E185" s="124">
        <v>45693</v>
      </c>
      <c r="F185" s="208">
        <f>SUM(FEBRERO!V96:AW96)</f>
        <v>288.83999999999997</v>
      </c>
      <c r="G185" s="208">
        <f t="shared" si="21"/>
        <v>0</v>
      </c>
      <c r="H185" s="203"/>
    </row>
    <row r="186" spans="1:9" x14ac:dyDescent="0.35">
      <c r="A186" s="142" t="s">
        <v>1548</v>
      </c>
      <c r="B186" s="110" t="s">
        <v>290</v>
      </c>
      <c r="C186" s="117">
        <f>FEBRERO!H97+FEBRERO!S97+FEBRERO!T97</f>
        <v>3132.0000000000005</v>
      </c>
      <c r="D186" s="136" t="s">
        <v>243</v>
      </c>
      <c r="E186" s="124">
        <v>45695</v>
      </c>
      <c r="F186" s="208">
        <f>SUM(FEBRERO!V97:AW97)</f>
        <v>3132</v>
      </c>
      <c r="G186" s="208">
        <f>C186-F186</f>
        <v>0</v>
      </c>
      <c r="H186" s="386"/>
    </row>
    <row r="187" spans="1:9" x14ac:dyDescent="0.35">
      <c r="A187" s="142" t="s">
        <v>1752</v>
      </c>
      <c r="B187" s="110" t="s">
        <v>290</v>
      </c>
      <c r="C187" s="117">
        <f>FEBRERO!H98+FEBRERO!S98+FEBRERO!T98</f>
        <v>5683.9996000000001</v>
      </c>
      <c r="D187" s="136" t="s">
        <v>243</v>
      </c>
      <c r="E187" s="124">
        <v>45700</v>
      </c>
      <c r="F187" s="208">
        <f>SUM(FEBRERO!V98:AW98)</f>
        <v>5684</v>
      </c>
      <c r="G187" s="208">
        <f t="shared" ref="G187:G189" si="24">C187-F187</f>
        <v>-3.9999999989959178E-4</v>
      </c>
      <c r="H187" s="203" t="s">
        <v>2035</v>
      </c>
    </row>
    <row r="188" spans="1:9" x14ac:dyDescent="0.35">
      <c r="A188" s="142" t="s">
        <v>1541</v>
      </c>
      <c r="B188" s="110" t="s">
        <v>290</v>
      </c>
      <c r="C188" s="117">
        <f>FEBRERO!H99+FEBRERO!S99+FEBRERO!T99</f>
        <v>4475.6628000000001</v>
      </c>
      <c r="D188" s="149" t="s">
        <v>1911</v>
      </c>
      <c r="E188" s="124">
        <v>45694</v>
      </c>
      <c r="F188" s="208">
        <f>SUM(FEBRERO!V99:AW99)</f>
        <v>1227.6599999999999</v>
      </c>
      <c r="G188" s="208">
        <f t="shared" si="24"/>
        <v>3248.0028000000002</v>
      </c>
      <c r="H188" s="203"/>
    </row>
    <row r="189" spans="1:9" x14ac:dyDescent="0.35">
      <c r="A189" s="162" t="s">
        <v>1924</v>
      </c>
      <c r="B189" s="110" t="s">
        <v>290</v>
      </c>
      <c r="C189" s="117">
        <f>FEBRERO!H100+FEBRERO!S100+FEBRERO!T100</f>
        <v>1015.0000000000009</v>
      </c>
      <c r="D189" s="136" t="s">
        <v>243</v>
      </c>
      <c r="E189" s="124">
        <v>45693</v>
      </c>
      <c r="F189" s="208">
        <f>SUM(FEBRERO!V100:AW100)</f>
        <v>1015</v>
      </c>
      <c r="G189" s="208">
        <f t="shared" si="24"/>
        <v>9.0949470177292824E-13</v>
      </c>
      <c r="H189" s="203" t="s">
        <v>2049</v>
      </c>
    </row>
    <row r="190" spans="1:9" x14ac:dyDescent="0.35">
      <c r="A190" s="142" t="s">
        <v>1753</v>
      </c>
      <c r="B190" s="110" t="s">
        <v>290</v>
      </c>
      <c r="C190" s="117">
        <f>FEBRERO!H101+FEBRERO!S101+FEBRERO!T101</f>
        <v>2871.0028000000057</v>
      </c>
      <c r="D190" s="136" t="s">
        <v>243</v>
      </c>
      <c r="E190" s="124">
        <v>45702</v>
      </c>
      <c r="F190" s="208">
        <f>SUM(FEBRERO!V101:AW101)</f>
        <v>2871</v>
      </c>
      <c r="G190" s="208">
        <f>C190-F190</f>
        <v>2.8000000056636054E-3</v>
      </c>
      <c r="H190" s="203"/>
      <c r="I190" s="211" t="s">
        <v>617</v>
      </c>
    </row>
    <row r="191" spans="1:9" ht="26" x14ac:dyDescent="0.35">
      <c r="A191" s="142" t="s">
        <v>1893</v>
      </c>
      <c r="B191" s="110" t="s">
        <v>290</v>
      </c>
      <c r="C191" s="117">
        <f>FEBRERO!H102+FEBRERO!S102+FEBRERO!T102</f>
        <v>658.97280000000092</v>
      </c>
      <c r="D191" s="136" t="s">
        <v>243</v>
      </c>
      <c r="E191" s="124">
        <v>45695</v>
      </c>
      <c r="F191" s="208">
        <f>SUM(FEBRERO!V102:AW102)</f>
        <v>658.97</v>
      </c>
      <c r="G191" s="208">
        <f>C191-F191</f>
        <v>2.8000000008887582E-3</v>
      </c>
      <c r="H191" s="203" t="s">
        <v>2050</v>
      </c>
    </row>
    <row r="192" spans="1:9" x14ac:dyDescent="0.35">
      <c r="A192" s="142" t="s">
        <v>1754</v>
      </c>
      <c r="B192" s="110" t="s">
        <v>290</v>
      </c>
      <c r="C192" s="117">
        <f>FEBRERO!H103+FEBRERO!S103+FEBRERO!T103</f>
        <v>4524</v>
      </c>
      <c r="D192" s="136" t="s">
        <v>243</v>
      </c>
      <c r="E192" s="124">
        <v>45712</v>
      </c>
      <c r="F192" s="208">
        <f>SUM(FEBRERO!V103:AW103)</f>
        <v>4524</v>
      </c>
      <c r="G192" s="208">
        <f t="shared" ref="G192:G195" si="25">C192-F192</f>
        <v>0</v>
      </c>
      <c r="H192" s="203"/>
    </row>
    <row r="193" spans="1:9" x14ac:dyDescent="0.35">
      <c r="A193" s="142" t="s">
        <v>658</v>
      </c>
      <c r="B193" s="110" t="s">
        <v>290</v>
      </c>
      <c r="C193" s="117">
        <f>FEBRERO!H104+FEBRERO!S104+FEBRERO!T104</f>
        <v>2030</v>
      </c>
      <c r="D193" s="136" t="s">
        <v>243</v>
      </c>
      <c r="E193" s="124">
        <v>45699</v>
      </c>
      <c r="F193" s="208">
        <f>SUM(FEBRERO!V104:AW104)</f>
        <v>2030</v>
      </c>
      <c r="G193" s="208">
        <f t="shared" si="25"/>
        <v>0</v>
      </c>
      <c r="H193" s="388"/>
    </row>
    <row r="194" spans="1:9" ht="39" x14ac:dyDescent="0.35">
      <c r="A194" s="355" t="s">
        <v>2005</v>
      </c>
      <c r="B194" s="110" t="s">
        <v>290</v>
      </c>
      <c r="C194" s="117">
        <f>FEBRERO!H105+FEBRERO!S105+FEBRERO!T105</f>
        <v>108244.24000000003</v>
      </c>
      <c r="D194" s="136" t="s">
        <v>243</v>
      </c>
      <c r="E194" s="124">
        <v>45702</v>
      </c>
      <c r="F194" s="208">
        <f>SUM(FEBRERO!V105:AW105)</f>
        <v>93693.2</v>
      </c>
      <c r="G194" s="208">
        <f t="shared" si="25"/>
        <v>14551.040000000037</v>
      </c>
      <c r="H194" s="203" t="s">
        <v>2315</v>
      </c>
    </row>
    <row r="195" spans="1:9" x14ac:dyDescent="0.35">
      <c r="A195" s="142" t="s">
        <v>2006</v>
      </c>
      <c r="B195" s="110" t="s">
        <v>290</v>
      </c>
      <c r="C195" s="117">
        <f>FEBRERO!H106+FEBRERO!S106+FEBRERO!T106</f>
        <v>696</v>
      </c>
      <c r="D195" s="136" t="s">
        <v>243</v>
      </c>
      <c r="E195" s="124">
        <v>45715</v>
      </c>
      <c r="F195" s="208">
        <f>SUM(FEBRERO!V106:AW106)</f>
        <v>696</v>
      </c>
      <c r="G195" s="208">
        <f t="shared" si="25"/>
        <v>0</v>
      </c>
      <c r="H195" s="388"/>
    </row>
    <row r="196" spans="1:9" ht="26" x14ac:dyDescent="0.35">
      <c r="A196" s="142" t="s">
        <v>2007</v>
      </c>
      <c r="B196" s="110" t="s">
        <v>290</v>
      </c>
      <c r="C196" s="117">
        <f>FEBRERO!H107+FEBRERO!S107+FEBRERO!T107</f>
        <v>11425.995600000002</v>
      </c>
      <c r="D196" s="136" t="s">
        <v>243</v>
      </c>
      <c r="E196" s="124">
        <v>45715</v>
      </c>
      <c r="F196" s="208">
        <f>SUM(FEBRERO!V107:AW107)</f>
        <v>11426</v>
      </c>
      <c r="G196" s="208">
        <f>C196-F196</f>
        <v>-4.3999999979860149E-3</v>
      </c>
      <c r="H196" s="386" t="s">
        <v>2051</v>
      </c>
    </row>
    <row r="197" spans="1:9" x14ac:dyDescent="0.35">
      <c r="A197" s="142" t="s">
        <v>70</v>
      </c>
      <c r="B197" s="110" t="s">
        <v>290</v>
      </c>
      <c r="C197" s="117">
        <f>FEBRERO!H108+FEBRERO!S108+FEBRERO!T108</f>
        <v>406</v>
      </c>
      <c r="D197" s="136" t="s">
        <v>243</v>
      </c>
      <c r="E197" s="124">
        <v>45702</v>
      </c>
      <c r="F197" s="208">
        <f>SUM(FEBRERO!V108:AW108)</f>
        <v>406</v>
      </c>
      <c r="G197" s="208">
        <f t="shared" ref="G197:G209" si="26">C197-F197</f>
        <v>0</v>
      </c>
      <c r="H197" s="203"/>
    </row>
    <row r="198" spans="1:9" x14ac:dyDescent="0.35">
      <c r="A198" s="142" t="s">
        <v>2015</v>
      </c>
      <c r="B198" s="110" t="s">
        <v>290</v>
      </c>
      <c r="C198" s="117">
        <f>FEBRERO!H109+FEBRERO!S109+FEBRERO!T109</f>
        <v>1160</v>
      </c>
      <c r="D198" s="136" t="s">
        <v>243</v>
      </c>
      <c r="E198" s="124">
        <v>45710</v>
      </c>
      <c r="F198" s="208">
        <f>SUM(FEBRERO!V109:AW109)</f>
        <v>1160</v>
      </c>
      <c r="G198" s="208">
        <f t="shared" si="26"/>
        <v>0</v>
      </c>
      <c r="H198" s="386"/>
      <c r="I198" s="211" t="s">
        <v>617</v>
      </c>
    </row>
    <row r="199" spans="1:9" x14ac:dyDescent="0.35">
      <c r="A199" s="142" t="s">
        <v>2009</v>
      </c>
      <c r="B199" s="110" t="s">
        <v>290</v>
      </c>
      <c r="C199" s="117">
        <f>FEBRERO!H110+FEBRERO!S110+FEBRERO!T110</f>
        <v>7673.3739999999725</v>
      </c>
      <c r="D199" s="136" t="s">
        <v>243</v>
      </c>
      <c r="E199" s="124">
        <v>45708</v>
      </c>
      <c r="F199" s="208">
        <f>SUM(FEBRERO!V110:AW110)</f>
        <v>7673.37</v>
      </c>
      <c r="G199" s="208">
        <f t="shared" si="26"/>
        <v>3.9999999726205715E-3</v>
      </c>
      <c r="H199" s="388"/>
    </row>
    <row r="200" spans="1:9" x14ac:dyDescent="0.35">
      <c r="A200" s="142" t="s">
        <v>2010</v>
      </c>
      <c r="B200" s="110" t="s">
        <v>290</v>
      </c>
      <c r="C200" s="117">
        <f>FEBRERO!H111+FEBRERO!S111+FEBRERO!T111</f>
        <v>765.60000000000093</v>
      </c>
      <c r="D200" s="136" t="s">
        <v>243</v>
      </c>
      <c r="E200" s="124">
        <v>45703</v>
      </c>
      <c r="F200" s="208">
        <f>SUM(FEBRERO!V111:AW111)</f>
        <v>765.6</v>
      </c>
      <c r="G200" s="208">
        <f t="shared" si="26"/>
        <v>9.0949470177292824E-13</v>
      </c>
      <c r="H200" s="391"/>
    </row>
    <row r="201" spans="1:9" x14ac:dyDescent="0.35">
      <c r="A201" s="142" t="s">
        <v>2011</v>
      </c>
      <c r="B201" s="110" t="s">
        <v>290</v>
      </c>
      <c r="C201" s="117">
        <f>FEBRERO!H112+FEBRERO!S112+FEBRERO!T112</f>
        <v>0</v>
      </c>
      <c r="D201" s="132" t="s">
        <v>456</v>
      </c>
      <c r="E201" s="124">
        <v>45712</v>
      </c>
      <c r="F201" s="208">
        <f>SUM(FEBRERO!V112:AW112)</f>
        <v>0</v>
      </c>
      <c r="G201" s="208">
        <f t="shared" si="26"/>
        <v>0</v>
      </c>
      <c r="H201" s="387" t="s">
        <v>2264</v>
      </c>
    </row>
    <row r="202" spans="1:9" x14ac:dyDescent="0.35">
      <c r="A202" s="142" t="s">
        <v>1781</v>
      </c>
      <c r="B202" s="110" t="s">
        <v>290</v>
      </c>
      <c r="C202" s="117">
        <f>FEBRERO!H113+FEBRERO!S113+FEBRERO!T113</f>
        <v>-812.00320000000465</v>
      </c>
      <c r="D202" s="136" t="s">
        <v>243</v>
      </c>
      <c r="E202" s="124">
        <v>45699</v>
      </c>
      <c r="F202" s="208">
        <f>SUM(FEBRERO!V113:AW113)</f>
        <v>1334</v>
      </c>
      <c r="G202" s="208">
        <f t="shared" si="26"/>
        <v>-2146.0032000000047</v>
      </c>
      <c r="H202" s="386"/>
    </row>
    <row r="203" spans="1:9" x14ac:dyDescent="0.35">
      <c r="A203" s="356" t="s">
        <v>2003</v>
      </c>
      <c r="B203" s="110" t="s">
        <v>290</v>
      </c>
      <c r="C203" s="117">
        <f>FEBRERO!H114+FEBRERO!S114+FEBRERO!T114</f>
        <v>870</v>
      </c>
      <c r="D203" s="136" t="s">
        <v>243</v>
      </c>
      <c r="E203" s="124">
        <v>45712</v>
      </c>
      <c r="F203" s="208">
        <f>SUM(FEBRERO!V114:AW114)</f>
        <v>870</v>
      </c>
      <c r="G203" s="208">
        <f t="shared" ref="G203" si="27">C203-F203</f>
        <v>0</v>
      </c>
      <c r="H203" s="386"/>
    </row>
    <row r="204" spans="1:9" x14ac:dyDescent="0.35">
      <c r="A204" s="142" t="s">
        <v>2012</v>
      </c>
      <c r="B204" s="110" t="s">
        <v>290</v>
      </c>
      <c r="C204" s="117">
        <f>FEBRERO!H115+FEBRERO!S115+FEBRERO!T115</f>
        <v>1450</v>
      </c>
      <c r="D204" s="136" t="s">
        <v>243</v>
      </c>
      <c r="E204" s="124">
        <v>45693</v>
      </c>
      <c r="F204" s="208">
        <f>SUM(FEBRERO!V115:AW115)</f>
        <v>1450</v>
      </c>
      <c r="G204" s="208">
        <f t="shared" si="26"/>
        <v>0</v>
      </c>
      <c r="H204" s="391"/>
      <c r="I204" s="211" t="s">
        <v>617</v>
      </c>
    </row>
    <row r="205" spans="1:9" ht="26" x14ac:dyDescent="0.35">
      <c r="A205" s="142" t="s">
        <v>2013</v>
      </c>
      <c r="B205" s="110" t="s">
        <v>290</v>
      </c>
      <c r="C205" s="117">
        <f>FEBRERO!H116+FEBRERO!S116+FEBRERO!T116</f>
        <v>4963.6399999999976</v>
      </c>
      <c r="D205" s="136" t="s">
        <v>243</v>
      </c>
      <c r="E205" s="124">
        <v>45701</v>
      </c>
      <c r="F205" s="208">
        <f>SUM(FEBRERO!V116:AW116)</f>
        <v>4963.6400000000003</v>
      </c>
      <c r="G205" s="208">
        <f t="shared" si="26"/>
        <v>0</v>
      </c>
      <c r="H205" s="388" t="s">
        <v>2052</v>
      </c>
    </row>
    <row r="206" spans="1:9" ht="26" x14ac:dyDescent="0.35">
      <c r="A206" s="142" t="s">
        <v>2214</v>
      </c>
      <c r="B206" s="110" t="s">
        <v>290</v>
      </c>
      <c r="C206" s="117">
        <f>FEBRERO!H117+FEBRERO!S117+FEBRERO!T117-FEBRERO!U117</f>
        <v>40945.68</v>
      </c>
      <c r="D206" s="136" t="s">
        <v>243</v>
      </c>
      <c r="E206" s="124">
        <v>45706</v>
      </c>
      <c r="F206" s="208">
        <f>SUM(FEBRERO!V117:AW117)</f>
        <v>40945.68</v>
      </c>
      <c r="G206" s="208">
        <f t="shared" ref="G206" si="28">C206-F206</f>
        <v>0</v>
      </c>
      <c r="H206" s="388" t="s">
        <v>2219</v>
      </c>
    </row>
    <row r="207" spans="1:9" ht="26" x14ac:dyDescent="0.35">
      <c r="A207" s="142" t="s">
        <v>1478</v>
      </c>
      <c r="B207" s="110" t="s">
        <v>290</v>
      </c>
      <c r="C207" s="117">
        <f>FEBRERO!H118+FEBRERO!S118+FEBRERO!T118</f>
        <v>15428</v>
      </c>
      <c r="D207" s="136" t="s">
        <v>243</v>
      </c>
      <c r="E207" s="124">
        <v>45705</v>
      </c>
      <c r="F207" s="208">
        <f>SUM(FEBRERO!V118:AW118)</f>
        <v>15428</v>
      </c>
      <c r="G207" s="208">
        <f t="shared" si="26"/>
        <v>0</v>
      </c>
      <c r="H207" s="386" t="s">
        <v>2230</v>
      </c>
    </row>
    <row r="208" spans="1:9" x14ac:dyDescent="0.35">
      <c r="A208" s="142" t="s">
        <v>299</v>
      </c>
      <c r="B208" s="110" t="s">
        <v>290</v>
      </c>
      <c r="C208" s="117">
        <f>FEBRERO!H119+FEBRERO!S119+FEBRERO!T119</f>
        <v>38836.800000000003</v>
      </c>
      <c r="D208" s="136" t="s">
        <v>243</v>
      </c>
      <c r="E208" s="124">
        <v>45707</v>
      </c>
      <c r="F208" s="208">
        <f>SUM(FEBRERO!V119:AW119)</f>
        <v>38836.800000000003</v>
      </c>
      <c r="G208" s="208">
        <f t="shared" si="26"/>
        <v>0</v>
      </c>
      <c r="H208" s="386" t="s">
        <v>2239</v>
      </c>
    </row>
    <row r="209" spans="1:8" x14ac:dyDescent="0.35">
      <c r="A209" s="142" t="s">
        <v>1680</v>
      </c>
      <c r="B209" s="110" t="s">
        <v>290</v>
      </c>
      <c r="C209" s="117">
        <f>FEBRERO!H120+FEBRERO!S120+FEBRERO!T120</f>
        <v>9709.2000000000007</v>
      </c>
      <c r="D209" s="132" t="s">
        <v>2078</v>
      </c>
      <c r="E209" s="124"/>
      <c r="F209" s="208">
        <f>SUM(FEBRERO!V120:AW120)</f>
        <v>0</v>
      </c>
      <c r="G209" s="208">
        <f t="shared" si="26"/>
        <v>9709.2000000000007</v>
      </c>
      <c r="H209" s="386" t="s">
        <v>2058</v>
      </c>
    </row>
    <row r="210" spans="1:8" x14ac:dyDescent="0.35">
      <c r="A210" s="142" t="s">
        <v>2061</v>
      </c>
      <c r="B210" s="110" t="s">
        <v>290</v>
      </c>
      <c r="C210" s="117">
        <f>FEBRERO!H121+FEBRERO!S121+FEBRERO!T121</f>
        <v>6264</v>
      </c>
      <c r="D210" s="136" t="s">
        <v>243</v>
      </c>
      <c r="E210" s="124">
        <v>45695</v>
      </c>
      <c r="F210" s="208">
        <f>SUM(FEBRERO!V121:AW121)</f>
        <v>6264</v>
      </c>
      <c r="G210" s="208">
        <f t="shared" ref="G210:G211" si="29">C210-F210</f>
        <v>0</v>
      </c>
      <c r="H210" s="386" t="s">
        <v>2060</v>
      </c>
    </row>
    <row r="211" spans="1:8" ht="39" x14ac:dyDescent="0.35">
      <c r="A211" s="142" t="s">
        <v>2293</v>
      </c>
      <c r="B211" s="110" t="s">
        <v>290</v>
      </c>
      <c r="C211" s="117">
        <f>FEBRERO!H122+FEBRERO!S122+FEBRERO!T122-FEBRERO!U122</f>
        <v>20068</v>
      </c>
      <c r="D211" s="136" t="s">
        <v>243</v>
      </c>
      <c r="E211" s="124">
        <v>45714</v>
      </c>
      <c r="F211" s="208">
        <f>SUM(FEBRERO!V122:AW122)</f>
        <v>20068</v>
      </c>
      <c r="G211" s="208">
        <f t="shared" si="29"/>
        <v>0</v>
      </c>
      <c r="H211" s="386" t="s">
        <v>2300</v>
      </c>
    </row>
    <row r="212" spans="1:8" x14ac:dyDescent="0.35">
      <c r="A212" s="142" t="s">
        <v>659</v>
      </c>
      <c r="B212" s="110" t="s">
        <v>290</v>
      </c>
      <c r="C212" s="117">
        <f>FEBRERO!H123+FEBRERO!S123+FEBRERO!T123</f>
        <v>1740</v>
      </c>
      <c r="D212" s="136" t="s">
        <v>243</v>
      </c>
      <c r="E212" s="124">
        <v>45702</v>
      </c>
      <c r="F212" s="208">
        <f>SUM(FEBRERO!V123:AW123)</f>
        <v>1740</v>
      </c>
      <c r="G212" s="208">
        <f>C212-F212</f>
        <v>0</v>
      </c>
      <c r="H212" s="386"/>
    </row>
    <row r="213" spans="1:8" ht="15.5" x14ac:dyDescent="0.35">
      <c r="A213" s="155" t="s">
        <v>1993</v>
      </c>
      <c r="B213" s="196">
        <v>106</v>
      </c>
      <c r="C213" s="197">
        <f>SUM(C107:C212)</f>
        <v>509064.05560000002</v>
      </c>
      <c r="D213" s="196"/>
      <c r="E213" s="196"/>
      <c r="F213" s="209">
        <f>SUM(F107:F212)</f>
        <v>468718.14999999991</v>
      </c>
      <c r="G213" s="209">
        <f>SUM(G107:G212)</f>
        <v>40345.905600000042</v>
      </c>
      <c r="H213" s="206"/>
    </row>
    <row r="214" spans="1:8" x14ac:dyDescent="0.35">
      <c r="A214" s="142" t="s">
        <v>1756</v>
      </c>
      <c r="B214" s="110" t="s">
        <v>318</v>
      </c>
      <c r="C214" s="117">
        <f>MARZO!I18+MARZO!S18+MARZO!T18</f>
        <v>1160</v>
      </c>
      <c r="D214" s="132" t="s">
        <v>2078</v>
      </c>
      <c r="E214" s="124"/>
      <c r="F214" s="208">
        <f>SUM(MARZO!V18:AZ18)</f>
        <v>0</v>
      </c>
      <c r="G214" s="208">
        <f>C214-F214</f>
        <v>1160</v>
      </c>
      <c r="H214" s="203"/>
    </row>
    <row r="215" spans="1:8" x14ac:dyDescent="0.35">
      <c r="A215" s="142" t="s">
        <v>1757</v>
      </c>
      <c r="B215" s="110" t="s">
        <v>318</v>
      </c>
      <c r="C215" s="117">
        <f>MARZO!I19+MARZO!S19+MARZO!T19</f>
        <v>6844.004799999997</v>
      </c>
      <c r="D215" s="136" t="s">
        <v>243</v>
      </c>
      <c r="E215" s="124">
        <v>45721</v>
      </c>
      <c r="F215" s="208">
        <f>SUM(MARZO!V19:AZ19)</f>
        <v>6844</v>
      </c>
      <c r="G215" s="208">
        <f>C215-F215</f>
        <v>4.799999996976112E-3</v>
      </c>
      <c r="H215" s="388" t="s">
        <v>2276</v>
      </c>
    </row>
    <row r="216" spans="1:8" x14ac:dyDescent="0.35">
      <c r="A216" s="357" t="s">
        <v>1758</v>
      </c>
      <c r="B216" s="110" t="s">
        <v>318</v>
      </c>
      <c r="C216" s="117">
        <f>MARZO!I20+MARZO!S20+MARZO!T20</f>
        <v>1624.0027999999993</v>
      </c>
      <c r="D216" s="136" t="s">
        <v>243</v>
      </c>
      <c r="E216" s="124">
        <v>45736</v>
      </c>
      <c r="F216" s="208">
        <f>SUM(MARZO!V20:AZ20)</f>
        <v>1624</v>
      </c>
      <c r="G216" s="208">
        <f>C216-F216</f>
        <v>2.7999999992971425E-3</v>
      </c>
      <c r="H216" s="387"/>
    </row>
    <row r="217" spans="1:8" x14ac:dyDescent="0.35">
      <c r="A217" s="142" t="s">
        <v>375</v>
      </c>
      <c r="B217" s="110" t="s">
        <v>318</v>
      </c>
      <c r="C217" s="117">
        <f>MARZO!I21+MARZO!S21+MARZO!T21</f>
        <v>1967.3568000000066</v>
      </c>
      <c r="D217" s="136" t="s">
        <v>243</v>
      </c>
      <c r="E217" s="124">
        <v>45737</v>
      </c>
      <c r="F217" s="208">
        <f>SUM(MARZO!V21:AZ21)</f>
        <v>1967.36</v>
      </c>
      <c r="G217" s="208">
        <f>C217-F217</f>
        <v>-3.1999999932850187E-3</v>
      </c>
      <c r="H217" s="203" t="s">
        <v>2275</v>
      </c>
    </row>
    <row r="218" spans="1:8" x14ac:dyDescent="0.35">
      <c r="A218" s="142" t="s">
        <v>750</v>
      </c>
      <c r="B218" s="110" t="s">
        <v>318</v>
      </c>
      <c r="C218" s="117">
        <f>MARZO!I22+MARZO!S22+MARZO!T22</f>
        <v>3132.0047999999974</v>
      </c>
      <c r="D218" s="136" t="s">
        <v>243</v>
      </c>
      <c r="E218" s="124">
        <v>45719</v>
      </c>
      <c r="F218" s="208">
        <f>SUM(MARZO!V22:AZ22)</f>
        <v>3132</v>
      </c>
      <c r="G218" s="208">
        <f>C218-F218</f>
        <v>4.7999999974308594E-3</v>
      </c>
      <c r="H218" s="203"/>
    </row>
    <row r="219" spans="1:8" x14ac:dyDescent="0.35">
      <c r="A219" s="142" t="s">
        <v>1723</v>
      </c>
      <c r="B219" s="110" t="s">
        <v>318</v>
      </c>
      <c r="C219" s="117">
        <f>MARZO!I23+MARZO!S23+MARZO!T23</f>
        <v>348</v>
      </c>
      <c r="D219" s="136" t="s">
        <v>243</v>
      </c>
      <c r="E219" s="124">
        <v>45737</v>
      </c>
      <c r="F219" s="208">
        <f>SUM(MARZO!V23:AZ23)</f>
        <v>348</v>
      </c>
      <c r="G219" s="208">
        <f t="shared" ref="G219:G227" si="30">C219-F219</f>
        <v>0</v>
      </c>
      <c r="H219" s="203" t="s">
        <v>1589</v>
      </c>
    </row>
    <row r="220" spans="1:8" x14ac:dyDescent="0.35">
      <c r="A220" s="142" t="s">
        <v>779</v>
      </c>
      <c r="B220" s="110" t="s">
        <v>318</v>
      </c>
      <c r="C220" s="117">
        <f>MARZO!I24+MARZO!S24+MARZO!T24</f>
        <v>290</v>
      </c>
      <c r="D220" s="136" t="s">
        <v>243</v>
      </c>
      <c r="E220" s="124">
        <v>45719</v>
      </c>
      <c r="F220" s="208">
        <f>SUM(MARZO!V24:AZ24)</f>
        <v>290</v>
      </c>
      <c r="G220" s="208">
        <f t="shared" si="30"/>
        <v>0</v>
      </c>
      <c r="H220" s="203"/>
    </row>
    <row r="221" spans="1:8" x14ac:dyDescent="0.35">
      <c r="A221" s="142" t="s">
        <v>1724</v>
      </c>
      <c r="B221" s="110" t="s">
        <v>318</v>
      </c>
      <c r="C221" s="117">
        <f>MARZO!I25+MARZO!S25+MARZO!T25</f>
        <v>1449.9967999999992</v>
      </c>
      <c r="D221" s="136" t="s">
        <v>243</v>
      </c>
      <c r="E221" s="124">
        <v>45722</v>
      </c>
      <c r="F221" s="208">
        <f>SUM(MARZO!V25:AZ25)</f>
        <v>1450</v>
      </c>
      <c r="G221" s="208">
        <f t="shared" si="30"/>
        <v>-3.20000000078835E-3</v>
      </c>
      <c r="H221" s="203"/>
    </row>
    <row r="222" spans="1:8" x14ac:dyDescent="0.35">
      <c r="A222" s="91" t="s">
        <v>1578</v>
      </c>
      <c r="B222" s="110" t="s">
        <v>318</v>
      </c>
      <c r="C222" s="117">
        <f>MARZO!I26+MARZO!S26+MARZO!T26</f>
        <v>348</v>
      </c>
      <c r="D222" s="136" t="s">
        <v>243</v>
      </c>
      <c r="E222" s="124">
        <v>45720</v>
      </c>
      <c r="F222" s="208">
        <f>SUM(MARZO!V26:AZ26)</f>
        <v>348</v>
      </c>
      <c r="G222" s="208">
        <f t="shared" si="30"/>
        <v>0</v>
      </c>
      <c r="H222" s="203" t="s">
        <v>2195</v>
      </c>
    </row>
    <row r="223" spans="1:8" x14ac:dyDescent="0.35">
      <c r="A223" s="142" t="s">
        <v>783</v>
      </c>
      <c r="B223" s="110" t="s">
        <v>318</v>
      </c>
      <c r="C223" s="117">
        <f>MARZO!I27+MARZO!S27+MARZO!T27</f>
        <v>1618.2039999999984</v>
      </c>
      <c r="D223" s="136" t="s">
        <v>243</v>
      </c>
      <c r="E223" s="124">
        <v>45720</v>
      </c>
      <c r="F223" s="208">
        <f>SUM(MARZO!V27:AZ27)</f>
        <v>1618.2</v>
      </c>
      <c r="G223" s="208">
        <f t="shared" si="30"/>
        <v>3.9999999983137968E-3</v>
      </c>
      <c r="H223" s="203"/>
    </row>
    <row r="224" spans="1:8" x14ac:dyDescent="0.35">
      <c r="A224" s="142" t="s">
        <v>1759</v>
      </c>
      <c r="B224" s="110" t="s">
        <v>318</v>
      </c>
      <c r="C224" s="117">
        <f>MARZO!I28+MARZO!S28+MARZO!T28</f>
        <v>1624.0028000000002</v>
      </c>
      <c r="D224" s="136" t="s">
        <v>243</v>
      </c>
      <c r="E224" s="124">
        <v>45722</v>
      </c>
      <c r="F224" s="208">
        <f>SUM(MARZO!V28:AZ28)</f>
        <v>1624</v>
      </c>
      <c r="G224" s="208">
        <f t="shared" si="30"/>
        <v>2.8000000002066372E-3</v>
      </c>
      <c r="H224" s="386"/>
    </row>
    <row r="225" spans="1:9" x14ac:dyDescent="0.35">
      <c r="A225" s="142" t="s">
        <v>1725</v>
      </c>
      <c r="B225" s="110" t="s">
        <v>318</v>
      </c>
      <c r="C225" s="117">
        <f>MARZO!I29+MARZO!S29+MARZO!T29</f>
        <v>1392</v>
      </c>
      <c r="D225" s="136" t="s">
        <v>243</v>
      </c>
      <c r="E225" s="124">
        <v>45720</v>
      </c>
      <c r="F225" s="208">
        <f>SUM(MARZO!V29:AZ29)</f>
        <v>1392</v>
      </c>
      <c r="G225" s="208">
        <f t="shared" si="30"/>
        <v>0</v>
      </c>
      <c r="H225" s="203"/>
    </row>
    <row r="226" spans="1:9" x14ac:dyDescent="0.35">
      <c r="A226" s="142" t="s">
        <v>1352</v>
      </c>
      <c r="B226" s="110" t="s">
        <v>318</v>
      </c>
      <c r="C226" s="117">
        <f>MARZO!I30+MARZO!S30+MARZO!T30</f>
        <v>1740</v>
      </c>
      <c r="D226" s="136" t="s">
        <v>243</v>
      </c>
      <c r="E226" s="124">
        <v>45726</v>
      </c>
      <c r="F226" s="208">
        <f>SUM(MARZO!V30:AZ30)</f>
        <v>5220</v>
      </c>
      <c r="G226" s="208">
        <f t="shared" si="30"/>
        <v>-3480</v>
      </c>
      <c r="H226" s="203" t="s">
        <v>2453</v>
      </c>
    </row>
    <row r="227" spans="1:9" x14ac:dyDescent="0.35">
      <c r="A227" s="142" t="s">
        <v>1726</v>
      </c>
      <c r="B227" s="110" t="s">
        <v>318</v>
      </c>
      <c r="C227" s="117">
        <f>MARZO!I31+MARZO!S31+MARZO!T31</f>
        <v>1902</v>
      </c>
      <c r="D227" s="136" t="s">
        <v>243</v>
      </c>
      <c r="E227" s="124">
        <v>45736</v>
      </c>
      <c r="F227" s="208">
        <f>SUM(MARZO!V31:AZ31)</f>
        <v>2030</v>
      </c>
      <c r="G227" s="208">
        <f t="shared" si="30"/>
        <v>-128</v>
      </c>
      <c r="H227" s="389"/>
    </row>
    <row r="228" spans="1:9" x14ac:dyDescent="0.35">
      <c r="A228" s="142" t="s">
        <v>1727</v>
      </c>
      <c r="B228" s="110" t="s">
        <v>318</v>
      </c>
      <c r="C228" s="117">
        <f>MARZO!I32+MARZO!S32+MARZO!T32</f>
        <v>1508.0011999999997</v>
      </c>
      <c r="D228" s="136" t="s">
        <v>243</v>
      </c>
      <c r="E228" s="124">
        <v>45721</v>
      </c>
      <c r="F228" s="208">
        <f>SUM(MARZO!V32:AZ32)</f>
        <v>1508</v>
      </c>
      <c r="G228" s="208">
        <f>C228-F228</f>
        <v>1.1999999996987754E-3</v>
      </c>
      <c r="H228" s="387"/>
    </row>
    <row r="229" spans="1:9" x14ac:dyDescent="0.35">
      <c r="A229" s="142" t="s">
        <v>1632</v>
      </c>
      <c r="B229" s="110" t="s">
        <v>318</v>
      </c>
      <c r="C229" s="117">
        <f>MARZO!I33+MARZO!S33+MARZO!T33</f>
        <v>1941.836</v>
      </c>
      <c r="D229" s="136" t="s">
        <v>243</v>
      </c>
      <c r="E229" s="124">
        <v>45727</v>
      </c>
      <c r="F229" s="208">
        <f>SUM(MARZO!V33:AZ33)</f>
        <v>1941.84</v>
      </c>
      <c r="G229" s="208">
        <f>C229-F229</f>
        <v>-3.9999999999054126E-3</v>
      </c>
      <c r="H229" s="203"/>
      <c r="I229" s="340" t="s">
        <v>931</v>
      </c>
    </row>
    <row r="230" spans="1:9" ht="52" x14ac:dyDescent="0.35">
      <c r="A230" s="142" t="s">
        <v>1760</v>
      </c>
      <c r="B230" s="110" t="s">
        <v>318</v>
      </c>
      <c r="C230" s="117">
        <f>MARZO!I34+MARZO!S34+MARZO!T34</f>
        <v>3132</v>
      </c>
      <c r="D230" s="136" t="s">
        <v>243</v>
      </c>
      <c r="E230" s="124">
        <v>45730</v>
      </c>
      <c r="F230" s="208">
        <f>SUM(MARZO!V34:AZ34)</f>
        <v>18792</v>
      </c>
      <c r="G230" s="208">
        <f>C230-F230</f>
        <v>-15660</v>
      </c>
      <c r="H230" s="388" t="s">
        <v>2500</v>
      </c>
    </row>
    <row r="231" spans="1:9" x14ac:dyDescent="0.35">
      <c r="A231" s="142" t="s">
        <v>1274</v>
      </c>
      <c r="B231" s="110" t="s">
        <v>318</v>
      </c>
      <c r="C231" s="117">
        <f>MARZO!I35+MARZO!S35+MARZO!T35</f>
        <v>290</v>
      </c>
      <c r="D231" s="136" t="s">
        <v>243</v>
      </c>
      <c r="E231" s="124">
        <v>45723</v>
      </c>
      <c r="F231" s="208">
        <f>SUM(MARZO!V35:AZ35)</f>
        <v>290</v>
      </c>
      <c r="G231" s="208">
        <f t="shared" ref="G231:G236" si="31">C231-F231</f>
        <v>0</v>
      </c>
      <c r="H231" s="203"/>
    </row>
    <row r="232" spans="1:9" x14ac:dyDescent="0.35">
      <c r="A232" s="142" t="s">
        <v>654</v>
      </c>
      <c r="B232" s="110" t="s">
        <v>318</v>
      </c>
      <c r="C232" s="117">
        <f>MARZO!I36+MARZO!S36+MARZO!T36</f>
        <v>579.99559999999997</v>
      </c>
      <c r="D232" s="136" t="s">
        <v>243</v>
      </c>
      <c r="E232" s="124">
        <v>45720</v>
      </c>
      <c r="F232" s="208">
        <f>SUM(MARZO!V36:AZ36)</f>
        <v>580</v>
      </c>
      <c r="G232" s="208">
        <f t="shared" si="31"/>
        <v>-4.400000000032378E-3</v>
      </c>
      <c r="H232" s="203"/>
    </row>
    <row r="233" spans="1:9" x14ac:dyDescent="0.35">
      <c r="A233" s="142" t="s">
        <v>1761</v>
      </c>
      <c r="B233" s="110" t="s">
        <v>318</v>
      </c>
      <c r="C233" s="117">
        <f>MARZO!I37+MARZO!S37+MARZO!T37</f>
        <v>2088.0075999999995</v>
      </c>
      <c r="D233" s="136" t="s">
        <v>243</v>
      </c>
      <c r="E233" s="124">
        <v>45727</v>
      </c>
      <c r="F233" s="208">
        <f>SUM(MARZO!V37:AZ37)</f>
        <v>2842</v>
      </c>
      <c r="G233" s="208">
        <f t="shared" si="31"/>
        <v>-753.99240000000054</v>
      </c>
      <c r="H233" s="386"/>
    </row>
    <row r="234" spans="1:9" x14ac:dyDescent="0.35">
      <c r="A234" s="142" t="s">
        <v>1730</v>
      </c>
      <c r="B234" s="110" t="s">
        <v>318</v>
      </c>
      <c r="C234" s="117">
        <f>MARZO!I38+MARZO!S38+MARZO!T38</f>
        <v>1155.3600000000013</v>
      </c>
      <c r="D234" s="136" t="s">
        <v>243</v>
      </c>
      <c r="E234" s="124">
        <v>45726</v>
      </c>
      <c r="F234" s="208">
        <f>SUM(MARZO!V38:AZ38)</f>
        <v>1155.3599999999999</v>
      </c>
      <c r="G234" s="208">
        <f t="shared" si="31"/>
        <v>0</v>
      </c>
      <c r="H234" s="203"/>
    </row>
    <row r="235" spans="1:9" x14ac:dyDescent="0.35">
      <c r="A235" s="142" t="s">
        <v>1446</v>
      </c>
      <c r="B235" s="110" t="s">
        <v>318</v>
      </c>
      <c r="C235" s="117">
        <f>MARZO!I39+MARZO!S39+MARZO!T39</f>
        <v>696</v>
      </c>
      <c r="D235" s="136" t="s">
        <v>243</v>
      </c>
      <c r="E235" s="124">
        <v>45723</v>
      </c>
      <c r="F235" s="208">
        <f>SUM(MARZO!V39:AZ39)</f>
        <v>696</v>
      </c>
      <c r="G235" s="208">
        <f t="shared" si="31"/>
        <v>0</v>
      </c>
      <c r="H235" s="203" t="s">
        <v>1588</v>
      </c>
    </row>
    <row r="236" spans="1:9" x14ac:dyDescent="0.35">
      <c r="A236" s="142" t="s">
        <v>960</v>
      </c>
      <c r="B236" s="110" t="s">
        <v>318</v>
      </c>
      <c r="C236" s="117">
        <f>MARZO!I40+MARZO!S40+MARZO!T40</f>
        <v>33555.419999999969</v>
      </c>
      <c r="D236" s="136" t="s">
        <v>243</v>
      </c>
      <c r="E236" s="124">
        <v>45741</v>
      </c>
      <c r="F236" s="208">
        <f>SUM(MARZO!V40:AZ40)</f>
        <v>30335.39</v>
      </c>
      <c r="G236" s="208">
        <f t="shared" si="31"/>
        <v>3220.0299999999697</v>
      </c>
      <c r="H236" s="203"/>
      <c r="I236" s="252"/>
    </row>
    <row r="237" spans="1:9" x14ac:dyDescent="0.35">
      <c r="A237" s="142" t="s">
        <v>1453</v>
      </c>
      <c r="B237" s="110" t="s">
        <v>318</v>
      </c>
      <c r="C237" s="117">
        <f>MARZO!I41+MARZO!S41+MARZO!T41</f>
        <v>348</v>
      </c>
      <c r="D237" s="136" t="s">
        <v>243</v>
      </c>
      <c r="E237" s="124">
        <v>45735</v>
      </c>
      <c r="F237" s="208">
        <f>SUM(MARZO!V41:AZ41)</f>
        <v>348</v>
      </c>
      <c r="G237" s="208">
        <f>C237-F237</f>
        <v>0</v>
      </c>
      <c r="H237" s="203"/>
      <c r="I237" s="252"/>
    </row>
    <row r="238" spans="1:9" x14ac:dyDescent="0.35">
      <c r="A238" s="142" t="s">
        <v>428</v>
      </c>
      <c r="B238" s="110" t="s">
        <v>318</v>
      </c>
      <c r="C238" s="117">
        <f>MARZO!I42+MARZO!S42+MARZO!T42</f>
        <v>10683.595600000001</v>
      </c>
      <c r="D238" s="132" t="s">
        <v>2078</v>
      </c>
      <c r="E238" s="124"/>
      <c r="F238" s="208">
        <f>SUM(MARZO!V42:AZ42)</f>
        <v>0</v>
      </c>
      <c r="G238" s="208">
        <f t="shared" ref="G238" si="32">C238-F238</f>
        <v>10683.595600000001</v>
      </c>
      <c r="H238" s="203"/>
      <c r="I238" s="252"/>
    </row>
    <row r="239" spans="1:9" x14ac:dyDescent="0.35">
      <c r="A239" s="142" t="s">
        <v>1685</v>
      </c>
      <c r="B239" s="110" t="s">
        <v>318</v>
      </c>
      <c r="C239" s="117">
        <f>MARZO!I43+MARZO!S43+MARZO!T43</f>
        <v>1345.5996</v>
      </c>
      <c r="D239" s="136" t="s">
        <v>243</v>
      </c>
      <c r="E239" s="124">
        <v>45729</v>
      </c>
      <c r="F239" s="208">
        <f>SUM(MARZO!V43:AZ43)</f>
        <v>1345.6</v>
      </c>
      <c r="G239" s="208">
        <f>C239-F239</f>
        <v>-3.9999999989959178E-4</v>
      </c>
      <c r="H239" s="203" t="s">
        <v>2452</v>
      </c>
      <c r="I239" s="252"/>
    </row>
    <row r="240" spans="1:9" x14ac:dyDescent="0.35">
      <c r="A240" s="142" t="s">
        <v>1493</v>
      </c>
      <c r="B240" s="110" t="s">
        <v>318</v>
      </c>
      <c r="C240" s="117">
        <f>MARZO!I44+MARZO!S44+MARZO!T44</f>
        <v>6264.0020000000004</v>
      </c>
      <c r="D240" s="136" t="s">
        <v>243</v>
      </c>
      <c r="E240" s="124">
        <v>45726</v>
      </c>
      <c r="F240" s="208">
        <f>SUM(MARZO!V44:AZ44)</f>
        <v>6264</v>
      </c>
      <c r="G240" s="208">
        <f t="shared" ref="G240" si="33">C240-F240</f>
        <v>2.0000000004074536E-3</v>
      </c>
      <c r="H240" s="203"/>
    </row>
    <row r="241" spans="1:8" x14ac:dyDescent="0.35">
      <c r="A241" s="142" t="s">
        <v>1936</v>
      </c>
      <c r="B241" s="110" t="s">
        <v>318</v>
      </c>
      <c r="C241" s="117">
        <f>MARZO!I45+MARZO!S45+MARZO!T45</f>
        <v>9774.6239999999998</v>
      </c>
      <c r="D241" s="136" t="s">
        <v>243</v>
      </c>
      <c r="E241" s="124">
        <v>45717</v>
      </c>
      <c r="F241" s="208">
        <f>SUM(MARZO!V45:AZ45)</f>
        <v>9774.6200000000008</v>
      </c>
      <c r="G241" s="208">
        <f>C241-F241</f>
        <v>3.9999999989959178E-3</v>
      </c>
      <c r="H241" s="203" t="s">
        <v>2441</v>
      </c>
    </row>
    <row r="242" spans="1:8" x14ac:dyDescent="0.35">
      <c r="A242" s="142" t="s">
        <v>655</v>
      </c>
      <c r="B242" s="110" t="s">
        <v>318</v>
      </c>
      <c r="C242" s="117">
        <f>MARZO!I46+MARZO!S46+MARZO!T46</f>
        <v>4059.999600000001</v>
      </c>
      <c r="D242" s="136" t="s">
        <v>243</v>
      </c>
      <c r="E242" s="124">
        <v>45720</v>
      </c>
      <c r="F242" s="208">
        <f>SUM(MARZO!V46:AZ46)</f>
        <v>4060</v>
      </c>
      <c r="G242" s="208">
        <f>C242-F242</f>
        <v>-3.9999999899009708E-4</v>
      </c>
      <c r="H242" s="386"/>
    </row>
    <row r="243" spans="1:8" x14ac:dyDescent="0.35">
      <c r="A243" s="142" t="s">
        <v>1768</v>
      </c>
      <c r="B243" s="110" t="s">
        <v>318</v>
      </c>
      <c r="C243" s="117">
        <f>MARZO!I47+MARZO!S47+MARZO!T47</f>
        <v>348</v>
      </c>
      <c r="D243" s="136" t="s">
        <v>243</v>
      </c>
      <c r="E243" s="124">
        <v>45737</v>
      </c>
      <c r="F243" s="208">
        <f>SUM(MARZO!V47:AZ47)</f>
        <v>348</v>
      </c>
      <c r="G243" s="208">
        <f t="shared" ref="G243:G253" si="34">C243-F243</f>
        <v>0</v>
      </c>
      <c r="H243" s="203"/>
    </row>
    <row r="244" spans="1:8" x14ac:dyDescent="0.35">
      <c r="A244" s="142" t="s">
        <v>1769</v>
      </c>
      <c r="B244" s="110" t="s">
        <v>318</v>
      </c>
      <c r="C244" s="117">
        <f>MARZO!I48+MARZO!S48+MARZO!T48</f>
        <v>696</v>
      </c>
      <c r="D244" s="136" t="s">
        <v>243</v>
      </c>
      <c r="E244" s="124">
        <v>45723</v>
      </c>
      <c r="F244" s="208">
        <f>SUM(MARZO!V48:AZ48)</f>
        <v>696</v>
      </c>
      <c r="G244" s="208">
        <f t="shared" si="34"/>
        <v>0</v>
      </c>
      <c r="H244" s="203"/>
    </row>
    <row r="245" spans="1:8" x14ac:dyDescent="0.35">
      <c r="A245" s="142" t="s">
        <v>1458</v>
      </c>
      <c r="B245" s="110" t="s">
        <v>318</v>
      </c>
      <c r="C245" s="117">
        <f>MARZO!I49+MARZO!S49+MARZO!T49</f>
        <v>1044</v>
      </c>
      <c r="D245" s="136" t="s">
        <v>243</v>
      </c>
      <c r="E245" s="124">
        <v>45728</v>
      </c>
      <c r="F245" s="208">
        <f>SUM(MARZO!V49:AZ49)</f>
        <v>1044</v>
      </c>
      <c r="G245" s="208">
        <f t="shared" si="34"/>
        <v>0</v>
      </c>
      <c r="H245" s="203"/>
    </row>
    <row r="246" spans="1:8" x14ac:dyDescent="0.35">
      <c r="A246" s="142" t="s">
        <v>1762</v>
      </c>
      <c r="B246" s="110" t="s">
        <v>318</v>
      </c>
      <c r="C246" s="117">
        <f>MARZO!I50+MARZO!S50+MARZO!T50</f>
        <v>1044</v>
      </c>
      <c r="D246" s="136" t="s">
        <v>243</v>
      </c>
      <c r="E246" s="124">
        <v>45730</v>
      </c>
      <c r="F246" s="208">
        <f>SUM(MARZO!V50:AZ50)</f>
        <v>1044</v>
      </c>
      <c r="G246" s="208">
        <f t="shared" si="34"/>
        <v>0</v>
      </c>
      <c r="H246" s="203"/>
    </row>
    <row r="247" spans="1:8" x14ac:dyDescent="0.35">
      <c r="A247" s="91" t="s">
        <v>2458</v>
      </c>
      <c r="B247" s="110" t="s">
        <v>318</v>
      </c>
      <c r="C247" s="117">
        <f>MARZO!I51+MARZO!S51+MARZO!T51</f>
        <v>2842</v>
      </c>
      <c r="D247" s="136" t="s">
        <v>243</v>
      </c>
      <c r="E247" s="124">
        <v>45736</v>
      </c>
      <c r="F247" s="208">
        <f>SUM(MARZO!V51:AZ51)</f>
        <v>2842</v>
      </c>
      <c r="G247" s="208">
        <f t="shared" ref="G247" si="35">C247-F247</f>
        <v>0</v>
      </c>
      <c r="H247" s="203" t="s">
        <v>2459</v>
      </c>
    </row>
    <row r="248" spans="1:8" x14ac:dyDescent="0.35">
      <c r="A248" s="142" t="s">
        <v>780</v>
      </c>
      <c r="B248" s="110" t="s">
        <v>318</v>
      </c>
      <c r="C248" s="117">
        <f>MARZO!I52+MARZO!S52+MARZO!T52</f>
        <v>1392</v>
      </c>
      <c r="D248" s="136" t="s">
        <v>243</v>
      </c>
      <c r="E248" s="124">
        <v>45720</v>
      </c>
      <c r="F248" s="208">
        <f>SUM(MARZO!V52:AZ52)</f>
        <v>1392</v>
      </c>
      <c r="G248" s="208">
        <f t="shared" si="34"/>
        <v>0</v>
      </c>
      <c r="H248" s="203"/>
    </row>
    <row r="249" spans="1:8" x14ac:dyDescent="0.35">
      <c r="A249" s="142" t="s">
        <v>1731</v>
      </c>
      <c r="B249" s="110" t="s">
        <v>318</v>
      </c>
      <c r="C249" s="117">
        <f>MARZO!I53+MARZO!S53+MARZO!T53</f>
        <v>870.00000000000091</v>
      </c>
      <c r="D249" s="136" t="s">
        <v>243</v>
      </c>
      <c r="E249" s="124">
        <v>45720</v>
      </c>
      <c r="F249" s="208">
        <f>SUM(MARZO!V53:AZ53)</f>
        <v>870</v>
      </c>
      <c r="G249" s="208">
        <f t="shared" si="34"/>
        <v>9.0949470177292824E-13</v>
      </c>
      <c r="H249" s="203"/>
    </row>
    <row r="250" spans="1:8" x14ac:dyDescent="0.35">
      <c r="A250" s="142" t="s">
        <v>1732</v>
      </c>
      <c r="B250" s="110" t="s">
        <v>318</v>
      </c>
      <c r="C250" s="117">
        <f>MARZO!I54+MARZO!S54+MARZO!T54</f>
        <v>348</v>
      </c>
      <c r="D250" s="136" t="s">
        <v>243</v>
      </c>
      <c r="E250" s="124">
        <v>45730</v>
      </c>
      <c r="F250" s="208">
        <f>SUM(MARZO!V54:AZ54)</f>
        <v>348</v>
      </c>
      <c r="G250" s="208">
        <f t="shared" si="34"/>
        <v>0</v>
      </c>
      <c r="H250" s="203"/>
    </row>
    <row r="251" spans="1:8" x14ac:dyDescent="0.35">
      <c r="A251" s="142" t="s">
        <v>1734</v>
      </c>
      <c r="B251" s="110" t="s">
        <v>318</v>
      </c>
      <c r="C251" s="117">
        <f>MARZO!I55+MARZO!S55+MARZO!T55</f>
        <v>1619.3632000000061</v>
      </c>
      <c r="D251" s="136" t="s">
        <v>243</v>
      </c>
      <c r="E251" s="124">
        <v>45729</v>
      </c>
      <c r="F251" s="208">
        <f>SUM(MARZO!V55:AZ55)</f>
        <v>1619.36</v>
      </c>
      <c r="G251" s="208">
        <f t="shared" si="34"/>
        <v>3.2000000062453182E-3</v>
      </c>
      <c r="H251" s="203"/>
    </row>
    <row r="252" spans="1:8" x14ac:dyDescent="0.35">
      <c r="A252" s="142" t="s">
        <v>1415</v>
      </c>
      <c r="B252" s="110" t="s">
        <v>318</v>
      </c>
      <c r="C252" s="117">
        <f>MARZO!I56+MARZO!S56+MARZO!T56</f>
        <v>4696.836400000002</v>
      </c>
      <c r="D252" s="136" t="s">
        <v>243</v>
      </c>
      <c r="E252" s="124">
        <v>45720</v>
      </c>
      <c r="F252" s="208">
        <f>SUM(MARZO!V56:AZ56)</f>
        <v>4696.84</v>
      </c>
      <c r="G252" s="208">
        <f t="shared" si="34"/>
        <v>-3.5999999981868314E-3</v>
      </c>
      <c r="H252" s="203" t="s">
        <v>2317</v>
      </c>
    </row>
    <row r="253" spans="1:8" x14ac:dyDescent="0.35">
      <c r="A253" s="142" t="s">
        <v>1763</v>
      </c>
      <c r="B253" s="110" t="s">
        <v>318</v>
      </c>
      <c r="C253" s="117">
        <f>MARZO!I57+MARZO!S57+MARZO!T57</f>
        <v>9117.6047999999973</v>
      </c>
      <c r="D253" s="136" t="s">
        <v>243</v>
      </c>
      <c r="E253" s="124">
        <v>45723</v>
      </c>
      <c r="F253" s="208">
        <f>SUM(MARZO!V57:AZ57)</f>
        <v>9117.6</v>
      </c>
      <c r="G253" s="208">
        <f t="shared" si="34"/>
        <v>4.799999996976112E-3</v>
      </c>
      <c r="H253" s="203" t="s">
        <v>2316</v>
      </c>
    </row>
    <row r="254" spans="1:8" x14ac:dyDescent="0.35">
      <c r="A254" s="142" t="s">
        <v>656</v>
      </c>
      <c r="B254" s="110" t="s">
        <v>318</v>
      </c>
      <c r="C254" s="117">
        <f>MARZO!I58+MARZO!S58+MARZO!T58</f>
        <v>1531.1952000000003</v>
      </c>
      <c r="D254" s="136" t="s">
        <v>243</v>
      </c>
      <c r="E254" s="124">
        <v>45723</v>
      </c>
      <c r="F254" s="208">
        <f>SUM(MARZO!V58:AZ58)</f>
        <v>1531.2</v>
      </c>
      <c r="G254" s="208">
        <f>C254-F254</f>
        <v>-4.7999999997045961E-3</v>
      </c>
      <c r="H254" s="203"/>
    </row>
    <row r="255" spans="1:8" x14ac:dyDescent="0.35">
      <c r="A255" s="142" t="s">
        <v>2443</v>
      </c>
      <c r="B255" s="110" t="s">
        <v>318</v>
      </c>
      <c r="C255" s="117">
        <f>MARZO!I59+MARZO!S59+MARZO!T59</f>
        <v>3826.84</v>
      </c>
      <c r="D255" s="136" t="s">
        <v>243</v>
      </c>
      <c r="E255" s="124">
        <v>45723</v>
      </c>
      <c r="F255" s="208">
        <f>SUM(MARZO!V59:AZ59)</f>
        <v>3826.84</v>
      </c>
      <c r="G255" s="208">
        <f t="shared" ref="G255" si="36">C255-F255</f>
        <v>0</v>
      </c>
      <c r="H255" s="203" t="s">
        <v>2446</v>
      </c>
    </row>
    <row r="256" spans="1:8" x14ac:dyDescent="0.35">
      <c r="A256" s="142" t="s">
        <v>1736</v>
      </c>
      <c r="B256" s="110" t="s">
        <v>318</v>
      </c>
      <c r="C256" s="117">
        <f>MARZO!I60+MARZO!S60+MARZO!T60</f>
        <v>348</v>
      </c>
      <c r="D256" s="136" t="s">
        <v>243</v>
      </c>
      <c r="E256" s="124">
        <v>45729</v>
      </c>
      <c r="F256" s="208">
        <f>SUM(MARZO!V60:AZ60)</f>
        <v>348</v>
      </c>
      <c r="G256" s="208">
        <f>C256-F256</f>
        <v>0</v>
      </c>
      <c r="H256" s="386"/>
    </row>
    <row r="257" spans="1:8" x14ac:dyDescent="0.35">
      <c r="A257" s="142" t="s">
        <v>1737</v>
      </c>
      <c r="B257" s="110" t="s">
        <v>318</v>
      </c>
      <c r="C257" s="117">
        <f>MARZO!I61+MARZO!S61+MARZO!T61</f>
        <v>1392</v>
      </c>
      <c r="D257" s="136" t="s">
        <v>243</v>
      </c>
      <c r="E257" s="124">
        <v>45727</v>
      </c>
      <c r="F257" s="208">
        <f>SUM(MARZO!V61:AZ61)</f>
        <v>1392</v>
      </c>
      <c r="G257" s="208">
        <f t="shared" ref="G257:G294" si="37">C257-F257</f>
        <v>0</v>
      </c>
      <c r="H257" s="203"/>
    </row>
    <row r="258" spans="1:8" x14ac:dyDescent="0.35">
      <c r="A258" s="142" t="s">
        <v>827</v>
      </c>
      <c r="B258" s="110" t="s">
        <v>318</v>
      </c>
      <c r="C258" s="117">
        <f>MARZO!I62+MARZO!S62+MARZO!T62</f>
        <v>765.60000000000025</v>
      </c>
      <c r="D258" s="136" t="s">
        <v>243</v>
      </c>
      <c r="E258" s="124">
        <v>45720</v>
      </c>
      <c r="F258" s="208">
        <f>SUM(MARZO!V62:AZ62)</f>
        <v>765.6</v>
      </c>
      <c r="G258" s="208">
        <f t="shared" si="37"/>
        <v>0</v>
      </c>
      <c r="H258" s="203"/>
    </row>
    <row r="259" spans="1:8" x14ac:dyDescent="0.35">
      <c r="A259" s="142" t="s">
        <v>1738</v>
      </c>
      <c r="B259" s="110" t="s">
        <v>318</v>
      </c>
      <c r="C259" s="117">
        <f>MARZO!I63+MARZO!S63+MARZO!T63</f>
        <v>4693.3640000000196</v>
      </c>
      <c r="D259" s="132" t="s">
        <v>2078</v>
      </c>
      <c r="E259" s="124"/>
      <c r="F259" s="208">
        <f>SUM(MARZO!V63:AZ63)</f>
        <v>0</v>
      </c>
      <c r="G259" s="208">
        <f t="shared" si="37"/>
        <v>4693.3640000000196</v>
      </c>
      <c r="H259" s="386"/>
    </row>
    <row r="260" spans="1:8" x14ac:dyDescent="0.35">
      <c r="A260" s="142" t="s">
        <v>713</v>
      </c>
      <c r="B260" s="110" t="s">
        <v>318</v>
      </c>
      <c r="C260" s="117">
        <f>MARZO!I64+MARZO!S64+MARZO!T64</f>
        <v>1391.9996000000001</v>
      </c>
      <c r="D260" s="136" t="s">
        <v>243</v>
      </c>
      <c r="E260" s="124">
        <v>45721</v>
      </c>
      <c r="F260" s="208">
        <f>SUM(MARZO!V64:AZ64)</f>
        <v>1392</v>
      </c>
      <c r="G260" s="208">
        <f t="shared" si="37"/>
        <v>-3.9999999989959178E-4</v>
      </c>
      <c r="H260" s="203"/>
    </row>
    <row r="261" spans="1:8" x14ac:dyDescent="0.35">
      <c r="A261" s="142" t="s">
        <v>1551</v>
      </c>
      <c r="B261" s="110" t="s">
        <v>318</v>
      </c>
      <c r="C261" s="117">
        <f>MARZO!I65+MARZO!S65+MARZO!T65</f>
        <v>232</v>
      </c>
      <c r="D261" s="136" t="s">
        <v>243</v>
      </c>
      <c r="E261" s="124">
        <v>45720</v>
      </c>
      <c r="F261" s="208">
        <f>SUM(MARZO!V65:AZ65)</f>
        <v>232</v>
      </c>
      <c r="G261" s="208">
        <f t="shared" si="37"/>
        <v>0</v>
      </c>
      <c r="H261" s="203"/>
    </row>
    <row r="262" spans="1:8" x14ac:dyDescent="0.35">
      <c r="A262" s="142" t="s">
        <v>693</v>
      </c>
      <c r="B262" s="110" t="s">
        <v>318</v>
      </c>
      <c r="C262" s="117">
        <f>MARZO!I66+MARZO!S66+MARZO!T66</f>
        <v>348</v>
      </c>
      <c r="D262" s="136" t="s">
        <v>243</v>
      </c>
      <c r="E262" s="124">
        <v>45720</v>
      </c>
      <c r="F262" s="208">
        <f>SUM(MARZO!V66:AZ66)</f>
        <v>348</v>
      </c>
      <c r="G262" s="208">
        <f t="shared" si="37"/>
        <v>0</v>
      </c>
      <c r="H262" s="203"/>
    </row>
    <row r="263" spans="1:8" x14ac:dyDescent="0.35">
      <c r="A263" s="142" t="s">
        <v>1621</v>
      </c>
      <c r="B263" s="110" t="s">
        <v>318</v>
      </c>
      <c r="C263" s="117">
        <f>MARZO!I67+MARZO!S67+MARZO!T67</f>
        <v>290</v>
      </c>
      <c r="D263" s="136" t="s">
        <v>243</v>
      </c>
      <c r="E263" s="124">
        <v>45736</v>
      </c>
      <c r="F263" s="208">
        <f>SUM(MARZO!V67:AZ67)</f>
        <v>290</v>
      </c>
      <c r="G263" s="208">
        <f t="shared" si="37"/>
        <v>0</v>
      </c>
      <c r="H263" s="203"/>
    </row>
    <row r="264" spans="1:8" x14ac:dyDescent="0.35">
      <c r="A264" s="142" t="s">
        <v>533</v>
      </c>
      <c r="B264" s="110" t="s">
        <v>318</v>
      </c>
      <c r="C264" s="117">
        <f>MARZO!I68+MARZO!S68+MARZO!T68</f>
        <v>5487.9620000000168</v>
      </c>
      <c r="D264" s="136" t="s">
        <v>243</v>
      </c>
      <c r="E264" s="124">
        <v>45722</v>
      </c>
      <c r="F264" s="208">
        <f>SUM(MARZO!V68:AZ68)</f>
        <v>5487.96</v>
      </c>
      <c r="G264" s="208">
        <f t="shared" si="37"/>
        <v>2.0000000167783583E-3</v>
      </c>
      <c r="H264" s="203"/>
    </row>
    <row r="265" spans="1:8" x14ac:dyDescent="0.35">
      <c r="A265" s="142" t="s">
        <v>1676</v>
      </c>
      <c r="B265" s="110" t="s">
        <v>318</v>
      </c>
      <c r="C265" s="117">
        <f>MARZO!I69+MARZO!S69+MARZO!T69</f>
        <v>1392</v>
      </c>
      <c r="D265" s="136" t="s">
        <v>243</v>
      </c>
      <c r="E265" s="124">
        <v>45721</v>
      </c>
      <c r="F265" s="208">
        <f>SUM(MARZO!V69:AZ69)</f>
        <v>1392</v>
      </c>
      <c r="G265" s="208">
        <f t="shared" si="37"/>
        <v>0</v>
      </c>
      <c r="H265" s="203"/>
    </row>
    <row r="266" spans="1:8" x14ac:dyDescent="0.35">
      <c r="A266" s="142" t="s">
        <v>496</v>
      </c>
      <c r="B266" s="110" t="s">
        <v>318</v>
      </c>
      <c r="C266" s="117">
        <f>MARZO!I70+MARZO!S70+MARZO!T70</f>
        <v>577.68200000000218</v>
      </c>
      <c r="D266" s="136" t="s">
        <v>243</v>
      </c>
      <c r="E266" s="124">
        <v>45729</v>
      </c>
      <c r="F266" s="208">
        <f>SUM(MARZO!V70:AZ70)</f>
        <v>577.67999999999995</v>
      </c>
      <c r="G266" s="208">
        <f t="shared" si="37"/>
        <v>2.000000002226443E-3</v>
      </c>
      <c r="H266" s="203"/>
    </row>
    <row r="267" spans="1:8" x14ac:dyDescent="0.35">
      <c r="A267" s="142" t="s">
        <v>323</v>
      </c>
      <c r="B267" s="110" t="s">
        <v>318</v>
      </c>
      <c r="C267" s="117">
        <f>MARZO!I71+MARZO!S71+MARZO!T71</f>
        <v>2.2737367544323206E-12</v>
      </c>
      <c r="D267" s="136" t="s">
        <v>243</v>
      </c>
      <c r="E267" s="124">
        <v>45948</v>
      </c>
      <c r="F267" s="208">
        <f>SUM(MARZO!V71:AZ71)</f>
        <v>0</v>
      </c>
      <c r="G267" s="208">
        <f t="shared" si="37"/>
        <v>2.2737367544323206E-12</v>
      </c>
      <c r="H267" s="203" t="s">
        <v>1449</v>
      </c>
    </row>
    <row r="268" spans="1:8" x14ac:dyDescent="0.35">
      <c r="A268" s="142" t="s">
        <v>657</v>
      </c>
      <c r="B268" s="110" t="s">
        <v>318</v>
      </c>
      <c r="C268" s="117">
        <f>MARZO!I72+MARZO!S72+MARZO!T72</f>
        <v>348</v>
      </c>
      <c r="D268" s="136" t="s">
        <v>243</v>
      </c>
      <c r="E268" s="124">
        <v>45727</v>
      </c>
      <c r="F268" s="208">
        <f>SUM(MARZO!V72:AZ72)</f>
        <v>348</v>
      </c>
      <c r="G268" s="208">
        <f t="shared" si="37"/>
        <v>0</v>
      </c>
      <c r="H268" s="387"/>
    </row>
    <row r="269" spans="1:8" x14ac:dyDescent="0.35">
      <c r="A269" s="142" t="s">
        <v>53</v>
      </c>
      <c r="B269" s="110" t="s">
        <v>318</v>
      </c>
      <c r="C269" s="117">
        <f>MARZO!I73+MARZO!S73+MARZO!T73</f>
        <v>348</v>
      </c>
      <c r="D269" s="136" t="s">
        <v>243</v>
      </c>
      <c r="E269" s="124">
        <v>45728</v>
      </c>
      <c r="F269" s="208">
        <f>SUM(MARZO!V73:AZ73)</f>
        <v>348</v>
      </c>
      <c r="G269" s="208">
        <f t="shared" si="37"/>
        <v>0</v>
      </c>
      <c r="H269" s="387"/>
    </row>
    <row r="270" spans="1:8" x14ac:dyDescent="0.35">
      <c r="A270" s="142" t="s">
        <v>1741</v>
      </c>
      <c r="B270" s="110" t="s">
        <v>318</v>
      </c>
      <c r="C270" s="117">
        <f>MARZO!I74+MARZO!S74+MARZO!T74</f>
        <v>3190.0024000000012</v>
      </c>
      <c r="D270" s="136" t="s">
        <v>243</v>
      </c>
      <c r="E270" s="124">
        <v>45721</v>
      </c>
      <c r="F270" s="208">
        <f>SUM(MARZO!V74:AZ74)</f>
        <v>3190</v>
      </c>
      <c r="G270" s="208">
        <f t="shared" si="37"/>
        <v>2.4000000012165401E-3</v>
      </c>
      <c r="H270" s="388"/>
    </row>
    <row r="271" spans="1:8" x14ac:dyDescent="0.35">
      <c r="A271" s="142" t="s">
        <v>1061</v>
      </c>
      <c r="B271" s="110" t="s">
        <v>318</v>
      </c>
      <c r="C271" s="117">
        <f>MARZO!I75+MARZO!S75+MARZO!T75</f>
        <v>870.0011999999997</v>
      </c>
      <c r="D271" s="136" t="s">
        <v>243</v>
      </c>
      <c r="E271" s="124">
        <v>45723</v>
      </c>
      <c r="F271" s="208">
        <f>SUM(MARZO!V75:AZ75)</f>
        <v>870</v>
      </c>
      <c r="G271" s="208">
        <f t="shared" si="37"/>
        <v>1.1999999996987754E-3</v>
      </c>
      <c r="H271" s="387"/>
    </row>
    <row r="272" spans="1:8" x14ac:dyDescent="0.35">
      <c r="A272" s="142" t="s">
        <v>1742</v>
      </c>
      <c r="B272" s="110" t="s">
        <v>318</v>
      </c>
      <c r="C272" s="117">
        <f>MARZO!I76+MARZO!S76+MARZO!T76</f>
        <v>1740</v>
      </c>
      <c r="D272" s="136" t="s">
        <v>243</v>
      </c>
      <c r="E272" s="124">
        <v>45721</v>
      </c>
      <c r="F272" s="208">
        <f>SUM(MARZO!V76:AZ76)</f>
        <v>1740</v>
      </c>
      <c r="G272" s="208">
        <f t="shared" si="37"/>
        <v>0</v>
      </c>
      <c r="H272" s="386"/>
    </row>
    <row r="273" spans="1:8" x14ac:dyDescent="0.35">
      <c r="A273" s="142" t="s">
        <v>1743</v>
      </c>
      <c r="B273" s="110" t="s">
        <v>318</v>
      </c>
      <c r="C273" s="117">
        <f>MARZO!I77+MARZO!S77+MARZO!T77</f>
        <v>7580.5979999999972</v>
      </c>
      <c r="D273" s="136" t="s">
        <v>243</v>
      </c>
      <c r="E273" s="124">
        <v>45721</v>
      </c>
      <c r="F273" s="208">
        <f>SUM(MARZO!V77:AZ77)</f>
        <v>7580.6</v>
      </c>
      <c r="G273" s="208">
        <f t="shared" si="37"/>
        <v>-2.0000000031359377E-3</v>
      </c>
      <c r="H273" s="203" t="s">
        <v>2321</v>
      </c>
    </row>
    <row r="274" spans="1:8" x14ac:dyDescent="0.35">
      <c r="A274" s="142" t="s">
        <v>1744</v>
      </c>
      <c r="B274" s="110" t="s">
        <v>318</v>
      </c>
      <c r="C274" s="117">
        <f>MARZO!I78+MARZO!S78+MARZO!T78</f>
        <v>3076.3204000000005</v>
      </c>
      <c r="D274" s="136" t="s">
        <v>243</v>
      </c>
      <c r="E274" s="124">
        <v>45726</v>
      </c>
      <c r="F274" s="208">
        <f>SUM(MARZO!V78:AZ78)</f>
        <v>3076.32</v>
      </c>
      <c r="G274" s="208">
        <f t="shared" si="37"/>
        <v>4.0000000035433914E-4</v>
      </c>
      <c r="H274" s="203" t="s">
        <v>2319</v>
      </c>
    </row>
    <row r="275" spans="1:8" x14ac:dyDescent="0.35">
      <c r="A275" s="142" t="s">
        <v>1745</v>
      </c>
      <c r="B275" s="110" t="s">
        <v>318</v>
      </c>
      <c r="C275" s="117">
        <f>MARZO!I79+MARZO!S79+MARZO!T79</f>
        <v>5699.0775999999996</v>
      </c>
      <c r="D275" s="136" t="s">
        <v>243</v>
      </c>
      <c r="E275" s="124">
        <v>45744</v>
      </c>
      <c r="F275" s="208">
        <f>SUM(MARZO!V79:AZ79)</f>
        <v>5699.08</v>
      </c>
      <c r="G275" s="208">
        <f t="shared" si="37"/>
        <v>-2.4000000003070454E-3</v>
      </c>
      <c r="H275" s="387"/>
    </row>
    <row r="276" spans="1:8" x14ac:dyDescent="0.35">
      <c r="A276" s="355" t="s">
        <v>1764</v>
      </c>
      <c r="B276" s="110" t="s">
        <v>318</v>
      </c>
      <c r="C276" s="117">
        <f>MARZO!I80+MARZO!S80+MARZO!T80</f>
        <v>6437.9988000000012</v>
      </c>
      <c r="D276" s="136" t="s">
        <v>243</v>
      </c>
      <c r="E276" s="124">
        <v>45744</v>
      </c>
      <c r="F276" s="208">
        <f>SUM(MARZO!V80:AZ80)</f>
        <v>6438</v>
      </c>
      <c r="G276" s="208">
        <f t="shared" si="37"/>
        <v>-1.1999999987892807E-3</v>
      </c>
      <c r="H276" s="390"/>
    </row>
    <row r="277" spans="1:8" x14ac:dyDescent="0.35">
      <c r="A277" s="91" t="s">
        <v>2187</v>
      </c>
      <c r="B277" s="110" t="s">
        <v>318</v>
      </c>
      <c r="C277" s="117">
        <f>MARZO!I81+MARZO!S81+MARZO!T81</f>
        <v>1740</v>
      </c>
      <c r="D277" s="136" t="s">
        <v>243</v>
      </c>
      <c r="E277" s="124">
        <v>45726</v>
      </c>
      <c r="F277" s="208">
        <f>SUM(MARZO!V81:AZ81)</f>
        <v>1740</v>
      </c>
      <c r="G277" s="208">
        <f t="shared" si="37"/>
        <v>0</v>
      </c>
      <c r="H277" s="386"/>
    </row>
    <row r="278" spans="1:8" x14ac:dyDescent="0.35">
      <c r="A278" s="142" t="s">
        <v>1437</v>
      </c>
      <c r="B278" s="110" t="s">
        <v>318</v>
      </c>
      <c r="C278" s="117">
        <f>MARZO!I82+MARZO!S82+MARZO!T82</f>
        <v>696</v>
      </c>
      <c r="D278" s="136" t="s">
        <v>243</v>
      </c>
      <c r="E278" s="124">
        <v>45731</v>
      </c>
      <c r="F278" s="208">
        <f>SUM(MARZO!V82:AZ82)</f>
        <v>696</v>
      </c>
      <c r="G278" s="208">
        <f t="shared" si="37"/>
        <v>0</v>
      </c>
      <c r="H278" s="203"/>
    </row>
    <row r="279" spans="1:8" x14ac:dyDescent="0.35">
      <c r="A279" s="142" t="s">
        <v>1765</v>
      </c>
      <c r="B279" s="110" t="s">
        <v>318</v>
      </c>
      <c r="C279" s="117">
        <f>MARZO!I83+MARZO!S83+MARZO!T83</f>
        <v>2784.0048000000006</v>
      </c>
      <c r="D279" s="136" t="s">
        <v>243</v>
      </c>
      <c r="E279" s="124">
        <v>45741</v>
      </c>
      <c r="F279" s="208">
        <f>SUM(MARZO!V83:AZ83)</f>
        <v>2784</v>
      </c>
      <c r="G279" s="208">
        <f t="shared" si="37"/>
        <v>4.8000000006140908E-3</v>
      </c>
      <c r="H279" s="203"/>
    </row>
    <row r="280" spans="1:8" x14ac:dyDescent="0.35">
      <c r="A280" s="142" t="s">
        <v>1071</v>
      </c>
      <c r="B280" s="110" t="s">
        <v>318</v>
      </c>
      <c r="C280" s="117">
        <f>MARZO!I84+MARZO!S84+MARZO!T84</f>
        <v>1020.8</v>
      </c>
      <c r="D280" s="136" t="s">
        <v>243</v>
      </c>
      <c r="E280" s="124">
        <v>45721</v>
      </c>
      <c r="F280" s="208">
        <f>SUM(MARZO!V84:AZ84)</f>
        <v>1020.8</v>
      </c>
      <c r="G280" s="208">
        <f t="shared" si="37"/>
        <v>0</v>
      </c>
      <c r="H280" s="203"/>
    </row>
    <row r="281" spans="1:8" x14ac:dyDescent="0.35">
      <c r="A281" s="142" t="s">
        <v>688</v>
      </c>
      <c r="B281" s="110" t="s">
        <v>318</v>
      </c>
      <c r="C281" s="117">
        <f>MARZO!I85+MARZO!S85+MARZO!T85</f>
        <v>869.99559999999997</v>
      </c>
      <c r="D281" s="136" t="s">
        <v>243</v>
      </c>
      <c r="E281" s="124">
        <v>45722</v>
      </c>
      <c r="F281" s="208">
        <f>SUM(MARZO!V85:AZ85)</f>
        <v>870</v>
      </c>
      <c r="G281" s="208">
        <f t="shared" si="37"/>
        <v>-4.400000000032378E-3</v>
      </c>
      <c r="H281" s="203"/>
    </row>
    <row r="282" spans="1:8" x14ac:dyDescent="0.35">
      <c r="A282" s="142" t="s">
        <v>1543</v>
      </c>
      <c r="B282" s="110" t="s">
        <v>318</v>
      </c>
      <c r="C282" s="117">
        <f>MARZO!I86+MARZO!S86+MARZO!T86</f>
        <v>3013.6800000000003</v>
      </c>
      <c r="D282" s="136" t="s">
        <v>243</v>
      </c>
      <c r="E282" s="124">
        <v>45722</v>
      </c>
      <c r="F282" s="208">
        <f>SUM(MARZO!V86:AZ86)</f>
        <v>3013.68</v>
      </c>
      <c r="G282" s="208">
        <f t="shared" si="37"/>
        <v>0</v>
      </c>
      <c r="H282" s="203" t="s">
        <v>2320</v>
      </c>
    </row>
    <row r="283" spans="1:8" x14ac:dyDescent="0.35">
      <c r="A283" s="142" t="s">
        <v>869</v>
      </c>
      <c r="B283" s="110" t="s">
        <v>318</v>
      </c>
      <c r="C283" s="117">
        <f>MARZO!I87+MARZO!S87+MARZO!T87</f>
        <v>1740</v>
      </c>
      <c r="D283" s="136" t="s">
        <v>243</v>
      </c>
      <c r="E283" s="124">
        <v>45722</v>
      </c>
      <c r="F283" s="208">
        <f>SUM(MARZO!V87:AZ87)</f>
        <v>1740</v>
      </c>
      <c r="G283" s="208">
        <f t="shared" si="37"/>
        <v>0</v>
      </c>
      <c r="H283" s="203"/>
    </row>
    <row r="284" spans="1:8" x14ac:dyDescent="0.35">
      <c r="A284" s="91" t="s">
        <v>2377</v>
      </c>
      <c r="B284" s="110" t="s">
        <v>318</v>
      </c>
      <c r="C284" s="117">
        <f>MARZO!I88+MARZO!S88+MARZO!T88</f>
        <v>348</v>
      </c>
      <c r="D284" s="136" t="s">
        <v>243</v>
      </c>
      <c r="E284" s="124">
        <v>45719</v>
      </c>
      <c r="F284" s="208">
        <f>SUM(MARZO!V88:AZ88)</f>
        <v>348</v>
      </c>
      <c r="G284" s="208">
        <f t="shared" ref="G284" si="38">C284-F284</f>
        <v>0</v>
      </c>
      <c r="H284" s="203" t="s">
        <v>2378</v>
      </c>
    </row>
    <row r="285" spans="1:8" x14ac:dyDescent="0.35">
      <c r="A285" s="142" t="s">
        <v>1471</v>
      </c>
      <c r="B285" s="110" t="s">
        <v>318</v>
      </c>
      <c r="C285" s="117">
        <f>MARZO!I89+MARZO!S89+MARZO!T89</f>
        <v>2784</v>
      </c>
      <c r="D285" s="136" t="s">
        <v>243</v>
      </c>
      <c r="E285" s="124">
        <v>45723</v>
      </c>
      <c r="F285" s="208">
        <f>SUM(MARZO!V89:AZ89)</f>
        <v>2784</v>
      </c>
      <c r="G285" s="208">
        <f t="shared" si="37"/>
        <v>0</v>
      </c>
      <c r="H285" s="203"/>
    </row>
    <row r="286" spans="1:8" x14ac:dyDescent="0.35">
      <c r="A286" s="142" t="s">
        <v>1467</v>
      </c>
      <c r="B286" s="110" t="s">
        <v>318</v>
      </c>
      <c r="C286" s="117">
        <f>MARZO!I90+MARZO!S90+MARZO!T90</f>
        <v>1044</v>
      </c>
      <c r="D286" s="136" t="s">
        <v>243</v>
      </c>
      <c r="E286" s="124">
        <v>45734</v>
      </c>
      <c r="F286" s="208">
        <f>SUM(MARZO!V90:AZ90)</f>
        <v>1044</v>
      </c>
      <c r="G286" s="208">
        <f t="shared" si="37"/>
        <v>0</v>
      </c>
      <c r="H286" s="203"/>
    </row>
    <row r="287" spans="1:8" x14ac:dyDescent="0.35">
      <c r="A287" s="142" t="s">
        <v>1747</v>
      </c>
      <c r="B287" s="110" t="s">
        <v>318</v>
      </c>
      <c r="C287" s="117">
        <f>MARZO!I91+MARZO!S91+MARZO!T91</f>
        <v>580.00120000000015</v>
      </c>
      <c r="D287" s="132" t="s">
        <v>2078</v>
      </c>
      <c r="E287" s="124"/>
      <c r="F287" s="208">
        <f>SUM(MARZO!V91:AZ91)</f>
        <v>0</v>
      </c>
      <c r="G287" s="208">
        <f t="shared" si="37"/>
        <v>580.00120000000015</v>
      </c>
      <c r="H287" s="203"/>
    </row>
    <row r="288" spans="1:8" x14ac:dyDescent="0.35">
      <c r="A288" s="91" t="s">
        <v>1102</v>
      </c>
      <c r="B288" s="110" t="s">
        <v>318</v>
      </c>
      <c r="C288" s="117">
        <f>MARZO!I92+MARZO!S92+MARZO!T92</f>
        <v>289.99559999999997</v>
      </c>
      <c r="D288" s="136" t="s">
        <v>243</v>
      </c>
      <c r="E288" s="124">
        <v>45723</v>
      </c>
      <c r="F288" s="208">
        <f>SUM(MARZO!V92:AZ92)</f>
        <v>290</v>
      </c>
      <c r="G288" s="208">
        <f t="shared" si="37"/>
        <v>-4.400000000032378E-3</v>
      </c>
      <c r="H288" s="203" t="s">
        <v>2617</v>
      </c>
    </row>
    <row r="289" spans="1:9" x14ac:dyDescent="0.35">
      <c r="A289" s="142" t="s">
        <v>1767</v>
      </c>
      <c r="B289" s="110" t="s">
        <v>318</v>
      </c>
      <c r="C289" s="117">
        <f>MARZO!I93+MARZO!S93+MARZO!T93</f>
        <v>1450</v>
      </c>
      <c r="D289" s="136" t="s">
        <v>243</v>
      </c>
      <c r="E289" s="124">
        <v>45730</v>
      </c>
      <c r="F289" s="208">
        <f>SUM(MARZO!V93:AZ93)</f>
        <v>1450</v>
      </c>
      <c r="G289" s="208">
        <f t="shared" si="37"/>
        <v>0</v>
      </c>
      <c r="H289" s="386" t="s">
        <v>796</v>
      </c>
    </row>
    <row r="290" spans="1:9" x14ac:dyDescent="0.35">
      <c r="A290" s="142" t="s">
        <v>1749</v>
      </c>
      <c r="B290" s="110" t="s">
        <v>318</v>
      </c>
      <c r="C290" s="117">
        <f>MARZO!I94+MARZO!S94+MARZO!T94</f>
        <v>6384.6399999999994</v>
      </c>
      <c r="D290" s="136" t="s">
        <v>243</v>
      </c>
      <c r="E290" s="124">
        <v>45721</v>
      </c>
      <c r="F290" s="208">
        <f>SUM(MARZO!V94:AZ94)</f>
        <v>6384.64</v>
      </c>
      <c r="G290" s="208">
        <f t="shared" si="37"/>
        <v>0</v>
      </c>
      <c r="H290" s="203" t="s">
        <v>2280</v>
      </c>
    </row>
    <row r="291" spans="1:9" x14ac:dyDescent="0.35">
      <c r="A291" s="142" t="s">
        <v>409</v>
      </c>
      <c r="B291" s="110" t="s">
        <v>318</v>
      </c>
      <c r="C291" s="117">
        <f>MARZO!I95+MARZO!S95+MARZO!T95</f>
        <v>1623.9952000000048</v>
      </c>
      <c r="D291" s="136" t="s">
        <v>243</v>
      </c>
      <c r="E291" s="124">
        <v>45721</v>
      </c>
      <c r="F291" s="208">
        <f>SUM(MARZO!V95:AZ95)</f>
        <v>1624</v>
      </c>
      <c r="G291" s="208">
        <f t="shared" si="37"/>
        <v>-4.7999999951571226E-3</v>
      </c>
      <c r="H291" s="386"/>
    </row>
    <row r="292" spans="1:9" x14ac:dyDescent="0.35">
      <c r="A292" s="142" t="s">
        <v>410</v>
      </c>
      <c r="B292" s="110" t="s">
        <v>318</v>
      </c>
      <c r="C292" s="117">
        <f>MARZO!I96+MARZO!S96+MARZO!T96</f>
        <v>3248.0012000000006</v>
      </c>
      <c r="D292" s="136" t="s">
        <v>243</v>
      </c>
      <c r="E292" s="124">
        <v>45721</v>
      </c>
      <c r="F292" s="208">
        <f>SUM(MARZO!V96:AZ96)</f>
        <v>3248</v>
      </c>
      <c r="G292" s="208">
        <f t="shared" si="37"/>
        <v>1.2000000006082701E-3</v>
      </c>
      <c r="H292" s="386"/>
    </row>
    <row r="293" spans="1:9" x14ac:dyDescent="0.35">
      <c r="A293" s="142" t="s">
        <v>1750</v>
      </c>
      <c r="B293" s="110" t="s">
        <v>318</v>
      </c>
      <c r="C293" s="117">
        <f>MARZO!I97+MARZO!S97+MARZO!T97</f>
        <v>2436</v>
      </c>
      <c r="D293" s="136" t="s">
        <v>243</v>
      </c>
      <c r="E293" s="124">
        <v>45721</v>
      </c>
      <c r="F293" s="208">
        <f>SUM(MARZO!V97:AZ97)</f>
        <v>2436</v>
      </c>
      <c r="G293" s="208">
        <f t="shared" si="37"/>
        <v>0</v>
      </c>
      <c r="H293" s="203"/>
    </row>
    <row r="294" spans="1:9" x14ac:dyDescent="0.35">
      <c r="A294" s="347" t="s">
        <v>1904</v>
      </c>
      <c r="B294" s="110" t="s">
        <v>318</v>
      </c>
      <c r="C294" s="117">
        <f>MARZO!I98+MARZO!S98+MARZO!T98</f>
        <v>2723.6800000000003</v>
      </c>
      <c r="D294" s="136" t="s">
        <v>243</v>
      </c>
      <c r="E294" s="124">
        <v>45721</v>
      </c>
      <c r="F294" s="208">
        <f>SUM(MARZO!V98:AZ98)</f>
        <v>2723.68</v>
      </c>
      <c r="G294" s="208">
        <f t="shared" si="37"/>
        <v>0</v>
      </c>
      <c r="H294" s="203" t="s">
        <v>2318</v>
      </c>
    </row>
    <row r="295" spans="1:9" x14ac:dyDescent="0.35">
      <c r="A295" s="142" t="s">
        <v>1548</v>
      </c>
      <c r="B295" s="110" t="s">
        <v>318</v>
      </c>
      <c r="C295" s="117">
        <f>MARZO!I99+MARZO!S99+MARZO!T99</f>
        <v>3132.0000000000005</v>
      </c>
      <c r="D295" s="136" t="s">
        <v>243</v>
      </c>
      <c r="E295" s="124">
        <v>45723</v>
      </c>
      <c r="F295" s="208">
        <f>SUM(MARZO!V99:AZ99)</f>
        <v>3132</v>
      </c>
      <c r="G295" s="208">
        <f>C295-F295</f>
        <v>0</v>
      </c>
      <c r="H295" s="386"/>
    </row>
    <row r="296" spans="1:9" x14ac:dyDescent="0.35">
      <c r="A296" s="142" t="s">
        <v>1752</v>
      </c>
      <c r="B296" s="110" t="s">
        <v>318</v>
      </c>
      <c r="C296" s="117">
        <f>MARZO!I100+MARZO!S100+MARZO!T100</f>
        <v>4523.9996000000001</v>
      </c>
      <c r="D296" s="136" t="s">
        <v>243</v>
      </c>
      <c r="E296" s="124">
        <v>45727</v>
      </c>
      <c r="F296" s="208">
        <f>SUM(MARZO!V100:AZ100)</f>
        <v>4524</v>
      </c>
      <c r="G296" s="208">
        <f t="shared" ref="G296:G298" si="39">C296-F296</f>
        <v>-3.9999999989959178E-4</v>
      </c>
      <c r="H296" s="203"/>
    </row>
    <row r="297" spans="1:9" x14ac:dyDescent="0.35">
      <c r="A297" s="142" t="s">
        <v>1541</v>
      </c>
      <c r="B297" s="110" t="s">
        <v>318</v>
      </c>
      <c r="C297" s="117">
        <f>MARZO!I101+MARZO!S101+MARZO!T101</f>
        <v>3828.0028000000002</v>
      </c>
      <c r="D297" s="132" t="s">
        <v>2078</v>
      </c>
      <c r="E297" s="124"/>
      <c r="F297" s="208">
        <f>SUM(MARZO!V101:AZ101)</f>
        <v>0</v>
      </c>
      <c r="G297" s="208">
        <f t="shared" si="39"/>
        <v>3828.0028000000002</v>
      </c>
      <c r="H297" s="203"/>
    </row>
    <row r="298" spans="1:9" x14ac:dyDescent="0.35">
      <c r="A298" s="162" t="s">
        <v>1924</v>
      </c>
      <c r="B298" s="110" t="s">
        <v>318</v>
      </c>
      <c r="C298" s="117">
        <f>MARZO!I102+MARZO!S102+MARZO!T102</f>
        <v>1450.0000000000009</v>
      </c>
      <c r="D298" s="136" t="s">
        <v>243</v>
      </c>
      <c r="E298" s="124">
        <v>45722</v>
      </c>
      <c r="F298" s="208">
        <f>SUM(MARZO!V102:AZ102)</f>
        <v>1450</v>
      </c>
      <c r="G298" s="208">
        <f t="shared" si="39"/>
        <v>0</v>
      </c>
      <c r="H298" s="203"/>
    </row>
    <row r="299" spans="1:9" x14ac:dyDescent="0.35">
      <c r="A299" s="142" t="s">
        <v>1753</v>
      </c>
      <c r="B299" s="110" t="s">
        <v>318</v>
      </c>
      <c r="C299" s="117">
        <f>MARZO!I103+MARZO!S103+MARZO!T103</f>
        <v>5075.0028000000057</v>
      </c>
      <c r="D299" s="136" t="s">
        <v>243</v>
      </c>
      <c r="E299" s="124">
        <v>45729</v>
      </c>
      <c r="F299" s="208">
        <f>SUM(MARZO!V103:AZ103)</f>
        <v>5075</v>
      </c>
      <c r="G299" s="208">
        <f>C299-F299</f>
        <v>2.8000000056636054E-3</v>
      </c>
      <c r="H299" s="203" t="s">
        <v>2318</v>
      </c>
      <c r="I299" s="211" t="s">
        <v>617</v>
      </c>
    </row>
    <row r="300" spans="1:9" ht="26" x14ac:dyDescent="0.35">
      <c r="A300" s="142" t="s">
        <v>1893</v>
      </c>
      <c r="B300" s="110" t="s">
        <v>318</v>
      </c>
      <c r="C300" s="117">
        <f>MARZO!I104+MARZO!S104+MARZO!T104</f>
        <v>1040.5228000000009</v>
      </c>
      <c r="D300" s="136" t="s">
        <v>243</v>
      </c>
      <c r="E300" s="124">
        <v>45722</v>
      </c>
      <c r="F300" s="208">
        <f>SUM(MARZO!V104:AZ104)</f>
        <v>1040.52</v>
      </c>
      <c r="G300" s="208">
        <f>C300-F300</f>
        <v>2.8000000008887582E-3</v>
      </c>
      <c r="H300" s="203" t="s">
        <v>2450</v>
      </c>
    </row>
    <row r="301" spans="1:9" x14ac:dyDescent="0.35">
      <c r="A301" s="142" t="s">
        <v>1754</v>
      </c>
      <c r="B301" s="110" t="s">
        <v>318</v>
      </c>
      <c r="C301" s="117">
        <f>MARZO!I105+MARZO!S105+MARZO!T105</f>
        <v>4524</v>
      </c>
      <c r="D301" s="136" t="s">
        <v>243</v>
      </c>
      <c r="E301" s="124">
        <v>45744</v>
      </c>
      <c r="F301" s="208">
        <f>SUM(MARZO!V105:AZ105)</f>
        <v>4524</v>
      </c>
      <c r="G301" s="208">
        <f t="shared" ref="G301:G305" si="40">C301-F301</f>
        <v>0</v>
      </c>
      <c r="H301" s="203"/>
    </row>
    <row r="302" spans="1:9" x14ac:dyDescent="0.35">
      <c r="A302" s="142" t="s">
        <v>658</v>
      </c>
      <c r="B302" s="110" t="s">
        <v>318</v>
      </c>
      <c r="C302" s="117">
        <f>MARZO!I106+MARZO!S106+MARZO!T106</f>
        <v>2030</v>
      </c>
      <c r="D302" s="136" t="s">
        <v>243</v>
      </c>
      <c r="E302" s="124">
        <v>45735</v>
      </c>
      <c r="F302" s="208">
        <f>SUM(MARZO!V106:AZ106)</f>
        <v>2030</v>
      </c>
      <c r="G302" s="208">
        <f t="shared" si="40"/>
        <v>0</v>
      </c>
      <c r="H302" s="388"/>
    </row>
    <row r="303" spans="1:9" x14ac:dyDescent="0.35">
      <c r="A303" s="142" t="s">
        <v>2612</v>
      </c>
      <c r="B303" s="110" t="s">
        <v>318</v>
      </c>
      <c r="C303" s="117">
        <f>MARZO!I107+MARZO!S107+MARZO!T107</f>
        <v>984.84</v>
      </c>
      <c r="D303" s="136" t="s">
        <v>243</v>
      </c>
      <c r="E303" s="124">
        <v>45747</v>
      </c>
      <c r="F303" s="208">
        <f>SUM(MARZO!V107:AZ107)</f>
        <v>984.84</v>
      </c>
      <c r="G303" s="208">
        <f>C303-F303</f>
        <v>0</v>
      </c>
      <c r="H303" s="388" t="s">
        <v>2794</v>
      </c>
    </row>
    <row r="304" spans="1:9" ht="26" x14ac:dyDescent="0.35">
      <c r="A304" s="355" t="s">
        <v>2005</v>
      </c>
      <c r="B304" s="110" t="s">
        <v>318</v>
      </c>
      <c r="C304" s="117">
        <f>MARZO!I108+MARZO!S108+MARZO!T108</f>
        <v>92326.72000000003</v>
      </c>
      <c r="D304" s="136" t="s">
        <v>243</v>
      </c>
      <c r="E304" s="124">
        <v>45736</v>
      </c>
      <c r="F304" s="208">
        <f>SUM(MARZO!V108:AZ108)</f>
        <v>87979.040000000008</v>
      </c>
      <c r="G304" s="208">
        <f t="shared" si="40"/>
        <v>4347.6800000000221</v>
      </c>
      <c r="H304" s="203" t="s">
        <v>2555</v>
      </c>
    </row>
    <row r="305" spans="1:9" x14ac:dyDescent="0.35">
      <c r="A305" s="142" t="s">
        <v>2006</v>
      </c>
      <c r="B305" s="110" t="s">
        <v>318</v>
      </c>
      <c r="C305" s="117">
        <f>MARZO!I109+MARZO!S109+MARZO!T109</f>
        <v>696</v>
      </c>
      <c r="D305" s="136" t="s">
        <v>243</v>
      </c>
      <c r="E305" s="124">
        <v>45747</v>
      </c>
      <c r="F305" s="208">
        <f>SUM(MARZO!V109:AZ109)</f>
        <v>696</v>
      </c>
      <c r="G305" s="208">
        <f t="shared" si="40"/>
        <v>0</v>
      </c>
      <c r="H305" s="388"/>
    </row>
    <row r="306" spans="1:9" x14ac:dyDescent="0.35">
      <c r="A306" s="142" t="s">
        <v>2007</v>
      </c>
      <c r="B306" s="110" t="s">
        <v>318</v>
      </c>
      <c r="C306" s="117">
        <f>MARZO!I110+MARZO!S110+MARZO!T110</f>
        <v>12643.995600000002</v>
      </c>
      <c r="D306" s="132" t="s">
        <v>2078</v>
      </c>
      <c r="E306" s="124"/>
      <c r="F306" s="208">
        <f>SUM(MARZO!V110:AZ110)</f>
        <v>0</v>
      </c>
      <c r="G306" s="208">
        <f>C306-F306</f>
        <v>12643.995600000002</v>
      </c>
      <c r="H306" s="386" t="s">
        <v>2286</v>
      </c>
    </row>
    <row r="307" spans="1:9" x14ac:dyDescent="0.35">
      <c r="A307" s="142" t="s">
        <v>2477</v>
      </c>
      <c r="B307" s="110" t="s">
        <v>318</v>
      </c>
      <c r="C307" s="117">
        <f>MARZO!I111+MARZO!S111+MARZO!T111</f>
        <v>2320</v>
      </c>
      <c r="D307" s="136" t="s">
        <v>243</v>
      </c>
      <c r="E307" s="124">
        <v>45729</v>
      </c>
      <c r="F307" s="208">
        <f>SUM(MARZO!V111:AZ111)</f>
        <v>2320</v>
      </c>
      <c r="G307" s="208">
        <f t="shared" ref="G307" si="41">C307-F307</f>
        <v>0</v>
      </c>
      <c r="H307" s="386" t="s">
        <v>2465</v>
      </c>
    </row>
    <row r="308" spans="1:9" x14ac:dyDescent="0.35">
      <c r="A308" s="142" t="s">
        <v>70</v>
      </c>
      <c r="B308" s="110" t="s">
        <v>318</v>
      </c>
      <c r="C308" s="117">
        <f>MARZO!I112+MARZO!S112+MARZO!T112</f>
        <v>406</v>
      </c>
      <c r="D308" s="136" t="s">
        <v>243</v>
      </c>
      <c r="E308" s="124">
        <v>45730</v>
      </c>
      <c r="F308" s="208">
        <f>SUM(MARZO!V112:AZ112)</f>
        <v>406</v>
      </c>
      <c r="G308" s="208">
        <f t="shared" ref="G308:G324" si="42">C308-F308</f>
        <v>0</v>
      </c>
      <c r="H308" s="203"/>
    </row>
    <row r="309" spans="1:9" x14ac:dyDescent="0.35">
      <c r="A309" s="142" t="s">
        <v>2015</v>
      </c>
      <c r="B309" s="110" t="s">
        <v>318</v>
      </c>
      <c r="C309" s="117">
        <f>MARZO!I113+MARZO!S113+MARZO!T113</f>
        <v>4108.3256000000001</v>
      </c>
      <c r="D309" s="136" t="s">
        <v>243</v>
      </c>
      <c r="E309" s="124">
        <v>45730</v>
      </c>
      <c r="F309" s="208">
        <f>SUM(MARZO!V113:AZ113)</f>
        <v>4108.33</v>
      </c>
      <c r="G309" s="208">
        <f t="shared" si="42"/>
        <v>-4.3999999998050043E-3</v>
      </c>
      <c r="H309" s="386" t="s">
        <v>2554</v>
      </c>
      <c r="I309" s="211" t="s">
        <v>617</v>
      </c>
    </row>
    <row r="310" spans="1:9" x14ac:dyDescent="0.35">
      <c r="A310" s="142" t="s">
        <v>2009</v>
      </c>
      <c r="B310" s="110" t="s">
        <v>318</v>
      </c>
      <c r="C310" s="117">
        <f>MARZO!I114+MARZO!S114+MARZO!T114</f>
        <v>7673.4039999999723</v>
      </c>
      <c r="D310" s="136" t="s">
        <v>243</v>
      </c>
      <c r="E310" s="124">
        <v>45734</v>
      </c>
      <c r="F310" s="208">
        <f>SUM(MARZO!V114:AZ114)</f>
        <v>7673.4</v>
      </c>
      <c r="G310" s="208">
        <f t="shared" si="42"/>
        <v>3.9999999726205715E-3</v>
      </c>
      <c r="H310" s="388"/>
    </row>
    <row r="311" spans="1:9" x14ac:dyDescent="0.35">
      <c r="A311" s="395" t="s">
        <v>2541</v>
      </c>
      <c r="B311" s="110" t="s">
        <v>318</v>
      </c>
      <c r="C311" s="117">
        <f>MARZO!I115+MARZO!S115+MARZO!T115</f>
        <v>2320</v>
      </c>
      <c r="D311" s="136" t="s">
        <v>243</v>
      </c>
      <c r="E311" s="124">
        <v>45744</v>
      </c>
      <c r="F311" s="208">
        <f>SUM(MARZO!V115:AZ115)</f>
        <v>2320</v>
      </c>
      <c r="G311" s="208">
        <f t="shared" ref="G311" si="43">C311-F311</f>
        <v>0</v>
      </c>
      <c r="H311" s="388" t="s">
        <v>2545</v>
      </c>
    </row>
    <row r="312" spans="1:9" x14ac:dyDescent="0.35">
      <c r="A312" s="393" t="s">
        <v>2475</v>
      </c>
      <c r="B312" s="110" t="s">
        <v>318</v>
      </c>
      <c r="C312" s="117">
        <f>MARZO!I116+MARZO!S116+MARZO!T116</f>
        <v>2320</v>
      </c>
      <c r="D312" s="136" t="s">
        <v>243</v>
      </c>
      <c r="E312" s="124">
        <v>45729</v>
      </c>
      <c r="F312" s="208">
        <f>SUM(MARZO!V116:AZ116)</f>
        <v>2320</v>
      </c>
      <c r="G312" s="208">
        <f t="shared" ref="G312:G313" si="44">C312-F312</f>
        <v>0</v>
      </c>
      <c r="H312" s="388" t="s">
        <v>2465</v>
      </c>
    </row>
    <row r="313" spans="1:9" x14ac:dyDescent="0.35">
      <c r="A313" s="91" t="s">
        <v>2511</v>
      </c>
      <c r="B313" s="110" t="s">
        <v>318</v>
      </c>
      <c r="C313" s="117">
        <f>MARZO!I117+MARZO!S117+MARZO!T117</f>
        <v>2320</v>
      </c>
      <c r="D313" s="136" t="s">
        <v>243</v>
      </c>
      <c r="E313" s="124">
        <v>45735</v>
      </c>
      <c r="F313" s="208">
        <f>SUM(MARZO!V117:AZ117)</f>
        <v>2320</v>
      </c>
      <c r="G313" s="208">
        <f t="shared" si="44"/>
        <v>0</v>
      </c>
      <c r="H313" s="388" t="s">
        <v>2499</v>
      </c>
    </row>
    <row r="314" spans="1:9" x14ac:dyDescent="0.35">
      <c r="A314" s="142" t="s">
        <v>2010</v>
      </c>
      <c r="B314" s="110" t="s">
        <v>318</v>
      </c>
      <c r="C314" s="117">
        <f>MARZO!I118+MARZO!S118+MARZO!T118</f>
        <v>765.60000000000093</v>
      </c>
      <c r="D314" s="136" t="s">
        <v>243</v>
      </c>
      <c r="E314" s="124">
        <v>45735</v>
      </c>
      <c r="F314" s="208">
        <f>SUM(MARZO!V118:AZ118)</f>
        <v>765.6</v>
      </c>
      <c r="G314" s="208">
        <f t="shared" si="42"/>
        <v>9.0949470177292824E-13</v>
      </c>
      <c r="H314" s="391"/>
    </row>
    <row r="315" spans="1:9" x14ac:dyDescent="0.35">
      <c r="A315" s="142" t="s">
        <v>2578</v>
      </c>
      <c r="B315" s="110" t="s">
        <v>318</v>
      </c>
      <c r="C315" s="117">
        <f>MARZO!I119+MARZO!S119+MARZO!T119</f>
        <v>2610</v>
      </c>
      <c r="D315" s="136" t="s">
        <v>243</v>
      </c>
      <c r="E315" s="124">
        <v>45745</v>
      </c>
      <c r="F315" s="208">
        <f>SUM(MARZO!V119:AZ119)</f>
        <v>2610</v>
      </c>
      <c r="G315" s="208">
        <f t="shared" si="42"/>
        <v>0</v>
      </c>
      <c r="H315" s="391" t="s">
        <v>2577</v>
      </c>
    </row>
    <row r="316" spans="1:9" ht="26" x14ac:dyDescent="0.35">
      <c r="A316" s="142" t="s">
        <v>1781</v>
      </c>
      <c r="B316" s="110" t="s">
        <v>318</v>
      </c>
      <c r="C316" s="117">
        <f>MARZO!I120+MARZO!S120+MARZO!T120</f>
        <v>17790.847199999997</v>
      </c>
      <c r="D316" s="136" t="s">
        <v>243</v>
      </c>
      <c r="E316" s="124">
        <v>45741</v>
      </c>
      <c r="F316" s="208">
        <f>SUM(MARZO!V120:AZ120)</f>
        <v>19936.849999999999</v>
      </c>
      <c r="G316" s="208">
        <f t="shared" si="42"/>
        <v>-2146.002800000002</v>
      </c>
      <c r="H316" s="386" t="s">
        <v>2279</v>
      </c>
    </row>
    <row r="317" spans="1:9" x14ac:dyDescent="0.35">
      <c r="A317" s="356" t="s">
        <v>2003</v>
      </c>
      <c r="B317" s="110" t="s">
        <v>318</v>
      </c>
      <c r="C317" s="117">
        <f>MARZO!I121+MARZO!S121+MARZO!T121</f>
        <v>870</v>
      </c>
      <c r="D317" s="136" t="s">
        <v>243</v>
      </c>
      <c r="E317" s="124">
        <v>45743</v>
      </c>
      <c r="F317" s="208">
        <f>SUM(MARZO!V121:AZ121)</f>
        <v>870</v>
      </c>
      <c r="G317" s="208">
        <f t="shared" si="42"/>
        <v>0</v>
      </c>
      <c r="H317" s="386"/>
    </row>
    <row r="318" spans="1:9" ht="29" x14ac:dyDescent="0.35">
      <c r="A318" s="91" t="s">
        <v>2514</v>
      </c>
      <c r="B318" s="110" t="s">
        <v>318</v>
      </c>
      <c r="C318" s="117">
        <f>MARZO!I122+MARZO!S122+MARZO!T122</f>
        <v>5542.48</v>
      </c>
      <c r="D318" s="136" t="s">
        <v>243</v>
      </c>
      <c r="E318" s="124">
        <v>45730</v>
      </c>
      <c r="F318" s="208">
        <f>SUM(MARZO!V122:AZ122)</f>
        <v>5542.48</v>
      </c>
      <c r="G318" s="208">
        <f t="shared" ref="G318" si="45">C318-F318</f>
        <v>0</v>
      </c>
      <c r="H318" s="388" t="s">
        <v>2499</v>
      </c>
    </row>
    <row r="319" spans="1:9" x14ac:dyDescent="0.35">
      <c r="A319" s="142" t="s">
        <v>2012</v>
      </c>
      <c r="B319" s="110" t="s">
        <v>318</v>
      </c>
      <c r="C319" s="117">
        <f>MARZO!I123+MARZO!S123+MARZO!T123</f>
        <v>1450</v>
      </c>
      <c r="D319" s="136" t="s">
        <v>243</v>
      </c>
      <c r="E319" s="124">
        <v>45727</v>
      </c>
      <c r="F319" s="208">
        <f>SUM(MARZO!V123:AZ123)</f>
        <v>1450</v>
      </c>
      <c r="G319" s="208">
        <f t="shared" si="42"/>
        <v>0</v>
      </c>
      <c r="H319" s="391"/>
      <c r="I319" s="211" t="s">
        <v>617</v>
      </c>
    </row>
    <row r="320" spans="1:9" ht="26" x14ac:dyDescent="0.35">
      <c r="A320" s="142" t="s">
        <v>2013</v>
      </c>
      <c r="B320" s="110" t="s">
        <v>318</v>
      </c>
      <c r="C320" s="117">
        <f>MARZO!I124+MARZO!S124+MARZO!T124</f>
        <v>2783.9999999999973</v>
      </c>
      <c r="D320" s="136" t="s">
        <v>243</v>
      </c>
      <c r="E320" s="124">
        <v>45724</v>
      </c>
      <c r="F320" s="208">
        <f>SUM(MARZO!V124:AZ124)</f>
        <v>2784</v>
      </c>
      <c r="G320" s="208">
        <f t="shared" si="42"/>
        <v>0</v>
      </c>
      <c r="H320" s="388" t="s">
        <v>2272</v>
      </c>
    </row>
    <row r="321" spans="1:8" x14ac:dyDescent="0.35">
      <c r="A321" s="142" t="s">
        <v>2520</v>
      </c>
      <c r="B321" s="110" t="s">
        <v>318</v>
      </c>
      <c r="C321" s="117">
        <f>MARZO!I125+MARZO!S125+MARZO!T125</f>
        <v>5394</v>
      </c>
      <c r="D321" s="136" t="s">
        <v>243</v>
      </c>
      <c r="E321" s="124">
        <v>45735</v>
      </c>
      <c r="F321" s="208">
        <f>SUM(MARZO!V125:AZ125)</f>
        <v>5394</v>
      </c>
      <c r="G321" s="208">
        <f t="shared" ref="G321" si="46">C321-F321</f>
        <v>0</v>
      </c>
      <c r="H321" s="203" t="s">
        <v>2506</v>
      </c>
    </row>
    <row r="322" spans="1:8" ht="39" x14ac:dyDescent="0.35">
      <c r="A322" s="142" t="s">
        <v>2214</v>
      </c>
      <c r="B322" s="110" t="s">
        <v>318</v>
      </c>
      <c r="C322" s="117">
        <f>MARZO!I126+MARZO!S126+MARZO!T126-MARZO!U126</f>
        <v>38568.839999999997</v>
      </c>
      <c r="D322" s="136" t="s">
        <v>243</v>
      </c>
      <c r="E322" s="124">
        <v>45734</v>
      </c>
      <c r="F322" s="208">
        <f>SUM(MARZO!V126:AZ126)</f>
        <v>38568.839999999997</v>
      </c>
      <c r="G322" s="208">
        <f t="shared" si="42"/>
        <v>0</v>
      </c>
      <c r="H322" s="388" t="s">
        <v>2376</v>
      </c>
    </row>
    <row r="323" spans="1:8" x14ac:dyDescent="0.35">
      <c r="A323" s="142" t="s">
        <v>1478</v>
      </c>
      <c r="B323" s="110" t="s">
        <v>318</v>
      </c>
      <c r="C323" s="117">
        <f>MARZO!I127+MARZO!S127+MARZO!T127</f>
        <v>15544</v>
      </c>
      <c r="D323" s="136" t="s">
        <v>243</v>
      </c>
      <c r="E323" s="124">
        <v>45736</v>
      </c>
      <c r="F323" s="208">
        <f>SUM(MARZO!V127:AZ127)</f>
        <v>15544</v>
      </c>
      <c r="G323" s="208">
        <f t="shared" si="42"/>
        <v>0</v>
      </c>
      <c r="H323" s="386" t="s">
        <v>2491</v>
      </c>
    </row>
    <row r="324" spans="1:8" x14ac:dyDescent="0.35">
      <c r="A324" s="142" t="s">
        <v>1680</v>
      </c>
      <c r="B324" s="110" t="s">
        <v>318</v>
      </c>
      <c r="C324" s="117">
        <f>MARZO!I128+MARZO!S128+MARZO!T128</f>
        <v>9709.2000000000007</v>
      </c>
      <c r="D324" s="136" t="s">
        <v>243</v>
      </c>
      <c r="E324" s="124">
        <v>45721</v>
      </c>
      <c r="F324" s="208">
        <f>SUM(MARZO!V128:AZ128)</f>
        <v>9709.2000000000007</v>
      </c>
      <c r="G324" s="208">
        <f t="shared" si="42"/>
        <v>0</v>
      </c>
      <c r="H324" s="386"/>
    </row>
    <row r="325" spans="1:8" x14ac:dyDescent="0.35">
      <c r="A325" s="91" t="s">
        <v>2591</v>
      </c>
      <c r="B325" s="110" t="s">
        <v>318</v>
      </c>
      <c r="C325" s="117">
        <f>MARZO!I129+MARZO!S129+MARZO!T129</f>
        <v>986</v>
      </c>
      <c r="D325" s="136" t="s">
        <v>243</v>
      </c>
      <c r="E325" s="124">
        <v>45747</v>
      </c>
      <c r="F325" s="208">
        <f>SUM(MARZO!V129:AZ129)</f>
        <v>986</v>
      </c>
      <c r="G325" s="208">
        <f t="shared" ref="G325" si="47">C325-F325</f>
        <v>0</v>
      </c>
      <c r="H325" s="386" t="s">
        <v>2589</v>
      </c>
    </row>
    <row r="326" spans="1:8" ht="26" x14ac:dyDescent="0.35">
      <c r="A326" s="142" t="s">
        <v>764</v>
      </c>
      <c r="B326" s="110" t="s">
        <v>318</v>
      </c>
      <c r="C326" s="117">
        <f>MARZO!I130+MARZO!S130+MARZO!T130</f>
        <v>4277.2331999999997</v>
      </c>
      <c r="D326" s="132" t="s">
        <v>2078</v>
      </c>
      <c r="E326" s="124"/>
      <c r="F326" s="208">
        <f>SUM(MARZO!V130:AZ130)</f>
        <v>0</v>
      </c>
      <c r="G326" s="208">
        <f t="shared" ref="G326" si="48">C326-F326</f>
        <v>4277.2331999999997</v>
      </c>
      <c r="H326" s="386" t="s">
        <v>2488</v>
      </c>
    </row>
    <row r="327" spans="1:8" x14ac:dyDescent="0.35">
      <c r="A327" s="142" t="s">
        <v>659</v>
      </c>
      <c r="B327" s="110" t="s">
        <v>318</v>
      </c>
      <c r="C327" s="117">
        <f>MARZO!I131+MARZO!S131+MARZO!T131</f>
        <v>1740</v>
      </c>
      <c r="D327" s="136" t="s">
        <v>243</v>
      </c>
      <c r="E327" s="124">
        <v>45724</v>
      </c>
      <c r="F327" s="208">
        <f>SUM(MARZO!V131:AZ131)</f>
        <v>1740</v>
      </c>
      <c r="G327" s="208">
        <f>C327-F327</f>
        <v>0</v>
      </c>
      <c r="H327" s="386"/>
    </row>
    <row r="328" spans="1:8" ht="15.5" x14ac:dyDescent="0.35">
      <c r="A328" s="155" t="s">
        <v>2270</v>
      </c>
      <c r="B328" s="196">
        <v>114</v>
      </c>
      <c r="C328" s="197">
        <f>SUM(C214:C327)</f>
        <v>474978.26680000004</v>
      </c>
      <c r="D328" s="196"/>
      <c r="E328" s="196"/>
      <c r="F328" s="209">
        <f>SUM(F214:F327)</f>
        <v>451712.34999999992</v>
      </c>
      <c r="G328" s="209">
        <f>SUM(G214:G327)</f>
        <v>23265.916800000025</v>
      </c>
      <c r="H328" s="206"/>
    </row>
    <row r="329" spans="1:8" x14ac:dyDescent="0.35">
      <c r="A329" s="142" t="s">
        <v>1757</v>
      </c>
      <c r="B329" s="110" t="s">
        <v>403</v>
      </c>
      <c r="C329" s="117">
        <f>ABRIL!J18+ABRIL!S18+ABRIL!T18</f>
        <v>6844.004799999997</v>
      </c>
      <c r="D329" s="136" t="s">
        <v>243</v>
      </c>
      <c r="E329" s="124">
        <v>45749</v>
      </c>
      <c r="F329" s="208">
        <f>SUM(ABRIL!V18:AY18)</f>
        <v>6844</v>
      </c>
      <c r="G329" s="208">
        <f>C329-F329</f>
        <v>4.799999996976112E-3</v>
      </c>
      <c r="H329" s="203"/>
    </row>
    <row r="330" spans="1:8" x14ac:dyDescent="0.35">
      <c r="A330" s="357" t="s">
        <v>1758</v>
      </c>
      <c r="B330" s="110" t="s">
        <v>403</v>
      </c>
      <c r="C330" s="117">
        <f>ABRIL!J19+ABRIL!S19+ABRIL!T19</f>
        <v>1624.0027999999993</v>
      </c>
      <c r="D330" s="136" t="s">
        <v>243</v>
      </c>
      <c r="E330" s="124">
        <v>45757</v>
      </c>
      <c r="F330" s="208">
        <f>SUM(ABRIL!V19:AY19)</f>
        <v>1624</v>
      </c>
      <c r="G330" s="208">
        <f>C330-F330</f>
        <v>2.7999999992971425E-3</v>
      </c>
      <c r="H330" s="203"/>
    </row>
    <row r="331" spans="1:8" x14ac:dyDescent="0.35">
      <c r="A331" s="142" t="s">
        <v>375</v>
      </c>
      <c r="B331" s="110" t="s">
        <v>403</v>
      </c>
      <c r="C331" s="117">
        <f>ABRIL!J20+ABRIL!S20+ABRIL!T20</f>
        <v>1387.3568000000068</v>
      </c>
      <c r="D331" s="136" t="s">
        <v>243</v>
      </c>
      <c r="E331" s="124">
        <v>45769</v>
      </c>
      <c r="F331" s="208">
        <f>SUM(ABRIL!V20:AY20)</f>
        <v>1387.36</v>
      </c>
      <c r="G331" s="208">
        <f>C331-F331</f>
        <v>-3.199999993057645E-3</v>
      </c>
      <c r="H331" s="203"/>
    </row>
    <row r="332" spans="1:8" x14ac:dyDescent="0.35">
      <c r="A332" s="142" t="s">
        <v>750</v>
      </c>
      <c r="B332" s="110" t="s">
        <v>403</v>
      </c>
      <c r="C332" s="117">
        <f>ABRIL!J21+ABRIL!S21+ABRIL!T21</f>
        <v>3132.0047999999974</v>
      </c>
      <c r="D332" s="136" t="s">
        <v>243</v>
      </c>
      <c r="E332" s="124">
        <v>45749</v>
      </c>
      <c r="F332" s="208">
        <f>SUM(ABRIL!V21:AY21)</f>
        <v>3132</v>
      </c>
      <c r="G332" s="208">
        <f>C332-F332</f>
        <v>4.7999999974308594E-3</v>
      </c>
      <c r="H332" s="203"/>
    </row>
    <row r="333" spans="1:8" x14ac:dyDescent="0.35">
      <c r="A333" s="142" t="s">
        <v>1723</v>
      </c>
      <c r="B333" s="110" t="s">
        <v>403</v>
      </c>
      <c r="C333" s="117">
        <f>ABRIL!J22+ABRIL!S22+ABRIL!T22</f>
        <v>348</v>
      </c>
      <c r="D333" s="136" t="s">
        <v>243</v>
      </c>
      <c r="E333" s="124">
        <v>45772</v>
      </c>
      <c r="F333" s="208">
        <f>SUM(ABRIL!V22:AY22)</f>
        <v>348</v>
      </c>
      <c r="G333" s="208">
        <f t="shared" ref="G333:G341" si="49">C333-F333</f>
        <v>0</v>
      </c>
      <c r="H333" s="203"/>
    </row>
    <row r="334" spans="1:8" x14ac:dyDescent="0.35">
      <c r="A334" s="142" t="s">
        <v>779</v>
      </c>
      <c r="B334" s="110" t="s">
        <v>403</v>
      </c>
      <c r="C334" s="117">
        <f>ABRIL!J23+ABRIL!S23+ABRIL!T23</f>
        <v>290</v>
      </c>
      <c r="D334" s="136" t="s">
        <v>243</v>
      </c>
      <c r="E334" s="124">
        <v>45749</v>
      </c>
      <c r="F334" s="208">
        <f>SUM(ABRIL!V23:AY23)</f>
        <v>290</v>
      </c>
      <c r="G334" s="208">
        <f t="shared" si="49"/>
        <v>0</v>
      </c>
      <c r="H334" s="203"/>
    </row>
    <row r="335" spans="1:8" x14ac:dyDescent="0.35">
      <c r="A335" s="142" t="s">
        <v>1724</v>
      </c>
      <c r="B335" s="110" t="s">
        <v>403</v>
      </c>
      <c r="C335" s="117">
        <f>ABRIL!J24+ABRIL!S24+ABRIL!T24</f>
        <v>1449.9967999999992</v>
      </c>
      <c r="D335" s="136" t="s">
        <v>243</v>
      </c>
      <c r="E335" s="124">
        <v>45751</v>
      </c>
      <c r="F335" s="208">
        <f>SUM(ABRIL!V24:AY24)</f>
        <v>1450</v>
      </c>
      <c r="G335" s="208">
        <f t="shared" si="49"/>
        <v>-3.20000000078835E-3</v>
      </c>
      <c r="H335" s="203"/>
    </row>
    <row r="336" spans="1:8" x14ac:dyDescent="0.35">
      <c r="A336" s="91" t="s">
        <v>1578</v>
      </c>
      <c r="B336" s="110" t="s">
        <v>403</v>
      </c>
      <c r="C336" s="117">
        <f>ABRIL!J25+ABRIL!S25+ABRIL!T25</f>
        <v>348</v>
      </c>
      <c r="D336" s="136" t="s">
        <v>243</v>
      </c>
      <c r="E336" s="124">
        <v>45755</v>
      </c>
      <c r="F336" s="208">
        <f>SUM(ABRIL!V25:AY25)</f>
        <v>348</v>
      </c>
      <c r="G336" s="208">
        <f t="shared" si="49"/>
        <v>0</v>
      </c>
      <c r="H336" s="203"/>
    </row>
    <row r="337" spans="1:9" x14ac:dyDescent="0.35">
      <c r="A337" s="142" t="s">
        <v>783</v>
      </c>
      <c r="B337" s="110" t="s">
        <v>403</v>
      </c>
      <c r="C337" s="117">
        <f>ABRIL!J26+ABRIL!S26+ABRIL!T26</f>
        <v>1618.2039999999981</v>
      </c>
      <c r="D337" s="136" t="s">
        <v>243</v>
      </c>
      <c r="E337" s="124">
        <v>45750</v>
      </c>
      <c r="F337" s="208">
        <f>SUM(ABRIL!V26:AY26)</f>
        <v>1618.2</v>
      </c>
      <c r="G337" s="208">
        <f t="shared" si="49"/>
        <v>3.9999999980864231E-3</v>
      </c>
      <c r="H337" s="203"/>
    </row>
    <row r="338" spans="1:9" x14ac:dyDescent="0.35">
      <c r="A338" s="142" t="s">
        <v>1759</v>
      </c>
      <c r="B338" s="110" t="s">
        <v>403</v>
      </c>
      <c r="C338" s="117">
        <f>ABRIL!J27+ABRIL!S27+ABRIL!T27</f>
        <v>1624.0028000000002</v>
      </c>
      <c r="D338" s="136" t="s">
        <v>243</v>
      </c>
      <c r="E338" s="124">
        <v>45750</v>
      </c>
      <c r="F338" s="208">
        <f>SUM(ABRIL!V27:AY27)</f>
        <v>1624</v>
      </c>
      <c r="G338" s="208">
        <f t="shared" si="49"/>
        <v>2.8000000002066372E-3</v>
      </c>
      <c r="H338" s="203"/>
    </row>
    <row r="339" spans="1:9" x14ac:dyDescent="0.35">
      <c r="A339" s="142" t="s">
        <v>1725</v>
      </c>
      <c r="B339" s="110" t="s">
        <v>403</v>
      </c>
      <c r="C339" s="117">
        <f>ABRIL!J28+ABRIL!S28+ABRIL!T28</f>
        <v>1392</v>
      </c>
      <c r="D339" s="136" t="s">
        <v>243</v>
      </c>
      <c r="E339" s="124">
        <v>45750</v>
      </c>
      <c r="F339" s="208">
        <f>SUM(ABRIL!V28:AY28)</f>
        <v>1392</v>
      </c>
      <c r="G339" s="208">
        <f t="shared" si="49"/>
        <v>0</v>
      </c>
      <c r="H339" s="203"/>
    </row>
    <row r="340" spans="1:9" x14ac:dyDescent="0.35">
      <c r="A340" s="142" t="s">
        <v>1352</v>
      </c>
      <c r="B340" s="110" t="s">
        <v>403</v>
      </c>
      <c r="C340" s="117">
        <f>ABRIL!J29+ABRIL!S29+ABRIL!T29</f>
        <v>-1740</v>
      </c>
      <c r="D340" s="136" t="s">
        <v>243</v>
      </c>
      <c r="E340" s="124">
        <v>45726</v>
      </c>
      <c r="F340" s="208">
        <f>SUM(ABRIL!V29:AY29)</f>
        <v>0</v>
      </c>
      <c r="G340" s="208">
        <f t="shared" si="49"/>
        <v>-1740</v>
      </c>
      <c r="H340" s="203"/>
    </row>
    <row r="341" spans="1:9" x14ac:dyDescent="0.35">
      <c r="A341" s="142" t="s">
        <v>1726</v>
      </c>
      <c r="B341" s="110" t="s">
        <v>403</v>
      </c>
      <c r="C341" s="117">
        <f>ABRIL!J30+ABRIL!S30+ABRIL!T30</f>
        <v>1902</v>
      </c>
      <c r="D341" s="136" t="s">
        <v>243</v>
      </c>
      <c r="E341" s="124">
        <v>45763</v>
      </c>
      <c r="F341" s="208">
        <f>SUM(ABRIL!V30:AY30)</f>
        <v>2030</v>
      </c>
      <c r="G341" s="208">
        <f t="shared" si="49"/>
        <v>-128</v>
      </c>
      <c r="H341" s="203"/>
    </row>
    <row r="342" spans="1:9" x14ac:dyDescent="0.35">
      <c r="A342" s="142" t="s">
        <v>1727</v>
      </c>
      <c r="B342" s="110" t="s">
        <v>403</v>
      </c>
      <c r="C342" s="117">
        <f>ABRIL!J31+ABRIL!S31+ABRIL!T31</f>
        <v>2552.0011999999997</v>
      </c>
      <c r="D342" s="136" t="s">
        <v>243</v>
      </c>
      <c r="E342" s="124">
        <v>45751</v>
      </c>
      <c r="F342" s="208">
        <f>SUM(ABRIL!V31:AY31)</f>
        <v>2552</v>
      </c>
      <c r="G342" s="208">
        <f>C342-F342</f>
        <v>1.1999999996987754E-3</v>
      </c>
      <c r="H342" s="203"/>
    </row>
    <row r="343" spans="1:9" x14ac:dyDescent="0.35">
      <c r="A343" s="142" t="s">
        <v>1632</v>
      </c>
      <c r="B343" s="110" t="s">
        <v>403</v>
      </c>
      <c r="C343" s="117">
        <f>ABRIL!J32+ABRIL!S32+ABRIL!T32</f>
        <v>1941.836</v>
      </c>
      <c r="D343" s="136" t="s">
        <v>243</v>
      </c>
      <c r="E343" s="124">
        <v>45758</v>
      </c>
      <c r="F343" s="208">
        <f>SUM(ABRIL!V32:AY32)</f>
        <v>1941.84</v>
      </c>
      <c r="G343" s="208">
        <f>C343-F343</f>
        <v>-3.9999999999054126E-3</v>
      </c>
      <c r="H343" s="203"/>
      <c r="I343" s="340" t="s">
        <v>931</v>
      </c>
    </row>
    <row r="344" spans="1:9" x14ac:dyDescent="0.35">
      <c r="A344" s="142" t="s">
        <v>1760</v>
      </c>
      <c r="B344" s="110" t="s">
        <v>403</v>
      </c>
      <c r="C344" s="117">
        <f>ABRIL!J33+ABRIL!S33+ABRIL!T33</f>
        <v>-12528</v>
      </c>
      <c r="D344" s="136" t="s">
        <v>243</v>
      </c>
      <c r="E344" s="124">
        <v>45730</v>
      </c>
      <c r="F344" s="208">
        <f>SUM(ABRIL!V33:AY33)</f>
        <v>0</v>
      </c>
      <c r="G344" s="208">
        <f>C344-F344</f>
        <v>-12528</v>
      </c>
      <c r="H344" s="203"/>
    </row>
    <row r="345" spans="1:9" x14ac:dyDescent="0.35">
      <c r="A345" s="142" t="s">
        <v>1274</v>
      </c>
      <c r="B345" s="110" t="s">
        <v>403</v>
      </c>
      <c r="C345" s="117">
        <f>ABRIL!J34+ABRIL!S34+ABRIL!T34</f>
        <v>290</v>
      </c>
      <c r="D345" s="136" t="s">
        <v>243</v>
      </c>
      <c r="E345" s="124">
        <v>45751</v>
      </c>
      <c r="F345" s="208">
        <f>SUM(ABRIL!V34:AY34)</f>
        <v>290</v>
      </c>
      <c r="G345" s="208">
        <f t="shared" ref="G345:G350" si="50">C345-F345</f>
        <v>0</v>
      </c>
      <c r="H345" s="203"/>
    </row>
    <row r="346" spans="1:9" x14ac:dyDescent="0.35">
      <c r="A346" s="142" t="s">
        <v>654</v>
      </c>
      <c r="B346" s="110" t="s">
        <v>403</v>
      </c>
      <c r="C346" s="117">
        <f>ABRIL!J35+ABRIL!S35+ABRIL!T35</f>
        <v>3209.3212000000003</v>
      </c>
      <c r="D346" s="136" t="s">
        <v>243</v>
      </c>
      <c r="E346" s="124">
        <v>45750</v>
      </c>
      <c r="F346" s="208">
        <f>SUM(ABRIL!V35:AY35)</f>
        <v>3209.32</v>
      </c>
      <c r="G346" s="208">
        <f t="shared" si="50"/>
        <v>1.2000000001535227E-3</v>
      </c>
      <c r="H346" s="203"/>
    </row>
    <row r="347" spans="1:9" x14ac:dyDescent="0.35">
      <c r="A347" s="142" t="s">
        <v>1761</v>
      </c>
      <c r="B347" s="110" t="s">
        <v>403</v>
      </c>
      <c r="C347" s="117">
        <f>ABRIL!J36+ABRIL!S36+ABRIL!T36</f>
        <v>2088.0075999999995</v>
      </c>
      <c r="D347" s="136" t="s">
        <v>243</v>
      </c>
      <c r="E347" s="124">
        <v>45751</v>
      </c>
      <c r="F347" s="208">
        <f>SUM(ABRIL!V36:AY36)</f>
        <v>2842</v>
      </c>
      <c r="G347" s="208">
        <f t="shared" si="50"/>
        <v>-753.99240000000054</v>
      </c>
      <c r="H347" s="203"/>
    </row>
    <row r="348" spans="1:9" x14ac:dyDescent="0.35">
      <c r="A348" s="142" t="s">
        <v>1730</v>
      </c>
      <c r="B348" s="110" t="s">
        <v>403</v>
      </c>
      <c r="C348" s="117">
        <f>ABRIL!J37+ABRIL!S37+ABRIL!T37</f>
        <v>1155.3600000000015</v>
      </c>
      <c r="D348" s="136" t="s">
        <v>243</v>
      </c>
      <c r="E348" s="124">
        <v>45751</v>
      </c>
      <c r="F348" s="208">
        <f>SUM(ABRIL!V37:AY37)</f>
        <v>1155.3599999999999</v>
      </c>
      <c r="G348" s="208">
        <f t="shared" si="50"/>
        <v>0</v>
      </c>
      <c r="H348" s="203"/>
    </row>
    <row r="349" spans="1:9" x14ac:dyDescent="0.35">
      <c r="A349" s="142" t="s">
        <v>1446</v>
      </c>
      <c r="B349" s="110" t="s">
        <v>403</v>
      </c>
      <c r="C349" s="117">
        <f>ABRIL!J38+ABRIL!S38+ABRIL!T38</f>
        <v>696</v>
      </c>
      <c r="D349" s="136" t="s">
        <v>243</v>
      </c>
      <c r="E349" s="124">
        <v>45754</v>
      </c>
      <c r="F349" s="208">
        <f>SUM(ABRIL!V38:AY38)</f>
        <v>696</v>
      </c>
      <c r="G349" s="208">
        <f t="shared" si="50"/>
        <v>0</v>
      </c>
      <c r="H349" s="203"/>
    </row>
    <row r="350" spans="1:9" x14ac:dyDescent="0.35">
      <c r="A350" s="142" t="s">
        <v>960</v>
      </c>
      <c r="B350" s="110" t="s">
        <v>403</v>
      </c>
      <c r="C350" s="117">
        <f>ABRIL!J39+ABRIL!S39+ABRIL!T39</f>
        <v>33555.421999999962</v>
      </c>
      <c r="D350" s="136" t="s">
        <v>1911</v>
      </c>
      <c r="E350" s="124">
        <v>45771</v>
      </c>
      <c r="F350" s="208">
        <f>SUM(ABRIL!V39:AY39)</f>
        <v>30335.39</v>
      </c>
      <c r="G350" s="208">
        <f t="shared" si="50"/>
        <v>3220.0319999999629</v>
      </c>
      <c r="H350" s="203"/>
      <c r="I350" s="252"/>
    </row>
    <row r="351" spans="1:9" x14ac:dyDescent="0.35">
      <c r="A351" s="142" t="s">
        <v>1453</v>
      </c>
      <c r="B351" s="110" t="s">
        <v>403</v>
      </c>
      <c r="C351" s="117">
        <f>ABRIL!J40+ABRIL!S40+ABRIL!T40</f>
        <v>348</v>
      </c>
      <c r="D351" s="136" t="s">
        <v>243</v>
      </c>
      <c r="E351" s="124">
        <v>45775</v>
      </c>
      <c r="F351" s="208">
        <f>SUM(ABRIL!V40:AY40)</f>
        <v>348</v>
      </c>
      <c r="G351" s="208">
        <f>C351-F351</f>
        <v>0</v>
      </c>
      <c r="H351" s="203"/>
      <c r="I351" s="252"/>
    </row>
    <row r="352" spans="1:9" x14ac:dyDescent="0.35">
      <c r="A352" s="142" t="s">
        <v>428</v>
      </c>
      <c r="B352" s="110" t="s">
        <v>403</v>
      </c>
      <c r="C352" s="117">
        <f>ABRIL!J41+ABRIL!S41+ABRIL!T41</f>
        <v>13281.9956</v>
      </c>
      <c r="D352" s="149" t="s">
        <v>1911</v>
      </c>
      <c r="E352" s="124">
        <v>45770</v>
      </c>
      <c r="F352" s="208">
        <f>SUM(ABRIL!V41:AY41)</f>
        <v>8085.2</v>
      </c>
      <c r="G352" s="208">
        <f t="shared" ref="G352" si="51">C352-F352</f>
        <v>5196.7956000000004</v>
      </c>
      <c r="H352" s="203"/>
      <c r="I352" s="252"/>
    </row>
    <row r="353" spans="1:9" x14ac:dyDescent="0.35">
      <c r="A353" s="142" t="s">
        <v>1685</v>
      </c>
      <c r="B353" s="110" t="s">
        <v>403</v>
      </c>
      <c r="C353" s="117">
        <f>ABRIL!J42+ABRIL!S42+ABRIL!T42</f>
        <v>4839.5195999999996</v>
      </c>
      <c r="D353" s="136" t="s">
        <v>243</v>
      </c>
      <c r="E353" s="124">
        <v>45771</v>
      </c>
      <c r="F353" s="208">
        <f>SUM(ABRIL!V42:AY42)</f>
        <v>4839.5200000000004</v>
      </c>
      <c r="G353" s="208">
        <f>C353-F353</f>
        <v>-4.0000000080908649E-4</v>
      </c>
      <c r="H353" s="203"/>
      <c r="I353" s="252"/>
    </row>
    <row r="354" spans="1:9" x14ac:dyDescent="0.35">
      <c r="A354" s="142" t="s">
        <v>1493</v>
      </c>
      <c r="B354" s="110" t="s">
        <v>403</v>
      </c>
      <c r="C354" s="117">
        <f>ABRIL!J43+ABRIL!S43+ABRIL!T43</f>
        <v>6264.0020000000004</v>
      </c>
      <c r="D354" s="136" t="s">
        <v>243</v>
      </c>
      <c r="E354" s="124">
        <v>45754</v>
      </c>
      <c r="F354" s="208">
        <f>SUM(ABRIL!V43:AY43)</f>
        <v>6264</v>
      </c>
      <c r="G354" s="208">
        <f t="shared" ref="G354" si="52">C354-F354</f>
        <v>2.0000000004074536E-3</v>
      </c>
      <c r="H354" s="203"/>
    </row>
    <row r="355" spans="1:9" x14ac:dyDescent="0.35">
      <c r="A355" s="142" t="s">
        <v>1936</v>
      </c>
      <c r="B355" s="110" t="s">
        <v>403</v>
      </c>
      <c r="C355" s="117">
        <f>ABRIL!J44+ABRIL!S44+ABRIL!T44</f>
        <v>21616.603999999999</v>
      </c>
      <c r="D355" s="136" t="s">
        <v>1911</v>
      </c>
      <c r="E355" s="124">
        <v>45759</v>
      </c>
      <c r="F355" s="208">
        <f>SUM(ABRIL!V44:AY44)</f>
        <v>7120.08</v>
      </c>
      <c r="G355" s="208">
        <f>C355-F355</f>
        <v>14496.523999999999</v>
      </c>
      <c r="H355" s="203"/>
    </row>
    <row r="356" spans="1:9" x14ac:dyDescent="0.35">
      <c r="A356" s="142" t="s">
        <v>655</v>
      </c>
      <c r="B356" s="110" t="s">
        <v>403</v>
      </c>
      <c r="C356" s="117">
        <f>ABRIL!J45+ABRIL!S45+ABRIL!T45</f>
        <v>4813.999600000001</v>
      </c>
      <c r="D356" s="136" t="s">
        <v>243</v>
      </c>
      <c r="E356" s="124">
        <v>45755</v>
      </c>
      <c r="F356" s="208">
        <f>SUM(ABRIL!V45:AY45)</f>
        <v>4814</v>
      </c>
      <c r="G356" s="208">
        <f>C356-F356</f>
        <v>-3.9999999899009708E-4</v>
      </c>
      <c r="H356" s="203"/>
    </row>
    <row r="357" spans="1:9" x14ac:dyDescent="0.35">
      <c r="A357" s="142" t="s">
        <v>1768</v>
      </c>
      <c r="B357" s="110" t="s">
        <v>403</v>
      </c>
      <c r="C357" s="117">
        <f>ABRIL!J46+ABRIL!S46+ABRIL!T46</f>
        <v>348</v>
      </c>
      <c r="D357" s="136"/>
      <c r="E357" s="124"/>
      <c r="F357" s="208">
        <f>SUM(ABRIL!V46:AY46)</f>
        <v>0</v>
      </c>
      <c r="G357" s="208">
        <f t="shared" ref="G357:G367" si="53">C357-F357</f>
        <v>348</v>
      </c>
      <c r="H357" s="203"/>
    </row>
    <row r="358" spans="1:9" x14ac:dyDescent="0.35">
      <c r="A358" s="142" t="s">
        <v>1769</v>
      </c>
      <c r="B358" s="110" t="s">
        <v>403</v>
      </c>
      <c r="C358" s="117">
        <f>ABRIL!J47+ABRIL!S47+ABRIL!T47</f>
        <v>696</v>
      </c>
      <c r="D358" s="136" t="s">
        <v>243</v>
      </c>
      <c r="E358" s="124">
        <v>45754</v>
      </c>
      <c r="F358" s="208">
        <f>SUM(ABRIL!V47:AY47)</f>
        <v>696</v>
      </c>
      <c r="G358" s="208">
        <f t="shared" si="53"/>
        <v>0</v>
      </c>
      <c r="H358" s="203"/>
    </row>
    <row r="359" spans="1:9" x14ac:dyDescent="0.35">
      <c r="A359" s="142" t="s">
        <v>1458</v>
      </c>
      <c r="B359" s="110" t="s">
        <v>403</v>
      </c>
      <c r="C359" s="117">
        <f>ABRIL!J48+ABRIL!S48+ABRIL!T48</f>
        <v>1044</v>
      </c>
      <c r="D359" s="136" t="s">
        <v>243</v>
      </c>
      <c r="E359" s="124">
        <v>45757</v>
      </c>
      <c r="F359" s="208">
        <f>SUM(ABRIL!V48:AY48)</f>
        <v>1044</v>
      </c>
      <c r="G359" s="208">
        <f t="shared" si="53"/>
        <v>0</v>
      </c>
      <c r="H359" s="203"/>
    </row>
    <row r="360" spans="1:9" x14ac:dyDescent="0.35">
      <c r="A360" s="142" t="s">
        <v>1762</v>
      </c>
      <c r="B360" s="110" t="s">
        <v>403</v>
      </c>
      <c r="C360" s="117">
        <f>ABRIL!J49+ABRIL!S49+ABRIL!T49</f>
        <v>1044</v>
      </c>
      <c r="D360" s="136" t="s">
        <v>243</v>
      </c>
      <c r="E360" s="124">
        <v>45758</v>
      </c>
      <c r="F360" s="208">
        <f>SUM(ABRIL!V49:AY49)</f>
        <v>1044</v>
      </c>
      <c r="G360" s="208">
        <f t="shared" si="53"/>
        <v>0</v>
      </c>
      <c r="H360" s="203"/>
    </row>
    <row r="361" spans="1:9" x14ac:dyDescent="0.35">
      <c r="A361" s="91" t="s">
        <v>2458</v>
      </c>
      <c r="B361" s="110" t="s">
        <v>403</v>
      </c>
      <c r="C361" s="117">
        <f>ABRIL!J50+ABRIL!S50+ABRIL!T50</f>
        <v>580</v>
      </c>
      <c r="D361" s="136" t="s">
        <v>243</v>
      </c>
      <c r="E361" s="124">
        <v>45757</v>
      </c>
      <c r="F361" s="208">
        <f>SUM(ABRIL!V50:AY50)</f>
        <v>580</v>
      </c>
      <c r="G361" s="208">
        <f t="shared" si="53"/>
        <v>0</v>
      </c>
      <c r="H361" s="203"/>
    </row>
    <row r="362" spans="1:9" x14ac:dyDescent="0.35">
      <c r="A362" s="142" t="s">
        <v>780</v>
      </c>
      <c r="B362" s="110" t="s">
        <v>403</v>
      </c>
      <c r="C362" s="117">
        <f>ABRIL!J51+ABRIL!S51+ABRIL!T51</f>
        <v>1392</v>
      </c>
      <c r="D362" s="136" t="s">
        <v>243</v>
      </c>
      <c r="E362" s="124">
        <v>45749</v>
      </c>
      <c r="F362" s="208">
        <f>SUM(ABRIL!V51:AY51)</f>
        <v>1392</v>
      </c>
      <c r="G362" s="208">
        <f t="shared" si="53"/>
        <v>0</v>
      </c>
      <c r="H362" s="203"/>
    </row>
    <row r="363" spans="1:9" x14ac:dyDescent="0.35">
      <c r="A363" s="142" t="s">
        <v>1731</v>
      </c>
      <c r="B363" s="110" t="s">
        <v>403</v>
      </c>
      <c r="C363" s="117">
        <f>ABRIL!J52+ABRIL!S52+ABRIL!T52</f>
        <v>870.00000000000091</v>
      </c>
      <c r="D363" s="136" t="s">
        <v>243</v>
      </c>
      <c r="E363" s="124">
        <v>45751</v>
      </c>
      <c r="F363" s="208">
        <f>SUM(ABRIL!V52:AY52)</f>
        <v>870</v>
      </c>
      <c r="G363" s="208">
        <f t="shared" si="53"/>
        <v>9.0949470177292824E-13</v>
      </c>
      <c r="H363" s="203"/>
    </row>
    <row r="364" spans="1:9" x14ac:dyDescent="0.35">
      <c r="A364" s="142" t="s">
        <v>1732</v>
      </c>
      <c r="B364" s="110" t="s">
        <v>403</v>
      </c>
      <c r="C364" s="117">
        <f>ABRIL!J53+ABRIL!S53+ABRIL!T53</f>
        <v>348</v>
      </c>
      <c r="D364" s="136" t="s">
        <v>243</v>
      </c>
      <c r="E364" s="124">
        <v>45757</v>
      </c>
      <c r="F364" s="208">
        <f>SUM(ABRIL!V53:AY53)</f>
        <v>348</v>
      </c>
      <c r="G364" s="208">
        <f t="shared" si="53"/>
        <v>0</v>
      </c>
      <c r="H364" s="203"/>
    </row>
    <row r="365" spans="1:9" x14ac:dyDescent="0.35">
      <c r="A365" s="142" t="s">
        <v>1734</v>
      </c>
      <c r="B365" s="110" t="s">
        <v>403</v>
      </c>
      <c r="C365" s="117">
        <f>ABRIL!J54+ABRIL!S54+ABRIL!T54</f>
        <v>1619.3632000000064</v>
      </c>
      <c r="D365" s="136" t="s">
        <v>243</v>
      </c>
      <c r="E365" s="124">
        <v>45757</v>
      </c>
      <c r="F365" s="208">
        <f>SUM(ABRIL!V54:AY54)</f>
        <v>1619.36</v>
      </c>
      <c r="G365" s="208">
        <f t="shared" si="53"/>
        <v>3.2000000064726919E-3</v>
      </c>
      <c r="H365" s="203"/>
    </row>
    <row r="366" spans="1:9" x14ac:dyDescent="0.35">
      <c r="A366" s="142" t="s">
        <v>1415</v>
      </c>
      <c r="B366" s="110" t="s">
        <v>403</v>
      </c>
      <c r="C366" s="117">
        <f>ABRIL!J55+ABRIL!S55+ABRIL!T55</f>
        <v>5219.9964000000018</v>
      </c>
      <c r="D366" s="136" t="s">
        <v>243</v>
      </c>
      <c r="E366" s="124">
        <v>45750</v>
      </c>
      <c r="F366" s="208">
        <f>SUM(ABRIL!V55:AY55)</f>
        <v>5220</v>
      </c>
      <c r="G366" s="208">
        <f t="shared" si="53"/>
        <v>-3.5999999981868314E-3</v>
      </c>
      <c r="H366" s="203"/>
    </row>
    <row r="367" spans="1:9" x14ac:dyDescent="0.35">
      <c r="A367" s="142" t="s">
        <v>1763</v>
      </c>
      <c r="B367" s="110" t="s">
        <v>403</v>
      </c>
      <c r="C367" s="117">
        <f>ABRIL!J56+ABRIL!S56+ABRIL!T56</f>
        <v>8073.6047999999973</v>
      </c>
      <c r="D367" s="136" t="s">
        <v>243</v>
      </c>
      <c r="E367" s="124">
        <v>45751</v>
      </c>
      <c r="F367" s="208">
        <f>SUM(ABRIL!V56:AY56)</f>
        <v>8073.6</v>
      </c>
      <c r="G367" s="208">
        <f t="shared" si="53"/>
        <v>4.799999996976112E-3</v>
      </c>
      <c r="H367" s="203"/>
    </row>
    <row r="368" spans="1:9" x14ac:dyDescent="0.35">
      <c r="A368" s="142" t="s">
        <v>656</v>
      </c>
      <c r="B368" s="110" t="s">
        <v>403</v>
      </c>
      <c r="C368" s="117">
        <f>ABRIL!J57+ABRIL!S57+ABRIL!T57</f>
        <v>1531.1952000000003</v>
      </c>
      <c r="D368" s="136" t="s">
        <v>243</v>
      </c>
      <c r="E368" s="124">
        <v>45750</v>
      </c>
      <c r="F368" s="208">
        <f>SUM(ABRIL!V57:AY57)</f>
        <v>1531.2</v>
      </c>
      <c r="G368" s="208">
        <f>C368-F368</f>
        <v>-4.7999999997045961E-3</v>
      </c>
      <c r="H368" s="203"/>
    </row>
    <row r="369" spans="1:8" x14ac:dyDescent="0.35">
      <c r="A369" s="142" t="s">
        <v>2443</v>
      </c>
      <c r="B369" s="110" t="s">
        <v>403</v>
      </c>
      <c r="C369" s="117">
        <f>ABRIL!J58+ABRIL!S58+ABRIL!T58</f>
        <v>1484.8000000000002</v>
      </c>
      <c r="D369" s="136" t="s">
        <v>243</v>
      </c>
      <c r="E369" s="124">
        <v>45751</v>
      </c>
      <c r="F369" s="208">
        <f>SUM(ABRIL!V58:AY58)</f>
        <v>1484.8</v>
      </c>
      <c r="G369" s="208">
        <f t="shared" ref="G369" si="54">C369-F369</f>
        <v>0</v>
      </c>
      <c r="H369" s="203"/>
    </row>
    <row r="370" spans="1:8" x14ac:dyDescent="0.35">
      <c r="A370" s="142" t="s">
        <v>1736</v>
      </c>
      <c r="B370" s="110" t="s">
        <v>403</v>
      </c>
      <c r="C370" s="117">
        <f>ABRIL!J59+ABRIL!S59+ABRIL!T59</f>
        <v>348</v>
      </c>
      <c r="D370" s="136"/>
      <c r="E370" s="124"/>
      <c r="F370" s="208">
        <f>SUM(ABRIL!V59:AY59)</f>
        <v>0</v>
      </c>
      <c r="G370" s="208">
        <f>C370-F370</f>
        <v>348</v>
      </c>
      <c r="H370" s="203"/>
    </row>
    <row r="371" spans="1:8" x14ac:dyDescent="0.35">
      <c r="A371" s="142" t="s">
        <v>1737</v>
      </c>
      <c r="B371" s="110" t="s">
        <v>403</v>
      </c>
      <c r="C371" s="117">
        <f>ABRIL!J60+ABRIL!S60+ABRIL!T60</f>
        <v>1392</v>
      </c>
      <c r="D371" s="136" t="s">
        <v>243</v>
      </c>
      <c r="E371" s="124">
        <v>45753</v>
      </c>
      <c r="F371" s="208">
        <f>SUM(ABRIL!V60:AY60)</f>
        <v>1392</v>
      </c>
      <c r="G371" s="208">
        <f t="shared" ref="G371:G407" si="55">C371-F371</f>
        <v>0</v>
      </c>
      <c r="H371" s="203"/>
    </row>
    <row r="372" spans="1:8" x14ac:dyDescent="0.35">
      <c r="A372" s="142" t="s">
        <v>827</v>
      </c>
      <c r="B372" s="110" t="s">
        <v>403</v>
      </c>
      <c r="C372" s="117">
        <f>ABRIL!J61+ABRIL!S61+ABRIL!T61</f>
        <v>765.60000000000025</v>
      </c>
      <c r="D372" s="136" t="s">
        <v>243</v>
      </c>
      <c r="E372" s="124">
        <v>45749</v>
      </c>
      <c r="F372" s="208">
        <f>SUM(ABRIL!V61:AY61)</f>
        <v>765.6</v>
      </c>
      <c r="G372" s="208">
        <f t="shared" si="55"/>
        <v>0</v>
      </c>
      <c r="H372" s="203"/>
    </row>
    <row r="373" spans="1:8" x14ac:dyDescent="0.35">
      <c r="A373" s="142" t="s">
        <v>1738</v>
      </c>
      <c r="B373" s="110" t="s">
        <v>403</v>
      </c>
      <c r="C373" s="117">
        <f>ABRIL!J62+ABRIL!S62+ABRIL!T62</f>
        <v>9386.7240000000202</v>
      </c>
      <c r="D373" s="136" t="s">
        <v>243</v>
      </c>
      <c r="E373" s="124">
        <v>45770</v>
      </c>
      <c r="F373" s="208">
        <f>SUM(ABRIL!V62:AY62)</f>
        <v>9386.7199999999993</v>
      </c>
      <c r="G373" s="208">
        <f t="shared" si="55"/>
        <v>4.0000000208237907E-3</v>
      </c>
      <c r="H373" s="203"/>
    </row>
    <row r="374" spans="1:8" x14ac:dyDescent="0.35">
      <c r="A374" s="142" t="s">
        <v>713</v>
      </c>
      <c r="B374" s="110" t="s">
        <v>403</v>
      </c>
      <c r="C374" s="117">
        <f>ABRIL!J63+ABRIL!S63+ABRIL!T63</f>
        <v>1391.9996000000001</v>
      </c>
      <c r="D374" s="136" t="s">
        <v>243</v>
      </c>
      <c r="E374" s="124">
        <v>45749</v>
      </c>
      <c r="F374" s="208">
        <f>SUM(ABRIL!V63:AY63)</f>
        <v>1392</v>
      </c>
      <c r="G374" s="208">
        <f t="shared" si="55"/>
        <v>-3.9999999989959178E-4</v>
      </c>
      <c r="H374" s="203"/>
    </row>
    <row r="375" spans="1:8" x14ac:dyDescent="0.35">
      <c r="A375" s="142" t="s">
        <v>1551</v>
      </c>
      <c r="B375" s="110" t="s">
        <v>403</v>
      </c>
      <c r="C375" s="117">
        <f>ABRIL!J64+ABRIL!S64+ABRIL!T64</f>
        <v>232</v>
      </c>
      <c r="D375" s="136" t="s">
        <v>243</v>
      </c>
      <c r="E375" s="124">
        <v>45749</v>
      </c>
      <c r="F375" s="208">
        <f>SUM(ABRIL!V64:AY64)</f>
        <v>232</v>
      </c>
      <c r="G375" s="208">
        <f t="shared" si="55"/>
        <v>0</v>
      </c>
      <c r="H375" s="203"/>
    </row>
    <row r="376" spans="1:8" x14ac:dyDescent="0.35">
      <c r="A376" s="142" t="s">
        <v>693</v>
      </c>
      <c r="B376" s="110" t="s">
        <v>403</v>
      </c>
      <c r="C376" s="117">
        <f>ABRIL!J65+ABRIL!S65+ABRIL!T65</f>
        <v>348</v>
      </c>
      <c r="D376" s="136" t="s">
        <v>243</v>
      </c>
      <c r="E376" s="124">
        <v>45755</v>
      </c>
      <c r="F376" s="208">
        <f>SUM(ABRIL!V65:AY65)</f>
        <v>348</v>
      </c>
      <c r="G376" s="208">
        <f t="shared" si="55"/>
        <v>0</v>
      </c>
      <c r="H376" s="203"/>
    </row>
    <row r="377" spans="1:8" x14ac:dyDescent="0.35">
      <c r="A377" s="142" t="s">
        <v>1621</v>
      </c>
      <c r="B377" s="110" t="s">
        <v>403</v>
      </c>
      <c r="C377" s="117">
        <f>ABRIL!J66+ABRIL!S66+ABRIL!T66</f>
        <v>290</v>
      </c>
      <c r="D377" s="136" t="s">
        <v>243</v>
      </c>
      <c r="E377" s="124">
        <v>45775</v>
      </c>
      <c r="F377" s="208">
        <f>SUM(ABRIL!V66:AY66)</f>
        <v>290</v>
      </c>
      <c r="G377" s="208">
        <f t="shared" si="55"/>
        <v>0</v>
      </c>
      <c r="H377" s="203"/>
    </row>
    <row r="378" spans="1:8" x14ac:dyDescent="0.35">
      <c r="A378" s="142" t="s">
        <v>533</v>
      </c>
      <c r="B378" s="110" t="s">
        <v>403</v>
      </c>
      <c r="C378" s="117">
        <f>ABRIL!J67+ABRIL!S67+ABRIL!T67</f>
        <v>4910.2820000000174</v>
      </c>
      <c r="D378" s="136" t="s">
        <v>243</v>
      </c>
      <c r="E378" s="124">
        <v>45751</v>
      </c>
      <c r="F378" s="208">
        <f>SUM(ABRIL!V67:AY67)</f>
        <v>4910.28</v>
      </c>
      <c r="G378" s="208">
        <f t="shared" si="55"/>
        <v>2.000000017687853E-3</v>
      </c>
      <c r="H378" s="203"/>
    </row>
    <row r="379" spans="1:8" x14ac:dyDescent="0.35">
      <c r="A379" s="142" t="s">
        <v>1676</v>
      </c>
      <c r="B379" s="110" t="s">
        <v>403</v>
      </c>
      <c r="C379" s="117">
        <f>ABRIL!J68+ABRIL!S68+ABRIL!T68</f>
        <v>3781.6</v>
      </c>
      <c r="D379" s="136" t="s">
        <v>243</v>
      </c>
      <c r="E379" s="124">
        <v>45751</v>
      </c>
      <c r="F379" s="208">
        <f>SUM(ABRIL!V68:AY68)</f>
        <v>3781.6</v>
      </c>
      <c r="G379" s="208">
        <f t="shared" si="55"/>
        <v>0</v>
      </c>
      <c r="H379" s="203"/>
    </row>
    <row r="380" spans="1:8" x14ac:dyDescent="0.35">
      <c r="A380" s="142" t="s">
        <v>496</v>
      </c>
      <c r="B380" s="110" t="s">
        <v>403</v>
      </c>
      <c r="C380" s="117">
        <f>ABRIL!J69+ABRIL!S69+ABRIL!T69</f>
        <v>577.68200000000229</v>
      </c>
      <c r="D380" s="136" t="s">
        <v>243</v>
      </c>
      <c r="E380" s="124">
        <v>45757</v>
      </c>
      <c r="F380" s="208">
        <f>SUM(ABRIL!V69:AY69)</f>
        <v>577.67999999999995</v>
      </c>
      <c r="G380" s="208">
        <f t="shared" si="55"/>
        <v>2.0000000023401299E-3</v>
      </c>
      <c r="H380" s="203"/>
    </row>
    <row r="381" spans="1:8" x14ac:dyDescent="0.35">
      <c r="A381" s="142" t="s">
        <v>323</v>
      </c>
      <c r="B381" s="110" t="s">
        <v>403</v>
      </c>
      <c r="C381" s="117">
        <f>ABRIL!J70+ABRIL!S70+ABRIL!T70</f>
        <v>288.84000000000231</v>
      </c>
      <c r="D381" s="136" t="s">
        <v>243</v>
      </c>
      <c r="E381" s="124">
        <v>45757</v>
      </c>
      <c r="F381" s="208">
        <f>SUM(ABRIL!V70:AY70)</f>
        <v>1733.04</v>
      </c>
      <c r="G381" s="208">
        <f t="shared" si="55"/>
        <v>-1444.1999999999975</v>
      </c>
      <c r="H381" s="203"/>
    </row>
    <row r="382" spans="1:8" x14ac:dyDescent="0.35">
      <c r="A382" s="142" t="s">
        <v>657</v>
      </c>
      <c r="B382" s="110" t="s">
        <v>403</v>
      </c>
      <c r="C382" s="117">
        <f>ABRIL!J71+ABRIL!S71+ABRIL!T71</f>
        <v>348</v>
      </c>
      <c r="D382" s="136" t="s">
        <v>243</v>
      </c>
      <c r="E382" s="124">
        <v>45754</v>
      </c>
      <c r="F382" s="208">
        <f>SUM(ABRIL!V71:AY71)</f>
        <v>348</v>
      </c>
      <c r="G382" s="208">
        <f t="shared" si="55"/>
        <v>0</v>
      </c>
      <c r="H382" s="203"/>
    </row>
    <row r="383" spans="1:8" x14ac:dyDescent="0.35">
      <c r="A383" s="142" t="s">
        <v>53</v>
      </c>
      <c r="B383" s="110" t="s">
        <v>403</v>
      </c>
      <c r="C383" s="117">
        <f>ABRIL!J72+ABRIL!S72+ABRIL!T72</f>
        <v>348</v>
      </c>
      <c r="D383" s="136" t="s">
        <v>243</v>
      </c>
      <c r="E383" s="124">
        <v>45754</v>
      </c>
      <c r="F383" s="208">
        <f>SUM(ABRIL!V72:AY72)</f>
        <v>348</v>
      </c>
      <c r="G383" s="208">
        <f t="shared" si="55"/>
        <v>0</v>
      </c>
      <c r="H383" s="203"/>
    </row>
    <row r="384" spans="1:8" x14ac:dyDescent="0.35">
      <c r="A384" s="142" t="s">
        <v>1741</v>
      </c>
      <c r="B384" s="110" t="s">
        <v>403</v>
      </c>
      <c r="C384" s="117">
        <f>ABRIL!J73+ABRIL!S73+ABRIL!T73</f>
        <v>3190.0024000000012</v>
      </c>
      <c r="D384" s="136" t="s">
        <v>243</v>
      </c>
      <c r="E384" s="124">
        <v>45751</v>
      </c>
      <c r="F384" s="208">
        <f>SUM(ABRIL!V73:AY73)</f>
        <v>3190</v>
      </c>
      <c r="G384" s="208">
        <f t="shared" si="55"/>
        <v>2.4000000012165401E-3</v>
      </c>
      <c r="H384" s="203"/>
    </row>
    <row r="385" spans="1:8" x14ac:dyDescent="0.35">
      <c r="A385" s="142" t="s">
        <v>1061</v>
      </c>
      <c r="B385" s="110" t="s">
        <v>403</v>
      </c>
      <c r="C385" s="117">
        <f>ABRIL!J74+ABRIL!S74+ABRIL!T74</f>
        <v>870.0011999999997</v>
      </c>
      <c r="D385" s="136" t="s">
        <v>243</v>
      </c>
      <c r="E385" s="124">
        <v>45751</v>
      </c>
      <c r="F385" s="208">
        <f>SUM(ABRIL!V74:AY74)</f>
        <v>870</v>
      </c>
      <c r="G385" s="208">
        <f t="shared" si="55"/>
        <v>1.1999999996987754E-3</v>
      </c>
      <c r="H385" s="203"/>
    </row>
    <row r="386" spans="1:8" x14ac:dyDescent="0.35">
      <c r="A386" s="142" t="s">
        <v>1742</v>
      </c>
      <c r="B386" s="110" t="s">
        <v>403</v>
      </c>
      <c r="C386" s="117">
        <f>ABRIL!J75+ABRIL!S75+ABRIL!T75</f>
        <v>1740</v>
      </c>
      <c r="D386" s="136" t="s">
        <v>243</v>
      </c>
      <c r="E386" s="124">
        <v>45757</v>
      </c>
      <c r="F386" s="208">
        <f>SUM(ABRIL!V75:AY75)</f>
        <v>1740</v>
      </c>
      <c r="G386" s="208">
        <f t="shared" si="55"/>
        <v>0</v>
      </c>
      <c r="H386" s="203"/>
    </row>
    <row r="387" spans="1:8" x14ac:dyDescent="0.35">
      <c r="A387" s="142" t="s">
        <v>1743</v>
      </c>
      <c r="B387" s="110" t="s">
        <v>403</v>
      </c>
      <c r="C387" s="117">
        <f>ABRIL!J76+ABRIL!S76+ABRIL!T76</f>
        <v>4854.5979999999963</v>
      </c>
      <c r="D387" s="136" t="s">
        <v>243</v>
      </c>
      <c r="E387" s="124">
        <v>45772</v>
      </c>
      <c r="F387" s="208">
        <f>SUM(ABRIL!V76:AY76)</f>
        <v>4854.6000000000004</v>
      </c>
      <c r="G387" s="208">
        <f t="shared" si="55"/>
        <v>-2.0000000040454324E-3</v>
      </c>
      <c r="H387" s="203"/>
    </row>
    <row r="388" spans="1:8" x14ac:dyDescent="0.35">
      <c r="A388" s="142" t="s">
        <v>1744</v>
      </c>
      <c r="B388" s="110" t="s">
        <v>403</v>
      </c>
      <c r="C388" s="117">
        <f>ABRIL!J77+ABRIL!S77+ABRIL!T77</f>
        <v>3018.3204000000005</v>
      </c>
      <c r="D388" s="136" t="s">
        <v>243</v>
      </c>
      <c r="E388" s="124">
        <v>45754</v>
      </c>
      <c r="F388" s="208">
        <f>SUM(ABRIL!V77:AY77)</f>
        <v>3018.32</v>
      </c>
      <c r="G388" s="208">
        <f t="shared" si="55"/>
        <v>4.0000000035433914E-4</v>
      </c>
      <c r="H388" s="203"/>
    </row>
    <row r="389" spans="1:8" x14ac:dyDescent="0.35">
      <c r="A389" s="142" t="s">
        <v>1745</v>
      </c>
      <c r="B389" s="110" t="s">
        <v>403</v>
      </c>
      <c r="C389" s="117">
        <f>ABRIL!J78+ABRIL!S78+ABRIL!T78</f>
        <v>5699.0775999999996</v>
      </c>
      <c r="D389" s="136" t="s">
        <v>243</v>
      </c>
      <c r="E389" s="124">
        <v>45773</v>
      </c>
      <c r="F389" s="208">
        <f>SUM(ABRIL!V78:AY78)</f>
        <v>5699.08</v>
      </c>
      <c r="G389" s="208">
        <f t="shared" si="55"/>
        <v>-2.4000000003070454E-3</v>
      </c>
      <c r="H389" s="203"/>
    </row>
    <row r="390" spans="1:8" x14ac:dyDescent="0.35">
      <c r="A390" s="355" t="s">
        <v>1764</v>
      </c>
      <c r="B390" s="110" t="s">
        <v>403</v>
      </c>
      <c r="C390" s="117">
        <f>ABRIL!J79+ABRIL!S79+ABRIL!T79</f>
        <v>6437.9988000000012</v>
      </c>
      <c r="D390" s="149"/>
      <c r="E390" s="124"/>
      <c r="F390" s="208">
        <f>SUM(ABRIL!V79:AY79)</f>
        <v>0</v>
      </c>
      <c r="G390" s="208">
        <f t="shared" si="55"/>
        <v>6437.9988000000012</v>
      </c>
      <c r="H390" s="203"/>
    </row>
    <row r="391" spans="1:8" x14ac:dyDescent="0.35">
      <c r="A391" s="91" t="s">
        <v>2187</v>
      </c>
      <c r="B391" s="110" t="s">
        <v>403</v>
      </c>
      <c r="C391" s="117">
        <f>ABRIL!J80+ABRIL!S80+ABRIL!T80</f>
        <v>1740</v>
      </c>
      <c r="D391" s="136" t="s">
        <v>243</v>
      </c>
      <c r="E391" s="124">
        <v>45758</v>
      </c>
      <c r="F391" s="208">
        <f>SUM(ABRIL!V80:AY80)</f>
        <v>1740</v>
      </c>
      <c r="G391" s="208">
        <f t="shared" si="55"/>
        <v>0</v>
      </c>
      <c r="H391" s="203"/>
    </row>
    <row r="392" spans="1:8" x14ac:dyDescent="0.35">
      <c r="A392" s="142" t="s">
        <v>1437</v>
      </c>
      <c r="B392" s="110" t="s">
        <v>403</v>
      </c>
      <c r="C392" s="117">
        <f>ABRIL!J81+ABRIL!S81+ABRIL!T81</f>
        <v>1727.24</v>
      </c>
      <c r="D392" s="136" t="s">
        <v>243</v>
      </c>
      <c r="E392" s="124">
        <v>45771</v>
      </c>
      <c r="F392" s="208">
        <f>SUM(ABRIL!V81:AY81)</f>
        <v>1727.24</v>
      </c>
      <c r="G392" s="208">
        <f t="shared" si="55"/>
        <v>0</v>
      </c>
      <c r="H392" s="203"/>
    </row>
    <row r="393" spans="1:8" x14ac:dyDescent="0.35">
      <c r="A393" s="142" t="s">
        <v>1765</v>
      </c>
      <c r="B393" s="110" t="s">
        <v>403</v>
      </c>
      <c r="C393" s="117">
        <f>ABRIL!J82+ABRIL!S82+ABRIL!T82</f>
        <v>2784.0048000000006</v>
      </c>
      <c r="D393" s="136" t="s">
        <v>243</v>
      </c>
      <c r="E393" s="124">
        <v>45751</v>
      </c>
      <c r="F393" s="208">
        <f>SUM(ABRIL!V82:AY82)</f>
        <v>2784</v>
      </c>
      <c r="G393" s="208">
        <f t="shared" si="55"/>
        <v>4.8000000006140908E-3</v>
      </c>
      <c r="H393" s="203"/>
    </row>
    <row r="394" spans="1:8" x14ac:dyDescent="0.35">
      <c r="A394" s="142" t="s">
        <v>1071</v>
      </c>
      <c r="B394" s="110" t="s">
        <v>403</v>
      </c>
      <c r="C394" s="117">
        <f>ABRIL!J83+ABRIL!S83+ABRIL!T83</f>
        <v>1020.8</v>
      </c>
      <c r="D394" s="136" t="s">
        <v>243</v>
      </c>
      <c r="E394" s="124">
        <v>45750</v>
      </c>
      <c r="F394" s="208">
        <f>SUM(ABRIL!V83:AY83)</f>
        <v>1020.8</v>
      </c>
      <c r="G394" s="208">
        <f t="shared" si="55"/>
        <v>0</v>
      </c>
      <c r="H394" s="203"/>
    </row>
    <row r="395" spans="1:8" x14ac:dyDescent="0.35">
      <c r="A395" s="142" t="s">
        <v>688</v>
      </c>
      <c r="B395" s="110" t="s">
        <v>403</v>
      </c>
      <c r="C395" s="117">
        <f>ABRIL!J84+ABRIL!S84+ABRIL!T84</f>
        <v>869.99559999999997</v>
      </c>
      <c r="D395" s="136" t="s">
        <v>243</v>
      </c>
      <c r="E395" s="124">
        <v>45751</v>
      </c>
      <c r="F395" s="208">
        <f>SUM(ABRIL!V84:AY84)</f>
        <v>870</v>
      </c>
      <c r="G395" s="208">
        <f t="shared" si="55"/>
        <v>-4.400000000032378E-3</v>
      </c>
      <c r="H395" s="203"/>
    </row>
    <row r="396" spans="1:8" x14ac:dyDescent="0.35">
      <c r="A396" s="142" t="s">
        <v>1543</v>
      </c>
      <c r="B396" s="110" t="s">
        <v>403</v>
      </c>
      <c r="C396" s="117">
        <f>ABRIL!J85+ABRIL!S85+ABRIL!T85</f>
        <v>1740.0000000000005</v>
      </c>
      <c r="D396" s="136" t="s">
        <v>243</v>
      </c>
      <c r="E396" s="124">
        <v>45762</v>
      </c>
      <c r="F396" s="208">
        <f>SUM(ABRIL!V85:AY85)</f>
        <v>1740</v>
      </c>
      <c r="G396" s="208">
        <f t="shared" si="55"/>
        <v>0</v>
      </c>
      <c r="H396" s="203"/>
    </row>
    <row r="397" spans="1:8" x14ac:dyDescent="0.35">
      <c r="A397" s="142" t="s">
        <v>869</v>
      </c>
      <c r="B397" s="110" t="s">
        <v>403</v>
      </c>
      <c r="C397" s="117">
        <f>ABRIL!J86+ABRIL!S86+ABRIL!T86</f>
        <v>4999.6000000000004</v>
      </c>
      <c r="D397" s="136" t="s">
        <v>243</v>
      </c>
      <c r="E397" s="124">
        <v>45756</v>
      </c>
      <c r="F397" s="208">
        <f>SUM(ABRIL!V86:AY86)</f>
        <v>4999.6000000000004</v>
      </c>
      <c r="G397" s="208">
        <f t="shared" si="55"/>
        <v>0</v>
      </c>
      <c r="H397" s="203"/>
    </row>
    <row r="398" spans="1:8" x14ac:dyDescent="0.35">
      <c r="A398" s="91" t="s">
        <v>2377</v>
      </c>
      <c r="B398" s="110" t="s">
        <v>403</v>
      </c>
      <c r="C398" s="117">
        <f>ABRIL!J87+ABRIL!S87+ABRIL!T87</f>
        <v>348</v>
      </c>
      <c r="D398" s="136" t="s">
        <v>243</v>
      </c>
      <c r="E398" s="124">
        <v>45751</v>
      </c>
      <c r="F398" s="208">
        <f>SUM(ABRIL!V87:AY87)</f>
        <v>348</v>
      </c>
      <c r="G398" s="208">
        <f t="shared" si="55"/>
        <v>0</v>
      </c>
      <c r="H398" s="203"/>
    </row>
    <row r="399" spans="1:8" x14ac:dyDescent="0.35">
      <c r="A399" s="142" t="s">
        <v>1471</v>
      </c>
      <c r="B399" s="110" t="s">
        <v>403</v>
      </c>
      <c r="C399" s="117">
        <f>ABRIL!J88+ABRIL!S88+ABRIL!T88</f>
        <v>2784</v>
      </c>
      <c r="D399" s="136" t="s">
        <v>243</v>
      </c>
      <c r="E399" s="124">
        <v>45754</v>
      </c>
      <c r="F399" s="208">
        <f>SUM(ABRIL!V88:AY88)</f>
        <v>2784</v>
      </c>
      <c r="G399" s="208">
        <f t="shared" si="55"/>
        <v>0</v>
      </c>
      <c r="H399" s="203"/>
    </row>
    <row r="400" spans="1:8" x14ac:dyDescent="0.35">
      <c r="A400" s="142" t="s">
        <v>1467</v>
      </c>
      <c r="B400" s="110" t="s">
        <v>403</v>
      </c>
      <c r="C400" s="117">
        <f>ABRIL!J89+ABRIL!S89+ABRIL!T89</f>
        <v>1044</v>
      </c>
      <c r="D400" s="136" t="s">
        <v>243</v>
      </c>
      <c r="E400" s="124">
        <v>45763</v>
      </c>
      <c r="F400" s="208">
        <f>SUM(ABRIL!V89:AY89)</f>
        <v>1044</v>
      </c>
      <c r="G400" s="208">
        <f t="shared" si="55"/>
        <v>0</v>
      </c>
      <c r="H400" s="203"/>
    </row>
    <row r="401" spans="1:9" x14ac:dyDescent="0.35">
      <c r="A401" s="142" t="s">
        <v>1747</v>
      </c>
      <c r="B401" s="110" t="s">
        <v>403</v>
      </c>
      <c r="C401" s="117">
        <f>ABRIL!J90+ABRIL!S90+ABRIL!T90</f>
        <v>1160.0012000000002</v>
      </c>
      <c r="D401" s="136" t="s">
        <v>1911</v>
      </c>
      <c r="E401" s="124">
        <v>45757</v>
      </c>
      <c r="F401" s="208">
        <f>SUM(ABRIL!V90:AY90)</f>
        <v>580</v>
      </c>
      <c r="G401" s="208">
        <f t="shared" si="55"/>
        <v>580.00120000000015</v>
      </c>
      <c r="H401" s="203"/>
    </row>
    <row r="402" spans="1:9" x14ac:dyDescent="0.35">
      <c r="A402" s="142" t="s">
        <v>1767</v>
      </c>
      <c r="B402" s="110" t="s">
        <v>403</v>
      </c>
      <c r="C402" s="117">
        <f>ABRIL!J91+ABRIL!S91+ABRIL!T91</f>
        <v>1450</v>
      </c>
      <c r="D402" s="136"/>
      <c r="E402" s="124"/>
      <c r="F402" s="208">
        <f>SUM(ABRIL!V91:AY91)</f>
        <v>0</v>
      </c>
      <c r="G402" s="208">
        <f t="shared" si="55"/>
        <v>1450</v>
      </c>
      <c r="H402" s="203"/>
    </row>
    <row r="403" spans="1:9" x14ac:dyDescent="0.35">
      <c r="A403" s="142" t="s">
        <v>1749</v>
      </c>
      <c r="B403" s="110" t="s">
        <v>403</v>
      </c>
      <c r="C403" s="117">
        <f>ABRIL!J92+ABRIL!S92+ABRIL!T92</f>
        <v>3769.9999999999991</v>
      </c>
      <c r="D403" s="136" t="s">
        <v>243</v>
      </c>
      <c r="E403" s="124">
        <v>45756</v>
      </c>
      <c r="F403" s="208">
        <f>SUM(ABRIL!V92:AY92)</f>
        <v>3770</v>
      </c>
      <c r="G403" s="208">
        <f t="shared" si="55"/>
        <v>0</v>
      </c>
      <c r="H403" s="203"/>
    </row>
    <row r="404" spans="1:9" x14ac:dyDescent="0.35">
      <c r="A404" s="142" t="s">
        <v>409</v>
      </c>
      <c r="B404" s="110" t="s">
        <v>403</v>
      </c>
      <c r="C404" s="117">
        <f>ABRIL!J93+ABRIL!S93+ABRIL!T93</f>
        <v>1623.9952000000048</v>
      </c>
      <c r="D404" s="136" t="s">
        <v>243</v>
      </c>
      <c r="E404" s="124">
        <v>45754</v>
      </c>
      <c r="F404" s="208">
        <f>SUM(ABRIL!V93:AY93)</f>
        <v>1624</v>
      </c>
      <c r="G404" s="208">
        <f t="shared" si="55"/>
        <v>-4.7999999951571226E-3</v>
      </c>
      <c r="H404" s="203"/>
    </row>
    <row r="405" spans="1:9" x14ac:dyDescent="0.35">
      <c r="A405" s="142" t="s">
        <v>410</v>
      </c>
      <c r="B405" s="110" t="s">
        <v>403</v>
      </c>
      <c r="C405" s="117">
        <f>ABRIL!J94+ABRIL!S94+ABRIL!T94</f>
        <v>3248.0012000000006</v>
      </c>
      <c r="D405" s="136" t="s">
        <v>243</v>
      </c>
      <c r="E405" s="124">
        <v>45754</v>
      </c>
      <c r="F405" s="208">
        <f>SUM(ABRIL!V94:AY94)</f>
        <v>3248</v>
      </c>
      <c r="G405" s="208">
        <f t="shared" si="55"/>
        <v>1.2000000006082701E-3</v>
      </c>
      <c r="H405" s="203"/>
    </row>
    <row r="406" spans="1:9" x14ac:dyDescent="0.35">
      <c r="A406" s="142" t="s">
        <v>1750</v>
      </c>
      <c r="B406" s="110" t="s">
        <v>403</v>
      </c>
      <c r="C406" s="117">
        <f>ABRIL!J95+ABRIL!S95+ABRIL!T95</f>
        <v>2436</v>
      </c>
      <c r="D406" s="136" t="s">
        <v>243</v>
      </c>
      <c r="E406" s="124">
        <v>45750</v>
      </c>
      <c r="F406" s="208">
        <f>SUM(ABRIL!V95:AY95)</f>
        <v>2436</v>
      </c>
      <c r="G406" s="208">
        <f t="shared" si="55"/>
        <v>0</v>
      </c>
      <c r="H406" s="203"/>
    </row>
    <row r="407" spans="1:9" x14ac:dyDescent="0.35">
      <c r="A407" s="347" t="s">
        <v>1904</v>
      </c>
      <c r="B407" s="110" t="s">
        <v>403</v>
      </c>
      <c r="C407" s="117">
        <f>ABRIL!J96+ABRIL!S96+ABRIL!T96</f>
        <v>577.68000000000052</v>
      </c>
      <c r="D407" s="136" t="s">
        <v>243</v>
      </c>
      <c r="E407" s="124">
        <v>45754</v>
      </c>
      <c r="F407" s="208">
        <f>SUM(ABRIL!V96:AY96)</f>
        <v>577.67999999999995</v>
      </c>
      <c r="G407" s="208">
        <f t="shared" si="55"/>
        <v>0</v>
      </c>
      <c r="H407" s="203"/>
    </row>
    <row r="408" spans="1:9" x14ac:dyDescent="0.35">
      <c r="A408" s="142" t="s">
        <v>1548</v>
      </c>
      <c r="B408" s="110" t="s">
        <v>403</v>
      </c>
      <c r="C408" s="117">
        <f>ABRIL!J97+ABRIL!S97+ABRIL!T97</f>
        <v>3132.0000000000005</v>
      </c>
      <c r="D408" s="136" t="s">
        <v>243</v>
      </c>
      <c r="E408" s="124">
        <v>45751</v>
      </c>
      <c r="F408" s="208">
        <f>SUM(ABRIL!V97:AY97)</f>
        <v>3132</v>
      </c>
      <c r="G408" s="208">
        <f>C408-F408</f>
        <v>0</v>
      </c>
      <c r="H408" s="203"/>
    </row>
    <row r="409" spans="1:9" x14ac:dyDescent="0.35">
      <c r="A409" s="142" t="s">
        <v>1752</v>
      </c>
      <c r="B409" s="110" t="s">
        <v>403</v>
      </c>
      <c r="C409" s="117">
        <f>ABRIL!J98+ABRIL!S98+ABRIL!T98</f>
        <v>4523.9996000000001</v>
      </c>
      <c r="D409" s="136" t="s">
        <v>243</v>
      </c>
      <c r="E409" s="124">
        <v>45762</v>
      </c>
      <c r="F409" s="208">
        <f>SUM(ABRIL!V98:AY98)</f>
        <v>4524</v>
      </c>
      <c r="G409" s="208">
        <f t="shared" ref="G409:G410" si="56">C409-F409</f>
        <v>-3.9999999989959178E-4</v>
      </c>
      <c r="H409" s="203"/>
    </row>
    <row r="410" spans="1:9" x14ac:dyDescent="0.35">
      <c r="A410" s="162" t="s">
        <v>1924</v>
      </c>
      <c r="B410" s="110" t="s">
        <v>403</v>
      </c>
      <c r="C410" s="117">
        <f>ABRIL!J99+ABRIL!S99+ABRIL!T99</f>
        <v>1450.0000000000009</v>
      </c>
      <c r="D410" s="136" t="s">
        <v>243</v>
      </c>
      <c r="E410" s="124">
        <v>45750</v>
      </c>
      <c r="F410" s="208">
        <f>SUM(ABRIL!V99:AY99)</f>
        <v>1450</v>
      </c>
      <c r="G410" s="208">
        <f t="shared" si="56"/>
        <v>0</v>
      </c>
      <c r="H410" s="203"/>
    </row>
    <row r="411" spans="1:9" x14ac:dyDescent="0.35">
      <c r="A411" s="142" t="s">
        <v>1753</v>
      </c>
      <c r="B411" s="110" t="s">
        <v>403</v>
      </c>
      <c r="C411" s="117">
        <f>ABRIL!J100+ABRIL!S100+ABRIL!T100</f>
        <v>2871.0028000000057</v>
      </c>
      <c r="D411" s="136" t="s">
        <v>243</v>
      </c>
      <c r="E411" s="124">
        <v>45758</v>
      </c>
      <c r="F411" s="208">
        <f>SUM(ABRIL!V100:AY100)</f>
        <v>2871</v>
      </c>
      <c r="G411" s="208">
        <f>C411-F411</f>
        <v>2.8000000056636054E-3</v>
      </c>
      <c r="H411" s="203"/>
      <c r="I411" s="211" t="s">
        <v>617</v>
      </c>
    </row>
    <row r="412" spans="1:9" x14ac:dyDescent="0.35">
      <c r="A412" s="142" t="s">
        <v>1893</v>
      </c>
      <c r="B412" s="110" t="s">
        <v>403</v>
      </c>
      <c r="C412" s="117">
        <f>ABRIL!J101+ABRIL!S101+ABRIL!T101</f>
        <v>1306.4296000000008</v>
      </c>
      <c r="D412" s="136" t="s">
        <v>243</v>
      </c>
      <c r="E412" s="124">
        <v>45750</v>
      </c>
      <c r="F412" s="208">
        <f>SUM(ABRIL!V101:AY101)</f>
        <v>1306.43</v>
      </c>
      <c r="G412" s="208">
        <f>C412-F412</f>
        <v>-3.9999999921747076E-4</v>
      </c>
      <c r="H412" s="203"/>
    </row>
    <row r="413" spans="1:9" x14ac:dyDescent="0.35">
      <c r="A413" s="142" t="s">
        <v>1754</v>
      </c>
      <c r="B413" s="110" t="s">
        <v>403</v>
      </c>
      <c r="C413" s="117">
        <f>ABRIL!J102+ABRIL!S102+ABRIL!T102</f>
        <v>4524</v>
      </c>
      <c r="D413" s="136"/>
      <c r="E413" s="124"/>
      <c r="F413" s="208">
        <f>SUM(ABRIL!V102:AY102)</f>
        <v>0</v>
      </c>
      <c r="G413" s="208">
        <f t="shared" ref="G413:G419" si="57">C413-F413</f>
        <v>4524</v>
      </c>
      <c r="H413" s="203"/>
    </row>
    <row r="414" spans="1:9" x14ac:dyDescent="0.35">
      <c r="A414" s="142" t="s">
        <v>658</v>
      </c>
      <c r="B414" s="110" t="s">
        <v>403</v>
      </c>
      <c r="C414" s="117">
        <f>ABRIL!J103+ABRIL!S103+ABRIL!T103</f>
        <v>2030</v>
      </c>
      <c r="D414" s="136" t="s">
        <v>243</v>
      </c>
      <c r="E414" s="124">
        <v>45769</v>
      </c>
      <c r="F414" s="208">
        <f>SUM(ABRIL!V103:AY103)</f>
        <v>2030</v>
      </c>
      <c r="G414" s="208">
        <f t="shared" si="57"/>
        <v>0</v>
      </c>
      <c r="H414" s="203"/>
    </row>
    <row r="415" spans="1:9" x14ac:dyDescent="0.35">
      <c r="A415" s="142" t="s">
        <v>2612</v>
      </c>
      <c r="B415" s="110" t="s">
        <v>403</v>
      </c>
      <c r="C415" s="117">
        <f>ABRIL!J104+ABRIL!S104+ABRIL!T104</f>
        <v>0</v>
      </c>
      <c r="D415" s="136" t="s">
        <v>243</v>
      </c>
      <c r="E415" s="124">
        <v>45747</v>
      </c>
      <c r="F415" s="208">
        <f>SUM(ABRIL!V104:AY104)</f>
        <v>0</v>
      </c>
      <c r="G415" s="208">
        <f t="shared" ref="G415:G417" si="58">C415-F415</f>
        <v>0</v>
      </c>
      <c r="H415" s="203"/>
    </row>
    <row r="416" spans="1:9" x14ac:dyDescent="0.35">
      <c r="A416" s="142" t="s">
        <v>2816</v>
      </c>
      <c r="B416" s="110" t="s">
        <v>403</v>
      </c>
      <c r="C416" s="117">
        <f>ABRIL!J105+ABRIL!S105+ABRIL!T105</f>
        <v>2320</v>
      </c>
      <c r="D416" s="136" t="s">
        <v>243</v>
      </c>
      <c r="E416" s="124">
        <v>45756</v>
      </c>
      <c r="F416" s="208">
        <f>SUM(ABRIL!V105:AY105)</f>
        <v>3006</v>
      </c>
      <c r="G416" s="208">
        <f t="shared" si="58"/>
        <v>-686</v>
      </c>
      <c r="H416" s="203"/>
    </row>
    <row r="417" spans="1:9" x14ac:dyDescent="0.35">
      <c r="A417" s="134" t="s">
        <v>2902</v>
      </c>
      <c r="B417" s="110" t="s">
        <v>403</v>
      </c>
      <c r="C417" s="117">
        <f>ABRIL!J106+ABRIL!S106+ABRIL!T106</f>
        <v>2726</v>
      </c>
      <c r="D417" s="136" t="s">
        <v>243</v>
      </c>
      <c r="E417" s="124">
        <v>45770</v>
      </c>
      <c r="F417" s="208">
        <f>SUM(ABRIL!V106:AY106)</f>
        <v>2726</v>
      </c>
      <c r="G417" s="208">
        <f t="shared" si="58"/>
        <v>0</v>
      </c>
      <c r="H417" s="203"/>
    </row>
    <row r="418" spans="1:9" x14ac:dyDescent="0.35">
      <c r="A418" s="355" t="s">
        <v>2005</v>
      </c>
      <c r="B418" s="110" t="s">
        <v>403</v>
      </c>
      <c r="C418" s="117">
        <f>ABRIL!J107+ABRIL!S107+ABRIL!T107</f>
        <v>40739.200000000026</v>
      </c>
      <c r="D418" s="136" t="s">
        <v>1911</v>
      </c>
      <c r="E418" s="124">
        <v>45762</v>
      </c>
      <c r="F418" s="208">
        <f>SUM(ABRIL!V107:AY107)</f>
        <v>36391.519999999997</v>
      </c>
      <c r="G418" s="208">
        <f t="shared" si="57"/>
        <v>4347.6800000000294</v>
      </c>
      <c r="H418" s="203"/>
    </row>
    <row r="419" spans="1:9" x14ac:dyDescent="0.35">
      <c r="A419" s="142" t="s">
        <v>2006</v>
      </c>
      <c r="B419" s="110" t="s">
        <v>403</v>
      </c>
      <c r="C419" s="117">
        <f>ABRIL!J108+ABRIL!S108+ABRIL!T108</f>
        <v>696</v>
      </c>
      <c r="D419" s="136" t="s">
        <v>243</v>
      </c>
      <c r="E419" s="124">
        <v>45769</v>
      </c>
      <c r="F419" s="208">
        <f>SUM(ABRIL!V108:AY108)</f>
        <v>696</v>
      </c>
      <c r="G419" s="208">
        <f t="shared" si="57"/>
        <v>0</v>
      </c>
      <c r="H419" s="203"/>
    </row>
    <row r="420" spans="1:9" x14ac:dyDescent="0.35">
      <c r="A420" s="91" t="s">
        <v>2874</v>
      </c>
      <c r="B420" s="110" t="s">
        <v>403</v>
      </c>
      <c r="C420" s="117">
        <f>ABRIL!J109+ABRIL!S109+ABRIL!T109</f>
        <v>6885.76</v>
      </c>
      <c r="D420" s="136" t="s">
        <v>243</v>
      </c>
      <c r="E420" s="124">
        <v>45771</v>
      </c>
      <c r="F420" s="208">
        <f>SUM(ABRIL!V109:AY109)</f>
        <v>6885.76</v>
      </c>
      <c r="G420" s="208">
        <f t="shared" ref="G420" si="59">C420-F420</f>
        <v>0</v>
      </c>
      <c r="H420" s="203"/>
    </row>
    <row r="421" spans="1:9" x14ac:dyDescent="0.35">
      <c r="A421" s="142" t="s">
        <v>2007</v>
      </c>
      <c r="B421" s="110" t="s">
        <v>403</v>
      </c>
      <c r="C421" s="117">
        <f>ABRIL!J110+ABRIL!S110+ABRIL!T110</f>
        <v>35785.995600000002</v>
      </c>
      <c r="D421" s="136" t="s">
        <v>1911</v>
      </c>
      <c r="E421" s="124">
        <v>45756</v>
      </c>
      <c r="F421" s="208">
        <f>SUM(ABRIL!V110:AY110)</f>
        <v>12644</v>
      </c>
      <c r="G421" s="208">
        <f>C421-F421</f>
        <v>23141.995600000002</v>
      </c>
      <c r="H421" s="203"/>
    </row>
    <row r="422" spans="1:9" x14ac:dyDescent="0.35">
      <c r="A422" s="142" t="s">
        <v>2477</v>
      </c>
      <c r="B422" s="110" t="s">
        <v>403</v>
      </c>
      <c r="C422" s="117">
        <f>ABRIL!J111+ABRIL!S111+ABRIL!T111</f>
        <v>197.2</v>
      </c>
      <c r="D422" s="136" t="s">
        <v>243</v>
      </c>
      <c r="E422" s="124">
        <v>45751</v>
      </c>
      <c r="F422" s="208">
        <f>SUM(ABRIL!V111:AY111)</f>
        <v>197.2</v>
      </c>
      <c r="G422" s="208">
        <f t="shared" ref="G422:G445" si="60">C422-F422</f>
        <v>0</v>
      </c>
      <c r="H422" s="203"/>
    </row>
    <row r="423" spans="1:9" x14ac:dyDescent="0.35">
      <c r="A423" s="142" t="s">
        <v>70</v>
      </c>
      <c r="B423" s="110" t="s">
        <v>403</v>
      </c>
      <c r="C423" s="117">
        <f>ABRIL!J112+ABRIL!S112+ABRIL!T112</f>
        <v>406</v>
      </c>
      <c r="D423" s="136" t="s">
        <v>243</v>
      </c>
      <c r="E423" s="124">
        <v>45761</v>
      </c>
      <c r="F423" s="208">
        <f>SUM(ABRIL!V112:AY112)</f>
        <v>406</v>
      </c>
      <c r="G423" s="208">
        <f t="shared" si="60"/>
        <v>0</v>
      </c>
      <c r="H423" s="203"/>
    </row>
    <row r="424" spans="1:9" x14ac:dyDescent="0.35">
      <c r="A424" s="142" t="s">
        <v>2015</v>
      </c>
      <c r="B424" s="110" t="s">
        <v>403</v>
      </c>
      <c r="C424" s="117">
        <f>ABRIL!J113+ABRIL!S113+ABRIL!T113</f>
        <v>1449.9956000000002</v>
      </c>
      <c r="D424" s="136" t="s">
        <v>243</v>
      </c>
      <c r="E424" s="124">
        <v>45761</v>
      </c>
      <c r="F424" s="208">
        <f>SUM(ABRIL!V113:AY113)</f>
        <v>1450</v>
      </c>
      <c r="G424" s="208">
        <f t="shared" si="60"/>
        <v>-4.3999999998050043E-3</v>
      </c>
      <c r="H424" s="203"/>
      <c r="I424" s="211" t="s">
        <v>617</v>
      </c>
    </row>
    <row r="425" spans="1:9" x14ac:dyDescent="0.35">
      <c r="A425" s="142" t="s">
        <v>2009</v>
      </c>
      <c r="B425" s="110" t="s">
        <v>403</v>
      </c>
      <c r="C425" s="117">
        <f>ABRIL!J114+ABRIL!S114+ABRIL!T114</f>
        <v>7673.4039999999723</v>
      </c>
      <c r="D425" s="136" t="s">
        <v>243</v>
      </c>
      <c r="E425" s="124">
        <v>45762</v>
      </c>
      <c r="F425" s="208">
        <f>SUM(ABRIL!V114:AY114)</f>
        <v>7673.4</v>
      </c>
      <c r="G425" s="208">
        <f t="shared" si="60"/>
        <v>3.9999999726205715E-3</v>
      </c>
      <c r="H425" s="203"/>
    </row>
    <row r="426" spans="1:9" x14ac:dyDescent="0.35">
      <c r="A426" s="395" t="s">
        <v>2541</v>
      </c>
      <c r="B426" s="110" t="s">
        <v>403</v>
      </c>
      <c r="C426" s="117">
        <f>ABRIL!J115+ABRIL!S115+ABRIL!T115</f>
        <v>208.8</v>
      </c>
      <c r="D426" s="136" t="s">
        <v>243</v>
      </c>
      <c r="E426" s="124">
        <v>45766</v>
      </c>
      <c r="F426" s="208">
        <f>SUM(ABRIL!V115:AY115)</f>
        <v>208.8</v>
      </c>
      <c r="G426" s="208">
        <f t="shared" si="60"/>
        <v>0</v>
      </c>
      <c r="H426" s="203"/>
    </row>
    <row r="427" spans="1:9" x14ac:dyDescent="0.35">
      <c r="A427" s="393" t="s">
        <v>2475</v>
      </c>
      <c r="B427" s="110" t="s">
        <v>403</v>
      </c>
      <c r="C427" s="117">
        <f>ABRIL!J116+ABRIL!S116+ABRIL!T116</f>
        <v>197.2</v>
      </c>
      <c r="D427" s="136" t="s">
        <v>243</v>
      </c>
      <c r="E427" s="124">
        <v>45761</v>
      </c>
      <c r="F427" s="208">
        <f>SUM(ABRIL!V116:AY116)</f>
        <v>197.2</v>
      </c>
      <c r="G427" s="208">
        <f t="shared" si="60"/>
        <v>0</v>
      </c>
      <c r="H427" s="203"/>
    </row>
    <row r="428" spans="1:9" x14ac:dyDescent="0.35">
      <c r="A428" s="91" t="s">
        <v>2511</v>
      </c>
      <c r="B428" s="110" t="s">
        <v>403</v>
      </c>
      <c r="C428" s="117">
        <f>ABRIL!J117+ABRIL!S117+ABRIL!T117</f>
        <v>0</v>
      </c>
      <c r="D428" s="132" t="s">
        <v>456</v>
      </c>
      <c r="E428" s="124">
        <v>45748</v>
      </c>
      <c r="F428" s="208">
        <f>SUM(ABRIL!V117:AY117)</f>
        <v>0</v>
      </c>
      <c r="G428" s="208">
        <f t="shared" si="60"/>
        <v>0</v>
      </c>
      <c r="H428" s="203"/>
    </row>
    <row r="429" spans="1:9" x14ac:dyDescent="0.35">
      <c r="A429" s="142" t="s">
        <v>2010</v>
      </c>
      <c r="B429" s="110" t="s">
        <v>403</v>
      </c>
      <c r="C429" s="117">
        <f>ABRIL!J118+ABRIL!S118+ABRIL!T118</f>
        <v>765.60000000000093</v>
      </c>
      <c r="D429" s="136" t="s">
        <v>243</v>
      </c>
      <c r="E429" s="124">
        <v>45763</v>
      </c>
      <c r="F429" s="208">
        <f>SUM(ABRIL!V118:AY118)</f>
        <v>765.6</v>
      </c>
      <c r="G429" s="208">
        <f t="shared" si="60"/>
        <v>9.0949470177292824E-13</v>
      </c>
      <c r="H429" s="203"/>
    </row>
    <row r="430" spans="1:9" x14ac:dyDescent="0.35">
      <c r="A430" s="142" t="s">
        <v>2011</v>
      </c>
      <c r="B430" s="110" t="s">
        <v>403</v>
      </c>
      <c r="C430" s="117">
        <f>ABRIL!J119+ABRIL!S119+ABRIL!T119</f>
        <v>1044</v>
      </c>
      <c r="D430" s="136" t="s">
        <v>243</v>
      </c>
      <c r="E430" s="124">
        <v>45763</v>
      </c>
      <c r="F430" s="208">
        <f>SUM(ABRIL!V119:AY119)</f>
        <v>1044</v>
      </c>
      <c r="G430" s="208">
        <f t="shared" ref="G430" si="61">C430-F430</f>
        <v>0</v>
      </c>
      <c r="H430" s="203"/>
    </row>
    <row r="431" spans="1:9" x14ac:dyDescent="0.35">
      <c r="A431" s="91" t="s">
        <v>2578</v>
      </c>
      <c r="B431" s="110" t="s">
        <v>403</v>
      </c>
      <c r="C431" s="117">
        <f>ABRIL!J120+ABRIL!S120+ABRIL!T120</f>
        <v>185.6</v>
      </c>
      <c r="D431" s="136" t="s">
        <v>243</v>
      </c>
      <c r="E431" s="124">
        <v>45761</v>
      </c>
      <c r="F431" s="208">
        <f>SUM(ABRIL!V120:AY120)</f>
        <v>185.6</v>
      </c>
      <c r="G431" s="208">
        <f t="shared" ref="G431" si="62">C431-F431</f>
        <v>0</v>
      </c>
      <c r="H431" s="203"/>
    </row>
    <row r="432" spans="1:9" x14ac:dyDescent="0.35">
      <c r="A432" s="142" t="s">
        <v>1781</v>
      </c>
      <c r="B432" s="110" t="s">
        <v>403</v>
      </c>
      <c r="C432" s="117">
        <f>ABRIL!J121+ABRIL!S121+ABRIL!T121</f>
        <v>57.997199999997974</v>
      </c>
      <c r="D432" s="136" t="s">
        <v>243</v>
      </c>
      <c r="E432" s="124">
        <v>45750</v>
      </c>
      <c r="F432" s="208">
        <f>SUM(ABRIL!V121:AY121)</f>
        <v>2204</v>
      </c>
      <c r="G432" s="208">
        <f t="shared" si="60"/>
        <v>-2146.002800000002</v>
      </c>
      <c r="H432" s="203"/>
    </row>
    <row r="433" spans="1:9" x14ac:dyDescent="0.35">
      <c r="A433" s="356" t="s">
        <v>2003</v>
      </c>
      <c r="B433" s="110" t="s">
        <v>403</v>
      </c>
      <c r="C433" s="117">
        <f>ABRIL!J122+ABRIL!S122+ABRIL!T122</f>
        <v>870</v>
      </c>
      <c r="D433" s="136" t="s">
        <v>243</v>
      </c>
      <c r="E433" s="124">
        <v>45763</v>
      </c>
      <c r="F433" s="208">
        <f>SUM(ABRIL!V122:AY122)</f>
        <v>870</v>
      </c>
      <c r="G433" s="208">
        <f t="shared" si="60"/>
        <v>0</v>
      </c>
      <c r="H433" s="203"/>
    </row>
    <row r="434" spans="1:9" ht="29" x14ac:dyDescent="0.35">
      <c r="A434" s="134" t="s">
        <v>2514</v>
      </c>
      <c r="B434" s="110" t="s">
        <v>403</v>
      </c>
      <c r="C434" s="117">
        <f>ABRIL!J123+ABRIL!S123+ABRIL!T123</f>
        <v>696</v>
      </c>
      <c r="D434" s="136" t="s">
        <v>243</v>
      </c>
      <c r="E434" s="124">
        <v>45766</v>
      </c>
      <c r="F434" s="208">
        <f>SUM(ABRIL!V123:AY123)</f>
        <v>696</v>
      </c>
      <c r="G434" s="208">
        <f t="shared" si="60"/>
        <v>0</v>
      </c>
      <c r="H434" s="203"/>
    </row>
    <row r="435" spans="1:9" x14ac:dyDescent="0.35">
      <c r="A435" s="91" t="s">
        <v>2864</v>
      </c>
      <c r="B435" s="110" t="s">
        <v>403</v>
      </c>
      <c r="C435" s="117">
        <f>ABRIL!J124+ABRIL!S124+ABRIL!T124</f>
        <v>22562</v>
      </c>
      <c r="D435" s="136"/>
      <c r="E435" s="124"/>
      <c r="F435" s="208">
        <f>SUM(ABRIL!V124:AY124)</f>
        <v>0</v>
      </c>
      <c r="G435" s="208">
        <f t="shared" ref="G435" si="63">C435-F435</f>
        <v>22562</v>
      </c>
      <c r="H435" s="203"/>
    </row>
    <row r="436" spans="1:9" x14ac:dyDescent="0.35">
      <c r="A436" s="142" t="s">
        <v>2012</v>
      </c>
      <c r="B436" s="110" t="s">
        <v>403</v>
      </c>
      <c r="C436" s="117">
        <f>ABRIL!J125+ABRIL!S125+ABRIL!T125</f>
        <v>1450</v>
      </c>
      <c r="D436" s="136" t="s">
        <v>243</v>
      </c>
      <c r="E436" s="124">
        <v>45756</v>
      </c>
      <c r="F436" s="208">
        <f>SUM(ABRIL!V125:AY125)</f>
        <v>1450</v>
      </c>
      <c r="G436" s="208">
        <f t="shared" si="60"/>
        <v>0</v>
      </c>
      <c r="H436" s="205"/>
      <c r="I436" s="211" t="s">
        <v>617</v>
      </c>
    </row>
    <row r="437" spans="1:9" x14ac:dyDescent="0.35">
      <c r="A437" s="142" t="s">
        <v>2013</v>
      </c>
      <c r="B437" s="110" t="s">
        <v>403</v>
      </c>
      <c r="C437" s="117">
        <f>ABRIL!J126+ABRIL!S126+ABRIL!T126</f>
        <v>2783.9999999999973</v>
      </c>
      <c r="D437" s="136" t="s">
        <v>243</v>
      </c>
      <c r="E437" s="124">
        <v>45755</v>
      </c>
      <c r="F437" s="208">
        <f>SUM(ABRIL!V126:AY126)</f>
        <v>2784</v>
      </c>
      <c r="G437" s="208">
        <f t="shared" si="60"/>
        <v>0</v>
      </c>
      <c r="H437" s="205"/>
    </row>
    <row r="438" spans="1:9" x14ac:dyDescent="0.35">
      <c r="A438" s="142" t="s">
        <v>2926</v>
      </c>
      <c r="B438" s="110" t="s">
        <v>403</v>
      </c>
      <c r="C438" s="117">
        <f>ABRIL!J127+ABRIL!S127+ABRIL!T127-ABRIL!U127</f>
        <v>636.84</v>
      </c>
      <c r="D438" s="136" t="s">
        <v>243</v>
      </c>
      <c r="E438" s="124">
        <v>45772</v>
      </c>
      <c r="F438" s="208">
        <f>SUM(ABRIL!V127:AY127)</f>
        <v>2371.04</v>
      </c>
      <c r="G438" s="208">
        <f t="shared" ref="G438" si="64">C438-F438</f>
        <v>-1734.1999999999998</v>
      </c>
      <c r="H438" s="205"/>
    </row>
    <row r="439" spans="1:9" x14ac:dyDescent="0.35">
      <c r="A439" s="142" t="s">
        <v>2520</v>
      </c>
      <c r="B439" s="110" t="s">
        <v>403</v>
      </c>
      <c r="C439" s="117">
        <f>ABRIL!J128+ABRIL!S128+ABRIL!T128</f>
        <v>1044</v>
      </c>
      <c r="D439" s="136" t="s">
        <v>243</v>
      </c>
      <c r="E439" s="124">
        <v>45763</v>
      </c>
      <c r="F439" s="208">
        <f>SUM(ABRIL!V128:AY128)</f>
        <v>1044</v>
      </c>
      <c r="G439" s="208">
        <f t="shared" si="60"/>
        <v>0</v>
      </c>
      <c r="H439" s="205"/>
    </row>
    <row r="440" spans="1:9" x14ac:dyDescent="0.35">
      <c r="A440" s="142" t="s">
        <v>2214</v>
      </c>
      <c r="B440" s="110" t="s">
        <v>403</v>
      </c>
      <c r="C440" s="117">
        <f>ABRIL!J129+ABRIL!S129+ABRIL!T129</f>
        <v>9744</v>
      </c>
      <c r="D440" s="136" t="s">
        <v>243</v>
      </c>
      <c r="E440" s="124">
        <v>45772</v>
      </c>
      <c r="F440" s="208">
        <f>SUM(ABRIL!V129:AY129)</f>
        <v>9048</v>
      </c>
      <c r="G440" s="208">
        <f t="shared" si="60"/>
        <v>696</v>
      </c>
      <c r="H440" s="205"/>
    </row>
    <row r="441" spans="1:9" x14ac:dyDescent="0.35">
      <c r="A441" s="142" t="s">
        <v>1478</v>
      </c>
      <c r="B441" s="110" t="s">
        <v>403</v>
      </c>
      <c r="C441" s="117">
        <f>ABRIL!J130+ABRIL!S130+ABRIL!T130</f>
        <v>12992</v>
      </c>
      <c r="D441" s="136" t="s">
        <v>243</v>
      </c>
      <c r="E441" s="124">
        <v>45762</v>
      </c>
      <c r="F441" s="208">
        <f>SUM(ABRIL!V130:AY130)</f>
        <v>12992</v>
      </c>
      <c r="G441" s="208">
        <f t="shared" si="60"/>
        <v>0</v>
      </c>
      <c r="H441" s="205"/>
    </row>
    <row r="442" spans="1:9" x14ac:dyDescent="0.35">
      <c r="A442" s="181" t="s">
        <v>299</v>
      </c>
      <c r="B442" s="110" t="s">
        <v>403</v>
      </c>
      <c r="C442" s="117">
        <f>ABRIL!J131+ABRIL!S131+ABRIL!T131</f>
        <v>5278</v>
      </c>
      <c r="D442" s="136"/>
      <c r="E442" s="124"/>
      <c r="F442" s="208">
        <f>SUM(ABRIL!V131:AY131)</f>
        <v>0</v>
      </c>
      <c r="G442" s="208">
        <f t="shared" ref="G442" si="65">C442-F442</f>
        <v>5278</v>
      </c>
      <c r="H442" s="205"/>
    </row>
    <row r="443" spans="1:9" x14ac:dyDescent="0.35">
      <c r="A443" s="91" t="s">
        <v>1898</v>
      </c>
      <c r="B443" s="110" t="s">
        <v>403</v>
      </c>
      <c r="C443" s="117">
        <f>ABRIL!J132+ABRIL!S132+ABRIL!T132</f>
        <v>696</v>
      </c>
      <c r="D443" s="136" t="s">
        <v>243</v>
      </c>
      <c r="E443" s="124">
        <v>45755</v>
      </c>
      <c r="F443" s="208">
        <f>SUM(ABRIL!V132:AY132)</f>
        <v>696</v>
      </c>
      <c r="G443" s="208">
        <f t="shared" ref="G443" si="66">C443-F443</f>
        <v>0</v>
      </c>
      <c r="H443" s="205"/>
    </row>
    <row r="444" spans="1:9" x14ac:dyDescent="0.35">
      <c r="A444" s="142" t="s">
        <v>764</v>
      </c>
      <c r="B444" s="110" t="s">
        <v>403</v>
      </c>
      <c r="C444" s="117">
        <f>ABRIL!J133+ABRIL!S133+ABRIL!T133</f>
        <v>4277.2331999999997</v>
      </c>
      <c r="D444" s="136" t="s">
        <v>243</v>
      </c>
      <c r="E444" s="124">
        <v>45768</v>
      </c>
      <c r="F444" s="208">
        <f>SUM(ABRIL!V133:AY133)</f>
        <v>4277.2299999999996</v>
      </c>
      <c r="G444" s="208">
        <f t="shared" si="60"/>
        <v>3.200000000106229E-3</v>
      </c>
      <c r="H444" s="205"/>
    </row>
    <row r="445" spans="1:9" x14ac:dyDescent="0.35">
      <c r="A445" s="407" t="s">
        <v>415</v>
      </c>
      <c r="B445" s="110" t="s">
        <v>403</v>
      </c>
      <c r="C445" s="117">
        <f>ABRIL!J134+ABRIL!S134+ABRIL!T134</f>
        <v>15312</v>
      </c>
      <c r="D445" s="136" t="s">
        <v>243</v>
      </c>
      <c r="E445" s="124">
        <v>45751</v>
      </c>
      <c r="F445" s="208">
        <f>SUM(ABRIL!V134:AY134)</f>
        <v>15312</v>
      </c>
      <c r="G445" s="208">
        <f t="shared" si="60"/>
        <v>0</v>
      </c>
      <c r="H445" s="205"/>
    </row>
    <row r="446" spans="1:9" x14ac:dyDescent="0.35">
      <c r="A446" s="400" t="s">
        <v>2820</v>
      </c>
      <c r="B446" s="110" t="s">
        <v>403</v>
      </c>
      <c r="C446" s="117">
        <f>ABRIL!J135+ABRIL!S135+ABRIL!T135</f>
        <v>1856</v>
      </c>
      <c r="D446" s="136" t="s">
        <v>243</v>
      </c>
      <c r="E446" s="124">
        <v>45759</v>
      </c>
      <c r="F446" s="208">
        <f>SUM(ABRIL!V135:AY135)</f>
        <v>1856</v>
      </c>
      <c r="G446" s="208">
        <f t="shared" ref="G446" si="67">C446-F446</f>
        <v>0</v>
      </c>
      <c r="H446" s="205"/>
    </row>
    <row r="447" spans="1:9" x14ac:dyDescent="0.35">
      <c r="A447" s="142" t="s">
        <v>659</v>
      </c>
      <c r="B447" s="110" t="s">
        <v>403</v>
      </c>
      <c r="C447" s="117">
        <f>ABRIL!J136+ABRIL!S136+ABRIL!T136</f>
        <v>1740</v>
      </c>
      <c r="D447" s="136" t="s">
        <v>243</v>
      </c>
      <c r="E447" s="124">
        <v>45752</v>
      </c>
      <c r="F447" s="208">
        <f>SUM(ABRIL!V136:AY136)</f>
        <v>1740</v>
      </c>
      <c r="G447" s="208">
        <f>C447-F447</f>
        <v>0</v>
      </c>
      <c r="H447" s="205"/>
    </row>
    <row r="448" spans="1:9" ht="15.5" x14ac:dyDescent="0.35">
      <c r="A448" s="155" t="s">
        <v>2566</v>
      </c>
      <c r="B448" s="196">
        <v>117</v>
      </c>
      <c r="C448" s="197">
        <f>SUM(C329:C447)</f>
        <v>415250.90280000004</v>
      </c>
      <c r="D448" s="196"/>
      <c r="E448" s="196"/>
      <c r="F448" s="209">
        <f>SUM(F329:F447)</f>
        <v>343784.24999999994</v>
      </c>
      <c r="G448" s="209">
        <f>SUM(G329:G447)</f>
        <v>71466.65280000004</v>
      </c>
      <c r="H448" s="206"/>
    </row>
    <row r="449" spans="1:9" x14ac:dyDescent="0.35">
      <c r="A449" s="142" t="s">
        <v>1757</v>
      </c>
      <c r="B449" s="110" t="s">
        <v>442</v>
      </c>
      <c r="C449" s="117">
        <f>MAYO!K18+MAYO!S18+MAYO!T18</f>
        <v>6844.004799999997</v>
      </c>
      <c r="D449" s="136"/>
      <c r="E449" s="124"/>
      <c r="F449" s="208">
        <f>SUM(MAYO!V18:AZ18)</f>
        <v>0</v>
      </c>
      <c r="G449" s="208">
        <f>C449-F449</f>
        <v>6844.004799999997</v>
      </c>
      <c r="H449" s="203"/>
    </row>
    <row r="450" spans="1:9" x14ac:dyDescent="0.35">
      <c r="A450" s="357" t="s">
        <v>1758</v>
      </c>
      <c r="B450" s="110" t="s">
        <v>442</v>
      </c>
      <c r="C450" s="117">
        <f>MAYO!K19+MAYO!S19+MAYO!T19</f>
        <v>1624.0027999999993</v>
      </c>
      <c r="D450" s="136"/>
      <c r="E450" s="124"/>
      <c r="F450" s="208">
        <f>SUM(MAYO!V19:AZ19)</f>
        <v>0</v>
      </c>
      <c r="G450" s="208">
        <f>C450-F450</f>
        <v>1624.0027999999993</v>
      </c>
      <c r="H450" s="203"/>
    </row>
    <row r="451" spans="1:9" x14ac:dyDescent="0.35">
      <c r="A451" s="142" t="s">
        <v>375</v>
      </c>
      <c r="B451" s="110" t="s">
        <v>442</v>
      </c>
      <c r="C451" s="117">
        <f>MAYO!K20+MAYO!S20+MAYO!T20</f>
        <v>1387.3568000000071</v>
      </c>
      <c r="D451" s="136"/>
      <c r="E451" s="124"/>
      <c r="F451" s="208">
        <f>SUM(MAYO!V20:AZ20)</f>
        <v>0</v>
      </c>
      <c r="G451" s="208">
        <f>C451-F451</f>
        <v>1387.3568000000071</v>
      </c>
      <c r="H451" s="203"/>
    </row>
    <row r="452" spans="1:9" x14ac:dyDescent="0.35">
      <c r="A452" s="142" t="s">
        <v>750</v>
      </c>
      <c r="B452" s="110" t="s">
        <v>442</v>
      </c>
      <c r="C452" s="117">
        <f>MAYO!K21+MAYO!S21+MAYO!T21</f>
        <v>3132.0047999999974</v>
      </c>
      <c r="D452" s="136"/>
      <c r="E452" s="124"/>
      <c r="F452" s="208">
        <f>SUM(MAYO!V21:AZ21)</f>
        <v>0</v>
      </c>
      <c r="G452" s="208">
        <f>C452-F452</f>
        <v>3132.0047999999974</v>
      </c>
      <c r="H452" s="203"/>
    </row>
    <row r="453" spans="1:9" x14ac:dyDescent="0.35">
      <c r="A453" s="142" t="s">
        <v>1723</v>
      </c>
      <c r="B453" s="110" t="s">
        <v>442</v>
      </c>
      <c r="C453" s="117">
        <f>MAYO!K22+MAYO!S22+MAYO!T22</f>
        <v>348</v>
      </c>
      <c r="D453" s="136"/>
      <c r="E453" s="124"/>
      <c r="F453" s="208">
        <f>SUM(MAYO!V22:AZ22)</f>
        <v>0</v>
      </c>
      <c r="G453" s="208">
        <f t="shared" ref="G453:G461" si="68">C453-F453</f>
        <v>348</v>
      </c>
      <c r="H453" s="203"/>
    </row>
    <row r="454" spans="1:9" x14ac:dyDescent="0.35">
      <c r="A454" s="142" t="s">
        <v>779</v>
      </c>
      <c r="B454" s="110" t="s">
        <v>442</v>
      </c>
      <c r="C454" s="117">
        <f>MAYO!K23+MAYO!S23+MAYO!T23</f>
        <v>290</v>
      </c>
      <c r="D454" s="136"/>
      <c r="E454" s="124"/>
      <c r="F454" s="208">
        <f>SUM(MAYO!V23:AZ23)</f>
        <v>0</v>
      </c>
      <c r="G454" s="208">
        <f t="shared" si="68"/>
        <v>290</v>
      </c>
      <c r="H454" s="203"/>
    </row>
    <row r="455" spans="1:9" x14ac:dyDescent="0.35">
      <c r="A455" s="142" t="s">
        <v>1724</v>
      </c>
      <c r="B455" s="110" t="s">
        <v>442</v>
      </c>
      <c r="C455" s="117">
        <f>MAYO!K24+MAYO!S24+MAYO!T24</f>
        <v>1449.9967999999992</v>
      </c>
      <c r="D455" s="136"/>
      <c r="E455" s="124"/>
      <c r="F455" s="208">
        <f>SUM(MAYO!V24:AZ24)</f>
        <v>0</v>
      </c>
      <c r="G455" s="208">
        <f t="shared" si="68"/>
        <v>1449.9967999999992</v>
      </c>
      <c r="H455" s="203"/>
    </row>
    <row r="456" spans="1:9" x14ac:dyDescent="0.35">
      <c r="A456" s="91" t="s">
        <v>1578</v>
      </c>
      <c r="B456" s="110" t="s">
        <v>442</v>
      </c>
      <c r="C456" s="117">
        <f>MAYO!K25+MAYO!S25+MAYO!T25</f>
        <v>348</v>
      </c>
      <c r="D456" s="136"/>
      <c r="E456" s="124"/>
      <c r="F456" s="208">
        <f>SUM(MAYO!V25:AZ25)</f>
        <v>0</v>
      </c>
      <c r="G456" s="208">
        <f t="shared" si="68"/>
        <v>348</v>
      </c>
      <c r="H456" s="203"/>
    </row>
    <row r="457" spans="1:9" x14ac:dyDescent="0.35">
      <c r="A457" s="142" t="s">
        <v>783</v>
      </c>
      <c r="B457" s="110" t="s">
        <v>442</v>
      </c>
      <c r="C457" s="117">
        <f>MAYO!K26+MAYO!S26+MAYO!T26</f>
        <v>1874.563999999998</v>
      </c>
      <c r="D457" s="136"/>
      <c r="E457" s="124"/>
      <c r="F457" s="208">
        <f>SUM(MAYO!V26:AZ26)</f>
        <v>0</v>
      </c>
      <c r="G457" s="208">
        <f t="shared" si="68"/>
        <v>1874.563999999998</v>
      </c>
      <c r="H457" s="203"/>
    </row>
    <row r="458" spans="1:9" x14ac:dyDescent="0.35">
      <c r="A458" s="142" t="s">
        <v>1759</v>
      </c>
      <c r="B458" s="110" t="s">
        <v>442</v>
      </c>
      <c r="C458" s="117">
        <f>MAYO!K27+MAYO!S27+MAYO!T27</f>
        <v>1624.0028000000002</v>
      </c>
      <c r="D458" s="136"/>
      <c r="E458" s="124"/>
      <c r="F458" s="208">
        <f>SUM(MAYO!V27:AZ27)</f>
        <v>0</v>
      </c>
      <c r="G458" s="208">
        <f t="shared" si="68"/>
        <v>1624.0028000000002</v>
      </c>
      <c r="H458" s="203"/>
    </row>
    <row r="459" spans="1:9" x14ac:dyDescent="0.35">
      <c r="A459" s="142" t="s">
        <v>1725</v>
      </c>
      <c r="B459" s="110" t="s">
        <v>442</v>
      </c>
      <c r="C459" s="117">
        <f>MAYO!K28+MAYO!S28+MAYO!T28</f>
        <v>1392</v>
      </c>
      <c r="D459" s="136"/>
      <c r="E459" s="124"/>
      <c r="F459" s="208">
        <f>SUM(MAYO!V28:AZ28)</f>
        <v>0</v>
      </c>
      <c r="G459" s="208">
        <f t="shared" si="68"/>
        <v>1392</v>
      </c>
      <c r="H459" s="203"/>
    </row>
    <row r="460" spans="1:9" x14ac:dyDescent="0.35">
      <c r="A460" s="142" t="s">
        <v>1352</v>
      </c>
      <c r="B460" s="110" t="s">
        <v>442</v>
      </c>
      <c r="C460" s="117">
        <f>MAYO!K29+MAYO!S29+MAYO!T29</f>
        <v>0</v>
      </c>
      <c r="D460" s="136" t="s">
        <v>243</v>
      </c>
      <c r="E460" s="124">
        <v>45726</v>
      </c>
      <c r="F460" s="208">
        <f>SUM(MAYO!V29:AZ29)</f>
        <v>0</v>
      </c>
      <c r="G460" s="208">
        <f t="shared" si="68"/>
        <v>0</v>
      </c>
      <c r="H460" s="203"/>
    </row>
    <row r="461" spans="1:9" x14ac:dyDescent="0.35">
      <c r="A461" s="142" t="s">
        <v>1726</v>
      </c>
      <c r="B461" s="110" t="s">
        <v>442</v>
      </c>
      <c r="C461" s="117">
        <f>MAYO!K30+MAYO!S30+MAYO!T30</f>
        <v>1902</v>
      </c>
      <c r="D461" s="136"/>
      <c r="E461" s="124"/>
      <c r="F461" s="208">
        <f>SUM(MAYO!V30:AZ30)</f>
        <v>0</v>
      </c>
      <c r="G461" s="208">
        <f t="shared" si="68"/>
        <v>1902</v>
      </c>
      <c r="H461" s="203"/>
    </row>
    <row r="462" spans="1:9" x14ac:dyDescent="0.35">
      <c r="A462" s="142" t="s">
        <v>1727</v>
      </c>
      <c r="B462" s="110" t="s">
        <v>442</v>
      </c>
      <c r="C462" s="117">
        <f>MAYO!K31+MAYO!S31+MAYO!T31</f>
        <v>1798.0011999999997</v>
      </c>
      <c r="D462" s="136"/>
      <c r="E462" s="124"/>
      <c r="F462" s="208">
        <f>SUM(MAYO!V31:AZ31)</f>
        <v>0</v>
      </c>
      <c r="G462" s="208">
        <f>C462-F462</f>
        <v>1798.0011999999997</v>
      </c>
      <c r="H462" s="203"/>
    </row>
    <row r="463" spans="1:9" x14ac:dyDescent="0.35">
      <c r="A463" s="142" t="s">
        <v>1632</v>
      </c>
      <c r="B463" s="110" t="s">
        <v>442</v>
      </c>
      <c r="C463" s="117">
        <f>MAYO!K32+MAYO!S32+MAYO!T32</f>
        <v>1941.836</v>
      </c>
      <c r="D463" s="136"/>
      <c r="E463" s="124"/>
      <c r="F463" s="208">
        <f>SUM(MAYO!V32:AZ32)</f>
        <v>0</v>
      </c>
      <c r="G463" s="208">
        <f>C463-F463</f>
        <v>1941.836</v>
      </c>
      <c r="H463" s="203"/>
      <c r="I463" s="340" t="s">
        <v>931</v>
      </c>
    </row>
    <row r="464" spans="1:9" x14ac:dyDescent="0.35">
      <c r="A464" s="142" t="s">
        <v>1760</v>
      </c>
      <c r="B464" s="110" t="s">
        <v>442</v>
      </c>
      <c r="C464" s="117">
        <f>MAYO!K33+MAYO!S33+MAYO!T33</f>
        <v>-9396</v>
      </c>
      <c r="D464" s="136" t="s">
        <v>243</v>
      </c>
      <c r="E464" s="124">
        <v>45730</v>
      </c>
      <c r="F464" s="208">
        <f>SUM(MAYO!V33:AZ33)</f>
        <v>0</v>
      </c>
      <c r="G464" s="208">
        <f>C464-F464</f>
        <v>-9396</v>
      </c>
      <c r="H464" s="203"/>
    </row>
    <row r="465" spans="1:9" x14ac:dyDescent="0.35">
      <c r="A465" s="142" t="s">
        <v>1274</v>
      </c>
      <c r="B465" s="110" t="s">
        <v>442</v>
      </c>
      <c r="C465" s="117">
        <f>MAYO!K34+MAYO!S34+MAYO!T34</f>
        <v>290</v>
      </c>
      <c r="D465" s="136"/>
      <c r="E465" s="124"/>
      <c r="F465" s="208">
        <f>SUM(MAYO!V34:AZ34)</f>
        <v>0</v>
      </c>
      <c r="G465" s="208">
        <f t="shared" ref="G465:G470" si="69">C465-F465</f>
        <v>290</v>
      </c>
      <c r="H465" s="203"/>
    </row>
    <row r="466" spans="1:9" x14ac:dyDescent="0.35">
      <c r="A466" s="142" t="s">
        <v>654</v>
      </c>
      <c r="B466" s="110" t="s">
        <v>442</v>
      </c>
      <c r="C466" s="117">
        <f>MAYO!K35+MAYO!S35+MAYO!T35</f>
        <v>870.00120000000015</v>
      </c>
      <c r="D466" s="136"/>
      <c r="E466" s="124"/>
      <c r="F466" s="208">
        <f>SUM(MAYO!V35:AZ35)</f>
        <v>0</v>
      </c>
      <c r="G466" s="208">
        <f t="shared" si="69"/>
        <v>870.00120000000015</v>
      </c>
      <c r="H466" s="203"/>
    </row>
    <row r="467" spans="1:9" x14ac:dyDescent="0.35">
      <c r="A467" s="142" t="s">
        <v>1761</v>
      </c>
      <c r="B467" s="110" t="s">
        <v>442</v>
      </c>
      <c r="C467" s="117">
        <f>MAYO!K36+MAYO!S36+MAYO!T36</f>
        <v>2088.0075999999995</v>
      </c>
      <c r="D467" s="136"/>
      <c r="E467" s="124"/>
      <c r="F467" s="208">
        <f>SUM(MAYO!V36:AZ36)</f>
        <v>0</v>
      </c>
      <c r="G467" s="208">
        <f t="shared" si="69"/>
        <v>2088.0075999999995</v>
      </c>
      <c r="H467" s="203"/>
    </row>
    <row r="468" spans="1:9" x14ac:dyDescent="0.35">
      <c r="A468" s="142" t="s">
        <v>1730</v>
      </c>
      <c r="B468" s="110" t="s">
        <v>442</v>
      </c>
      <c r="C468" s="117">
        <f>MAYO!K37+MAYO!S37+MAYO!T37</f>
        <v>1155.3600000000017</v>
      </c>
      <c r="D468" s="136"/>
      <c r="E468" s="124"/>
      <c r="F468" s="208">
        <f>SUM(MAYO!V37:AZ37)</f>
        <v>0</v>
      </c>
      <c r="G468" s="208">
        <f t="shared" si="69"/>
        <v>1155.3600000000017</v>
      </c>
      <c r="H468" s="203"/>
    </row>
    <row r="469" spans="1:9" x14ac:dyDescent="0.35">
      <c r="A469" s="142" t="s">
        <v>1446</v>
      </c>
      <c r="B469" s="110" t="s">
        <v>442</v>
      </c>
      <c r="C469" s="117">
        <f>MAYO!K38+MAYO!S38+MAYO!T38</f>
        <v>696</v>
      </c>
      <c r="D469" s="136"/>
      <c r="E469" s="124"/>
      <c r="F469" s="208">
        <f>SUM(MAYO!V38:AZ38)</f>
        <v>0</v>
      </c>
      <c r="G469" s="208">
        <f t="shared" si="69"/>
        <v>696</v>
      </c>
      <c r="H469" s="203"/>
    </row>
    <row r="470" spans="1:9" x14ac:dyDescent="0.35">
      <c r="A470" s="142" t="s">
        <v>960</v>
      </c>
      <c r="B470" s="110" t="s">
        <v>442</v>
      </c>
      <c r="C470" s="117">
        <f>MAYO!K39+MAYO!S39+MAYO!T39</f>
        <v>33555.423999999955</v>
      </c>
      <c r="D470" s="136"/>
      <c r="E470" s="124"/>
      <c r="F470" s="208">
        <f>SUM(MAYO!V39:AZ39)</f>
        <v>0</v>
      </c>
      <c r="G470" s="208">
        <f t="shared" si="69"/>
        <v>33555.423999999955</v>
      </c>
      <c r="H470" s="203"/>
      <c r="I470" s="252"/>
    </row>
    <row r="471" spans="1:9" x14ac:dyDescent="0.35">
      <c r="A471" s="142" t="s">
        <v>1453</v>
      </c>
      <c r="B471" s="110" t="s">
        <v>442</v>
      </c>
      <c r="C471" s="117">
        <f>MAYO!K40+MAYO!S40+MAYO!T40</f>
        <v>348</v>
      </c>
      <c r="D471" s="136"/>
      <c r="E471" s="124"/>
      <c r="F471" s="208">
        <f>SUM(MAYO!V40:AZ40)</f>
        <v>0</v>
      </c>
      <c r="G471" s="208">
        <f>C471-F471</f>
        <v>348</v>
      </c>
      <c r="H471" s="203"/>
      <c r="I471" s="252"/>
    </row>
    <row r="472" spans="1:9" x14ac:dyDescent="0.35">
      <c r="A472" s="142" t="s">
        <v>428</v>
      </c>
      <c r="B472" s="110" t="s">
        <v>442</v>
      </c>
      <c r="C472" s="117">
        <f>MAYO!K41+MAYO!S41+MAYO!T41</f>
        <v>7795.1956000000009</v>
      </c>
      <c r="D472" s="136"/>
      <c r="E472" s="124"/>
      <c r="F472" s="208">
        <f>SUM(MAYO!V41:AZ41)</f>
        <v>0</v>
      </c>
      <c r="G472" s="208">
        <f>C472-F472</f>
        <v>7795.1956000000009</v>
      </c>
      <c r="H472" s="203"/>
      <c r="I472" s="252"/>
    </row>
    <row r="473" spans="1:9" x14ac:dyDescent="0.35">
      <c r="A473" s="142" t="s">
        <v>1685</v>
      </c>
      <c r="B473" s="110" t="s">
        <v>442</v>
      </c>
      <c r="C473" s="117">
        <f>MAYO!K42+MAYO!S42+MAYO!T42</f>
        <v>2018.3995999999991</v>
      </c>
      <c r="D473" s="136"/>
      <c r="E473" s="124"/>
      <c r="F473" s="208">
        <f>SUM(MAYO!V42:AZ42)</f>
        <v>0</v>
      </c>
      <c r="G473" s="208">
        <f>C473-F473</f>
        <v>2018.3995999999991</v>
      </c>
      <c r="H473" s="203"/>
      <c r="I473" s="252"/>
    </row>
    <row r="474" spans="1:9" x14ac:dyDescent="0.35">
      <c r="A474" s="142" t="s">
        <v>1493</v>
      </c>
      <c r="B474" s="110" t="s">
        <v>442</v>
      </c>
      <c r="C474" s="117">
        <f>MAYO!K43+MAYO!S43+MAYO!T43</f>
        <v>6264.0020000000004</v>
      </c>
      <c r="D474" s="136"/>
      <c r="E474" s="124"/>
      <c r="F474" s="208">
        <f>SUM(MAYO!V43:AZ43)</f>
        <v>0</v>
      </c>
      <c r="G474" s="208">
        <f t="shared" ref="G474" si="70">C474-F474</f>
        <v>6264.0020000000004</v>
      </c>
      <c r="H474" s="203"/>
    </row>
    <row r="475" spans="1:9" x14ac:dyDescent="0.35">
      <c r="A475" s="142" t="s">
        <v>1936</v>
      </c>
      <c r="B475" s="110" t="s">
        <v>442</v>
      </c>
      <c r="C475" s="117">
        <f>MAYO!K44+MAYO!S44+MAYO!T44</f>
        <v>21616.603999999999</v>
      </c>
      <c r="D475" s="136"/>
      <c r="E475" s="124"/>
      <c r="F475" s="208">
        <f>SUM(MAYO!V44:AZ44)</f>
        <v>0</v>
      </c>
      <c r="G475" s="208">
        <f>C475-F475</f>
        <v>21616.603999999999</v>
      </c>
      <c r="H475" s="203"/>
    </row>
    <row r="476" spans="1:9" x14ac:dyDescent="0.35">
      <c r="A476" s="142" t="s">
        <v>655</v>
      </c>
      <c r="B476" s="110" t="s">
        <v>442</v>
      </c>
      <c r="C476" s="117">
        <f>MAYO!K45+MAYO!S45+MAYO!T45</f>
        <v>4059.999600000001</v>
      </c>
      <c r="D476" s="136"/>
      <c r="E476" s="124"/>
      <c r="F476" s="208">
        <f>SUM(MAYO!V45:AZ45)</f>
        <v>0</v>
      </c>
      <c r="G476" s="208">
        <f>C476-F476</f>
        <v>4059.999600000001</v>
      </c>
      <c r="H476" s="203"/>
    </row>
    <row r="477" spans="1:9" x14ac:dyDescent="0.35">
      <c r="A477" s="142" t="s">
        <v>1768</v>
      </c>
      <c r="B477" s="110" t="s">
        <v>442</v>
      </c>
      <c r="C477" s="117">
        <f>MAYO!K46+MAYO!S46+MAYO!T46</f>
        <v>696</v>
      </c>
      <c r="D477" s="136"/>
      <c r="E477" s="124"/>
      <c r="F477" s="208">
        <f>SUM(MAYO!V46:AZ46)</f>
        <v>0</v>
      </c>
      <c r="G477" s="208">
        <f t="shared" ref="G477:G487" si="71">C477-F477</f>
        <v>696</v>
      </c>
      <c r="H477" s="203"/>
    </row>
    <row r="478" spans="1:9" x14ac:dyDescent="0.35">
      <c r="A478" s="142" t="s">
        <v>1769</v>
      </c>
      <c r="B478" s="110" t="s">
        <v>442</v>
      </c>
      <c r="C478" s="117">
        <f>MAYO!K47+MAYO!S47+MAYO!T47</f>
        <v>696</v>
      </c>
      <c r="D478" s="136"/>
      <c r="E478" s="124"/>
      <c r="F478" s="208">
        <f>SUM(MAYO!V47:AZ47)</f>
        <v>0</v>
      </c>
      <c r="G478" s="208">
        <f t="shared" si="71"/>
        <v>696</v>
      </c>
      <c r="H478" s="203"/>
    </row>
    <row r="479" spans="1:9" x14ac:dyDescent="0.35">
      <c r="A479" s="142" t="s">
        <v>1458</v>
      </c>
      <c r="B479" s="110" t="s">
        <v>442</v>
      </c>
      <c r="C479" s="117">
        <f>MAYO!K48+MAYO!S48+MAYO!T48</f>
        <v>1044</v>
      </c>
      <c r="D479" s="136"/>
      <c r="E479" s="124"/>
      <c r="F479" s="208">
        <f>SUM(MAYO!V48:AZ48)</f>
        <v>0</v>
      </c>
      <c r="G479" s="208">
        <f t="shared" si="71"/>
        <v>1044</v>
      </c>
      <c r="H479" s="203"/>
    </row>
    <row r="480" spans="1:9" x14ac:dyDescent="0.35">
      <c r="A480" s="142" t="s">
        <v>1762</v>
      </c>
      <c r="B480" s="110" t="s">
        <v>442</v>
      </c>
      <c r="C480" s="117">
        <f>MAYO!K49+MAYO!S49+MAYO!T49</f>
        <v>1044</v>
      </c>
      <c r="D480" s="136"/>
      <c r="E480" s="124"/>
      <c r="F480" s="208">
        <f>SUM(MAYO!V49:AZ49)</f>
        <v>0</v>
      </c>
      <c r="G480" s="208">
        <f t="shared" si="71"/>
        <v>1044</v>
      </c>
      <c r="H480" s="203"/>
    </row>
    <row r="481" spans="1:8" x14ac:dyDescent="0.35">
      <c r="A481" s="91" t="s">
        <v>2458</v>
      </c>
      <c r="B481" s="110" t="s">
        <v>442</v>
      </c>
      <c r="C481" s="117">
        <f>MAYO!K50+MAYO!S50+MAYO!T50</f>
        <v>290</v>
      </c>
      <c r="D481" s="136"/>
      <c r="E481" s="124"/>
      <c r="F481" s="208">
        <f>SUM(MAYO!V50:AZ50)</f>
        <v>0</v>
      </c>
      <c r="G481" s="208">
        <f t="shared" si="71"/>
        <v>290</v>
      </c>
      <c r="H481" s="203"/>
    </row>
    <row r="482" spans="1:8" x14ac:dyDescent="0.35">
      <c r="A482" s="142" t="s">
        <v>780</v>
      </c>
      <c r="B482" s="110" t="s">
        <v>442</v>
      </c>
      <c r="C482" s="117">
        <f>MAYO!K51+MAYO!S51+MAYO!T51</f>
        <v>1392</v>
      </c>
      <c r="D482" s="136"/>
      <c r="E482" s="124"/>
      <c r="F482" s="208">
        <f>SUM(MAYO!V51:AZ51)</f>
        <v>0</v>
      </c>
      <c r="G482" s="208">
        <f t="shared" si="71"/>
        <v>1392</v>
      </c>
      <c r="H482" s="203"/>
    </row>
    <row r="483" spans="1:8" x14ac:dyDescent="0.35">
      <c r="A483" s="142" t="s">
        <v>1731</v>
      </c>
      <c r="B483" s="110" t="s">
        <v>442</v>
      </c>
      <c r="C483" s="117">
        <f>MAYO!K52+MAYO!S52+MAYO!T52</f>
        <v>870.00000000000091</v>
      </c>
      <c r="D483" s="136"/>
      <c r="E483" s="124"/>
      <c r="F483" s="208">
        <f>SUM(MAYO!V52:AZ52)</f>
        <v>0</v>
      </c>
      <c r="G483" s="208">
        <f t="shared" si="71"/>
        <v>870.00000000000091</v>
      </c>
      <c r="H483" s="203"/>
    </row>
    <row r="484" spans="1:8" x14ac:dyDescent="0.35">
      <c r="A484" s="142" t="s">
        <v>1732</v>
      </c>
      <c r="B484" s="110" t="s">
        <v>442</v>
      </c>
      <c r="C484" s="117">
        <f>MAYO!K53+MAYO!S53+MAYO!T53</f>
        <v>348</v>
      </c>
      <c r="D484" s="136"/>
      <c r="E484" s="124"/>
      <c r="F484" s="208">
        <f>SUM(MAYO!V53:AZ53)</f>
        <v>0</v>
      </c>
      <c r="G484" s="208">
        <f t="shared" si="71"/>
        <v>348</v>
      </c>
      <c r="H484" s="203"/>
    </row>
    <row r="485" spans="1:8" x14ac:dyDescent="0.35">
      <c r="A485" s="142" t="s">
        <v>1734</v>
      </c>
      <c r="B485" s="110" t="s">
        <v>442</v>
      </c>
      <c r="C485" s="117">
        <f>MAYO!K54+MAYO!S54+MAYO!T54</f>
        <v>1619.3632000000066</v>
      </c>
      <c r="D485" s="136"/>
      <c r="E485" s="124"/>
      <c r="F485" s="208">
        <f>SUM(MAYO!V54:AZ54)</f>
        <v>0</v>
      </c>
      <c r="G485" s="208">
        <f t="shared" si="71"/>
        <v>1619.3632000000066</v>
      </c>
      <c r="H485" s="203"/>
    </row>
    <row r="486" spans="1:8" x14ac:dyDescent="0.35">
      <c r="A486" s="142" t="s">
        <v>1415</v>
      </c>
      <c r="B486" s="110" t="s">
        <v>442</v>
      </c>
      <c r="C486" s="117">
        <f>MAYO!K55+MAYO!S55+MAYO!T55</f>
        <v>4059.9964000000018</v>
      </c>
      <c r="D486" s="136"/>
      <c r="E486" s="124"/>
      <c r="F486" s="208">
        <f>SUM(MAYO!V55:AZ55)</f>
        <v>0</v>
      </c>
      <c r="G486" s="208">
        <f t="shared" si="71"/>
        <v>4059.9964000000018</v>
      </c>
      <c r="H486" s="203"/>
    </row>
    <row r="487" spans="1:8" x14ac:dyDescent="0.35">
      <c r="A487" s="142" t="s">
        <v>1763</v>
      </c>
      <c r="B487" s="110" t="s">
        <v>442</v>
      </c>
      <c r="C487" s="117">
        <f>MAYO!K56+MAYO!S56+MAYO!T56</f>
        <v>2041.6047999999969</v>
      </c>
      <c r="D487" s="136"/>
      <c r="E487" s="124"/>
      <c r="F487" s="208">
        <f>SUM(MAYO!V56:AZ56)</f>
        <v>0</v>
      </c>
      <c r="G487" s="208">
        <f t="shared" si="71"/>
        <v>2041.6047999999969</v>
      </c>
      <c r="H487" s="203"/>
    </row>
    <row r="488" spans="1:8" x14ac:dyDescent="0.35">
      <c r="A488" s="142" t="s">
        <v>656</v>
      </c>
      <c r="B488" s="110" t="s">
        <v>442</v>
      </c>
      <c r="C488" s="117">
        <f>MAYO!K57+MAYO!S57+MAYO!T57</f>
        <v>1531.1952000000003</v>
      </c>
      <c r="D488" s="136"/>
      <c r="E488" s="124"/>
      <c r="F488" s="208">
        <f>SUM(MAYO!V57:AZ57)</f>
        <v>0</v>
      </c>
      <c r="G488" s="208">
        <f>C488-F488</f>
        <v>1531.1952000000003</v>
      </c>
      <c r="H488" s="203"/>
    </row>
    <row r="489" spans="1:8" x14ac:dyDescent="0.35">
      <c r="A489" s="142" t="s">
        <v>2443</v>
      </c>
      <c r="B489" s="110" t="s">
        <v>442</v>
      </c>
      <c r="C489" s="117">
        <f>MAYO!K58+MAYO!S58+MAYO!T58</f>
        <v>926.84000000000026</v>
      </c>
      <c r="D489" s="136"/>
      <c r="E489" s="124"/>
      <c r="F489" s="208">
        <f>SUM(MAYO!V58:AZ58)</f>
        <v>0</v>
      </c>
      <c r="G489" s="208">
        <f t="shared" ref="G489" si="72">C489-F489</f>
        <v>926.84000000000026</v>
      </c>
      <c r="H489" s="203"/>
    </row>
    <row r="490" spans="1:8" x14ac:dyDescent="0.35">
      <c r="A490" s="142" t="s">
        <v>1736</v>
      </c>
      <c r="B490" s="110" t="s">
        <v>442</v>
      </c>
      <c r="C490" s="117">
        <f>MAYO!K59+MAYO!S59+MAYO!T59</f>
        <v>696</v>
      </c>
      <c r="D490" s="136"/>
      <c r="E490" s="124"/>
      <c r="F490" s="208">
        <f>SUM(MAYO!V59:AZ59)</f>
        <v>0</v>
      </c>
      <c r="G490" s="208">
        <f>C490-F490</f>
        <v>696</v>
      </c>
      <c r="H490" s="203"/>
    </row>
    <row r="491" spans="1:8" x14ac:dyDescent="0.35">
      <c r="A491" s="142" t="s">
        <v>1737</v>
      </c>
      <c r="B491" s="110" t="s">
        <v>442</v>
      </c>
      <c r="C491" s="117">
        <f>MAYO!K60+MAYO!S60+MAYO!T60</f>
        <v>1392</v>
      </c>
      <c r="D491" s="136"/>
      <c r="E491" s="124"/>
      <c r="F491" s="208">
        <f>SUM(MAYO!V60:AZ60)</f>
        <v>0</v>
      </c>
      <c r="G491" s="208">
        <f t="shared" ref="G491:G526" si="73">C491-F491</f>
        <v>1392</v>
      </c>
      <c r="H491" s="203"/>
    </row>
    <row r="492" spans="1:8" x14ac:dyDescent="0.35">
      <c r="A492" s="142" t="s">
        <v>827</v>
      </c>
      <c r="B492" s="110" t="s">
        <v>442</v>
      </c>
      <c r="C492" s="117">
        <f>MAYO!K61+MAYO!S61+MAYO!T61</f>
        <v>765.60000000000025</v>
      </c>
      <c r="D492" s="136"/>
      <c r="E492" s="124"/>
      <c r="F492" s="208">
        <f>SUM(MAYO!V61:AZ61)</f>
        <v>0</v>
      </c>
      <c r="G492" s="208">
        <f t="shared" si="73"/>
        <v>765.60000000000025</v>
      </c>
      <c r="H492" s="203"/>
    </row>
    <row r="493" spans="1:8" x14ac:dyDescent="0.35">
      <c r="A493" s="142" t="s">
        <v>1738</v>
      </c>
      <c r="B493" s="110" t="s">
        <v>442</v>
      </c>
      <c r="C493" s="117">
        <f>MAYO!K62+MAYO!S62+MAYO!T62</f>
        <v>4693.3640000000214</v>
      </c>
      <c r="D493" s="136"/>
      <c r="E493" s="124"/>
      <c r="F493" s="208">
        <f>SUM(MAYO!V62:AZ62)</f>
        <v>0</v>
      </c>
      <c r="G493" s="208">
        <f t="shared" si="73"/>
        <v>4693.3640000000214</v>
      </c>
      <c r="H493" s="203"/>
    </row>
    <row r="494" spans="1:8" x14ac:dyDescent="0.35">
      <c r="A494" s="142" t="s">
        <v>713</v>
      </c>
      <c r="B494" s="110" t="s">
        <v>442</v>
      </c>
      <c r="C494" s="117">
        <f>MAYO!K63+MAYO!S63+MAYO!T63</f>
        <v>1391.9996000000001</v>
      </c>
      <c r="D494" s="136"/>
      <c r="E494" s="124"/>
      <c r="F494" s="208">
        <f>SUM(MAYO!V63:AZ63)</f>
        <v>0</v>
      </c>
      <c r="G494" s="208">
        <f t="shared" si="73"/>
        <v>1391.9996000000001</v>
      </c>
      <c r="H494" s="203"/>
    </row>
    <row r="495" spans="1:8" x14ac:dyDescent="0.35">
      <c r="A495" s="142" t="s">
        <v>1551</v>
      </c>
      <c r="B495" s="110" t="s">
        <v>442</v>
      </c>
      <c r="C495" s="117">
        <f>MAYO!K64+MAYO!S64+MAYO!T64</f>
        <v>232</v>
      </c>
      <c r="D495" s="136"/>
      <c r="E495" s="124"/>
      <c r="F495" s="208">
        <f>SUM(MAYO!V64:AZ64)</f>
        <v>0</v>
      </c>
      <c r="G495" s="208">
        <f t="shared" si="73"/>
        <v>232</v>
      </c>
      <c r="H495" s="203"/>
    </row>
    <row r="496" spans="1:8" x14ac:dyDescent="0.35">
      <c r="A496" s="142" t="s">
        <v>693</v>
      </c>
      <c r="B496" s="110" t="s">
        <v>442</v>
      </c>
      <c r="C496" s="117">
        <f>MAYO!K65+MAYO!S65+MAYO!T65</f>
        <v>348</v>
      </c>
      <c r="D496" s="136"/>
      <c r="E496" s="124"/>
      <c r="F496" s="208">
        <f>SUM(MAYO!V65:AZ65)</f>
        <v>0</v>
      </c>
      <c r="G496" s="208">
        <f t="shared" si="73"/>
        <v>348</v>
      </c>
      <c r="H496" s="203"/>
    </row>
    <row r="497" spans="1:8" x14ac:dyDescent="0.35">
      <c r="A497" s="142" t="s">
        <v>1621</v>
      </c>
      <c r="B497" s="110" t="s">
        <v>442</v>
      </c>
      <c r="C497" s="117">
        <f>MAYO!K66+MAYO!S66+MAYO!T66</f>
        <v>290</v>
      </c>
      <c r="D497" s="136"/>
      <c r="E497" s="124"/>
      <c r="F497" s="208">
        <f>SUM(MAYO!V66:AZ66)</f>
        <v>0</v>
      </c>
      <c r="G497" s="208">
        <f t="shared" si="73"/>
        <v>290</v>
      </c>
      <c r="H497" s="203"/>
    </row>
    <row r="498" spans="1:8" x14ac:dyDescent="0.35">
      <c r="A498" s="142" t="s">
        <v>1676</v>
      </c>
      <c r="B498" s="110" t="s">
        <v>442</v>
      </c>
      <c r="C498" s="117">
        <f>MAYO!K67+MAYO!S67+MAYO!T67</f>
        <v>1740</v>
      </c>
      <c r="D498" s="136"/>
      <c r="E498" s="124"/>
      <c r="F498" s="208">
        <f>SUM(MAYO!V67:AZ67)</f>
        <v>0</v>
      </c>
      <c r="G498" s="208">
        <f t="shared" si="73"/>
        <v>1740</v>
      </c>
      <c r="H498" s="203"/>
    </row>
    <row r="499" spans="1:8" x14ac:dyDescent="0.35">
      <c r="A499" s="142" t="s">
        <v>496</v>
      </c>
      <c r="B499" s="110" t="s">
        <v>442</v>
      </c>
      <c r="C499" s="117">
        <f>MAYO!K68+MAYO!S68+MAYO!T68</f>
        <v>577.6820000000024</v>
      </c>
      <c r="D499" s="136"/>
      <c r="E499" s="124"/>
      <c r="F499" s="208">
        <f>SUM(MAYO!V68:AZ68)</f>
        <v>0</v>
      </c>
      <c r="G499" s="208">
        <f t="shared" si="73"/>
        <v>577.6820000000024</v>
      </c>
      <c r="H499" s="203"/>
    </row>
    <row r="500" spans="1:8" x14ac:dyDescent="0.35">
      <c r="A500" s="142" t="s">
        <v>323</v>
      </c>
      <c r="B500" s="110" t="s">
        <v>442</v>
      </c>
      <c r="C500" s="117">
        <f>MAYO!K69+MAYO!S69+MAYO!T69</f>
        <v>-1155.3599999999974</v>
      </c>
      <c r="D500" s="136" t="s">
        <v>243</v>
      </c>
      <c r="E500" s="124">
        <v>45757</v>
      </c>
      <c r="F500" s="208">
        <f>SUM(MAYO!V69:AZ69)</f>
        <v>0</v>
      </c>
      <c r="G500" s="208">
        <f t="shared" si="73"/>
        <v>-1155.3599999999974</v>
      </c>
      <c r="H500" s="203"/>
    </row>
    <row r="501" spans="1:8" x14ac:dyDescent="0.35">
      <c r="A501" s="142" t="s">
        <v>657</v>
      </c>
      <c r="B501" s="110" t="s">
        <v>442</v>
      </c>
      <c r="C501" s="117">
        <f>MAYO!K70+MAYO!S70+MAYO!T70</f>
        <v>348</v>
      </c>
      <c r="D501" s="136"/>
      <c r="E501" s="124"/>
      <c r="F501" s="208">
        <f>SUM(MAYO!V70:AZ70)</f>
        <v>0</v>
      </c>
      <c r="G501" s="208">
        <f t="shared" si="73"/>
        <v>348</v>
      </c>
      <c r="H501" s="203"/>
    </row>
    <row r="502" spans="1:8" x14ac:dyDescent="0.35">
      <c r="A502" s="142" t="s">
        <v>53</v>
      </c>
      <c r="B502" s="110" t="s">
        <v>442</v>
      </c>
      <c r="C502" s="117">
        <f>MAYO!K71+MAYO!S71+MAYO!T71</f>
        <v>348</v>
      </c>
      <c r="D502" s="136"/>
      <c r="E502" s="124"/>
      <c r="F502" s="208">
        <f>SUM(MAYO!V71:AZ71)</f>
        <v>0</v>
      </c>
      <c r="G502" s="208">
        <f t="shared" si="73"/>
        <v>348</v>
      </c>
      <c r="H502" s="203"/>
    </row>
    <row r="503" spans="1:8" x14ac:dyDescent="0.35">
      <c r="A503" s="142" t="s">
        <v>1741</v>
      </c>
      <c r="B503" s="110" t="s">
        <v>442</v>
      </c>
      <c r="C503" s="117">
        <f>MAYO!K72+MAYO!S72+MAYO!T72</f>
        <v>3190.0024000000012</v>
      </c>
      <c r="D503" s="136"/>
      <c r="E503" s="124"/>
      <c r="F503" s="208">
        <f>SUM(MAYO!V72:AZ72)</f>
        <v>0</v>
      </c>
      <c r="G503" s="208">
        <f t="shared" si="73"/>
        <v>3190.0024000000012</v>
      </c>
      <c r="H503" s="203"/>
    </row>
    <row r="504" spans="1:8" x14ac:dyDescent="0.35">
      <c r="A504" s="142" t="s">
        <v>1061</v>
      </c>
      <c r="B504" s="110" t="s">
        <v>442</v>
      </c>
      <c r="C504" s="117">
        <f>MAYO!K73+MAYO!S73+MAYO!T73</f>
        <v>870.0011999999997</v>
      </c>
      <c r="D504" s="136"/>
      <c r="E504" s="124"/>
      <c r="F504" s="208">
        <f>SUM(MAYO!V73:AZ73)</f>
        <v>0</v>
      </c>
      <c r="G504" s="208">
        <f t="shared" si="73"/>
        <v>870.0011999999997</v>
      </c>
      <c r="H504" s="203"/>
    </row>
    <row r="505" spans="1:8" x14ac:dyDescent="0.35">
      <c r="A505" s="142" t="s">
        <v>1742</v>
      </c>
      <c r="B505" s="110" t="s">
        <v>442</v>
      </c>
      <c r="C505" s="117">
        <f>MAYO!K74+MAYO!S74+MAYO!T74</f>
        <v>1740</v>
      </c>
      <c r="D505" s="136"/>
      <c r="E505" s="124"/>
      <c r="F505" s="208">
        <f>SUM(MAYO!V74:AZ74)</f>
        <v>0</v>
      </c>
      <c r="G505" s="208">
        <f t="shared" si="73"/>
        <v>1740</v>
      </c>
      <c r="H505" s="203"/>
    </row>
    <row r="506" spans="1:8" x14ac:dyDescent="0.35">
      <c r="A506" s="142" t="s">
        <v>1743</v>
      </c>
      <c r="B506" s="110" t="s">
        <v>442</v>
      </c>
      <c r="C506" s="117">
        <f>MAYO!K75+MAYO!S75+MAYO!T75</f>
        <v>4854.5979999999954</v>
      </c>
      <c r="D506" s="136"/>
      <c r="E506" s="124"/>
      <c r="F506" s="208">
        <f>SUM(MAYO!V75:AZ75)</f>
        <v>0</v>
      </c>
      <c r="G506" s="208">
        <f t="shared" si="73"/>
        <v>4854.5979999999954</v>
      </c>
      <c r="H506" s="203"/>
    </row>
    <row r="507" spans="1:8" x14ac:dyDescent="0.35">
      <c r="A507" s="142" t="s">
        <v>1744</v>
      </c>
      <c r="B507" s="110" t="s">
        <v>442</v>
      </c>
      <c r="C507" s="117">
        <f>MAYO!K76+MAYO!S76+MAYO!T76</f>
        <v>2496.3204000000005</v>
      </c>
      <c r="D507" s="136"/>
      <c r="E507" s="124"/>
      <c r="F507" s="208">
        <f>SUM(MAYO!V76:AZ76)</f>
        <v>0</v>
      </c>
      <c r="G507" s="208">
        <f t="shared" si="73"/>
        <v>2496.3204000000005</v>
      </c>
      <c r="H507" s="203"/>
    </row>
    <row r="508" spans="1:8" x14ac:dyDescent="0.35">
      <c r="A508" s="142" t="s">
        <v>1745</v>
      </c>
      <c r="B508" s="110" t="s">
        <v>442</v>
      </c>
      <c r="C508" s="117">
        <f>MAYO!K77+MAYO!S77+MAYO!T77</f>
        <v>5699.0775999999996</v>
      </c>
      <c r="D508" s="136"/>
      <c r="E508" s="124"/>
      <c r="F508" s="208">
        <f>SUM(MAYO!V77:AZ77)</f>
        <v>0</v>
      </c>
      <c r="G508" s="208">
        <f t="shared" si="73"/>
        <v>5699.0775999999996</v>
      </c>
      <c r="H508" s="203"/>
    </row>
    <row r="509" spans="1:8" x14ac:dyDescent="0.35">
      <c r="A509" s="355" t="s">
        <v>1764</v>
      </c>
      <c r="B509" s="110" t="s">
        <v>442</v>
      </c>
      <c r="C509" s="117">
        <f>MAYO!K78+MAYO!S78+MAYO!T78</f>
        <v>12875.998800000001</v>
      </c>
      <c r="D509" s="149"/>
      <c r="E509" s="124"/>
      <c r="F509" s="208">
        <f>SUM(MAYO!V78:AZ78)</f>
        <v>0</v>
      </c>
      <c r="G509" s="208">
        <f t="shared" si="73"/>
        <v>12875.998800000001</v>
      </c>
      <c r="H509" s="203"/>
    </row>
    <row r="510" spans="1:8" x14ac:dyDescent="0.35">
      <c r="A510" s="91" t="s">
        <v>2187</v>
      </c>
      <c r="B510" s="110" t="s">
        <v>442</v>
      </c>
      <c r="C510" s="117">
        <f>MAYO!K79+MAYO!S79+MAYO!T79</f>
        <v>1740</v>
      </c>
      <c r="D510" s="149"/>
      <c r="E510" s="124"/>
      <c r="F510" s="208">
        <f>SUM(MAYO!V79:AZ79)</f>
        <v>0</v>
      </c>
      <c r="G510" s="208">
        <f t="shared" si="73"/>
        <v>1740</v>
      </c>
      <c r="H510" s="203"/>
    </row>
    <row r="511" spans="1:8" x14ac:dyDescent="0.35">
      <c r="A511" s="142" t="s">
        <v>1437</v>
      </c>
      <c r="B511" s="110" t="s">
        <v>442</v>
      </c>
      <c r="C511" s="117">
        <f>MAYO!K80+MAYO!S80+MAYO!T80</f>
        <v>1044</v>
      </c>
      <c r="D511" s="136"/>
      <c r="E511" s="124"/>
      <c r="F511" s="208">
        <f>SUM(MAYO!V80:AZ80)</f>
        <v>0</v>
      </c>
      <c r="G511" s="208">
        <f t="shared" si="73"/>
        <v>1044</v>
      </c>
      <c r="H511" s="203"/>
    </row>
    <row r="512" spans="1:8" x14ac:dyDescent="0.35">
      <c r="A512" s="142" t="s">
        <v>1765</v>
      </c>
      <c r="B512" s="110" t="s">
        <v>442</v>
      </c>
      <c r="C512" s="117">
        <f>MAYO!K81+MAYO!S81+MAYO!T81</f>
        <v>2784.0048000000006</v>
      </c>
      <c r="D512" s="136"/>
      <c r="E512" s="124"/>
      <c r="F512" s="208">
        <f>SUM(MAYO!V81:AZ81)</f>
        <v>0</v>
      </c>
      <c r="G512" s="208">
        <f t="shared" si="73"/>
        <v>2784.0048000000006</v>
      </c>
      <c r="H512" s="203"/>
    </row>
    <row r="513" spans="1:8" x14ac:dyDescent="0.35">
      <c r="A513" s="142" t="s">
        <v>1071</v>
      </c>
      <c r="B513" s="110" t="s">
        <v>442</v>
      </c>
      <c r="C513" s="117">
        <f>MAYO!K82+MAYO!S82+MAYO!T82</f>
        <v>1020.8</v>
      </c>
      <c r="D513" s="136"/>
      <c r="E513" s="124"/>
      <c r="F513" s="208">
        <f>SUM(MAYO!V82:AZ82)</f>
        <v>0</v>
      </c>
      <c r="G513" s="208">
        <f t="shared" si="73"/>
        <v>1020.8</v>
      </c>
      <c r="H513" s="203"/>
    </row>
    <row r="514" spans="1:8" x14ac:dyDescent="0.35">
      <c r="A514" s="142" t="s">
        <v>688</v>
      </c>
      <c r="B514" s="110" t="s">
        <v>442</v>
      </c>
      <c r="C514" s="117">
        <f>MAYO!K83+MAYO!S83+MAYO!T83</f>
        <v>869.99559999999997</v>
      </c>
      <c r="D514" s="136"/>
      <c r="E514" s="124"/>
      <c r="F514" s="208">
        <f>SUM(MAYO!V83:AZ83)</f>
        <v>0</v>
      </c>
      <c r="G514" s="208">
        <f t="shared" si="73"/>
        <v>869.99559999999997</v>
      </c>
      <c r="H514" s="203"/>
    </row>
    <row r="515" spans="1:8" x14ac:dyDescent="0.35">
      <c r="A515" s="142" t="s">
        <v>1543</v>
      </c>
      <c r="B515" s="110" t="s">
        <v>442</v>
      </c>
      <c r="C515" s="117">
        <f>MAYO!K84+MAYO!S84+MAYO!T84</f>
        <v>1740.0000000000005</v>
      </c>
      <c r="D515" s="136"/>
      <c r="E515" s="124"/>
      <c r="F515" s="208">
        <f>SUM(MAYO!V84:AZ84)</f>
        <v>0</v>
      </c>
      <c r="G515" s="208">
        <f t="shared" si="73"/>
        <v>1740.0000000000005</v>
      </c>
      <c r="H515" s="203"/>
    </row>
    <row r="516" spans="1:8" x14ac:dyDescent="0.35">
      <c r="A516" s="142" t="s">
        <v>869</v>
      </c>
      <c r="B516" s="110" t="s">
        <v>442</v>
      </c>
      <c r="C516" s="117">
        <f>MAYO!K85+MAYO!S85+MAYO!T85</f>
        <v>1740</v>
      </c>
      <c r="D516" s="136"/>
      <c r="E516" s="124"/>
      <c r="F516" s="208">
        <f>SUM(MAYO!V85:AZ85)</f>
        <v>0</v>
      </c>
      <c r="G516" s="208">
        <f t="shared" si="73"/>
        <v>1740</v>
      </c>
      <c r="H516" s="203"/>
    </row>
    <row r="517" spans="1:8" x14ac:dyDescent="0.35">
      <c r="A517" s="91" t="s">
        <v>2377</v>
      </c>
      <c r="B517" s="110" t="s">
        <v>442</v>
      </c>
      <c r="C517" s="117">
        <f>MAYO!K86+MAYO!S86+MAYO!T86</f>
        <v>348</v>
      </c>
      <c r="D517" s="136"/>
      <c r="E517" s="124"/>
      <c r="F517" s="208">
        <f>SUM(MAYO!V86:AZ86)</f>
        <v>0</v>
      </c>
      <c r="G517" s="208">
        <f t="shared" si="73"/>
        <v>348</v>
      </c>
      <c r="H517" s="203"/>
    </row>
    <row r="518" spans="1:8" x14ac:dyDescent="0.35">
      <c r="A518" s="142" t="s">
        <v>1471</v>
      </c>
      <c r="B518" s="110" t="s">
        <v>442</v>
      </c>
      <c r="C518" s="117">
        <f>MAYO!K87+MAYO!S87+MAYO!T87</f>
        <v>4024.04</v>
      </c>
      <c r="D518" s="136"/>
      <c r="E518" s="124"/>
      <c r="F518" s="208">
        <f>SUM(MAYO!V87:AZ87)</f>
        <v>0</v>
      </c>
      <c r="G518" s="208">
        <f t="shared" si="73"/>
        <v>4024.04</v>
      </c>
      <c r="H518" s="203"/>
    </row>
    <row r="519" spans="1:8" x14ac:dyDescent="0.35">
      <c r="A519" s="142" t="s">
        <v>1467</v>
      </c>
      <c r="B519" s="110" t="s">
        <v>442</v>
      </c>
      <c r="C519" s="117">
        <f>MAYO!K88+MAYO!S88+MAYO!T88</f>
        <v>1044</v>
      </c>
      <c r="D519" s="136"/>
      <c r="E519" s="124"/>
      <c r="F519" s="208">
        <f>SUM(MAYO!V88:AZ88)</f>
        <v>0</v>
      </c>
      <c r="G519" s="208">
        <f t="shared" si="73"/>
        <v>1044</v>
      </c>
      <c r="H519" s="203"/>
    </row>
    <row r="520" spans="1:8" x14ac:dyDescent="0.35">
      <c r="A520" s="142" t="s">
        <v>1747</v>
      </c>
      <c r="B520" s="110" t="s">
        <v>442</v>
      </c>
      <c r="C520" s="117">
        <f>MAYO!K89+MAYO!S89+MAYO!T89</f>
        <v>1160.0012000000002</v>
      </c>
      <c r="D520" s="136"/>
      <c r="E520" s="124"/>
      <c r="F520" s="208">
        <f>SUM(MAYO!V89:AZ89)</f>
        <v>0</v>
      </c>
      <c r="G520" s="208">
        <f t="shared" si="73"/>
        <v>1160.0012000000002</v>
      </c>
      <c r="H520" s="203"/>
    </row>
    <row r="521" spans="1:8" x14ac:dyDescent="0.35">
      <c r="A521" s="142" t="s">
        <v>1767</v>
      </c>
      <c r="B521" s="110" t="s">
        <v>442</v>
      </c>
      <c r="C521" s="117">
        <f>MAYO!K90+MAYO!S90+MAYO!T90</f>
        <v>2900</v>
      </c>
      <c r="D521" s="136"/>
      <c r="E521" s="124"/>
      <c r="F521" s="208">
        <f>SUM(MAYO!V90:AZ90)</f>
        <v>0</v>
      </c>
      <c r="G521" s="208">
        <f t="shared" si="73"/>
        <v>2900</v>
      </c>
      <c r="H521" s="203"/>
    </row>
    <row r="522" spans="1:8" x14ac:dyDescent="0.35">
      <c r="A522" s="142" t="s">
        <v>1749</v>
      </c>
      <c r="B522" s="110" t="s">
        <v>442</v>
      </c>
      <c r="C522" s="117">
        <f>MAYO!K91+MAYO!S91+MAYO!T91</f>
        <v>3769.9999999999991</v>
      </c>
      <c r="D522" s="136"/>
      <c r="E522" s="124"/>
      <c r="F522" s="208">
        <f>SUM(MAYO!V91:AZ91)</f>
        <v>0</v>
      </c>
      <c r="G522" s="208">
        <f t="shared" si="73"/>
        <v>3769.9999999999991</v>
      </c>
      <c r="H522" s="203"/>
    </row>
    <row r="523" spans="1:8" x14ac:dyDescent="0.35">
      <c r="A523" s="142" t="s">
        <v>409</v>
      </c>
      <c r="B523" s="110" t="s">
        <v>442</v>
      </c>
      <c r="C523" s="117">
        <f>MAYO!K92+MAYO!S92+MAYO!T92</f>
        <v>1623.9952000000048</v>
      </c>
      <c r="D523" s="136"/>
      <c r="E523" s="124"/>
      <c r="F523" s="208">
        <f>SUM(MAYO!V92:AZ92)</f>
        <v>0</v>
      </c>
      <c r="G523" s="208">
        <f t="shared" si="73"/>
        <v>1623.9952000000048</v>
      </c>
      <c r="H523" s="203"/>
    </row>
    <row r="524" spans="1:8" x14ac:dyDescent="0.35">
      <c r="A524" s="142" t="s">
        <v>410</v>
      </c>
      <c r="B524" s="110" t="s">
        <v>442</v>
      </c>
      <c r="C524" s="117">
        <f>MAYO!K93+MAYO!S93+MAYO!T93</f>
        <v>3248.0012000000006</v>
      </c>
      <c r="D524" s="136"/>
      <c r="E524" s="124"/>
      <c r="F524" s="208">
        <f>SUM(MAYO!V93:AZ93)</f>
        <v>0</v>
      </c>
      <c r="G524" s="208">
        <f t="shared" si="73"/>
        <v>3248.0012000000006</v>
      </c>
      <c r="H524" s="203"/>
    </row>
    <row r="525" spans="1:8" x14ac:dyDescent="0.35">
      <c r="A525" s="142" t="s">
        <v>1750</v>
      </c>
      <c r="B525" s="110" t="s">
        <v>442</v>
      </c>
      <c r="C525" s="117">
        <f>MAYO!K94+MAYO!S94+MAYO!T94</f>
        <v>2436</v>
      </c>
      <c r="D525" s="136"/>
      <c r="E525" s="124"/>
      <c r="F525" s="208">
        <f>SUM(MAYO!V94:AZ94)</f>
        <v>0</v>
      </c>
      <c r="G525" s="208">
        <f t="shared" si="73"/>
        <v>2436</v>
      </c>
      <c r="H525" s="203"/>
    </row>
    <row r="526" spans="1:8" x14ac:dyDescent="0.35">
      <c r="A526" s="347" t="s">
        <v>1904</v>
      </c>
      <c r="B526" s="110" t="s">
        <v>442</v>
      </c>
      <c r="C526" s="117">
        <f>MAYO!K95+MAYO!S95+MAYO!T95</f>
        <v>577.68000000000063</v>
      </c>
      <c r="D526" s="136"/>
      <c r="E526" s="124"/>
      <c r="F526" s="208">
        <f>SUM(MAYO!V95:AZ95)</f>
        <v>0</v>
      </c>
      <c r="G526" s="208">
        <f t="shared" si="73"/>
        <v>577.68000000000063</v>
      </c>
      <c r="H526" s="203"/>
    </row>
    <row r="527" spans="1:8" x14ac:dyDescent="0.35">
      <c r="A527" s="142" t="s">
        <v>1548</v>
      </c>
      <c r="B527" s="110" t="s">
        <v>442</v>
      </c>
      <c r="C527" s="117">
        <f>MAYO!K96+MAYO!S96+MAYO!T96</f>
        <v>3132.0000000000005</v>
      </c>
      <c r="D527" s="136"/>
      <c r="E527" s="124"/>
      <c r="F527" s="208">
        <f>SUM(MAYO!V96:AZ96)</f>
        <v>0</v>
      </c>
      <c r="G527" s="208">
        <f>C527-F527</f>
        <v>3132.0000000000005</v>
      </c>
      <c r="H527" s="203"/>
    </row>
    <row r="528" spans="1:8" x14ac:dyDescent="0.35">
      <c r="A528" s="142" t="s">
        <v>1752</v>
      </c>
      <c r="B528" s="110" t="s">
        <v>442</v>
      </c>
      <c r="C528" s="117">
        <f>MAYO!K97+MAYO!S97+MAYO!T97</f>
        <v>4523.9996000000001</v>
      </c>
      <c r="D528" s="136"/>
      <c r="E528" s="124"/>
      <c r="F528" s="208">
        <f>SUM(MAYO!V97:AZ97)</f>
        <v>0</v>
      </c>
      <c r="G528" s="208">
        <f t="shared" ref="G528:G529" si="74">C528-F528</f>
        <v>4523.9996000000001</v>
      </c>
      <c r="H528" s="203"/>
    </row>
    <row r="529" spans="1:9" x14ac:dyDescent="0.35">
      <c r="A529" s="162" t="s">
        <v>1924</v>
      </c>
      <c r="B529" s="110" t="s">
        <v>442</v>
      </c>
      <c r="C529" s="117">
        <f>MAYO!K98+MAYO!S98+MAYO!T98</f>
        <v>1450.0000000000009</v>
      </c>
      <c r="D529" s="136"/>
      <c r="E529" s="124"/>
      <c r="F529" s="208">
        <f>SUM(MAYO!V98:AZ98)</f>
        <v>0</v>
      </c>
      <c r="G529" s="208">
        <f t="shared" si="74"/>
        <v>1450.0000000000009</v>
      </c>
      <c r="H529" s="203"/>
    </row>
    <row r="530" spans="1:9" x14ac:dyDescent="0.35">
      <c r="A530" s="142" t="s">
        <v>1753</v>
      </c>
      <c r="B530" s="110" t="s">
        <v>442</v>
      </c>
      <c r="C530" s="117">
        <f>MAYO!K99+MAYO!S99+MAYO!T99</f>
        <v>2871.0028000000057</v>
      </c>
      <c r="D530" s="136"/>
      <c r="E530" s="124"/>
      <c r="F530" s="208">
        <f>SUM(MAYO!V99:AZ99)</f>
        <v>0</v>
      </c>
      <c r="G530" s="208">
        <f>C530-F530</f>
        <v>2871.0028000000057</v>
      </c>
      <c r="H530" s="203"/>
      <c r="I530" s="211" t="s">
        <v>617</v>
      </c>
    </row>
    <row r="531" spans="1:9" x14ac:dyDescent="0.35">
      <c r="A531" s="142" t="s">
        <v>1893</v>
      </c>
      <c r="B531" s="110" t="s">
        <v>442</v>
      </c>
      <c r="C531" s="117">
        <f>MAYO!K100+MAYO!S100+MAYO!T100</f>
        <v>1040.5196000000008</v>
      </c>
      <c r="D531" s="136"/>
      <c r="E531" s="124"/>
      <c r="F531" s="208">
        <f>SUM(MAYO!V100:AZ100)</f>
        <v>0</v>
      </c>
      <c r="G531" s="208">
        <f>C531-F531</f>
        <v>1040.5196000000008</v>
      </c>
      <c r="H531" s="203"/>
    </row>
    <row r="532" spans="1:9" x14ac:dyDescent="0.35">
      <c r="A532" s="142" t="s">
        <v>1754</v>
      </c>
      <c r="B532" s="110" t="s">
        <v>442</v>
      </c>
      <c r="C532" s="117">
        <f>MAYO!K101+MAYO!S101+MAYO!T101</f>
        <v>9048</v>
      </c>
      <c r="D532" s="136"/>
      <c r="E532" s="124"/>
      <c r="F532" s="208">
        <f>SUM(MAYO!V101:AZ101)</f>
        <v>0</v>
      </c>
      <c r="G532" s="208">
        <f t="shared" ref="G532:G539" si="75">C532-F532</f>
        <v>9048</v>
      </c>
      <c r="H532" s="203"/>
    </row>
    <row r="533" spans="1:9" x14ac:dyDescent="0.35">
      <c r="A533" s="142" t="s">
        <v>658</v>
      </c>
      <c r="B533" s="110" t="s">
        <v>442</v>
      </c>
      <c r="C533" s="117">
        <f>MAYO!K102+MAYO!S102+MAYO!T102</f>
        <v>2030</v>
      </c>
      <c r="D533" s="136"/>
      <c r="E533" s="124"/>
      <c r="F533" s="208">
        <f>SUM(MAYO!V102:AZ102)</f>
        <v>0</v>
      </c>
      <c r="G533" s="208">
        <f t="shared" si="75"/>
        <v>2030</v>
      </c>
      <c r="H533" s="203"/>
    </row>
    <row r="534" spans="1:9" x14ac:dyDescent="0.35">
      <c r="A534" s="142" t="s">
        <v>2612</v>
      </c>
      <c r="B534" s="110" t="s">
        <v>442</v>
      </c>
      <c r="C534" s="117">
        <f>MAYO!K103+MAYO!S103+MAYO!T103</f>
        <v>348</v>
      </c>
      <c r="D534" s="136"/>
      <c r="E534" s="124"/>
      <c r="F534" s="208">
        <f>SUM(MAYO!V103:AZ103)</f>
        <v>0</v>
      </c>
      <c r="G534" s="208">
        <f t="shared" si="75"/>
        <v>348</v>
      </c>
      <c r="H534" s="203"/>
    </row>
    <row r="535" spans="1:9" x14ac:dyDescent="0.35">
      <c r="A535" s="142" t="s">
        <v>2816</v>
      </c>
      <c r="B535" s="110" t="s">
        <v>442</v>
      </c>
      <c r="C535" s="117">
        <f>MAYO!K104+MAYO!S104+MAYO!T104</f>
        <v>-338</v>
      </c>
      <c r="D535" s="136" t="s">
        <v>243</v>
      </c>
      <c r="E535" s="124">
        <v>45756</v>
      </c>
      <c r="F535" s="208">
        <f>SUM(MAYO!V104:AZ104)</f>
        <v>0</v>
      </c>
      <c r="G535" s="208">
        <f t="shared" si="75"/>
        <v>-338</v>
      </c>
      <c r="H535" s="203"/>
    </row>
    <row r="536" spans="1:9" x14ac:dyDescent="0.35">
      <c r="A536" s="142" t="s">
        <v>2902</v>
      </c>
      <c r="B536" s="110" t="s">
        <v>442</v>
      </c>
      <c r="C536" s="117">
        <f>MAYO!K105+MAYO!S105+MAYO!T105</f>
        <v>348</v>
      </c>
      <c r="D536" s="136"/>
      <c r="E536" s="124"/>
      <c r="F536" s="208">
        <f>SUM(MAYO!V105:AZ105)</f>
        <v>0</v>
      </c>
      <c r="G536" s="208">
        <f t="shared" ref="G536" si="76">C536-F536</f>
        <v>348</v>
      </c>
      <c r="H536" s="203"/>
    </row>
    <row r="537" spans="1:9" x14ac:dyDescent="0.35">
      <c r="A537" s="355" t="s">
        <v>2005</v>
      </c>
      <c r="B537" s="110" t="s">
        <v>442</v>
      </c>
      <c r="C537" s="117">
        <f>MAYO!K106+MAYO!S106+MAYO!T106</f>
        <v>34449.680000000029</v>
      </c>
      <c r="D537" s="136"/>
      <c r="E537" s="124"/>
      <c r="F537" s="208">
        <f>SUM(MAYO!V106:AZ106)</f>
        <v>0</v>
      </c>
      <c r="G537" s="208">
        <f t="shared" si="75"/>
        <v>34449.680000000029</v>
      </c>
      <c r="H537" s="203"/>
    </row>
    <row r="538" spans="1:9" x14ac:dyDescent="0.35">
      <c r="A538" s="142" t="s">
        <v>2006</v>
      </c>
      <c r="B538" s="110" t="s">
        <v>442</v>
      </c>
      <c r="C538" s="117">
        <f>MAYO!K107+MAYO!S107+MAYO!T107</f>
        <v>696</v>
      </c>
      <c r="D538" s="136"/>
      <c r="E538" s="124"/>
      <c r="F538" s="208">
        <f>SUM(MAYO!V107:AZ107)</f>
        <v>0</v>
      </c>
      <c r="G538" s="208">
        <f t="shared" si="75"/>
        <v>696</v>
      </c>
      <c r="H538" s="203"/>
    </row>
    <row r="539" spans="1:9" x14ac:dyDescent="0.35">
      <c r="A539" s="91" t="s">
        <v>2874</v>
      </c>
      <c r="B539" s="110" t="s">
        <v>442</v>
      </c>
      <c r="C539" s="117">
        <f>MAYO!K108+MAYO!S108+MAYO!T108</f>
        <v>2427.88</v>
      </c>
      <c r="D539" s="136"/>
      <c r="E539" s="124"/>
      <c r="F539" s="208">
        <f>SUM(MAYO!V108:AZ108)</f>
        <v>0</v>
      </c>
      <c r="G539" s="208">
        <f t="shared" si="75"/>
        <v>2427.88</v>
      </c>
      <c r="H539" s="203"/>
    </row>
    <row r="540" spans="1:9" x14ac:dyDescent="0.35">
      <c r="A540" s="142" t="s">
        <v>2007</v>
      </c>
      <c r="B540" s="110" t="s">
        <v>442</v>
      </c>
      <c r="C540" s="117">
        <f>MAYO!K109+MAYO!S109+MAYO!T109</f>
        <v>34277.995600000002</v>
      </c>
      <c r="D540" s="136"/>
      <c r="E540" s="124"/>
      <c r="F540" s="208">
        <f>SUM(MAYO!V109:AZ109)</f>
        <v>0</v>
      </c>
      <c r="G540" s="208">
        <f>C540-F540</f>
        <v>34277.995600000002</v>
      </c>
      <c r="H540" s="203"/>
    </row>
    <row r="541" spans="1:9" x14ac:dyDescent="0.35">
      <c r="A541" s="142" t="s">
        <v>2477</v>
      </c>
      <c r="B541" s="110" t="s">
        <v>442</v>
      </c>
      <c r="C541" s="117">
        <f>MAYO!K110+MAYO!S110+MAYO!T110</f>
        <v>348</v>
      </c>
      <c r="D541" s="136"/>
      <c r="E541" s="124"/>
      <c r="F541" s="208">
        <f>SUM(MAYO!V110:AZ110)</f>
        <v>0</v>
      </c>
      <c r="G541" s="208">
        <f t="shared" ref="G541:G561" si="77">C541-F541</f>
        <v>348</v>
      </c>
      <c r="H541" s="203"/>
    </row>
    <row r="542" spans="1:9" x14ac:dyDescent="0.35">
      <c r="A542" s="142" t="s">
        <v>70</v>
      </c>
      <c r="B542" s="110" t="s">
        <v>442</v>
      </c>
      <c r="C542" s="117">
        <f>MAYO!K111+MAYO!S111+MAYO!T111</f>
        <v>406</v>
      </c>
      <c r="D542" s="136"/>
      <c r="E542" s="124"/>
      <c r="F542" s="208">
        <f>SUM(MAYO!V111:AZ111)</f>
        <v>0</v>
      </c>
      <c r="G542" s="208">
        <f t="shared" si="77"/>
        <v>406</v>
      </c>
      <c r="H542" s="203"/>
    </row>
    <row r="543" spans="1:9" x14ac:dyDescent="0.35">
      <c r="A543" s="142" t="s">
        <v>2015</v>
      </c>
      <c r="B543" s="110" t="s">
        <v>442</v>
      </c>
      <c r="C543" s="117">
        <f>MAYO!K112+MAYO!S112+MAYO!T112</f>
        <v>1449.9956000000002</v>
      </c>
      <c r="D543" s="136"/>
      <c r="E543" s="124"/>
      <c r="F543" s="208">
        <f>SUM(MAYO!V112:AZ112)</f>
        <v>0</v>
      </c>
      <c r="G543" s="208">
        <f t="shared" si="77"/>
        <v>1449.9956000000002</v>
      </c>
      <c r="H543" s="203"/>
      <c r="I543" s="211" t="s">
        <v>617</v>
      </c>
    </row>
    <row r="544" spans="1:9" x14ac:dyDescent="0.35">
      <c r="A544" s="142" t="s">
        <v>2009</v>
      </c>
      <c r="B544" s="110" t="s">
        <v>442</v>
      </c>
      <c r="C544" s="117">
        <f>MAYO!K113+MAYO!S113+MAYO!T113</f>
        <v>8062.0039999999726</v>
      </c>
      <c r="D544" s="136"/>
      <c r="E544" s="124"/>
      <c r="F544" s="208">
        <f>SUM(MAYO!V113:AZ113)</f>
        <v>0</v>
      </c>
      <c r="G544" s="208">
        <f t="shared" si="77"/>
        <v>8062.0039999999726</v>
      </c>
      <c r="H544" s="203"/>
    </row>
    <row r="545" spans="1:9" x14ac:dyDescent="0.35">
      <c r="A545" s="395" t="s">
        <v>2541</v>
      </c>
      <c r="B545" s="110" t="s">
        <v>442</v>
      </c>
      <c r="C545" s="117">
        <f>MAYO!K114+MAYO!S114+MAYO!T114</f>
        <v>348</v>
      </c>
      <c r="D545" s="136"/>
      <c r="E545" s="124"/>
      <c r="F545" s="208">
        <f>SUM(MAYO!V114:AZ114)</f>
        <v>0</v>
      </c>
      <c r="G545" s="208">
        <f t="shared" si="77"/>
        <v>348</v>
      </c>
      <c r="H545" s="203"/>
    </row>
    <row r="546" spans="1:9" x14ac:dyDescent="0.35">
      <c r="A546" s="393" t="s">
        <v>2475</v>
      </c>
      <c r="B546" s="110" t="s">
        <v>442</v>
      </c>
      <c r="C546" s="117">
        <f>MAYO!K115+MAYO!S115+MAYO!T115</f>
        <v>348</v>
      </c>
      <c r="D546" s="136"/>
      <c r="E546" s="124"/>
      <c r="F546" s="208">
        <f>SUM(MAYO!V115:AZ115)</f>
        <v>0</v>
      </c>
      <c r="G546" s="208">
        <f t="shared" si="77"/>
        <v>348</v>
      </c>
      <c r="H546" s="203"/>
    </row>
    <row r="547" spans="1:9" x14ac:dyDescent="0.35">
      <c r="A547" s="142" t="s">
        <v>2010</v>
      </c>
      <c r="B547" s="110" t="s">
        <v>442</v>
      </c>
      <c r="C547" s="117">
        <f>MAYO!K116+MAYO!S116+MAYO!T116</f>
        <v>765.60000000000093</v>
      </c>
      <c r="D547" s="136"/>
      <c r="E547" s="124"/>
      <c r="F547" s="208">
        <f>SUM(MAYO!V116:AZ116)</f>
        <v>0</v>
      </c>
      <c r="G547" s="208">
        <f t="shared" si="77"/>
        <v>765.60000000000093</v>
      </c>
      <c r="H547" s="203"/>
    </row>
    <row r="548" spans="1:9" x14ac:dyDescent="0.35">
      <c r="A548" s="142" t="s">
        <v>2011</v>
      </c>
      <c r="B548" s="110" t="s">
        <v>442</v>
      </c>
      <c r="C548" s="117">
        <f>MAYO!K117+MAYO!S117+MAYO!T117</f>
        <v>1044</v>
      </c>
      <c r="D548" s="136"/>
      <c r="E548" s="124"/>
      <c r="F548" s="208">
        <f>SUM(MAYO!V117:AZ117)</f>
        <v>0</v>
      </c>
      <c r="G548" s="208">
        <f t="shared" si="77"/>
        <v>1044</v>
      </c>
      <c r="H548" s="203"/>
    </row>
    <row r="549" spans="1:9" x14ac:dyDescent="0.35">
      <c r="A549" s="91" t="s">
        <v>2578</v>
      </c>
      <c r="B549" s="110" t="s">
        <v>442</v>
      </c>
      <c r="C549" s="117">
        <f>MAYO!K118+MAYO!S118+MAYO!T118</f>
        <v>348</v>
      </c>
      <c r="D549" s="136"/>
      <c r="E549" s="124"/>
      <c r="F549" s="208">
        <f>SUM(MAYO!V118:AZ118)</f>
        <v>0</v>
      </c>
      <c r="G549" s="208">
        <f t="shared" si="77"/>
        <v>348</v>
      </c>
      <c r="H549" s="203"/>
    </row>
    <row r="550" spans="1:9" x14ac:dyDescent="0.35">
      <c r="A550" s="142" t="s">
        <v>1781</v>
      </c>
      <c r="B550" s="110" t="s">
        <v>442</v>
      </c>
      <c r="C550" s="117">
        <f>MAYO!K119+MAYO!S119+MAYO!T119</f>
        <v>57.997199999997974</v>
      </c>
      <c r="D550" s="136"/>
      <c r="E550" s="124"/>
      <c r="F550" s="208">
        <f>SUM(MAYO!V119:AZ119)</f>
        <v>0</v>
      </c>
      <c r="G550" s="208">
        <f t="shared" si="77"/>
        <v>57.997199999997974</v>
      </c>
      <c r="H550" s="203"/>
    </row>
    <row r="551" spans="1:9" x14ac:dyDescent="0.35">
      <c r="A551" s="356" t="s">
        <v>2003</v>
      </c>
      <c r="B551" s="110" t="s">
        <v>442</v>
      </c>
      <c r="C551" s="117">
        <f>MAYO!K120+MAYO!S120+MAYO!T120</f>
        <v>870</v>
      </c>
      <c r="D551" s="136"/>
      <c r="E551" s="124"/>
      <c r="F551" s="208">
        <f>SUM(MAYO!V120:AZ120)</f>
        <v>0</v>
      </c>
      <c r="G551" s="208">
        <f t="shared" si="77"/>
        <v>870</v>
      </c>
      <c r="H551" s="203"/>
    </row>
    <row r="552" spans="1:9" ht="29" x14ac:dyDescent="0.35">
      <c r="A552" s="134" t="s">
        <v>2514</v>
      </c>
      <c r="B552" s="110" t="s">
        <v>442</v>
      </c>
      <c r="C552" s="117">
        <f>MAYO!K121+MAYO!S121+MAYO!T121</f>
        <v>696</v>
      </c>
      <c r="D552" s="136"/>
      <c r="E552" s="124"/>
      <c r="F552" s="208">
        <f>SUM(MAYO!V121:AZ121)</f>
        <v>0</v>
      </c>
      <c r="G552" s="208">
        <f t="shared" si="77"/>
        <v>696</v>
      </c>
      <c r="H552" s="203"/>
    </row>
    <row r="553" spans="1:9" x14ac:dyDescent="0.35">
      <c r="A553" s="91" t="s">
        <v>2864</v>
      </c>
      <c r="B553" s="110" t="s">
        <v>442</v>
      </c>
      <c r="C553" s="117">
        <f>MAYO!K122+MAYO!S122+MAYO!T122</f>
        <v>29203</v>
      </c>
      <c r="D553" s="136"/>
      <c r="E553" s="124"/>
      <c r="F553" s="208">
        <f>SUM(MAYO!V122:AZ122)</f>
        <v>0</v>
      </c>
      <c r="G553" s="208">
        <f t="shared" si="77"/>
        <v>29203</v>
      </c>
      <c r="H553" s="203"/>
    </row>
    <row r="554" spans="1:9" x14ac:dyDescent="0.35">
      <c r="A554" s="142" t="s">
        <v>2012</v>
      </c>
      <c r="B554" s="110" t="s">
        <v>442</v>
      </c>
      <c r="C554" s="117">
        <f>MAYO!K123+MAYO!S123+MAYO!T123</f>
        <v>1450</v>
      </c>
      <c r="D554" s="136"/>
      <c r="E554" s="124"/>
      <c r="F554" s="208">
        <f>SUM(MAYO!V123:AZ123)</f>
        <v>0</v>
      </c>
      <c r="G554" s="208">
        <f t="shared" si="77"/>
        <v>1450</v>
      </c>
      <c r="H554" s="205"/>
      <c r="I554" s="211" t="s">
        <v>617</v>
      </c>
    </row>
    <row r="555" spans="1:9" x14ac:dyDescent="0.35">
      <c r="A555" s="142" t="s">
        <v>2013</v>
      </c>
      <c r="B555" s="110" t="s">
        <v>442</v>
      </c>
      <c r="C555" s="117">
        <f>MAYO!K124+MAYO!S124+MAYO!T124</f>
        <v>2783.9999999999973</v>
      </c>
      <c r="D555" s="136"/>
      <c r="E555" s="124"/>
      <c r="F555" s="208">
        <f>SUM(MAYO!V124:AZ124)</f>
        <v>0</v>
      </c>
      <c r="G555" s="208">
        <f t="shared" si="77"/>
        <v>2783.9999999999973</v>
      </c>
      <c r="H555" s="205"/>
    </row>
    <row r="556" spans="1:9" x14ac:dyDescent="0.35">
      <c r="A556" s="142" t="s">
        <v>2926</v>
      </c>
      <c r="B556" s="110" t="s">
        <v>442</v>
      </c>
      <c r="C556" s="117">
        <f>MAYO!K125+MAYO!S125+MAYO!T125</f>
        <v>-1387.3599999999997</v>
      </c>
      <c r="D556" s="136"/>
      <c r="E556" s="124"/>
      <c r="F556" s="208">
        <f>SUM(MAYO!V125:AZ125)</f>
        <v>0</v>
      </c>
      <c r="G556" s="208">
        <f t="shared" ref="G556" si="78">C556-F556</f>
        <v>-1387.3599999999997</v>
      </c>
      <c r="H556" s="205"/>
    </row>
    <row r="557" spans="1:9" x14ac:dyDescent="0.35">
      <c r="A557" s="142" t="s">
        <v>2520</v>
      </c>
      <c r="B557" s="110" t="s">
        <v>442</v>
      </c>
      <c r="C557" s="117">
        <f>MAYO!K126+MAYO!S126+MAYO!T126</f>
        <v>1044</v>
      </c>
      <c r="D557" s="136"/>
      <c r="E557" s="124"/>
      <c r="F557" s="208">
        <f>SUM(MAYO!V126:AZ126)</f>
        <v>0</v>
      </c>
      <c r="G557" s="208">
        <f t="shared" si="77"/>
        <v>1044</v>
      </c>
      <c r="H557" s="205"/>
    </row>
    <row r="558" spans="1:9" x14ac:dyDescent="0.35">
      <c r="A558" s="142" t="s">
        <v>2214</v>
      </c>
      <c r="B558" s="110" t="s">
        <v>442</v>
      </c>
      <c r="C558" s="117">
        <f>MAYO!K127+MAYO!S127+MAYO!T127</f>
        <v>4176</v>
      </c>
      <c r="D558" s="136"/>
      <c r="E558" s="124"/>
      <c r="F558" s="208">
        <f>SUM(MAYO!V127:AZ127)</f>
        <v>0</v>
      </c>
      <c r="G558" s="208">
        <f t="shared" si="77"/>
        <v>4176</v>
      </c>
      <c r="H558" s="205"/>
    </row>
    <row r="559" spans="1:9" x14ac:dyDescent="0.35">
      <c r="A559" s="142" t="s">
        <v>1478</v>
      </c>
      <c r="B559" s="110" t="s">
        <v>442</v>
      </c>
      <c r="C559" s="117">
        <f>MAYO!K128+MAYO!S128+MAYO!T128</f>
        <v>0</v>
      </c>
      <c r="D559" s="136"/>
      <c r="E559" s="124"/>
      <c r="F559" s="208">
        <f>SUM(MAYO!V128:AZ128)</f>
        <v>0</v>
      </c>
      <c r="G559" s="208">
        <f t="shared" si="77"/>
        <v>0</v>
      </c>
      <c r="H559" s="205"/>
    </row>
    <row r="560" spans="1:9" x14ac:dyDescent="0.35">
      <c r="A560" s="181" t="s">
        <v>299</v>
      </c>
      <c r="B560" s="110" t="s">
        <v>442</v>
      </c>
      <c r="C560" s="117">
        <f>MAYO!K129+MAYO!S129+MAYO!T129</f>
        <v>5278</v>
      </c>
      <c r="D560" s="136"/>
      <c r="E560" s="124"/>
      <c r="F560" s="208">
        <f>SUM(MAYO!V129:AZ129)</f>
        <v>0</v>
      </c>
      <c r="G560" s="208">
        <f t="shared" si="77"/>
        <v>5278</v>
      </c>
      <c r="H560" s="205"/>
    </row>
    <row r="561" spans="1:8" x14ac:dyDescent="0.35">
      <c r="A561" s="142" t="s">
        <v>659</v>
      </c>
      <c r="B561" s="110" t="s">
        <v>442</v>
      </c>
      <c r="C561" s="117">
        <f>MAYO!K130+MAYO!S130+MAYO!T130</f>
        <v>1740</v>
      </c>
      <c r="D561" s="136"/>
      <c r="E561" s="124"/>
      <c r="F561" s="208">
        <f>SUM(MAYO!V130:AZ130)</f>
        <v>0</v>
      </c>
      <c r="G561" s="208">
        <f t="shared" si="77"/>
        <v>1740</v>
      </c>
      <c r="H561" s="205"/>
    </row>
    <row r="562" spans="1:8" ht="15.5" x14ac:dyDescent="0.35">
      <c r="A562" s="155" t="s">
        <v>2885</v>
      </c>
      <c r="B562" s="196">
        <v>110</v>
      </c>
      <c r="C562" s="197">
        <f>SUM(C449:C561)</f>
        <v>344675.87959999993</v>
      </c>
      <c r="D562" s="196"/>
      <c r="E562" s="196"/>
      <c r="F562" s="209">
        <f>SUM(F449:F561)</f>
        <v>0</v>
      </c>
      <c r="G562" s="209">
        <f>SUM(G449:G561)</f>
        <v>344675.87959999993</v>
      </c>
      <c r="H562" s="206"/>
    </row>
  </sheetData>
  <autoFilter ref="A1:I562" xr:uid="{00000000-0009-0000-0000-000006000000}"/>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459"/>
  <sheetViews>
    <sheetView zoomScale="86" zoomScaleNormal="86" workbookViewId="0">
      <pane xSplit="1" ySplit="1" topLeftCell="B347" activePane="bottomRight" state="frozenSplit"/>
      <selection pane="topRight" activeCell="B1" sqref="B1"/>
      <selection pane="bottomLeft" activeCell="A13" sqref="A13"/>
      <selection pane="bottomRight" activeCell="A355" sqref="A355:XFD355"/>
    </sheetView>
  </sheetViews>
  <sheetFormatPr baseColWidth="10" defaultColWidth="11.453125" defaultRowHeight="14.5" x14ac:dyDescent="0.35"/>
  <cols>
    <col min="1" max="1" width="53.7265625" style="162" customWidth="1"/>
    <col min="2" max="2" width="17.26953125" style="1" customWidth="1"/>
    <col min="3" max="3" width="14.81640625" style="144" customWidth="1"/>
    <col min="4" max="4" width="12.453125" style="104" customWidth="1"/>
    <col min="5" max="5" width="21.453125" style="104" customWidth="1"/>
    <col min="6" max="6" width="20.54296875" style="144" customWidth="1"/>
    <col min="7" max="7" width="21.1796875" style="144" customWidth="1"/>
    <col min="8" max="8" width="53.453125" style="217" customWidth="1"/>
    <col min="9" max="9" width="16.26953125" style="104" customWidth="1"/>
    <col min="10" max="16384" width="11.453125" style="104"/>
  </cols>
  <sheetData>
    <row r="1" spans="1:8" x14ac:dyDescent="0.35">
      <c r="A1" s="105" t="s">
        <v>165</v>
      </c>
      <c r="B1" s="105" t="s">
        <v>167</v>
      </c>
      <c r="C1" s="143" t="s">
        <v>166</v>
      </c>
      <c r="D1" s="105" t="s">
        <v>163</v>
      </c>
      <c r="E1" s="105" t="s">
        <v>162</v>
      </c>
      <c r="F1" s="145" t="s">
        <v>296</v>
      </c>
      <c r="G1" s="145" t="s">
        <v>297</v>
      </c>
      <c r="H1" s="145" t="s">
        <v>11</v>
      </c>
    </row>
    <row r="2" spans="1:8" x14ac:dyDescent="0.35">
      <c r="A2" s="142" t="s">
        <v>1080</v>
      </c>
      <c r="B2" s="110" t="s">
        <v>164</v>
      </c>
      <c r="C2" s="194">
        <f>ENERO!G122+ENERO!S122+ENERO!T122</f>
        <v>0</v>
      </c>
      <c r="D2" s="281" t="s">
        <v>243</v>
      </c>
      <c r="E2" s="279">
        <v>45632</v>
      </c>
      <c r="F2" s="194">
        <f>SUM(ENERO!V122:AZ122)</f>
        <v>0</v>
      </c>
      <c r="G2" s="213">
        <f t="shared" ref="G2:G22" si="0">C2-F2</f>
        <v>0</v>
      </c>
      <c r="H2" s="360" t="s">
        <v>1661</v>
      </c>
    </row>
    <row r="3" spans="1:8" x14ac:dyDescent="0.35">
      <c r="A3" s="193" t="s">
        <v>1375</v>
      </c>
      <c r="B3" s="110" t="s">
        <v>164</v>
      </c>
      <c r="C3" s="194">
        <f>ENERO!G123+ENERO!S123+ENERO!T123</f>
        <v>695.98</v>
      </c>
      <c r="D3" s="322" t="s">
        <v>243</v>
      </c>
      <c r="E3" s="323">
        <v>45664</v>
      </c>
      <c r="F3" s="194">
        <f>SUM(ENERO!V123:AZ123)</f>
        <v>696</v>
      </c>
      <c r="G3" s="213">
        <f t="shared" si="0"/>
        <v>-1.999999999998181E-2</v>
      </c>
      <c r="H3" s="360"/>
    </row>
    <row r="4" spans="1:8" x14ac:dyDescent="0.35">
      <c r="A4" s="193" t="s">
        <v>569</v>
      </c>
      <c r="B4" s="110" t="s">
        <v>164</v>
      </c>
      <c r="C4" s="194">
        <f>ENERO!G124+ENERO!S124+ENERO!T124</f>
        <v>1610</v>
      </c>
      <c r="D4" s="165" t="s">
        <v>243</v>
      </c>
      <c r="E4" s="195">
        <v>45663</v>
      </c>
      <c r="F4" s="194">
        <f>SUM(ENERO!V124:AZ124)</f>
        <v>1610</v>
      </c>
      <c r="G4" s="213">
        <f t="shared" si="0"/>
        <v>0</v>
      </c>
      <c r="H4" s="360"/>
    </row>
    <row r="5" spans="1:8" x14ac:dyDescent="0.35">
      <c r="A5" s="134" t="s">
        <v>293</v>
      </c>
      <c r="B5" s="110" t="s">
        <v>164</v>
      </c>
      <c r="C5" s="194">
        <f>ENERO!G125+ENERO!S125+ENERO!T125</f>
        <v>3000</v>
      </c>
      <c r="D5" s="165" t="s">
        <v>243</v>
      </c>
      <c r="E5" s="124">
        <v>45672</v>
      </c>
      <c r="F5" s="194">
        <f>SUM(ENERO!V125:AZ125)</f>
        <v>3000</v>
      </c>
      <c r="G5" s="213">
        <f t="shared" si="0"/>
        <v>0</v>
      </c>
      <c r="H5" s="215"/>
    </row>
    <row r="6" spans="1:8" x14ac:dyDescent="0.35">
      <c r="A6" s="134" t="s">
        <v>93</v>
      </c>
      <c r="B6" s="110" t="s">
        <v>164</v>
      </c>
      <c r="C6" s="194">
        <f>ENERO!G126+ENERO!S126+ENERO!T126</f>
        <v>300</v>
      </c>
      <c r="D6" s="136" t="s">
        <v>243</v>
      </c>
      <c r="E6" s="124">
        <v>45674</v>
      </c>
      <c r="F6" s="194">
        <f>SUM(ENERO!V126:AZ126)</f>
        <v>750</v>
      </c>
      <c r="G6" s="122">
        <f t="shared" si="0"/>
        <v>-450</v>
      </c>
      <c r="H6" s="215"/>
    </row>
    <row r="7" spans="1:8" x14ac:dyDescent="0.35">
      <c r="A7" s="134" t="s">
        <v>95</v>
      </c>
      <c r="B7" s="110" t="s">
        <v>164</v>
      </c>
      <c r="C7" s="194">
        <f>ENERO!G127+ENERO!S127+ENERO!T127</f>
        <v>9546.5999999999985</v>
      </c>
      <c r="D7" s="136" t="s">
        <v>243</v>
      </c>
      <c r="E7" s="124">
        <v>45665</v>
      </c>
      <c r="F7" s="194">
        <f>SUM(ENERO!V127:AZ127)</f>
        <v>9546.7999999999993</v>
      </c>
      <c r="G7" s="122">
        <f t="shared" si="0"/>
        <v>-0.2000000000007276</v>
      </c>
      <c r="H7" s="215" t="s">
        <v>1790</v>
      </c>
    </row>
    <row r="8" spans="1:8" x14ac:dyDescent="0.35">
      <c r="A8" s="134" t="s">
        <v>1299</v>
      </c>
      <c r="B8" s="110" t="s">
        <v>164</v>
      </c>
      <c r="C8" s="194">
        <f>ENERO!G128+ENERO!S128+ENERO!T128</f>
        <v>300</v>
      </c>
      <c r="D8" s="136" t="s">
        <v>243</v>
      </c>
      <c r="E8" s="124">
        <v>45670</v>
      </c>
      <c r="F8" s="194">
        <f>SUM(ENERO!V128:AZ128)</f>
        <v>300</v>
      </c>
      <c r="G8" s="122">
        <f t="shared" si="0"/>
        <v>0</v>
      </c>
      <c r="H8" s="215"/>
    </row>
    <row r="9" spans="1:8" x14ac:dyDescent="0.35">
      <c r="A9" s="134" t="s">
        <v>2810</v>
      </c>
      <c r="B9" s="110" t="s">
        <v>164</v>
      </c>
      <c r="C9" s="194">
        <f>ENERO!G129+ENERO!S129+ENERO!T129</f>
        <v>500</v>
      </c>
      <c r="D9" s="132" t="s">
        <v>2078</v>
      </c>
      <c r="E9" s="124"/>
      <c r="F9" s="194">
        <f>SUM(ENERO!V129:AZ129)</f>
        <v>0</v>
      </c>
      <c r="G9" s="122">
        <f t="shared" si="0"/>
        <v>500</v>
      </c>
      <c r="H9" s="215"/>
    </row>
    <row r="10" spans="1:8" x14ac:dyDescent="0.35">
      <c r="A10" s="350" t="s">
        <v>1963</v>
      </c>
      <c r="B10" s="110" t="s">
        <v>164</v>
      </c>
      <c r="C10" s="194">
        <f>ENERO!G130+ENERO!S130+ENERO!T130</f>
        <v>2150</v>
      </c>
      <c r="D10" s="136" t="s">
        <v>243</v>
      </c>
      <c r="E10" s="124">
        <v>45679</v>
      </c>
      <c r="F10" s="194">
        <f>SUM(ENERO!V130:AZ130)</f>
        <v>2150</v>
      </c>
      <c r="G10" s="122">
        <f t="shared" ref="G10" si="1">C10-F10</f>
        <v>0</v>
      </c>
      <c r="H10" s="215" t="s">
        <v>1965</v>
      </c>
    </row>
    <row r="11" spans="1:8" x14ac:dyDescent="0.35">
      <c r="A11" s="91" t="s">
        <v>1663</v>
      </c>
      <c r="B11" s="110" t="s">
        <v>164</v>
      </c>
      <c r="C11" s="194">
        <f>ENERO!G131+ENERO!S131+ENERO!T131</f>
        <v>250</v>
      </c>
      <c r="D11" s="136" t="s">
        <v>243</v>
      </c>
      <c r="E11" s="124">
        <v>45662</v>
      </c>
      <c r="F11" s="194">
        <f>SUM(ENERO!V131:AZ131)</f>
        <v>500</v>
      </c>
      <c r="G11" s="122">
        <f t="shared" ref="G11" si="2">C11-F11</f>
        <v>-250</v>
      </c>
      <c r="H11" s="215" t="s">
        <v>1970</v>
      </c>
    </row>
    <row r="12" spans="1:8" x14ac:dyDescent="0.35">
      <c r="A12" s="134" t="s">
        <v>1597</v>
      </c>
      <c r="B12" s="110" t="s">
        <v>164</v>
      </c>
      <c r="C12" s="194">
        <f>ENERO!G132+ENERO!S132+ENERO!T132</f>
        <v>348</v>
      </c>
      <c r="D12" s="132" t="s">
        <v>2078</v>
      </c>
      <c r="E12" s="124"/>
      <c r="F12" s="194">
        <f>SUM(ENERO!V132:AZ132)</f>
        <v>0</v>
      </c>
      <c r="G12" s="122">
        <f t="shared" si="0"/>
        <v>348</v>
      </c>
      <c r="H12" s="215" t="s">
        <v>456</v>
      </c>
    </row>
    <row r="13" spans="1:8" x14ac:dyDescent="0.35">
      <c r="A13" s="134" t="s">
        <v>1571</v>
      </c>
      <c r="B13" s="110" t="s">
        <v>164</v>
      </c>
      <c r="C13" s="194">
        <f>ENERO!G133+ENERO!S133+ENERO!T133</f>
        <v>0</v>
      </c>
      <c r="D13" s="136" t="s">
        <v>243</v>
      </c>
      <c r="E13" s="124">
        <v>45658</v>
      </c>
      <c r="F13" s="194">
        <f>SUM(ENERO!V133:AZ133)</f>
        <v>0</v>
      </c>
      <c r="G13" s="122">
        <f t="shared" si="0"/>
        <v>0</v>
      </c>
      <c r="H13" s="215" t="s">
        <v>1776</v>
      </c>
    </row>
    <row r="14" spans="1:8" x14ac:dyDescent="0.35">
      <c r="A14" s="134" t="s">
        <v>1280</v>
      </c>
      <c r="B14" s="110" t="s">
        <v>164</v>
      </c>
      <c r="C14" s="194">
        <f>ENERO!G134+ENERO!S134+ENERO!T134</f>
        <v>250</v>
      </c>
      <c r="D14" s="136" t="s">
        <v>243</v>
      </c>
      <c r="E14" s="124">
        <v>45671</v>
      </c>
      <c r="F14" s="194">
        <f>SUM(ENERO!V134:AZ134)</f>
        <v>250</v>
      </c>
      <c r="G14" s="122">
        <f t="shared" si="0"/>
        <v>0</v>
      </c>
      <c r="H14" s="215"/>
    </row>
    <row r="15" spans="1:8" x14ac:dyDescent="0.35">
      <c r="A15" s="134" t="s">
        <v>1239</v>
      </c>
      <c r="B15" s="110" t="s">
        <v>164</v>
      </c>
      <c r="C15" s="194">
        <f>ENERO!G135+ENERO!S135+ENERO!T135</f>
        <v>1150</v>
      </c>
      <c r="D15" s="136" t="s">
        <v>243</v>
      </c>
      <c r="E15" s="124">
        <v>45664</v>
      </c>
      <c r="F15" s="194">
        <f>SUM(ENERO!V135:AZ135)</f>
        <v>1150</v>
      </c>
      <c r="G15" s="122">
        <f t="shared" si="0"/>
        <v>0</v>
      </c>
      <c r="H15" s="215"/>
    </row>
    <row r="16" spans="1:8" x14ac:dyDescent="0.35">
      <c r="A16" s="134" t="s">
        <v>2069</v>
      </c>
      <c r="B16" s="110" t="s">
        <v>164</v>
      </c>
      <c r="C16" s="194">
        <f>ENERO!G136+ENERO!S136+ENERO!T136</f>
        <v>2150</v>
      </c>
      <c r="D16" s="136" t="s">
        <v>243</v>
      </c>
      <c r="E16" s="124">
        <v>45687</v>
      </c>
      <c r="F16" s="194">
        <f>SUM(ENERO!V136:AZ136)</f>
        <v>2150</v>
      </c>
      <c r="G16" s="122">
        <f t="shared" ref="G16" si="3">C16-F16</f>
        <v>0</v>
      </c>
      <c r="H16" s="215" t="s">
        <v>2071</v>
      </c>
    </row>
    <row r="17" spans="1:8" x14ac:dyDescent="0.35">
      <c r="A17" s="134" t="s">
        <v>871</v>
      </c>
      <c r="B17" s="110" t="s">
        <v>164</v>
      </c>
      <c r="C17" s="194">
        <f>ENERO!G137+ENERO!S137+ENERO!T137</f>
        <v>0</v>
      </c>
      <c r="D17" s="132" t="s">
        <v>456</v>
      </c>
      <c r="E17" s="124">
        <v>45680</v>
      </c>
      <c r="F17" s="194">
        <f>SUM(ENERO!V137:AZ137)</f>
        <v>0</v>
      </c>
      <c r="G17" s="213">
        <f t="shared" si="0"/>
        <v>0</v>
      </c>
      <c r="H17" s="215" t="s">
        <v>1971</v>
      </c>
    </row>
    <row r="18" spans="1:8" x14ac:dyDescent="0.35">
      <c r="A18" s="134" t="s">
        <v>513</v>
      </c>
      <c r="B18" s="110" t="s">
        <v>164</v>
      </c>
      <c r="C18" s="194">
        <f>ENERO!G138+ENERO!S138+ENERO!T138</f>
        <v>2250</v>
      </c>
      <c r="D18" s="132" t="s">
        <v>2078</v>
      </c>
      <c r="E18" s="124"/>
      <c r="F18" s="194">
        <f>SUM(ENERO!V138:AZ138)</f>
        <v>0</v>
      </c>
      <c r="G18" s="122">
        <f t="shared" si="0"/>
        <v>2250</v>
      </c>
      <c r="H18" s="215" t="s">
        <v>456</v>
      </c>
    </row>
    <row r="19" spans="1:8" x14ac:dyDescent="0.35">
      <c r="A19" s="134" t="s">
        <v>1578</v>
      </c>
      <c r="B19" s="110" t="s">
        <v>164</v>
      </c>
      <c r="C19" s="194">
        <f>ENERO!G139+ENERO!S139+ENERO!T139</f>
        <v>348</v>
      </c>
      <c r="D19" s="149" t="s">
        <v>1911</v>
      </c>
      <c r="E19" s="124">
        <v>45663</v>
      </c>
      <c r="F19" s="194">
        <f>SUM(ENERO!V139:AZ139)</f>
        <v>300</v>
      </c>
      <c r="G19" s="122">
        <f t="shared" si="0"/>
        <v>48</v>
      </c>
      <c r="H19" s="215"/>
    </row>
    <row r="20" spans="1:8" x14ac:dyDescent="0.35">
      <c r="A20" s="134" t="s">
        <v>248</v>
      </c>
      <c r="B20" s="110" t="s">
        <v>164</v>
      </c>
      <c r="C20" s="194">
        <f>ENERO!G140+ENERO!S140+ENERO!T140</f>
        <v>600</v>
      </c>
      <c r="D20" s="132" t="s">
        <v>2078</v>
      </c>
      <c r="E20" s="124"/>
      <c r="F20" s="194">
        <f>SUM(ENERO!V140:AZ140)</f>
        <v>0</v>
      </c>
      <c r="G20" s="122">
        <f t="shared" si="0"/>
        <v>600</v>
      </c>
      <c r="H20" s="215"/>
    </row>
    <row r="21" spans="1:8" x14ac:dyDescent="0.35">
      <c r="A21" s="134" t="s">
        <v>1561</v>
      </c>
      <c r="B21" s="110" t="s">
        <v>164</v>
      </c>
      <c r="C21" s="194">
        <f>ENERO!G141+ENERO!S141+ENERO!T141</f>
        <v>247</v>
      </c>
      <c r="D21" s="136" t="s">
        <v>243</v>
      </c>
      <c r="E21" s="124">
        <v>45679</v>
      </c>
      <c r="F21" s="194">
        <f>SUM(ENERO!V141:AZ141)</f>
        <v>600</v>
      </c>
      <c r="G21" s="122">
        <f t="shared" si="0"/>
        <v>-353</v>
      </c>
      <c r="H21" s="215" t="s">
        <v>1970</v>
      </c>
    </row>
    <row r="22" spans="1:8" x14ac:dyDescent="0.35">
      <c r="A22" s="134" t="s">
        <v>254</v>
      </c>
      <c r="B22" s="110" t="s">
        <v>164</v>
      </c>
      <c r="C22" s="194">
        <f>ENERO!G142+ENERO!S142+ENERO!T142</f>
        <v>600</v>
      </c>
      <c r="D22" s="136" t="s">
        <v>243</v>
      </c>
      <c r="E22" s="124">
        <v>45675</v>
      </c>
      <c r="F22" s="194">
        <f>SUM(ENERO!V142:AZ142)</f>
        <v>600</v>
      </c>
      <c r="G22" s="122">
        <f t="shared" si="0"/>
        <v>0</v>
      </c>
      <c r="H22" s="215"/>
    </row>
    <row r="23" spans="1:8" x14ac:dyDescent="0.35">
      <c r="A23" s="134" t="s">
        <v>1389</v>
      </c>
      <c r="B23" s="110" t="s">
        <v>164</v>
      </c>
      <c r="C23" s="194">
        <f>ENERO!G143+ENERO!S143+ENERO!T143</f>
        <v>600</v>
      </c>
      <c r="D23" s="136" t="s">
        <v>243</v>
      </c>
      <c r="E23" s="124">
        <v>45667</v>
      </c>
      <c r="F23" s="194">
        <f>SUM(ENERO!V143:AZ143)</f>
        <v>600</v>
      </c>
      <c r="G23" s="122">
        <f>C23-F23</f>
        <v>0</v>
      </c>
      <c r="H23" s="215"/>
    </row>
    <row r="24" spans="1:8" x14ac:dyDescent="0.35">
      <c r="A24" s="134" t="s">
        <v>255</v>
      </c>
      <c r="B24" s="110" t="s">
        <v>164</v>
      </c>
      <c r="C24" s="194">
        <f>ENERO!G144+ENERO!S144+ENERO!T144</f>
        <v>300</v>
      </c>
      <c r="D24" s="136" t="s">
        <v>243</v>
      </c>
      <c r="E24" s="124">
        <v>45662</v>
      </c>
      <c r="F24" s="194">
        <f>SUM(ENERO!V144:AZ144)</f>
        <v>600</v>
      </c>
      <c r="G24" s="122">
        <f t="shared" ref="G24" si="4">C24-F24</f>
        <v>-300</v>
      </c>
      <c r="H24" s="215" t="s">
        <v>1970</v>
      </c>
    </row>
    <row r="25" spans="1:8" x14ac:dyDescent="0.35">
      <c r="A25" s="134" t="s">
        <v>1461</v>
      </c>
      <c r="B25" s="110" t="s">
        <v>164</v>
      </c>
      <c r="C25" s="194">
        <f>ENERO!G145+ENERO!S145+ENERO!T145</f>
        <v>1800</v>
      </c>
      <c r="D25" s="136" t="s">
        <v>243</v>
      </c>
      <c r="E25" s="124">
        <v>45663</v>
      </c>
      <c r="F25" s="194">
        <f>SUM(ENERO!V145:AZ145)</f>
        <v>1800</v>
      </c>
      <c r="G25" s="122">
        <f>C25-F25</f>
        <v>0</v>
      </c>
      <c r="H25" s="215"/>
    </row>
    <row r="26" spans="1:8" x14ac:dyDescent="0.35">
      <c r="A26" s="134" t="s">
        <v>635</v>
      </c>
      <c r="B26" s="110" t="s">
        <v>164</v>
      </c>
      <c r="C26" s="194">
        <f>ENERO!G146+ENERO!S146+ENERO!T146</f>
        <v>1500</v>
      </c>
      <c r="D26" s="136" t="s">
        <v>243</v>
      </c>
      <c r="E26" s="124">
        <v>45672</v>
      </c>
      <c r="F26" s="194">
        <f>SUM(ENERO!V146:AZ146)</f>
        <v>1500</v>
      </c>
      <c r="G26" s="122">
        <f t="shared" ref="G26" si="5">C26-F26</f>
        <v>0</v>
      </c>
      <c r="H26" s="215"/>
    </row>
    <row r="27" spans="1:8" x14ac:dyDescent="0.35">
      <c r="A27" s="134" t="s">
        <v>1440</v>
      </c>
      <c r="B27" s="110" t="s">
        <v>164</v>
      </c>
      <c r="C27" s="194">
        <f>ENERO!G147+ENERO!S147+ENERO!T147</f>
        <v>300</v>
      </c>
      <c r="D27" s="136" t="s">
        <v>243</v>
      </c>
      <c r="E27" s="124">
        <v>45663</v>
      </c>
      <c r="F27" s="194">
        <f>SUM(ENERO!V147:AZ147)</f>
        <v>300</v>
      </c>
      <c r="G27" s="122">
        <f>C27-F27</f>
        <v>0</v>
      </c>
      <c r="H27" s="215"/>
    </row>
    <row r="28" spans="1:8" x14ac:dyDescent="0.35">
      <c r="A28" s="134" t="s">
        <v>105</v>
      </c>
      <c r="B28" s="110" t="s">
        <v>164</v>
      </c>
      <c r="C28" s="194">
        <f>ENERO!G148+ENERO!S148+ENERO!T148</f>
        <v>891</v>
      </c>
      <c r="D28" s="136" t="s">
        <v>243</v>
      </c>
      <c r="E28" s="124">
        <v>45660</v>
      </c>
      <c r="F28" s="194">
        <f>SUM(ENERO!V148:AZ148)</f>
        <v>891</v>
      </c>
      <c r="G28" s="122">
        <f t="shared" ref="G28:G62" si="6">C28-F28</f>
        <v>0</v>
      </c>
      <c r="H28" s="215"/>
    </row>
    <row r="29" spans="1:8" x14ac:dyDescent="0.35">
      <c r="A29" s="134" t="s">
        <v>256</v>
      </c>
      <c r="B29" s="110" t="s">
        <v>164</v>
      </c>
      <c r="C29" s="194">
        <f>ENERO!G149+ENERO!S149+ENERO!T149</f>
        <v>1020</v>
      </c>
      <c r="D29" s="136" t="s">
        <v>243</v>
      </c>
      <c r="E29" s="124">
        <v>45684</v>
      </c>
      <c r="F29" s="194">
        <f>SUM(ENERO!V149:AZ149)</f>
        <v>1020</v>
      </c>
      <c r="G29" s="122">
        <f t="shared" si="6"/>
        <v>0</v>
      </c>
      <c r="H29" s="215" t="s">
        <v>1969</v>
      </c>
    </row>
    <row r="30" spans="1:8" x14ac:dyDescent="0.35">
      <c r="A30" s="134" t="s">
        <v>359</v>
      </c>
      <c r="B30" s="110" t="s">
        <v>164</v>
      </c>
      <c r="C30" s="194">
        <f>ENERO!G150+ENERO!S150+ENERO!T150</f>
        <v>913</v>
      </c>
      <c r="D30" s="136" t="s">
        <v>243</v>
      </c>
      <c r="E30" s="124">
        <v>45686</v>
      </c>
      <c r="F30" s="194">
        <f>SUM(ENERO!V150:AZ150)</f>
        <v>913</v>
      </c>
      <c r="G30" s="122">
        <f t="shared" si="6"/>
        <v>0</v>
      </c>
      <c r="H30" s="215" t="s">
        <v>1795</v>
      </c>
    </row>
    <row r="31" spans="1:8" x14ac:dyDescent="0.35">
      <c r="A31" s="134" t="s">
        <v>34</v>
      </c>
      <c r="B31" s="110" t="s">
        <v>164</v>
      </c>
      <c r="C31" s="194">
        <f>ENERO!G151+ENERO!S151+ENERO!T151</f>
        <v>869.99560000000019</v>
      </c>
      <c r="D31" s="149" t="s">
        <v>1911</v>
      </c>
      <c r="E31" s="124">
        <v>45664</v>
      </c>
      <c r="F31" s="194">
        <f>SUM(ENERO!V151:AZ151)</f>
        <v>600</v>
      </c>
      <c r="G31" s="122">
        <f t="shared" si="6"/>
        <v>269.99560000000019</v>
      </c>
      <c r="H31" s="215"/>
    </row>
    <row r="32" spans="1:8" x14ac:dyDescent="0.35">
      <c r="A32" s="134" t="s">
        <v>1385</v>
      </c>
      <c r="B32" s="110" t="s">
        <v>164</v>
      </c>
      <c r="C32" s="194">
        <f>ENERO!G152+ENERO!S152+ENERO!T152</f>
        <v>299</v>
      </c>
      <c r="D32" s="136" t="s">
        <v>243</v>
      </c>
      <c r="E32" s="124">
        <v>45663</v>
      </c>
      <c r="F32" s="194">
        <f>SUM(ENERO!V152:AZ152)</f>
        <v>300</v>
      </c>
      <c r="G32" s="122">
        <f t="shared" si="6"/>
        <v>-1</v>
      </c>
      <c r="H32" s="215"/>
    </row>
    <row r="33" spans="1:9" x14ac:dyDescent="0.35">
      <c r="A33" s="134" t="s">
        <v>1625</v>
      </c>
      <c r="B33" s="110" t="s">
        <v>164</v>
      </c>
      <c r="C33" s="194">
        <f>ENERO!G153+ENERO!S153+ENERO!T153</f>
        <v>300</v>
      </c>
      <c r="D33" s="136" t="s">
        <v>243</v>
      </c>
      <c r="E33" s="124">
        <v>45663</v>
      </c>
      <c r="F33" s="194">
        <f>SUM(ENERO!V153:AZ153)</f>
        <v>600</v>
      </c>
      <c r="G33" s="122">
        <f t="shared" si="6"/>
        <v>-300</v>
      </c>
      <c r="H33" s="215" t="s">
        <v>1970</v>
      </c>
    </row>
    <row r="34" spans="1:9" x14ac:dyDescent="0.35">
      <c r="A34" s="134" t="s">
        <v>894</v>
      </c>
      <c r="B34" s="110" t="s">
        <v>164</v>
      </c>
      <c r="C34" s="194">
        <f>ENERO!G154+ENERO!S154+ENERO!T154</f>
        <v>900</v>
      </c>
      <c r="D34" s="132" t="s">
        <v>2078</v>
      </c>
      <c r="E34" s="124"/>
      <c r="F34" s="194">
        <f>SUM(ENERO!V154:AZ154)</f>
        <v>0</v>
      </c>
      <c r="G34" s="122">
        <f t="shared" si="6"/>
        <v>900</v>
      </c>
      <c r="H34" s="215"/>
    </row>
    <row r="35" spans="1:9" x14ac:dyDescent="0.35">
      <c r="A35" s="134" t="s">
        <v>110</v>
      </c>
      <c r="B35" s="110" t="s">
        <v>164</v>
      </c>
      <c r="C35" s="194">
        <f>ENERO!G155+ENERO!S155+ENERO!T155</f>
        <v>280</v>
      </c>
      <c r="D35" s="136" t="s">
        <v>243</v>
      </c>
      <c r="E35" s="124">
        <v>45670</v>
      </c>
      <c r="F35" s="194">
        <f>SUM(ENERO!V155:AZ155)</f>
        <v>280</v>
      </c>
      <c r="G35" s="122">
        <f t="shared" si="6"/>
        <v>0</v>
      </c>
      <c r="H35" s="215"/>
      <c r="I35" s="212" t="s">
        <v>617</v>
      </c>
    </row>
    <row r="36" spans="1:9" x14ac:dyDescent="0.35">
      <c r="A36" s="134" t="s">
        <v>1696</v>
      </c>
      <c r="B36" s="110" t="s">
        <v>164</v>
      </c>
      <c r="C36" s="194">
        <f>ENERO!G156+ENERO!S156+ENERO!T156</f>
        <v>0</v>
      </c>
      <c r="D36" s="136" t="s">
        <v>243</v>
      </c>
      <c r="E36" s="124">
        <v>45652</v>
      </c>
      <c r="F36" s="194">
        <f>SUM(ENERO!V156:AZ156)</f>
        <v>0</v>
      </c>
      <c r="G36" s="122">
        <f t="shared" ref="G36" si="7">C36-F36</f>
        <v>0</v>
      </c>
      <c r="H36" s="215" t="s">
        <v>1796</v>
      </c>
      <c r="I36" s="212"/>
    </row>
    <row r="37" spans="1:9" x14ac:dyDescent="0.35">
      <c r="A37" s="134" t="s">
        <v>785</v>
      </c>
      <c r="B37" s="110" t="s">
        <v>164</v>
      </c>
      <c r="C37" s="194">
        <f>ENERO!G157+ENERO!S157+ENERO!T157</f>
        <v>-25.600000000000023</v>
      </c>
      <c r="D37" s="136" t="s">
        <v>243</v>
      </c>
      <c r="E37" s="124">
        <v>45616</v>
      </c>
      <c r="F37" s="194">
        <f>SUM(ENERO!V157:AZ157)</f>
        <v>0</v>
      </c>
      <c r="G37" s="122">
        <f t="shared" si="6"/>
        <v>-25.600000000000023</v>
      </c>
      <c r="H37" s="215" t="s">
        <v>1650</v>
      </c>
      <c r="I37" s="1"/>
    </row>
    <row r="38" spans="1:9" x14ac:dyDescent="0.35">
      <c r="A38" s="134" t="s">
        <v>1110</v>
      </c>
      <c r="B38" s="110" t="s">
        <v>164</v>
      </c>
      <c r="C38" s="194">
        <f>ENERO!G158+ENERO!S158+ENERO!T158</f>
        <v>1392</v>
      </c>
      <c r="D38" s="132" t="s">
        <v>2078</v>
      </c>
      <c r="E38" s="124"/>
      <c r="F38" s="194">
        <f>SUM(ENERO!V158:AZ158)</f>
        <v>0</v>
      </c>
      <c r="G38" s="122">
        <f t="shared" si="6"/>
        <v>1392</v>
      </c>
      <c r="H38" s="215"/>
      <c r="I38" s="1"/>
    </row>
    <row r="39" spans="1:9" x14ac:dyDescent="0.35">
      <c r="A39" s="134" t="s">
        <v>1397</v>
      </c>
      <c r="B39" s="110" t="s">
        <v>164</v>
      </c>
      <c r="C39" s="194">
        <f>ENERO!G159+ENERO!S159+ENERO!T159</f>
        <v>300</v>
      </c>
      <c r="D39" s="136" t="s">
        <v>243</v>
      </c>
      <c r="E39" s="124">
        <v>45677</v>
      </c>
      <c r="F39" s="194">
        <f>SUM(ENERO!V159:AZ159)</f>
        <v>300</v>
      </c>
      <c r="G39" s="122">
        <f t="shared" si="6"/>
        <v>0</v>
      </c>
      <c r="H39" s="215"/>
      <c r="I39" s="1"/>
    </row>
    <row r="40" spans="1:9" x14ac:dyDescent="0.35">
      <c r="A40" s="134" t="s">
        <v>951</v>
      </c>
      <c r="B40" s="110" t="s">
        <v>164</v>
      </c>
      <c r="C40" s="194">
        <f>ENERO!G160+ENERO!S160+ENERO!T160</f>
        <v>0</v>
      </c>
      <c r="D40" s="136" t="s">
        <v>243</v>
      </c>
      <c r="E40" s="124">
        <v>45540</v>
      </c>
      <c r="F40" s="194">
        <f>SUM(ENERO!V160:AZ160)</f>
        <v>0</v>
      </c>
      <c r="G40" s="122">
        <f t="shared" si="6"/>
        <v>0</v>
      </c>
      <c r="H40" s="215" t="s">
        <v>1348</v>
      </c>
      <c r="I40" s="1"/>
    </row>
    <row r="41" spans="1:9" x14ac:dyDescent="0.35">
      <c r="A41" s="134" t="s">
        <v>1257</v>
      </c>
      <c r="B41" s="110" t="s">
        <v>164</v>
      </c>
      <c r="C41" s="194">
        <f>ENERO!G161+ENERO!S161+ENERO!T161</f>
        <v>0</v>
      </c>
      <c r="D41" s="132" t="s">
        <v>456</v>
      </c>
      <c r="E41" s="124">
        <v>45671</v>
      </c>
      <c r="F41" s="194">
        <f>SUM(ENERO!V161:AZ161)</f>
        <v>0</v>
      </c>
      <c r="G41" s="122">
        <f t="shared" si="6"/>
        <v>0</v>
      </c>
      <c r="H41" s="215" t="s">
        <v>1949</v>
      </c>
      <c r="I41" s="1"/>
    </row>
    <row r="42" spans="1:9" x14ac:dyDescent="0.35">
      <c r="A42" s="134" t="s">
        <v>249</v>
      </c>
      <c r="B42" s="110" t="s">
        <v>164</v>
      </c>
      <c r="C42" s="194">
        <f>ENERO!G162+ENERO!S162+ENERO!T162</f>
        <v>14250</v>
      </c>
      <c r="D42" s="149" t="s">
        <v>1911</v>
      </c>
      <c r="E42" s="124">
        <v>45684</v>
      </c>
      <c r="F42" s="194">
        <f>SUM(ENERO!V162:AZ162)</f>
        <v>1050</v>
      </c>
      <c r="G42" s="122">
        <f t="shared" si="6"/>
        <v>13200</v>
      </c>
      <c r="H42" s="215"/>
    </row>
    <row r="43" spans="1:9" x14ac:dyDescent="0.35">
      <c r="A43" s="134" t="s">
        <v>679</v>
      </c>
      <c r="B43" s="110" t="s">
        <v>164</v>
      </c>
      <c r="C43" s="194">
        <f>ENERO!G163+ENERO!S163+ENERO!T163</f>
        <v>999</v>
      </c>
      <c r="D43" s="136" t="s">
        <v>243</v>
      </c>
      <c r="E43" s="124">
        <v>45664</v>
      </c>
      <c r="F43" s="194">
        <f>SUM(ENERO!V163:AZ163)</f>
        <v>1000</v>
      </c>
      <c r="G43" s="122">
        <f t="shared" si="6"/>
        <v>-1</v>
      </c>
      <c r="H43" s="215"/>
    </row>
    <row r="44" spans="1:9" x14ac:dyDescent="0.35">
      <c r="A44" s="134" t="s">
        <v>1367</v>
      </c>
      <c r="B44" s="110" t="s">
        <v>164</v>
      </c>
      <c r="C44" s="194">
        <f>ENERO!G164+ENERO!S164+ENERO!T164</f>
        <v>189</v>
      </c>
      <c r="D44" s="136" t="s">
        <v>243</v>
      </c>
      <c r="E44" s="124">
        <v>45667</v>
      </c>
      <c r="F44" s="194">
        <f>SUM(ENERO!V164:AZ164)</f>
        <v>300</v>
      </c>
      <c r="G44" s="122">
        <f t="shared" si="6"/>
        <v>-111</v>
      </c>
      <c r="H44" s="215"/>
    </row>
    <row r="45" spans="1:9" x14ac:dyDescent="0.35">
      <c r="A45" s="134" t="s">
        <v>908</v>
      </c>
      <c r="B45" s="110" t="s">
        <v>164</v>
      </c>
      <c r="C45" s="194">
        <f>ENERO!G165+ENERO!S165+ENERO!T165</f>
        <v>500</v>
      </c>
      <c r="D45" s="136" t="s">
        <v>243</v>
      </c>
      <c r="E45" s="124">
        <v>45674</v>
      </c>
      <c r="F45" s="194">
        <f>SUM(ENERO!V165:AZ165)</f>
        <v>500</v>
      </c>
      <c r="G45" s="122">
        <f t="shared" si="6"/>
        <v>0</v>
      </c>
      <c r="H45" s="215"/>
    </row>
    <row r="46" spans="1:9" x14ac:dyDescent="0.35">
      <c r="A46" s="134" t="s">
        <v>1642</v>
      </c>
      <c r="B46" s="110" t="s">
        <v>164</v>
      </c>
      <c r="C46" s="194">
        <f>ENERO!G166+ENERO!S166+ENERO!T166</f>
        <v>300</v>
      </c>
      <c r="D46" s="136" t="s">
        <v>243</v>
      </c>
      <c r="E46" s="124">
        <v>45660</v>
      </c>
      <c r="F46" s="194">
        <f>SUM(ENERO!V166:AZ166)</f>
        <v>300</v>
      </c>
      <c r="G46" s="122">
        <f t="shared" si="6"/>
        <v>0</v>
      </c>
      <c r="H46" s="215"/>
    </row>
    <row r="47" spans="1:9" x14ac:dyDescent="0.35">
      <c r="A47" s="134" t="s">
        <v>1485</v>
      </c>
      <c r="B47" s="110" t="s">
        <v>164</v>
      </c>
      <c r="C47" s="194">
        <f>ENERO!G167+ENERO!S167+ENERO!T167</f>
        <v>248</v>
      </c>
      <c r="D47" s="136" t="s">
        <v>243</v>
      </c>
      <c r="E47" s="124">
        <v>45664</v>
      </c>
      <c r="F47" s="194">
        <f>SUM(ENERO!V167:AZ167)</f>
        <v>498</v>
      </c>
      <c r="G47" s="122">
        <f t="shared" si="6"/>
        <v>-250</v>
      </c>
      <c r="H47" s="215"/>
    </row>
    <row r="48" spans="1:9" x14ac:dyDescent="0.35">
      <c r="A48" s="350" t="s">
        <v>1633</v>
      </c>
      <c r="B48" s="110" t="s">
        <v>164</v>
      </c>
      <c r="C48" s="194">
        <f>ENERO!G168+ENERO!S168+ENERO!T168</f>
        <v>300</v>
      </c>
      <c r="D48" s="136" t="s">
        <v>243</v>
      </c>
      <c r="E48" s="124">
        <v>45672</v>
      </c>
      <c r="F48" s="194">
        <f>SUM(ENERO!V168:AZ168)</f>
        <v>300</v>
      </c>
      <c r="G48" s="122">
        <f t="shared" si="6"/>
        <v>0</v>
      </c>
      <c r="H48" s="215"/>
    </row>
    <row r="49" spans="1:9" x14ac:dyDescent="0.35">
      <c r="A49" s="91" t="s">
        <v>1906</v>
      </c>
      <c r="B49" s="110" t="s">
        <v>164</v>
      </c>
      <c r="C49" s="194">
        <f>ENERO!G169+ENERO!S169+ENERO!T169</f>
        <v>2610</v>
      </c>
      <c r="D49" s="136" t="s">
        <v>243</v>
      </c>
      <c r="E49" s="124">
        <v>45667</v>
      </c>
      <c r="F49" s="194">
        <f>SUM(ENERO!V169:AZ169)</f>
        <v>2610</v>
      </c>
      <c r="G49" s="122">
        <f t="shared" ref="G49" si="8">C49-F49</f>
        <v>0</v>
      </c>
      <c r="H49" s="215" t="s">
        <v>1908</v>
      </c>
    </row>
    <row r="50" spans="1:9" ht="17.25" customHeight="1" x14ac:dyDescent="0.35">
      <c r="A50" s="218" t="s">
        <v>294</v>
      </c>
      <c r="B50" s="110" t="s">
        <v>164</v>
      </c>
      <c r="C50" s="194">
        <f>ENERO!G170+ENERO!S170+ENERO!T170</f>
        <v>250</v>
      </c>
      <c r="D50" s="136" t="s">
        <v>243</v>
      </c>
      <c r="E50" s="124">
        <v>45677</v>
      </c>
      <c r="F50" s="194">
        <f>SUM(ENERO!V170:AZ170)</f>
        <v>250</v>
      </c>
      <c r="G50" s="122">
        <f t="shared" si="6"/>
        <v>0</v>
      </c>
      <c r="H50" s="215"/>
    </row>
    <row r="51" spans="1:9" x14ac:dyDescent="0.35">
      <c r="A51" s="218" t="s">
        <v>1584</v>
      </c>
      <c r="B51" s="110" t="s">
        <v>164</v>
      </c>
      <c r="C51" s="194">
        <f>ENERO!G171+ENERO!S171+ENERO!T171</f>
        <v>300</v>
      </c>
      <c r="D51" s="136" t="s">
        <v>243</v>
      </c>
      <c r="E51" s="124">
        <v>45662</v>
      </c>
      <c r="F51" s="194">
        <f>SUM(ENERO!V171:AZ171)</f>
        <v>300</v>
      </c>
      <c r="G51" s="122">
        <f t="shared" si="6"/>
        <v>0</v>
      </c>
      <c r="H51" s="215"/>
    </row>
    <row r="52" spans="1:9" x14ac:dyDescent="0.35">
      <c r="A52" s="134" t="s">
        <v>457</v>
      </c>
      <c r="B52" s="110" t="s">
        <v>164</v>
      </c>
      <c r="C52" s="194">
        <f>ENERO!G172+ENERO!S172+ENERO!T172</f>
        <v>561.74560000000019</v>
      </c>
      <c r="D52" s="132" t="s">
        <v>2078</v>
      </c>
      <c r="E52" s="124"/>
      <c r="F52" s="194">
        <f>SUM(ENERO!V172:AZ172)</f>
        <v>0</v>
      </c>
      <c r="G52" s="122">
        <f t="shared" si="6"/>
        <v>561.74560000000019</v>
      </c>
      <c r="H52" s="215" t="s">
        <v>1797</v>
      </c>
    </row>
    <row r="53" spans="1:9" x14ac:dyDescent="0.35">
      <c r="A53" s="134" t="s">
        <v>1593</v>
      </c>
      <c r="B53" s="110" t="s">
        <v>164</v>
      </c>
      <c r="C53" s="194">
        <f>ENERO!G173+ENERO!S173+ENERO!T173</f>
        <v>696</v>
      </c>
      <c r="D53" s="136" t="s">
        <v>243</v>
      </c>
      <c r="E53" s="124">
        <v>45662</v>
      </c>
      <c r="F53" s="194">
        <f>SUM(ENERO!V173:AZ173)</f>
        <v>696</v>
      </c>
      <c r="G53" s="122">
        <f t="shared" si="6"/>
        <v>0</v>
      </c>
      <c r="H53" s="215"/>
    </row>
    <row r="54" spans="1:9" x14ac:dyDescent="0.35">
      <c r="A54" s="134" t="s">
        <v>288</v>
      </c>
      <c r="B54" s="110" t="s">
        <v>164</v>
      </c>
      <c r="C54" s="194">
        <f>ENERO!G174+ENERO!S174+ENERO!T174</f>
        <v>1450</v>
      </c>
      <c r="D54" s="136" t="s">
        <v>243</v>
      </c>
      <c r="E54" s="124">
        <v>45664</v>
      </c>
      <c r="F54" s="194">
        <f>SUM(ENERO!V174:AZ174)</f>
        <v>1500</v>
      </c>
      <c r="G54" s="122">
        <f t="shared" si="6"/>
        <v>-50</v>
      </c>
      <c r="H54" s="215" t="s">
        <v>1910</v>
      </c>
    </row>
    <row r="55" spans="1:9" x14ac:dyDescent="0.35">
      <c r="A55" s="134" t="s">
        <v>1356</v>
      </c>
      <c r="B55" s="110" t="s">
        <v>164</v>
      </c>
      <c r="C55" s="194">
        <f>ENERO!G175+ENERO!S175+ENERO!T175</f>
        <v>250</v>
      </c>
      <c r="D55" s="136" t="s">
        <v>243</v>
      </c>
      <c r="E55" s="124">
        <v>45669</v>
      </c>
      <c r="F55" s="194">
        <f>SUM(ENERO!V175:AZ175)</f>
        <v>250</v>
      </c>
      <c r="G55" s="122">
        <f t="shared" si="6"/>
        <v>0</v>
      </c>
      <c r="H55" s="215"/>
    </row>
    <row r="56" spans="1:9" x14ac:dyDescent="0.35">
      <c r="A56" s="134" t="s">
        <v>736</v>
      </c>
      <c r="B56" s="110" t="s">
        <v>164</v>
      </c>
      <c r="C56" s="194">
        <f>ENERO!G176+ENERO!S176+ENERO!T176</f>
        <v>0</v>
      </c>
      <c r="D56" s="132" t="s">
        <v>456</v>
      </c>
      <c r="E56" s="124"/>
      <c r="F56" s="194">
        <f>SUM(ENERO!V176:AZ176)</f>
        <v>0</v>
      </c>
      <c r="G56" s="122">
        <f t="shared" si="6"/>
        <v>0</v>
      </c>
      <c r="H56" s="215"/>
    </row>
    <row r="57" spans="1:9" x14ac:dyDescent="0.35">
      <c r="A57" s="134" t="s">
        <v>1422</v>
      </c>
      <c r="B57" s="110" t="s">
        <v>164</v>
      </c>
      <c r="C57" s="194">
        <f>ENERO!G177+ENERO!S177+ENERO!T177</f>
        <v>300</v>
      </c>
      <c r="D57" s="136" t="s">
        <v>243</v>
      </c>
      <c r="E57" s="124">
        <v>45663</v>
      </c>
      <c r="F57" s="194">
        <f>SUM(ENERO!V177:AZ177)</f>
        <v>300</v>
      </c>
      <c r="G57" s="122">
        <f t="shared" si="6"/>
        <v>0</v>
      </c>
      <c r="H57" s="215"/>
    </row>
    <row r="58" spans="1:9" x14ac:dyDescent="0.35">
      <c r="A58" s="134" t="s">
        <v>118</v>
      </c>
      <c r="B58" s="110" t="s">
        <v>164</v>
      </c>
      <c r="C58" s="194">
        <f>ENERO!G178+ENERO!S178+ENERO!T178</f>
        <v>496.65999999999985</v>
      </c>
      <c r="D58" s="136" t="s">
        <v>243</v>
      </c>
      <c r="E58" s="124">
        <v>45677</v>
      </c>
      <c r="F58" s="194">
        <f>SUM(ENERO!V178:AZ178)</f>
        <v>500</v>
      </c>
      <c r="G58" s="122">
        <f t="shared" si="6"/>
        <v>-3.3400000000001455</v>
      </c>
      <c r="H58" s="215"/>
    </row>
    <row r="59" spans="1:9" x14ac:dyDescent="0.35">
      <c r="A59" s="134" t="s">
        <v>1242</v>
      </c>
      <c r="B59" s="110" t="s">
        <v>164</v>
      </c>
      <c r="C59" s="194">
        <f>ENERO!G179+ENERO!S179+ENERO!T179</f>
        <v>250</v>
      </c>
      <c r="D59" s="136" t="s">
        <v>243</v>
      </c>
      <c r="E59" s="124">
        <v>45666</v>
      </c>
      <c r="F59" s="194">
        <f>SUM(ENERO!V179:AZ179)</f>
        <v>250</v>
      </c>
      <c r="G59" s="122">
        <f t="shared" si="6"/>
        <v>0</v>
      </c>
      <c r="H59" s="215"/>
      <c r="I59" s="1"/>
    </row>
    <row r="60" spans="1:9" x14ac:dyDescent="0.35">
      <c r="A60" s="134" t="s">
        <v>1289</v>
      </c>
      <c r="B60" s="110" t="s">
        <v>164</v>
      </c>
      <c r="C60" s="194">
        <f>ENERO!G180+ENERO!S180+ENERO!T180</f>
        <v>250</v>
      </c>
      <c r="D60" s="136" t="s">
        <v>243</v>
      </c>
      <c r="E60" s="124">
        <v>45670</v>
      </c>
      <c r="F60" s="194">
        <f>SUM(ENERO!V180:AZ180)</f>
        <v>250</v>
      </c>
      <c r="G60" s="122">
        <f t="shared" si="6"/>
        <v>0</v>
      </c>
      <c r="H60" s="215"/>
      <c r="I60" s="1"/>
    </row>
    <row r="61" spans="1:9" x14ac:dyDescent="0.35">
      <c r="A61" s="134" t="s">
        <v>954</v>
      </c>
      <c r="B61" s="110" t="s">
        <v>164</v>
      </c>
      <c r="C61" s="194">
        <f>ENERO!G181+ENERO!S181+ENERO!T181</f>
        <v>2379</v>
      </c>
      <c r="D61" s="136" t="s">
        <v>243</v>
      </c>
      <c r="E61" s="124">
        <v>45668</v>
      </c>
      <c r="F61" s="194">
        <f>SUM(ENERO!V181:AZ181)</f>
        <v>2379</v>
      </c>
      <c r="G61" s="122">
        <f t="shared" si="6"/>
        <v>0</v>
      </c>
      <c r="H61" s="215" t="s">
        <v>1789</v>
      </c>
      <c r="I61" s="1"/>
    </row>
    <row r="62" spans="1:9" x14ac:dyDescent="0.35">
      <c r="A62" s="134" t="s">
        <v>1294</v>
      </c>
      <c r="B62" s="110" t="s">
        <v>164</v>
      </c>
      <c r="C62" s="194">
        <f>ENERO!G182+ENERO!S182+ENERO!T182</f>
        <v>2650</v>
      </c>
      <c r="D62" s="136" t="s">
        <v>243</v>
      </c>
      <c r="E62" s="124">
        <v>45677</v>
      </c>
      <c r="F62" s="194">
        <f>SUM(ENERO!V182:AZ182)</f>
        <v>2650</v>
      </c>
      <c r="G62" s="122">
        <f t="shared" si="6"/>
        <v>0</v>
      </c>
      <c r="H62" s="215" t="s">
        <v>2056</v>
      </c>
    </row>
    <row r="63" spans="1:9" x14ac:dyDescent="0.35">
      <c r="A63" s="134" t="s">
        <v>1377</v>
      </c>
      <c r="B63" s="110" t="s">
        <v>164</v>
      </c>
      <c r="C63" s="194">
        <f>ENERO!G183+ENERO!S183+ENERO!T183</f>
        <v>696</v>
      </c>
      <c r="D63" s="136" t="s">
        <v>243</v>
      </c>
      <c r="E63" s="124">
        <v>45677</v>
      </c>
      <c r="F63" s="194">
        <f>SUM(ENERO!V183:AZ183)</f>
        <v>696</v>
      </c>
      <c r="G63" s="122">
        <f>C63-F63</f>
        <v>0</v>
      </c>
      <c r="H63" s="215"/>
    </row>
    <row r="64" spans="1:9" x14ac:dyDescent="0.35">
      <c r="A64" s="134" t="s">
        <v>1250</v>
      </c>
      <c r="B64" s="110" t="s">
        <v>164</v>
      </c>
      <c r="C64" s="194">
        <f>ENERO!G184+ENERO!S184+ENERO!T184</f>
        <v>3050</v>
      </c>
      <c r="D64" s="132" t="s">
        <v>2078</v>
      </c>
      <c r="E64" s="124"/>
      <c r="F64" s="194">
        <f>SUM(ENERO!V184:AZ184)</f>
        <v>0</v>
      </c>
      <c r="G64" s="122">
        <f t="shared" ref="G64:G75" si="9">C64-F64</f>
        <v>3050</v>
      </c>
      <c r="H64" s="215"/>
      <c r="I64" s="212" t="s">
        <v>617</v>
      </c>
    </row>
    <row r="65" spans="1:9" x14ac:dyDescent="0.35">
      <c r="A65" s="134" t="s">
        <v>1566</v>
      </c>
      <c r="B65" s="110" t="s">
        <v>164</v>
      </c>
      <c r="C65" s="194">
        <f>ENERO!G185+ENERO!S185+ENERO!T185</f>
        <v>300</v>
      </c>
      <c r="D65" s="136" t="s">
        <v>243</v>
      </c>
      <c r="E65" s="124">
        <v>45663</v>
      </c>
      <c r="F65" s="194">
        <f>SUM(ENERO!V185:AZ185)</f>
        <v>300</v>
      </c>
      <c r="G65" s="122">
        <f t="shared" si="9"/>
        <v>0</v>
      </c>
      <c r="H65" s="215"/>
      <c r="I65" s="331"/>
    </row>
    <row r="66" spans="1:9" x14ac:dyDescent="0.35">
      <c r="A66" s="134" t="s">
        <v>922</v>
      </c>
      <c r="B66" s="110" t="s">
        <v>164</v>
      </c>
      <c r="C66" s="194">
        <f>ENERO!G186+ENERO!S186+ENERO!T186</f>
        <v>1550</v>
      </c>
      <c r="D66" s="136" t="s">
        <v>243</v>
      </c>
      <c r="E66" s="124">
        <v>45660</v>
      </c>
      <c r="F66" s="194">
        <f>SUM(ENERO!V186:AZ186)</f>
        <v>1550</v>
      </c>
      <c r="G66" s="122">
        <f t="shared" ref="G66" si="10">C66-F66</f>
        <v>0</v>
      </c>
      <c r="H66" s="215"/>
      <c r="I66" s="331"/>
    </row>
    <row r="67" spans="1:9" x14ac:dyDescent="0.35">
      <c r="A67" s="134" t="s">
        <v>257</v>
      </c>
      <c r="B67" s="110" t="s">
        <v>164</v>
      </c>
      <c r="C67" s="194">
        <f>ENERO!G187+ENERO!S187+ENERO!T187</f>
        <v>250</v>
      </c>
      <c r="D67" s="136" t="s">
        <v>243</v>
      </c>
      <c r="E67" s="124">
        <v>45672</v>
      </c>
      <c r="F67" s="194">
        <f>SUM(ENERO!V187:AZ187)</f>
        <v>250</v>
      </c>
      <c r="G67" s="122">
        <f t="shared" si="9"/>
        <v>0</v>
      </c>
      <c r="H67" s="362"/>
    </row>
    <row r="68" spans="1:9" x14ac:dyDescent="0.35">
      <c r="A68" s="134" t="s">
        <v>1056</v>
      </c>
      <c r="B68" s="110" t="s">
        <v>164</v>
      </c>
      <c r="C68" s="194">
        <f>ENERO!G188+ENERO!S188+ENERO!T188</f>
        <v>300</v>
      </c>
      <c r="D68" s="136" t="s">
        <v>243</v>
      </c>
      <c r="E68" s="124">
        <v>45674</v>
      </c>
      <c r="F68" s="194">
        <f>SUM(ENERO!V188:AZ188)</f>
        <v>300</v>
      </c>
      <c r="G68" s="122">
        <f t="shared" si="9"/>
        <v>0</v>
      </c>
      <c r="H68" s="362"/>
    </row>
    <row r="69" spans="1:9" x14ac:dyDescent="0.35">
      <c r="A69" s="134" t="s">
        <v>1609</v>
      </c>
      <c r="B69" s="110" t="s">
        <v>164</v>
      </c>
      <c r="C69" s="194">
        <f>ENERO!G189+ENERO!S189+ENERO!T189</f>
        <v>1044</v>
      </c>
      <c r="D69" s="136" t="s">
        <v>243</v>
      </c>
      <c r="E69" s="124">
        <v>45664</v>
      </c>
      <c r="F69" s="194">
        <f>SUM(ENERO!V189:AZ189)</f>
        <v>1044</v>
      </c>
      <c r="G69" s="122">
        <f t="shared" si="9"/>
        <v>0</v>
      </c>
      <c r="H69" s="362"/>
    </row>
    <row r="70" spans="1:9" x14ac:dyDescent="0.35">
      <c r="A70" s="134" t="s">
        <v>945</v>
      </c>
      <c r="B70" s="110" t="s">
        <v>164</v>
      </c>
      <c r="C70" s="194">
        <f>ENERO!G190+ENERO!S190+ENERO!T190</f>
        <v>299</v>
      </c>
      <c r="D70" s="132" t="s">
        <v>2078</v>
      </c>
      <c r="E70" s="124"/>
      <c r="F70" s="194">
        <f>SUM(ENERO!V190:AZ190)</f>
        <v>0</v>
      </c>
      <c r="G70" s="122">
        <f t="shared" si="9"/>
        <v>299</v>
      </c>
      <c r="H70" s="362"/>
    </row>
    <row r="71" spans="1:9" x14ac:dyDescent="0.35">
      <c r="A71" s="134" t="s">
        <v>1660</v>
      </c>
      <c r="B71" s="110" t="s">
        <v>164</v>
      </c>
      <c r="C71" s="194">
        <f>ENERO!G191+ENERO!S191+ENERO!T191</f>
        <v>300</v>
      </c>
      <c r="D71" s="136" t="s">
        <v>243</v>
      </c>
      <c r="E71" s="124">
        <v>45663</v>
      </c>
      <c r="F71" s="194">
        <f>SUM(ENERO!V191:AZ191)</f>
        <v>300</v>
      </c>
      <c r="G71" s="122">
        <f t="shared" si="9"/>
        <v>0</v>
      </c>
      <c r="H71" s="362"/>
    </row>
    <row r="72" spans="1:9" x14ac:dyDescent="0.35">
      <c r="A72" s="134" t="s">
        <v>258</v>
      </c>
      <c r="B72" s="110" t="s">
        <v>164</v>
      </c>
      <c r="C72" s="194">
        <f>ENERO!G192+ENERO!S192+ENERO!T192</f>
        <v>350</v>
      </c>
      <c r="D72" s="136" t="s">
        <v>243</v>
      </c>
      <c r="E72" s="124">
        <v>45663</v>
      </c>
      <c r="F72" s="194">
        <f>SUM(ENERO!V192:AZ192)</f>
        <v>700</v>
      </c>
      <c r="G72" s="122">
        <f t="shared" si="9"/>
        <v>-350</v>
      </c>
      <c r="H72" s="215" t="s">
        <v>1970</v>
      </c>
    </row>
    <row r="73" spans="1:9" x14ac:dyDescent="0.35">
      <c r="A73" s="91" t="s">
        <v>863</v>
      </c>
      <c r="B73" s="110" t="s">
        <v>164</v>
      </c>
      <c r="C73" s="194">
        <f>ENERO!G193+ENERO!S193+ENERO!T193</f>
        <v>498</v>
      </c>
      <c r="D73" s="136" t="s">
        <v>243</v>
      </c>
      <c r="E73" s="124">
        <v>45664</v>
      </c>
      <c r="F73" s="194">
        <f>SUM(ENERO!V193:AZ193)</f>
        <v>498</v>
      </c>
      <c r="G73" s="122">
        <f t="shared" si="9"/>
        <v>0</v>
      </c>
      <c r="H73" s="215"/>
    </row>
    <row r="74" spans="1:9" x14ac:dyDescent="0.35">
      <c r="A74" s="134" t="s">
        <v>531</v>
      </c>
      <c r="B74" s="110" t="s">
        <v>164</v>
      </c>
      <c r="C74" s="194">
        <f>ENERO!G194+ENERO!S194+ENERO!T194</f>
        <v>2400</v>
      </c>
      <c r="D74" s="136" t="s">
        <v>243</v>
      </c>
      <c r="E74" s="124">
        <v>45685</v>
      </c>
      <c r="F74" s="194">
        <f>SUM(ENERO!V194:AZ194)</f>
        <v>2400</v>
      </c>
      <c r="G74" s="122">
        <f t="shared" si="9"/>
        <v>0</v>
      </c>
      <c r="H74" s="215" t="s">
        <v>2076</v>
      </c>
    </row>
    <row r="75" spans="1:9" x14ac:dyDescent="0.35">
      <c r="A75" s="134" t="s">
        <v>1557</v>
      </c>
      <c r="B75" s="110" t="s">
        <v>164</v>
      </c>
      <c r="C75" s="194">
        <f>ENERO!G195+ENERO!S195+ENERO!T195</f>
        <v>300</v>
      </c>
      <c r="D75" s="132" t="s">
        <v>2078</v>
      </c>
      <c r="E75" s="124"/>
      <c r="F75" s="194">
        <f>SUM(ENERO!V195:AZ195)</f>
        <v>0</v>
      </c>
      <c r="G75" s="122">
        <f t="shared" si="9"/>
        <v>300</v>
      </c>
      <c r="H75" s="215"/>
    </row>
    <row r="76" spans="1:9" x14ac:dyDescent="0.35">
      <c r="A76" s="134" t="s">
        <v>1265</v>
      </c>
      <c r="B76" s="110" t="s">
        <v>164</v>
      </c>
      <c r="C76" s="194">
        <f>ENERO!G196+ENERO!S196+ENERO!T196</f>
        <v>900</v>
      </c>
      <c r="D76" s="136" t="s">
        <v>243</v>
      </c>
      <c r="E76" s="124">
        <v>45660</v>
      </c>
      <c r="F76" s="194">
        <f>SUM(ENERO!V196:AZ196)</f>
        <v>900</v>
      </c>
      <c r="G76" s="122">
        <f>C76-F76</f>
        <v>0</v>
      </c>
      <c r="H76" s="215"/>
    </row>
    <row r="77" spans="1:9" x14ac:dyDescent="0.35">
      <c r="A77" s="134" t="s">
        <v>971</v>
      </c>
      <c r="B77" s="110" t="s">
        <v>164</v>
      </c>
      <c r="C77" s="194">
        <f>ENERO!G197+ENERO!S197+ENERO!T197</f>
        <v>250</v>
      </c>
      <c r="D77" s="136" t="s">
        <v>243</v>
      </c>
      <c r="E77" s="124">
        <v>45670</v>
      </c>
      <c r="F77" s="194">
        <f>SUM(ENERO!V197:AZ197)</f>
        <v>500</v>
      </c>
      <c r="G77" s="122">
        <f>C77-F77</f>
        <v>-250</v>
      </c>
      <c r="H77" s="215" t="s">
        <v>1970</v>
      </c>
    </row>
    <row r="78" spans="1:9" x14ac:dyDescent="0.35">
      <c r="A78" s="134" t="s">
        <v>1026</v>
      </c>
      <c r="B78" s="110" t="s">
        <v>164</v>
      </c>
      <c r="C78" s="194">
        <f>ENERO!G198+ENERO!S198+ENERO!T198</f>
        <v>1749.9999999999998</v>
      </c>
      <c r="D78" s="132" t="s">
        <v>2078</v>
      </c>
      <c r="E78" s="124"/>
      <c r="F78" s="194">
        <f>SUM(ENERO!V198:AZ198)</f>
        <v>0</v>
      </c>
      <c r="G78" s="122">
        <f>C78-F78</f>
        <v>1749.9999999999998</v>
      </c>
      <c r="H78" s="215"/>
      <c r="I78" s="212" t="s">
        <v>931</v>
      </c>
    </row>
    <row r="79" spans="1:9" x14ac:dyDescent="0.35">
      <c r="A79" s="134" t="s">
        <v>129</v>
      </c>
      <c r="B79" s="110" t="s">
        <v>164</v>
      </c>
      <c r="C79" s="194">
        <f>ENERO!G199+ENERO!S199+ENERO!T199</f>
        <v>0</v>
      </c>
      <c r="D79" s="132" t="s">
        <v>456</v>
      </c>
      <c r="E79" s="124">
        <v>45681</v>
      </c>
      <c r="F79" s="194">
        <f>SUM(ENERO!V199:AZ199)</f>
        <v>0</v>
      </c>
      <c r="G79" s="122">
        <f>C79-F79</f>
        <v>0</v>
      </c>
      <c r="H79" s="215" t="s">
        <v>2023</v>
      </c>
    </row>
    <row r="80" spans="1:9" x14ac:dyDescent="0.35">
      <c r="A80" s="134" t="s">
        <v>1359</v>
      </c>
      <c r="B80" s="110" t="s">
        <v>164</v>
      </c>
      <c r="C80" s="194">
        <f>ENERO!G200+ENERO!S200+ENERO!T200</f>
        <v>280</v>
      </c>
      <c r="D80" s="136" t="s">
        <v>243</v>
      </c>
      <c r="E80" s="124">
        <v>45663</v>
      </c>
      <c r="F80" s="194">
        <f>SUM(ENERO!V200:AZ200)</f>
        <v>280</v>
      </c>
      <c r="G80" s="122">
        <f>C80-F80</f>
        <v>0</v>
      </c>
      <c r="H80" s="215"/>
    </row>
    <row r="81" spans="1:9" x14ac:dyDescent="0.35">
      <c r="A81" s="134" t="s">
        <v>618</v>
      </c>
      <c r="B81" s="110" t="s">
        <v>164</v>
      </c>
      <c r="C81" s="194">
        <f>ENERO!G201+ENERO!S201+ENERO!T201</f>
        <v>900</v>
      </c>
      <c r="D81" s="136" t="s">
        <v>243</v>
      </c>
      <c r="E81" s="124">
        <v>45664</v>
      </c>
      <c r="F81" s="194">
        <f>SUM(ENERO!V201:AZ201)</f>
        <v>900</v>
      </c>
      <c r="G81" s="122">
        <f t="shared" ref="G81:G93" si="11">C81-F81</f>
        <v>0</v>
      </c>
      <c r="H81" s="215"/>
    </row>
    <row r="82" spans="1:9" x14ac:dyDescent="0.35">
      <c r="A82" s="134" t="s">
        <v>131</v>
      </c>
      <c r="B82" s="110" t="s">
        <v>164</v>
      </c>
      <c r="C82" s="194">
        <f>ENERO!G202+ENERO!S202+ENERO!T202</f>
        <v>27970</v>
      </c>
      <c r="D82" s="136" t="s">
        <v>243</v>
      </c>
      <c r="E82" s="124">
        <v>45674</v>
      </c>
      <c r="F82" s="194">
        <f>SUM(ENERO!V202:AZ202)</f>
        <v>28000</v>
      </c>
      <c r="G82" s="122">
        <f t="shared" si="11"/>
        <v>-30</v>
      </c>
      <c r="H82" s="215" t="s">
        <v>1953</v>
      </c>
    </row>
    <row r="83" spans="1:9" x14ac:dyDescent="0.35">
      <c r="A83" s="134" t="s">
        <v>259</v>
      </c>
      <c r="B83" s="110" t="s">
        <v>164</v>
      </c>
      <c r="C83" s="194">
        <f>ENERO!G203+ENERO!S203+ENERO!T203</f>
        <v>16920</v>
      </c>
      <c r="D83" s="136" t="s">
        <v>243</v>
      </c>
      <c r="E83" s="124">
        <v>45674</v>
      </c>
      <c r="F83" s="194">
        <f>SUM(ENERO!V203:AZ203)</f>
        <v>16920</v>
      </c>
      <c r="G83" s="122">
        <f t="shared" si="11"/>
        <v>0</v>
      </c>
      <c r="H83" s="362" t="s">
        <v>1954</v>
      </c>
    </row>
    <row r="84" spans="1:9" x14ac:dyDescent="0.35">
      <c r="A84" s="134" t="s">
        <v>260</v>
      </c>
      <c r="B84" s="110" t="s">
        <v>164</v>
      </c>
      <c r="C84" s="194">
        <f>ENERO!G204+ENERO!S204+ENERO!T204</f>
        <v>10000</v>
      </c>
      <c r="D84" s="149" t="s">
        <v>1911</v>
      </c>
      <c r="E84" s="124">
        <v>45664</v>
      </c>
      <c r="F84" s="194">
        <f>SUM(ENERO!V204:AZ204)</f>
        <v>8000</v>
      </c>
      <c r="G84" s="122">
        <f t="shared" si="11"/>
        <v>2000</v>
      </c>
      <c r="H84" s="215" t="s">
        <v>2025</v>
      </c>
    </row>
    <row r="85" spans="1:9" x14ac:dyDescent="0.35">
      <c r="A85" s="134" t="s">
        <v>250</v>
      </c>
      <c r="B85" s="110" t="s">
        <v>164</v>
      </c>
      <c r="C85" s="194">
        <f>ENERO!G205+ENERO!S205+ENERO!T205</f>
        <v>500</v>
      </c>
      <c r="D85" s="136" t="s">
        <v>243</v>
      </c>
      <c r="E85" s="124">
        <v>45672</v>
      </c>
      <c r="F85" s="194">
        <f>SUM(ENERO!V205:AZ205)</f>
        <v>500</v>
      </c>
      <c r="G85" s="122">
        <f t="shared" si="11"/>
        <v>0</v>
      </c>
      <c r="H85" s="215"/>
      <c r="I85" s="1"/>
    </row>
    <row r="86" spans="1:9" x14ac:dyDescent="0.35">
      <c r="A86" s="134" t="s">
        <v>421</v>
      </c>
      <c r="B86" s="110" t="s">
        <v>164</v>
      </c>
      <c r="C86" s="194">
        <f>ENERO!G206+ENERO!S206+ENERO!T206</f>
        <v>4499.8999999999996</v>
      </c>
      <c r="D86" s="136" t="s">
        <v>243</v>
      </c>
      <c r="E86" s="124">
        <v>45678</v>
      </c>
      <c r="F86" s="194">
        <f>SUM(ENERO!V206:AZ206)</f>
        <v>4500</v>
      </c>
      <c r="G86" s="122">
        <f t="shared" si="11"/>
        <v>-0.1000000000003638</v>
      </c>
      <c r="H86" s="361"/>
      <c r="I86" s="212" t="s">
        <v>617</v>
      </c>
    </row>
    <row r="87" spans="1:9" x14ac:dyDescent="0.35">
      <c r="A87" s="134" t="s">
        <v>140</v>
      </c>
      <c r="B87" s="110" t="s">
        <v>164</v>
      </c>
      <c r="C87" s="194">
        <f>ENERO!G207+ENERO!S207+ENERO!T207</f>
        <v>250</v>
      </c>
      <c r="D87" s="132" t="s">
        <v>2078</v>
      </c>
      <c r="E87" s="124"/>
      <c r="F87" s="194">
        <f>SUM(ENERO!V207:AZ207)</f>
        <v>0</v>
      </c>
      <c r="G87" s="122">
        <f t="shared" si="11"/>
        <v>250</v>
      </c>
      <c r="H87" s="215"/>
      <c r="I87" s="212" t="s">
        <v>617</v>
      </c>
    </row>
    <row r="88" spans="1:9" x14ac:dyDescent="0.35">
      <c r="A88" s="134" t="s">
        <v>295</v>
      </c>
      <c r="B88" s="110" t="s">
        <v>164</v>
      </c>
      <c r="C88" s="194">
        <f>ENERO!G208+ENERO!S208+ENERO!T208</f>
        <v>2249.2699999999995</v>
      </c>
      <c r="D88" s="136" t="s">
        <v>243</v>
      </c>
      <c r="E88" s="124">
        <v>45678</v>
      </c>
      <c r="F88" s="194">
        <f>SUM(ENERO!V208:AZ208)</f>
        <v>2250</v>
      </c>
      <c r="G88" s="122">
        <f t="shared" si="11"/>
        <v>-0.73000000000047294</v>
      </c>
      <c r="H88" s="215"/>
      <c r="I88" s="212" t="s">
        <v>617</v>
      </c>
    </row>
    <row r="89" spans="1:9" x14ac:dyDescent="0.35">
      <c r="A89" s="134" t="s">
        <v>251</v>
      </c>
      <c r="B89" s="110" t="s">
        <v>164</v>
      </c>
      <c r="C89" s="194">
        <f>ENERO!G209+ENERO!S209+ENERO!T209</f>
        <v>496.66000000000008</v>
      </c>
      <c r="D89" s="136" t="s">
        <v>243</v>
      </c>
      <c r="E89" s="124">
        <v>45678</v>
      </c>
      <c r="F89" s="194">
        <f>SUM(ENERO!V209:AZ209)</f>
        <v>500</v>
      </c>
      <c r="G89" s="122">
        <f t="shared" si="11"/>
        <v>-3.3399999999999181</v>
      </c>
      <c r="H89" s="215"/>
    </row>
    <row r="90" spans="1:9" x14ac:dyDescent="0.35">
      <c r="A90" s="134" t="s">
        <v>144</v>
      </c>
      <c r="B90" s="110" t="s">
        <v>164</v>
      </c>
      <c r="C90" s="194">
        <f>ENERO!G210+ENERO!S210+ENERO!T210</f>
        <v>4200</v>
      </c>
      <c r="D90" s="136" t="s">
        <v>243</v>
      </c>
      <c r="E90" s="124">
        <v>45678</v>
      </c>
      <c r="F90" s="194">
        <f>SUM(ENERO!V210:AZ210)</f>
        <v>4200</v>
      </c>
      <c r="G90" s="122">
        <f t="shared" si="11"/>
        <v>0</v>
      </c>
      <c r="H90" s="215"/>
    </row>
    <row r="91" spans="1:9" x14ac:dyDescent="0.35">
      <c r="A91" s="202" t="s">
        <v>289</v>
      </c>
      <c r="B91" s="110" t="s">
        <v>164</v>
      </c>
      <c r="C91" s="194">
        <f>ENERO!G211+ENERO!S211+ENERO!T211</f>
        <v>0</v>
      </c>
      <c r="D91" s="132" t="s">
        <v>456</v>
      </c>
      <c r="E91" s="124">
        <v>45681</v>
      </c>
      <c r="F91" s="194">
        <f>SUM(ENERO!V211:AZ211)</f>
        <v>0</v>
      </c>
      <c r="G91" s="122">
        <f t="shared" ref="G91:G92" si="12">C91-F91</f>
        <v>0</v>
      </c>
      <c r="H91" s="215" t="s">
        <v>2023</v>
      </c>
    </row>
    <row r="92" spans="1:9" x14ac:dyDescent="0.35">
      <c r="A92" s="202" t="s">
        <v>2044</v>
      </c>
      <c r="B92" s="110" t="s">
        <v>164</v>
      </c>
      <c r="C92" s="194">
        <f>ENERO!G212+ENERO!S212+ENERO!T212</f>
        <v>1250</v>
      </c>
      <c r="D92" s="136" t="s">
        <v>243</v>
      </c>
      <c r="E92" s="124">
        <v>45687</v>
      </c>
      <c r="F92" s="194">
        <f>SUM(ENERO!V212:AZ212)</f>
        <v>1250</v>
      </c>
      <c r="G92" s="122">
        <f t="shared" si="12"/>
        <v>0</v>
      </c>
      <c r="H92" s="215" t="s">
        <v>2057</v>
      </c>
    </row>
    <row r="93" spans="1:9" x14ac:dyDescent="0.35">
      <c r="A93" s="202" t="s">
        <v>146</v>
      </c>
      <c r="B93" s="110" t="s">
        <v>164</v>
      </c>
      <c r="C93" s="194">
        <f>ENERO!G213+ENERO!S213+ENERO!T213</f>
        <v>6200</v>
      </c>
      <c r="D93" s="149" t="s">
        <v>1911</v>
      </c>
      <c r="E93" s="124">
        <v>45664</v>
      </c>
      <c r="F93" s="194">
        <f>SUM(ENERO!V213:AZ213)</f>
        <v>6000</v>
      </c>
      <c r="G93" s="122">
        <f t="shared" si="11"/>
        <v>200</v>
      </c>
      <c r="H93" s="362" t="s">
        <v>2193</v>
      </c>
    </row>
    <row r="94" spans="1:9" ht="15.5" x14ac:dyDescent="0.35">
      <c r="A94" s="196" t="s">
        <v>1719</v>
      </c>
      <c r="B94" s="196">
        <v>92</v>
      </c>
      <c r="C94" s="197">
        <f>SUM(C2:C93)</f>
        <v>157117.21119999999</v>
      </c>
      <c r="D94" s="197"/>
      <c r="E94" s="197"/>
      <c r="F94" s="197">
        <f>SUM(F2:F93)</f>
        <v>131927.79999999999</v>
      </c>
      <c r="G94" s="197">
        <f>SUM(G2:G93)</f>
        <v>25189.411199999995</v>
      </c>
      <c r="H94" s="216"/>
    </row>
    <row r="95" spans="1:9" x14ac:dyDescent="0.35">
      <c r="A95" s="142" t="s">
        <v>1080</v>
      </c>
      <c r="B95" s="110" t="s">
        <v>290</v>
      </c>
      <c r="C95" s="194">
        <f>FEBRERO!H124+FEBRERO!S124+FEBRERO!T124</f>
        <v>250</v>
      </c>
      <c r="D95" s="281" t="s">
        <v>243</v>
      </c>
      <c r="E95" s="279">
        <v>45693</v>
      </c>
      <c r="F95" s="194">
        <f>SUM(FEBRERO!V124:AW124)</f>
        <v>1000</v>
      </c>
      <c r="G95" s="213">
        <f t="shared" ref="G95:G112" si="13">C95-F95</f>
        <v>-750</v>
      </c>
      <c r="H95" s="386" t="s">
        <v>2194</v>
      </c>
    </row>
    <row r="96" spans="1:9" x14ac:dyDescent="0.35">
      <c r="A96" s="193" t="s">
        <v>569</v>
      </c>
      <c r="B96" s="110" t="s">
        <v>290</v>
      </c>
      <c r="C96" s="194">
        <f>FEBRERO!H125+FEBRERO!S125+FEBRERO!T125</f>
        <v>2958</v>
      </c>
      <c r="D96" s="165" t="s">
        <v>243</v>
      </c>
      <c r="E96" s="195">
        <v>45693</v>
      </c>
      <c r="F96" s="194">
        <f>SUM(FEBRERO!V125:AW125)</f>
        <v>2958</v>
      </c>
      <c r="G96" s="213">
        <f t="shared" si="13"/>
        <v>0</v>
      </c>
      <c r="H96" s="386" t="s">
        <v>2080</v>
      </c>
    </row>
    <row r="97" spans="1:8" x14ac:dyDescent="0.35">
      <c r="A97" s="134" t="s">
        <v>293</v>
      </c>
      <c r="B97" s="110" t="s">
        <v>290</v>
      </c>
      <c r="C97" s="194">
        <f>FEBRERO!H126+FEBRERO!S126+FEBRERO!T126</f>
        <v>3050</v>
      </c>
      <c r="D97" s="165" t="s">
        <v>243</v>
      </c>
      <c r="E97" s="124">
        <v>45707</v>
      </c>
      <c r="F97" s="194">
        <f>SUM(FEBRERO!V126:AW126)</f>
        <v>3050</v>
      </c>
      <c r="G97" s="213">
        <f t="shared" si="13"/>
        <v>0</v>
      </c>
      <c r="H97" s="203" t="s">
        <v>2041</v>
      </c>
    </row>
    <row r="98" spans="1:8" x14ac:dyDescent="0.35">
      <c r="A98" s="134" t="s">
        <v>93</v>
      </c>
      <c r="B98" s="110" t="s">
        <v>290</v>
      </c>
      <c r="C98" s="194">
        <f>FEBRERO!H127+FEBRERO!S127+FEBRERO!T127</f>
        <v>300</v>
      </c>
      <c r="D98" s="136" t="s">
        <v>243</v>
      </c>
      <c r="E98" s="124">
        <v>45702</v>
      </c>
      <c r="F98" s="194">
        <f>SUM(FEBRERO!V127:AW127)</f>
        <v>750</v>
      </c>
      <c r="G98" s="122">
        <f t="shared" si="13"/>
        <v>-450</v>
      </c>
      <c r="H98" s="203"/>
    </row>
    <row r="99" spans="1:8" ht="26" x14ac:dyDescent="0.35">
      <c r="A99" s="134" t="s">
        <v>95</v>
      </c>
      <c r="B99" s="110" t="s">
        <v>290</v>
      </c>
      <c r="C99" s="194">
        <f>FEBRERO!H128+FEBRERO!S128+FEBRERO!T128</f>
        <v>20845</v>
      </c>
      <c r="D99" s="136" t="s">
        <v>243</v>
      </c>
      <c r="E99" s="124">
        <v>45693</v>
      </c>
      <c r="F99" s="194">
        <f>SUM(FEBRERO!V128:AW128)</f>
        <v>20845</v>
      </c>
      <c r="G99" s="122">
        <f t="shared" si="13"/>
        <v>0</v>
      </c>
      <c r="H99" s="203" t="s">
        <v>2030</v>
      </c>
    </row>
    <row r="100" spans="1:8" x14ac:dyDescent="0.35">
      <c r="A100" s="134" t="s">
        <v>1299</v>
      </c>
      <c r="B100" s="110" t="s">
        <v>290</v>
      </c>
      <c r="C100" s="194">
        <f>FEBRERO!H129+FEBRERO!S129+FEBRERO!T129</f>
        <v>300</v>
      </c>
      <c r="D100" s="136" t="s">
        <v>243</v>
      </c>
      <c r="E100" s="124">
        <v>45698</v>
      </c>
      <c r="F100" s="194">
        <f>SUM(FEBRERO!V129:AW129)</f>
        <v>300</v>
      </c>
      <c r="G100" s="122">
        <f t="shared" si="13"/>
        <v>0</v>
      </c>
      <c r="H100" s="203"/>
    </row>
    <row r="101" spans="1:8" x14ac:dyDescent="0.35">
      <c r="A101" s="134" t="s">
        <v>2810</v>
      </c>
      <c r="B101" s="110" t="s">
        <v>290</v>
      </c>
      <c r="C101" s="194">
        <f>FEBRERO!H130+FEBRERO!S130+FEBRERO!T130</f>
        <v>0</v>
      </c>
      <c r="D101" s="132" t="s">
        <v>456</v>
      </c>
      <c r="E101" s="124">
        <v>45695</v>
      </c>
      <c r="F101" s="194">
        <f>SUM(FEBRERO!V130:AW130)</f>
        <v>0</v>
      </c>
      <c r="G101" s="122">
        <f t="shared" si="13"/>
        <v>0</v>
      </c>
      <c r="H101" s="203" t="s">
        <v>2197</v>
      </c>
    </row>
    <row r="102" spans="1:8" x14ac:dyDescent="0.35">
      <c r="A102" s="350" t="s">
        <v>1963</v>
      </c>
      <c r="B102" s="110" t="s">
        <v>290</v>
      </c>
      <c r="C102" s="194">
        <f>FEBRERO!H131+FEBRERO!S131+FEBRERO!T131</f>
        <v>0</v>
      </c>
      <c r="D102" s="136" t="s">
        <v>243</v>
      </c>
      <c r="E102" s="124">
        <v>45679</v>
      </c>
      <c r="F102" s="194">
        <f>SUM(FEBRERO!V131:AW131)</f>
        <v>0</v>
      </c>
      <c r="G102" s="122">
        <f t="shared" si="13"/>
        <v>0</v>
      </c>
      <c r="H102" s="203" t="s">
        <v>2065</v>
      </c>
    </row>
    <row r="103" spans="1:8" ht="39" x14ac:dyDescent="0.35">
      <c r="A103" s="91" t="s">
        <v>1663</v>
      </c>
      <c r="B103" s="110" t="s">
        <v>290</v>
      </c>
      <c r="C103" s="194">
        <f>FEBRERO!H132+FEBRERO!S132+FEBRERO!T132</f>
        <v>3750</v>
      </c>
      <c r="D103" s="136" t="s">
        <v>243</v>
      </c>
      <c r="E103" s="124">
        <v>45687</v>
      </c>
      <c r="F103" s="194">
        <f>SUM(FEBRERO!V132:AW132)</f>
        <v>4500</v>
      </c>
      <c r="G103" s="122">
        <f t="shared" si="13"/>
        <v>-750</v>
      </c>
      <c r="H103" s="203" t="s">
        <v>2309</v>
      </c>
    </row>
    <row r="104" spans="1:8" x14ac:dyDescent="0.35">
      <c r="A104" s="134" t="s">
        <v>1597</v>
      </c>
      <c r="B104" s="110" t="s">
        <v>290</v>
      </c>
      <c r="C104" s="194">
        <f>FEBRERO!H133+FEBRERO!S133+FEBRERO!T133</f>
        <v>696</v>
      </c>
      <c r="D104" s="132" t="s">
        <v>2078</v>
      </c>
      <c r="E104" s="124"/>
      <c r="F104" s="194">
        <f>SUM(FEBRERO!V133:AW133)</f>
        <v>0</v>
      </c>
      <c r="G104" s="122">
        <f t="shared" si="13"/>
        <v>696</v>
      </c>
      <c r="H104" s="203" t="s">
        <v>456</v>
      </c>
    </row>
    <row r="105" spans="1:8" x14ac:dyDescent="0.35">
      <c r="A105" s="134" t="s">
        <v>1571</v>
      </c>
      <c r="B105" s="110" t="s">
        <v>290</v>
      </c>
      <c r="C105" s="194">
        <f>FEBRERO!H134+FEBRERO!S134+FEBRERO!T134</f>
        <v>0</v>
      </c>
      <c r="D105" s="136" t="s">
        <v>243</v>
      </c>
      <c r="E105" s="124">
        <v>45689</v>
      </c>
      <c r="F105" s="194">
        <f>SUM(FEBRERO!V134:AW134)</f>
        <v>0</v>
      </c>
      <c r="G105" s="122">
        <f t="shared" si="13"/>
        <v>0</v>
      </c>
      <c r="H105" s="203" t="s">
        <v>1776</v>
      </c>
    </row>
    <row r="106" spans="1:8" x14ac:dyDescent="0.35">
      <c r="A106" s="134" t="s">
        <v>1280</v>
      </c>
      <c r="B106" s="110" t="s">
        <v>290</v>
      </c>
      <c r="C106" s="194">
        <f>FEBRERO!H135+FEBRERO!S135+FEBRERO!T135</f>
        <v>250</v>
      </c>
      <c r="D106" s="136" t="s">
        <v>243</v>
      </c>
      <c r="E106" s="124">
        <v>45694</v>
      </c>
      <c r="F106" s="194">
        <f>SUM(FEBRERO!V135:AW135)</f>
        <v>250</v>
      </c>
      <c r="G106" s="122">
        <f t="shared" si="13"/>
        <v>0</v>
      </c>
      <c r="H106" s="203"/>
    </row>
    <row r="107" spans="1:8" x14ac:dyDescent="0.35">
      <c r="A107" s="134" t="s">
        <v>1239</v>
      </c>
      <c r="B107" s="110" t="s">
        <v>290</v>
      </c>
      <c r="C107" s="194">
        <f>FEBRERO!H136+FEBRERO!S136+FEBRERO!T136</f>
        <v>1150</v>
      </c>
      <c r="D107" s="136" t="s">
        <v>243</v>
      </c>
      <c r="E107" s="124">
        <v>45698</v>
      </c>
      <c r="F107" s="194">
        <f>SUM(FEBRERO!V136:AW136)</f>
        <v>1150</v>
      </c>
      <c r="G107" s="122">
        <f t="shared" si="13"/>
        <v>0</v>
      </c>
      <c r="H107" s="203"/>
    </row>
    <row r="108" spans="1:8" x14ac:dyDescent="0.35">
      <c r="A108" s="134" t="s">
        <v>2069</v>
      </c>
      <c r="B108" s="110" t="s">
        <v>290</v>
      </c>
      <c r="C108" s="194">
        <f>FEBRERO!H137+FEBRERO!S137+FEBRERO!T137</f>
        <v>0</v>
      </c>
      <c r="D108" s="136" t="s">
        <v>243</v>
      </c>
      <c r="E108" s="124">
        <v>45687</v>
      </c>
      <c r="F108" s="194">
        <f>SUM(FEBRERO!V137:AW137)</f>
        <v>0</v>
      </c>
      <c r="G108" s="122">
        <f t="shared" ref="G108" si="14">C108-F108</f>
        <v>0</v>
      </c>
      <c r="H108" s="203" t="s">
        <v>2073</v>
      </c>
    </row>
    <row r="109" spans="1:8" x14ac:dyDescent="0.35">
      <c r="A109" s="134" t="s">
        <v>513</v>
      </c>
      <c r="B109" s="110" t="s">
        <v>290</v>
      </c>
      <c r="C109" s="194">
        <f>FEBRERO!H138+FEBRERO!S138+FEBRERO!T138</f>
        <v>2250</v>
      </c>
      <c r="D109" s="132" t="s">
        <v>2078</v>
      </c>
      <c r="E109" s="124"/>
      <c r="F109" s="194">
        <f>SUM(FEBRERO!V138:AW138)</f>
        <v>0</v>
      </c>
      <c r="G109" s="122">
        <f t="shared" si="13"/>
        <v>2250</v>
      </c>
      <c r="H109" s="203" t="s">
        <v>456</v>
      </c>
    </row>
    <row r="110" spans="1:8" x14ac:dyDescent="0.35">
      <c r="A110" s="134" t="s">
        <v>248</v>
      </c>
      <c r="B110" s="110" t="s">
        <v>290</v>
      </c>
      <c r="C110" s="194">
        <f>FEBRERO!H139+FEBRERO!S139+FEBRERO!T139</f>
        <v>1200</v>
      </c>
      <c r="D110" s="136" t="s">
        <v>243</v>
      </c>
      <c r="E110" s="124">
        <v>45714</v>
      </c>
      <c r="F110" s="194">
        <f>SUM(FEBRERO!V139:AW139)</f>
        <v>1200</v>
      </c>
      <c r="G110" s="122">
        <f t="shared" si="13"/>
        <v>0</v>
      </c>
      <c r="H110" s="203"/>
    </row>
    <row r="111" spans="1:8" x14ac:dyDescent="0.35">
      <c r="A111" s="134" t="s">
        <v>1561</v>
      </c>
      <c r="B111" s="110" t="s">
        <v>290</v>
      </c>
      <c r="C111" s="194">
        <f>FEBRERO!H140+FEBRERO!S140+FEBRERO!T140</f>
        <v>-54</v>
      </c>
      <c r="D111" s="136" t="s">
        <v>243</v>
      </c>
      <c r="E111" s="124">
        <v>45679</v>
      </c>
      <c r="F111" s="194">
        <f>SUM(FEBRERO!V140:AW140)</f>
        <v>0</v>
      </c>
      <c r="G111" s="122">
        <f t="shared" si="13"/>
        <v>-54</v>
      </c>
      <c r="H111" s="203"/>
    </row>
    <row r="112" spans="1:8" x14ac:dyDescent="0.35">
      <c r="A112" s="134" t="s">
        <v>254</v>
      </c>
      <c r="B112" s="110" t="s">
        <v>290</v>
      </c>
      <c r="C112" s="194">
        <f>FEBRERO!H141+FEBRERO!S141+FEBRERO!T141</f>
        <v>300</v>
      </c>
      <c r="D112" s="136" t="s">
        <v>243</v>
      </c>
      <c r="E112" s="124">
        <v>45700</v>
      </c>
      <c r="F112" s="194">
        <f>SUM(FEBRERO!V141:AW141)</f>
        <v>600</v>
      </c>
      <c r="G112" s="122">
        <f t="shared" si="13"/>
        <v>-300</v>
      </c>
      <c r="H112" s="203" t="s">
        <v>2227</v>
      </c>
    </row>
    <row r="113" spans="1:9" x14ac:dyDescent="0.35">
      <c r="A113" s="134" t="s">
        <v>1389</v>
      </c>
      <c r="B113" s="110" t="s">
        <v>290</v>
      </c>
      <c r="C113" s="194">
        <f>FEBRERO!H142+FEBRERO!S142+FEBRERO!T142</f>
        <v>600</v>
      </c>
      <c r="D113" s="136" t="s">
        <v>243</v>
      </c>
      <c r="E113" s="124">
        <v>45689</v>
      </c>
      <c r="F113" s="194">
        <f>SUM(FEBRERO!V142:AW142)</f>
        <v>600</v>
      </c>
      <c r="G113" s="122">
        <f>C113-F113</f>
        <v>0</v>
      </c>
      <c r="H113" s="203"/>
    </row>
    <row r="114" spans="1:9" ht="26" x14ac:dyDescent="0.35">
      <c r="A114" s="134" t="s">
        <v>255</v>
      </c>
      <c r="B114" s="110" t="s">
        <v>290</v>
      </c>
      <c r="C114" s="194">
        <f>FEBRERO!H143+FEBRERO!S143+FEBRERO!T143</f>
        <v>0</v>
      </c>
      <c r="D114" s="136" t="s">
        <v>243</v>
      </c>
      <c r="E114" s="124">
        <v>45687</v>
      </c>
      <c r="F114" s="194">
        <f>SUM(FEBRERO!V143:AW143)</f>
        <v>300</v>
      </c>
      <c r="G114" s="122">
        <f t="shared" ref="G114" si="15">C114-F114</f>
        <v>-300</v>
      </c>
      <c r="H114" s="203" t="s">
        <v>2310</v>
      </c>
    </row>
    <row r="115" spans="1:9" x14ac:dyDescent="0.35">
      <c r="A115" s="134" t="s">
        <v>1461</v>
      </c>
      <c r="B115" s="110" t="s">
        <v>290</v>
      </c>
      <c r="C115" s="194">
        <f>FEBRERO!H144+FEBRERO!S144+FEBRERO!T144</f>
        <v>1800</v>
      </c>
      <c r="D115" s="136" t="s">
        <v>243</v>
      </c>
      <c r="E115" s="124">
        <v>45689</v>
      </c>
      <c r="F115" s="194">
        <f>SUM(FEBRERO!V144:AW144)</f>
        <v>1800</v>
      </c>
      <c r="G115" s="122">
        <f>C115-F115</f>
        <v>0</v>
      </c>
      <c r="H115" s="203"/>
    </row>
    <row r="116" spans="1:9" x14ac:dyDescent="0.35">
      <c r="A116" s="134" t="s">
        <v>635</v>
      </c>
      <c r="B116" s="110" t="s">
        <v>290</v>
      </c>
      <c r="C116" s="194">
        <f>FEBRERO!H145+FEBRERO!S145+FEBRERO!T145</f>
        <v>2000</v>
      </c>
      <c r="D116" s="136" t="s">
        <v>243</v>
      </c>
      <c r="E116" s="124">
        <v>45691</v>
      </c>
      <c r="F116" s="194">
        <f>SUM(FEBRERO!V145:AW145)</f>
        <v>2000</v>
      </c>
      <c r="G116" s="122">
        <f t="shared" ref="G116" si="16">C116-F116</f>
        <v>0</v>
      </c>
      <c r="H116" s="203" t="s">
        <v>2038</v>
      </c>
    </row>
    <row r="117" spans="1:9" x14ac:dyDescent="0.35">
      <c r="A117" s="134" t="s">
        <v>1440</v>
      </c>
      <c r="B117" s="110" t="s">
        <v>290</v>
      </c>
      <c r="C117" s="194">
        <f>FEBRERO!H146+FEBRERO!S146+FEBRERO!T146</f>
        <v>300</v>
      </c>
      <c r="D117" s="136" t="s">
        <v>243</v>
      </c>
      <c r="E117" s="124">
        <v>45698</v>
      </c>
      <c r="F117" s="194">
        <f>SUM(FEBRERO!V146:AW146)</f>
        <v>300</v>
      </c>
      <c r="G117" s="122">
        <f>C117-F117</f>
        <v>0</v>
      </c>
      <c r="H117" s="203"/>
    </row>
    <row r="118" spans="1:9" x14ac:dyDescent="0.35">
      <c r="A118" s="134" t="s">
        <v>105</v>
      </c>
      <c r="B118" s="110" t="s">
        <v>290</v>
      </c>
      <c r="C118" s="194">
        <f>FEBRERO!H147+FEBRERO!S147+FEBRERO!T147</f>
        <v>891</v>
      </c>
      <c r="D118" s="136" t="s">
        <v>243</v>
      </c>
      <c r="E118" s="124">
        <v>45693</v>
      </c>
      <c r="F118" s="194">
        <f>SUM(FEBRERO!V147:AW147)</f>
        <v>891</v>
      </c>
      <c r="G118" s="122">
        <f t="shared" ref="G118:G151" si="17">C118-F118</f>
        <v>0</v>
      </c>
      <c r="H118" s="203"/>
    </row>
    <row r="119" spans="1:9" x14ac:dyDescent="0.35">
      <c r="A119" s="134" t="s">
        <v>256</v>
      </c>
      <c r="B119" s="110" t="s">
        <v>290</v>
      </c>
      <c r="C119" s="194">
        <f>FEBRERO!H148+FEBRERO!S148+FEBRERO!T148</f>
        <v>300</v>
      </c>
      <c r="D119" s="136" t="s">
        <v>243</v>
      </c>
      <c r="E119" s="124">
        <v>45696</v>
      </c>
      <c r="F119" s="194">
        <f>SUM(FEBRERO!V148:AW148)</f>
        <v>300</v>
      </c>
      <c r="G119" s="122">
        <f t="shared" si="17"/>
        <v>0</v>
      </c>
      <c r="H119" s="203"/>
    </row>
    <row r="120" spans="1:9" x14ac:dyDescent="0.35">
      <c r="A120" s="134" t="s">
        <v>359</v>
      </c>
      <c r="B120" s="110" t="s">
        <v>290</v>
      </c>
      <c r="C120" s="194">
        <f>FEBRERO!H149+FEBRERO!S149+FEBRERO!T149</f>
        <v>1245</v>
      </c>
      <c r="D120" s="136" t="s">
        <v>243</v>
      </c>
      <c r="E120" s="124">
        <v>45713</v>
      </c>
      <c r="F120" s="194">
        <f>SUM(FEBRERO!V149:AW149)</f>
        <v>1245</v>
      </c>
      <c r="G120" s="122">
        <f t="shared" si="17"/>
        <v>0</v>
      </c>
      <c r="H120" s="203"/>
    </row>
    <row r="121" spans="1:9" x14ac:dyDescent="0.35">
      <c r="A121" s="134" t="s">
        <v>34</v>
      </c>
      <c r="B121" s="110" t="s">
        <v>290</v>
      </c>
      <c r="C121" s="194">
        <f>FEBRERO!H150+FEBRERO!S150+FEBRERO!T150</f>
        <v>2647.9956000000002</v>
      </c>
      <c r="D121" s="136" t="s">
        <v>243</v>
      </c>
      <c r="E121" s="124">
        <v>45695</v>
      </c>
      <c r="F121" s="194">
        <f>SUM(FEBRERO!V150:AW150)</f>
        <v>2648</v>
      </c>
      <c r="G121" s="122">
        <f t="shared" si="17"/>
        <v>-4.3999999998050043E-3</v>
      </c>
      <c r="H121" s="203" t="s">
        <v>2079</v>
      </c>
    </row>
    <row r="122" spans="1:9" x14ac:dyDescent="0.35">
      <c r="A122" s="134" t="s">
        <v>1385</v>
      </c>
      <c r="B122" s="110" t="s">
        <v>290</v>
      </c>
      <c r="C122" s="194">
        <f>FEBRERO!H151+FEBRERO!S151+FEBRERO!T151</f>
        <v>299</v>
      </c>
      <c r="D122" s="136" t="s">
        <v>243</v>
      </c>
      <c r="E122" s="124">
        <v>45693</v>
      </c>
      <c r="F122" s="194">
        <f>SUM(FEBRERO!V151:AW151)</f>
        <v>299</v>
      </c>
      <c r="G122" s="122">
        <f t="shared" si="17"/>
        <v>0</v>
      </c>
      <c r="H122" s="203"/>
    </row>
    <row r="123" spans="1:9" ht="26" x14ac:dyDescent="0.35">
      <c r="A123" s="134" t="s">
        <v>1625</v>
      </c>
      <c r="B123" s="110" t="s">
        <v>290</v>
      </c>
      <c r="C123" s="194">
        <f>FEBRERO!H152+FEBRERO!S152+FEBRERO!T152</f>
        <v>0</v>
      </c>
      <c r="D123" s="136" t="s">
        <v>243</v>
      </c>
      <c r="E123" s="124">
        <v>45687</v>
      </c>
      <c r="F123" s="194">
        <f>SUM(FEBRERO!V152:AW152)</f>
        <v>300</v>
      </c>
      <c r="G123" s="122">
        <f t="shared" si="17"/>
        <v>-300</v>
      </c>
      <c r="H123" s="203" t="s">
        <v>2310</v>
      </c>
    </row>
    <row r="124" spans="1:9" x14ac:dyDescent="0.35">
      <c r="A124" s="134" t="s">
        <v>894</v>
      </c>
      <c r="B124" s="110" t="s">
        <v>290</v>
      </c>
      <c r="C124" s="194">
        <f>FEBRERO!H153+FEBRERO!S153+FEBRERO!T153</f>
        <v>0</v>
      </c>
      <c r="D124" s="132" t="s">
        <v>456</v>
      </c>
      <c r="E124" s="124">
        <v>45699</v>
      </c>
      <c r="F124" s="194">
        <f>SUM(FEBRERO!V153:AW153)</f>
        <v>0</v>
      </c>
      <c r="G124" s="122">
        <f t="shared" si="17"/>
        <v>0</v>
      </c>
      <c r="H124" s="203" t="s">
        <v>2220</v>
      </c>
    </row>
    <row r="125" spans="1:9" x14ac:dyDescent="0.35">
      <c r="A125" s="134" t="s">
        <v>110</v>
      </c>
      <c r="B125" s="110" t="s">
        <v>290</v>
      </c>
      <c r="C125" s="194">
        <f>FEBRERO!H154+FEBRERO!S154+FEBRERO!T154</f>
        <v>280</v>
      </c>
      <c r="D125" s="136" t="s">
        <v>243</v>
      </c>
      <c r="E125" s="124">
        <v>45699</v>
      </c>
      <c r="F125" s="194">
        <f>SUM(FEBRERO!V154:AW154)</f>
        <v>280</v>
      </c>
      <c r="G125" s="122">
        <f t="shared" si="17"/>
        <v>0</v>
      </c>
      <c r="H125" s="203"/>
      <c r="I125" s="212" t="s">
        <v>617</v>
      </c>
    </row>
    <row r="126" spans="1:9" x14ac:dyDescent="0.35">
      <c r="A126" s="134" t="s">
        <v>1696</v>
      </c>
      <c r="B126" s="110" t="s">
        <v>290</v>
      </c>
      <c r="C126" s="194">
        <f>FEBRERO!H155+FEBRERO!S155+FEBRERO!T155</f>
        <v>300</v>
      </c>
      <c r="D126" s="136" t="s">
        <v>243</v>
      </c>
      <c r="E126" s="124">
        <v>45692</v>
      </c>
      <c r="F126" s="194">
        <f>SUM(FEBRERO!V155:AW155)</f>
        <v>300</v>
      </c>
      <c r="G126" s="122">
        <f t="shared" si="17"/>
        <v>0</v>
      </c>
      <c r="H126" s="203"/>
      <c r="I126" s="1"/>
    </row>
    <row r="127" spans="1:9" x14ac:dyDescent="0.35">
      <c r="A127" s="134" t="s">
        <v>1110</v>
      </c>
      <c r="B127" s="110" t="s">
        <v>290</v>
      </c>
      <c r="C127" s="194">
        <f>FEBRERO!H156+FEBRERO!S156+FEBRERO!T156</f>
        <v>2088</v>
      </c>
      <c r="D127" s="132" t="s">
        <v>2078</v>
      </c>
      <c r="E127" s="124"/>
      <c r="F127" s="194">
        <f>SUM(FEBRERO!V156:AW156)</f>
        <v>0</v>
      </c>
      <c r="G127" s="122">
        <f t="shared" si="17"/>
        <v>2088</v>
      </c>
      <c r="H127" s="203" t="s">
        <v>456</v>
      </c>
      <c r="I127" s="1"/>
    </row>
    <row r="128" spans="1:9" ht="39" x14ac:dyDescent="0.35">
      <c r="A128" s="134" t="s">
        <v>2205</v>
      </c>
      <c r="B128" s="110" t="s">
        <v>290</v>
      </c>
      <c r="C128" s="194">
        <f>FEBRERO!H157+FEBRERO!S157+FEBRERO!T157</f>
        <v>698</v>
      </c>
      <c r="D128" s="136" t="s">
        <v>243</v>
      </c>
      <c r="E128" s="124">
        <v>45695</v>
      </c>
      <c r="F128" s="194">
        <f>SUM(FEBRERO!V157:AW157)</f>
        <v>1046</v>
      </c>
      <c r="G128" s="122">
        <f t="shared" ref="G128" si="18">C128-F128</f>
        <v>-348</v>
      </c>
      <c r="H128" s="203" t="s">
        <v>2312</v>
      </c>
      <c r="I128" s="1"/>
    </row>
    <row r="129" spans="1:9" x14ac:dyDescent="0.35">
      <c r="A129" s="134" t="s">
        <v>1397</v>
      </c>
      <c r="B129" s="110" t="s">
        <v>290</v>
      </c>
      <c r="C129" s="194">
        <f>FEBRERO!H158+FEBRERO!S158+FEBRERO!T158</f>
        <v>300</v>
      </c>
      <c r="D129" s="136" t="s">
        <v>243</v>
      </c>
      <c r="E129" s="124">
        <v>45712</v>
      </c>
      <c r="F129" s="194">
        <f>SUM(FEBRERO!V158:AW158)</f>
        <v>300</v>
      </c>
      <c r="G129" s="122">
        <f t="shared" si="17"/>
        <v>0</v>
      </c>
      <c r="H129" s="203"/>
      <c r="I129" s="1"/>
    </row>
    <row r="130" spans="1:9" ht="39" x14ac:dyDescent="0.35">
      <c r="A130" s="134" t="s">
        <v>951</v>
      </c>
      <c r="B130" s="110" t="s">
        <v>290</v>
      </c>
      <c r="C130" s="194">
        <f>FEBRERO!H159+FEBRERO!S159+FEBRERO!T159</f>
        <v>0</v>
      </c>
      <c r="D130" s="136" t="s">
        <v>243</v>
      </c>
      <c r="E130" s="124">
        <v>45905</v>
      </c>
      <c r="F130" s="194">
        <f>SUM(FEBRERO!V159:AW159)</f>
        <v>0</v>
      </c>
      <c r="G130" s="122">
        <f t="shared" si="17"/>
        <v>0</v>
      </c>
      <c r="H130" s="203" t="s">
        <v>1348</v>
      </c>
      <c r="I130" s="1"/>
    </row>
    <row r="131" spans="1:9" x14ac:dyDescent="0.35">
      <c r="A131" s="134" t="s">
        <v>249</v>
      </c>
      <c r="B131" s="110" t="s">
        <v>290</v>
      </c>
      <c r="C131" s="194">
        <f>FEBRERO!H160+FEBRERO!S160+FEBRERO!T160</f>
        <v>15250</v>
      </c>
      <c r="D131" s="132" t="s">
        <v>1911</v>
      </c>
      <c r="E131" s="124">
        <v>45698</v>
      </c>
      <c r="F131" s="194">
        <f>SUM(FEBRERO!V160:AW160)</f>
        <v>3050</v>
      </c>
      <c r="G131" s="122">
        <f t="shared" si="17"/>
        <v>12200</v>
      </c>
      <c r="H131" s="203" t="s">
        <v>2079</v>
      </c>
    </row>
    <row r="132" spans="1:9" x14ac:dyDescent="0.35">
      <c r="A132" s="134" t="s">
        <v>679</v>
      </c>
      <c r="B132" s="110" t="s">
        <v>290</v>
      </c>
      <c r="C132" s="194">
        <f>FEBRERO!H161+FEBRERO!S161+FEBRERO!T161</f>
        <v>999</v>
      </c>
      <c r="D132" s="136" t="s">
        <v>243</v>
      </c>
      <c r="E132" s="124">
        <v>45695</v>
      </c>
      <c r="F132" s="194">
        <f>SUM(FEBRERO!V161:AW161)</f>
        <v>999</v>
      </c>
      <c r="G132" s="122">
        <f t="shared" si="17"/>
        <v>0</v>
      </c>
      <c r="H132" s="203"/>
    </row>
    <row r="133" spans="1:9" x14ac:dyDescent="0.35">
      <c r="A133" s="134" t="s">
        <v>1367</v>
      </c>
      <c r="B133" s="110" t="s">
        <v>290</v>
      </c>
      <c r="C133" s="194">
        <f>FEBRERO!H162+FEBRERO!S162+FEBRERO!T162</f>
        <v>189</v>
      </c>
      <c r="D133" s="136" t="s">
        <v>243</v>
      </c>
      <c r="E133" s="124">
        <v>45697</v>
      </c>
      <c r="F133" s="194">
        <f>SUM(FEBRERO!V162:AW162)</f>
        <v>300</v>
      </c>
      <c r="G133" s="122">
        <f t="shared" si="17"/>
        <v>-111</v>
      </c>
      <c r="H133" s="203"/>
    </row>
    <row r="134" spans="1:9" x14ac:dyDescent="0.35">
      <c r="A134" s="134" t="s">
        <v>908</v>
      </c>
      <c r="B134" s="110" t="s">
        <v>290</v>
      </c>
      <c r="C134" s="194">
        <f>FEBRERO!H163+FEBRERO!S163+FEBRERO!T163</f>
        <v>500</v>
      </c>
      <c r="D134" s="136" t="s">
        <v>243</v>
      </c>
      <c r="E134" s="124">
        <v>45695</v>
      </c>
      <c r="F134" s="194">
        <f>SUM(FEBRERO!V163:AW163)</f>
        <v>500</v>
      </c>
      <c r="G134" s="122">
        <f t="shared" si="17"/>
        <v>0</v>
      </c>
      <c r="H134" s="203"/>
    </row>
    <row r="135" spans="1:9" x14ac:dyDescent="0.35">
      <c r="A135" s="134" t="s">
        <v>1642</v>
      </c>
      <c r="B135" s="110" t="s">
        <v>290</v>
      </c>
      <c r="C135" s="194">
        <f>FEBRERO!H164+FEBRERO!S164+FEBRERO!T164</f>
        <v>300</v>
      </c>
      <c r="D135" s="136" t="s">
        <v>243</v>
      </c>
      <c r="E135" s="124">
        <v>45693</v>
      </c>
      <c r="F135" s="194">
        <f>SUM(FEBRERO!V164:AW164)</f>
        <v>300</v>
      </c>
      <c r="G135" s="122">
        <f t="shared" si="17"/>
        <v>0</v>
      </c>
      <c r="H135" s="203"/>
    </row>
    <row r="136" spans="1:9" x14ac:dyDescent="0.35">
      <c r="A136" s="134" t="s">
        <v>1485</v>
      </c>
      <c r="B136" s="110" t="s">
        <v>290</v>
      </c>
      <c r="C136" s="194">
        <f>FEBRERO!H165+FEBRERO!S165+FEBRERO!T165</f>
        <v>-1</v>
      </c>
      <c r="D136" s="136" t="s">
        <v>243</v>
      </c>
      <c r="E136" s="124">
        <v>45687</v>
      </c>
      <c r="F136" s="194">
        <f>SUM(FEBRERO!V165:AW165)</f>
        <v>0</v>
      </c>
      <c r="G136" s="122">
        <f t="shared" si="17"/>
        <v>-1</v>
      </c>
      <c r="H136" s="203" t="s">
        <v>1970</v>
      </c>
    </row>
    <row r="137" spans="1:9" x14ac:dyDescent="0.35">
      <c r="A137" s="350" t="s">
        <v>1633</v>
      </c>
      <c r="B137" s="110" t="s">
        <v>290</v>
      </c>
      <c r="C137" s="194">
        <f>FEBRERO!H166+FEBRERO!S166+FEBRERO!T166</f>
        <v>0</v>
      </c>
      <c r="D137" s="136" t="s">
        <v>456</v>
      </c>
      <c r="E137" s="124">
        <v>45702</v>
      </c>
      <c r="F137" s="194">
        <f>SUM(FEBRERO!V166:AW166)</f>
        <v>0</v>
      </c>
      <c r="G137" s="122">
        <f t="shared" si="17"/>
        <v>0</v>
      </c>
      <c r="H137" s="203" t="s">
        <v>2231</v>
      </c>
    </row>
    <row r="138" spans="1:9" x14ac:dyDescent="0.35">
      <c r="A138" s="91" t="s">
        <v>1906</v>
      </c>
      <c r="B138" s="110" t="s">
        <v>290</v>
      </c>
      <c r="C138" s="194">
        <f>FEBRERO!H167+FEBRERO!S167+FEBRERO!T167</f>
        <v>250</v>
      </c>
      <c r="D138" s="136" t="s">
        <v>243</v>
      </c>
      <c r="E138" s="124">
        <v>45698</v>
      </c>
      <c r="F138" s="194">
        <f>SUM(FEBRERO!V167:AW167)</f>
        <v>250</v>
      </c>
      <c r="G138" s="122">
        <f t="shared" si="17"/>
        <v>0</v>
      </c>
      <c r="H138" s="203"/>
    </row>
    <row r="139" spans="1:9" ht="29" x14ac:dyDescent="0.35">
      <c r="A139" s="218" t="s">
        <v>294</v>
      </c>
      <c r="B139" s="110" t="s">
        <v>290</v>
      </c>
      <c r="C139" s="194">
        <f>FEBRERO!H168+FEBRERO!S168+FEBRERO!T168</f>
        <v>250</v>
      </c>
      <c r="D139" s="136" t="s">
        <v>243</v>
      </c>
      <c r="E139" s="124">
        <v>45706</v>
      </c>
      <c r="F139" s="194">
        <f>SUM(FEBRERO!V168:AW168)</f>
        <v>250</v>
      </c>
      <c r="G139" s="122">
        <f t="shared" si="17"/>
        <v>0</v>
      </c>
      <c r="H139" s="203"/>
    </row>
    <row r="140" spans="1:9" x14ac:dyDescent="0.35">
      <c r="A140" s="218" t="s">
        <v>1584</v>
      </c>
      <c r="B140" s="110" t="s">
        <v>290</v>
      </c>
      <c r="C140" s="194">
        <f>FEBRERO!H169+FEBRERO!S169+FEBRERO!T169</f>
        <v>300</v>
      </c>
      <c r="D140" s="136" t="s">
        <v>243</v>
      </c>
      <c r="E140" s="124">
        <v>45695</v>
      </c>
      <c r="F140" s="194">
        <f>SUM(FEBRERO!V169:AW169)</f>
        <v>300</v>
      </c>
      <c r="G140" s="122">
        <f t="shared" si="17"/>
        <v>0</v>
      </c>
      <c r="H140" s="203"/>
    </row>
    <row r="141" spans="1:9" x14ac:dyDescent="0.35">
      <c r="A141" s="134" t="s">
        <v>457</v>
      </c>
      <c r="B141" s="110" t="s">
        <v>290</v>
      </c>
      <c r="C141" s="194">
        <f>FEBRERO!H170+FEBRERO!S170+FEBRERO!T170</f>
        <v>1373.7456000000002</v>
      </c>
      <c r="D141" s="136" t="s">
        <v>243</v>
      </c>
      <c r="E141" s="124">
        <v>45713</v>
      </c>
      <c r="F141" s="194">
        <f>SUM(FEBRERO!V170:AW170)</f>
        <v>3268</v>
      </c>
      <c r="G141" s="122">
        <f t="shared" si="17"/>
        <v>-1894.2543999999998</v>
      </c>
      <c r="H141" s="203" t="s">
        <v>2281</v>
      </c>
    </row>
    <row r="142" spans="1:9" x14ac:dyDescent="0.35">
      <c r="A142" s="134" t="s">
        <v>1593</v>
      </c>
      <c r="B142" s="110" t="s">
        <v>290</v>
      </c>
      <c r="C142" s="194">
        <f>FEBRERO!H171+FEBRERO!S171+FEBRERO!T171</f>
        <v>0</v>
      </c>
      <c r="D142" s="132" t="s">
        <v>456</v>
      </c>
      <c r="E142" s="124">
        <v>45699</v>
      </c>
      <c r="F142" s="194">
        <f>SUM(FEBRERO!V171:AW171)</f>
        <v>0</v>
      </c>
      <c r="G142" s="122">
        <f t="shared" si="17"/>
        <v>0</v>
      </c>
      <c r="H142" s="203" t="s">
        <v>2220</v>
      </c>
    </row>
    <row r="143" spans="1:9" x14ac:dyDescent="0.35">
      <c r="A143" s="134" t="s">
        <v>288</v>
      </c>
      <c r="B143" s="110" t="s">
        <v>290</v>
      </c>
      <c r="C143" s="194">
        <f>FEBRERO!H172+FEBRERO!S172+FEBRERO!T172</f>
        <v>1450</v>
      </c>
      <c r="D143" s="136" t="s">
        <v>243</v>
      </c>
      <c r="E143" s="124">
        <v>45692</v>
      </c>
      <c r="F143" s="194">
        <f>SUM(FEBRERO!V172:AW172)</f>
        <v>1500</v>
      </c>
      <c r="G143" s="122">
        <f t="shared" si="17"/>
        <v>-50</v>
      </c>
      <c r="H143" s="203" t="s">
        <v>2224</v>
      </c>
    </row>
    <row r="144" spans="1:9" x14ac:dyDescent="0.35">
      <c r="A144" s="134" t="s">
        <v>1356</v>
      </c>
      <c r="B144" s="110" t="s">
        <v>290</v>
      </c>
      <c r="C144" s="194">
        <f>FEBRERO!H173+FEBRERO!S173+FEBRERO!T173</f>
        <v>250</v>
      </c>
      <c r="D144" s="136" t="s">
        <v>243</v>
      </c>
      <c r="E144" s="124">
        <v>45699</v>
      </c>
      <c r="F144" s="194">
        <f>SUM(FEBRERO!V173:AW173)</f>
        <v>250</v>
      </c>
      <c r="G144" s="122">
        <f t="shared" si="17"/>
        <v>0</v>
      </c>
      <c r="H144" s="203"/>
    </row>
    <row r="145" spans="1:9" x14ac:dyDescent="0.35">
      <c r="A145" s="134" t="s">
        <v>736</v>
      </c>
      <c r="B145" s="110" t="s">
        <v>290</v>
      </c>
      <c r="C145" s="194">
        <f>FEBRERO!H174+FEBRERO!S174+FEBRERO!T174</f>
        <v>0</v>
      </c>
      <c r="D145" s="132" t="s">
        <v>456</v>
      </c>
      <c r="E145" s="124">
        <v>45712</v>
      </c>
      <c r="F145" s="194">
        <f>SUM(FEBRERO!V174:AW174)</f>
        <v>0</v>
      </c>
      <c r="G145" s="122">
        <f t="shared" si="17"/>
        <v>0</v>
      </c>
      <c r="H145" s="203" t="s">
        <v>2264</v>
      </c>
    </row>
    <row r="146" spans="1:9" x14ac:dyDescent="0.35">
      <c r="A146" s="134" t="s">
        <v>1422</v>
      </c>
      <c r="B146" s="110" t="s">
        <v>290</v>
      </c>
      <c r="C146" s="194">
        <f>FEBRERO!H175+FEBRERO!S175+FEBRERO!T175</f>
        <v>300</v>
      </c>
      <c r="D146" s="136" t="s">
        <v>243</v>
      </c>
      <c r="E146" s="124">
        <v>45698</v>
      </c>
      <c r="F146" s="194">
        <f>SUM(FEBRERO!V175:AW175)</f>
        <v>300</v>
      </c>
      <c r="G146" s="122">
        <f t="shared" si="17"/>
        <v>0</v>
      </c>
      <c r="H146" s="203"/>
    </row>
    <row r="147" spans="1:9" x14ac:dyDescent="0.35">
      <c r="A147" s="134" t="s">
        <v>118</v>
      </c>
      <c r="B147" s="110" t="s">
        <v>290</v>
      </c>
      <c r="C147" s="194">
        <f>FEBRERO!H176+FEBRERO!S176+FEBRERO!T176</f>
        <v>496.65999999999985</v>
      </c>
      <c r="D147" s="136" t="s">
        <v>243</v>
      </c>
      <c r="E147" s="124">
        <v>45701</v>
      </c>
      <c r="F147" s="194">
        <f>SUM(FEBRERO!V176:AW176)</f>
        <v>496.66</v>
      </c>
      <c r="G147" s="122">
        <f t="shared" si="17"/>
        <v>0</v>
      </c>
      <c r="H147" s="203"/>
    </row>
    <row r="148" spans="1:9" x14ac:dyDescent="0.35">
      <c r="A148" s="134" t="s">
        <v>1242</v>
      </c>
      <c r="B148" s="110" t="s">
        <v>290</v>
      </c>
      <c r="C148" s="194">
        <f>FEBRERO!H177+FEBRERO!S177+FEBRERO!T177</f>
        <v>250</v>
      </c>
      <c r="D148" s="136" t="s">
        <v>243</v>
      </c>
      <c r="E148" s="124">
        <v>45700</v>
      </c>
      <c r="F148" s="194">
        <f>SUM(FEBRERO!V177:AW177)</f>
        <v>250</v>
      </c>
      <c r="G148" s="122">
        <f t="shared" si="17"/>
        <v>0</v>
      </c>
      <c r="H148" s="203"/>
      <c r="I148" s="1"/>
    </row>
    <row r="149" spans="1:9" x14ac:dyDescent="0.35">
      <c r="A149" s="134" t="s">
        <v>1289</v>
      </c>
      <c r="B149" s="110" t="s">
        <v>290</v>
      </c>
      <c r="C149" s="194">
        <f>FEBRERO!H178+FEBRERO!S178+FEBRERO!T178</f>
        <v>250</v>
      </c>
      <c r="D149" s="136" t="s">
        <v>243</v>
      </c>
      <c r="E149" s="124">
        <v>45698</v>
      </c>
      <c r="F149" s="194">
        <f>SUM(FEBRERO!V178:AW178)</f>
        <v>250</v>
      </c>
      <c r="G149" s="122">
        <f t="shared" si="17"/>
        <v>0</v>
      </c>
      <c r="H149" s="203"/>
      <c r="I149" s="1"/>
    </row>
    <row r="150" spans="1:9" x14ac:dyDescent="0.35">
      <c r="A150" s="134" t="s">
        <v>954</v>
      </c>
      <c r="B150" s="110" t="s">
        <v>290</v>
      </c>
      <c r="C150" s="194">
        <f>FEBRERO!H179+FEBRERO!S179+FEBRERO!T179</f>
        <v>600</v>
      </c>
      <c r="D150" s="136" t="s">
        <v>243</v>
      </c>
      <c r="E150" s="124">
        <v>45694</v>
      </c>
      <c r="F150" s="194">
        <f>SUM(FEBRERO!V179:AW179)</f>
        <v>600</v>
      </c>
      <c r="G150" s="122">
        <f t="shared" si="17"/>
        <v>0</v>
      </c>
      <c r="H150" s="203"/>
      <c r="I150" s="1"/>
    </row>
    <row r="151" spans="1:9" x14ac:dyDescent="0.35">
      <c r="A151" s="134" t="s">
        <v>1294</v>
      </c>
      <c r="B151" s="110" t="s">
        <v>290</v>
      </c>
      <c r="C151" s="194">
        <f>FEBRERO!H180+FEBRERO!S180+FEBRERO!T180</f>
        <v>2400</v>
      </c>
      <c r="D151" s="136" t="s">
        <v>243</v>
      </c>
      <c r="E151" s="124">
        <v>45709</v>
      </c>
      <c r="F151" s="194">
        <f>SUM(FEBRERO!V180:AW180)</f>
        <v>2400</v>
      </c>
      <c r="G151" s="122">
        <f t="shared" si="17"/>
        <v>0</v>
      </c>
      <c r="H151" s="203" t="s">
        <v>2062</v>
      </c>
    </row>
    <row r="152" spans="1:9" x14ac:dyDescent="0.35">
      <c r="A152" s="134" t="s">
        <v>1377</v>
      </c>
      <c r="B152" s="110" t="s">
        <v>290</v>
      </c>
      <c r="C152" s="194">
        <f>FEBRERO!H181+FEBRERO!S181+FEBRERO!T181</f>
        <v>348</v>
      </c>
      <c r="D152" s="136" t="s">
        <v>243</v>
      </c>
      <c r="E152" s="124">
        <v>45714</v>
      </c>
      <c r="F152" s="194">
        <f>SUM(FEBRERO!V181:AW181)</f>
        <v>696</v>
      </c>
      <c r="G152" s="122">
        <f>C152-F152</f>
        <v>-348</v>
      </c>
      <c r="H152" s="203" t="s">
        <v>2227</v>
      </c>
    </row>
    <row r="153" spans="1:9" x14ac:dyDescent="0.35">
      <c r="A153" s="134" t="s">
        <v>1250</v>
      </c>
      <c r="B153" s="110" t="s">
        <v>290</v>
      </c>
      <c r="C153" s="194">
        <f>FEBRERO!H182+FEBRERO!S182+FEBRERO!T182</f>
        <v>3350</v>
      </c>
      <c r="D153" s="132" t="s">
        <v>2078</v>
      </c>
      <c r="E153" s="124"/>
      <c r="F153" s="194">
        <f>SUM(FEBRERO!V182:AW182)</f>
        <v>0</v>
      </c>
      <c r="G153" s="122">
        <f t="shared" ref="G153:G163" si="19">C153-F153</f>
        <v>3350</v>
      </c>
      <c r="H153" s="203"/>
      <c r="I153" s="212" t="s">
        <v>617</v>
      </c>
    </row>
    <row r="154" spans="1:9" x14ac:dyDescent="0.35">
      <c r="A154" s="134" t="s">
        <v>1566</v>
      </c>
      <c r="B154" s="110" t="s">
        <v>290</v>
      </c>
      <c r="C154" s="194">
        <f>FEBRERO!H183+FEBRERO!S183+FEBRERO!T183</f>
        <v>300</v>
      </c>
      <c r="D154" s="132" t="s">
        <v>2078</v>
      </c>
      <c r="E154" s="124"/>
      <c r="F154" s="194">
        <f>SUM(FEBRERO!V183:AW183)</f>
        <v>0</v>
      </c>
      <c r="G154" s="122">
        <f t="shared" si="19"/>
        <v>300</v>
      </c>
      <c r="H154" s="203"/>
      <c r="I154" s="331"/>
    </row>
    <row r="155" spans="1:9" x14ac:dyDescent="0.35">
      <c r="A155" s="134" t="s">
        <v>922</v>
      </c>
      <c r="B155" s="110" t="s">
        <v>290</v>
      </c>
      <c r="C155" s="194">
        <f>FEBRERO!H184+FEBRERO!S184+FEBRERO!T184</f>
        <v>250</v>
      </c>
      <c r="D155" s="136" t="s">
        <v>243</v>
      </c>
      <c r="E155" s="124">
        <v>45695</v>
      </c>
      <c r="F155" s="194">
        <f>SUM(FEBRERO!V184:AW184)</f>
        <v>250</v>
      </c>
      <c r="G155" s="122">
        <f t="shared" si="19"/>
        <v>0</v>
      </c>
      <c r="H155" s="203"/>
      <c r="I155" s="331"/>
    </row>
    <row r="156" spans="1:9" x14ac:dyDescent="0.35">
      <c r="A156" s="134" t="s">
        <v>257</v>
      </c>
      <c r="B156" s="110" t="s">
        <v>290</v>
      </c>
      <c r="C156" s="194">
        <f>FEBRERO!H185+FEBRERO!S185+FEBRERO!T185</f>
        <v>250</v>
      </c>
      <c r="D156" s="136" t="s">
        <v>243</v>
      </c>
      <c r="E156" s="124">
        <v>45700</v>
      </c>
      <c r="F156" s="194">
        <f>SUM(FEBRERO!V185:AW185)</f>
        <v>250</v>
      </c>
      <c r="G156" s="122">
        <f t="shared" si="19"/>
        <v>0</v>
      </c>
      <c r="H156" s="387"/>
    </row>
    <row r="157" spans="1:9" x14ac:dyDescent="0.35">
      <c r="A157" s="134" t="s">
        <v>1056</v>
      </c>
      <c r="B157" s="110" t="s">
        <v>290</v>
      </c>
      <c r="C157" s="194">
        <f>FEBRERO!H186+FEBRERO!S186+FEBRERO!T186</f>
        <v>300</v>
      </c>
      <c r="D157" s="136" t="s">
        <v>243</v>
      </c>
      <c r="E157" s="124">
        <v>45697</v>
      </c>
      <c r="F157" s="194">
        <f>SUM(FEBRERO!V186:AW186)</f>
        <v>300</v>
      </c>
      <c r="G157" s="122">
        <f t="shared" si="19"/>
        <v>0</v>
      </c>
      <c r="H157" s="387"/>
    </row>
    <row r="158" spans="1:9" x14ac:dyDescent="0.35">
      <c r="A158" s="134" t="s">
        <v>1609</v>
      </c>
      <c r="B158" s="110" t="s">
        <v>290</v>
      </c>
      <c r="C158" s="194">
        <f>FEBRERO!H187+FEBRERO!S187+FEBRERO!T187</f>
        <v>1044</v>
      </c>
      <c r="D158" s="136" t="s">
        <v>243</v>
      </c>
      <c r="E158" s="124">
        <v>45695</v>
      </c>
      <c r="F158" s="194">
        <f>SUM(FEBRERO!V187:AW187)</f>
        <v>1044</v>
      </c>
      <c r="G158" s="122">
        <f t="shared" si="19"/>
        <v>0</v>
      </c>
      <c r="H158" s="387"/>
    </row>
    <row r="159" spans="1:9" x14ac:dyDescent="0.35">
      <c r="A159" s="134" t="s">
        <v>945</v>
      </c>
      <c r="B159" s="110" t="s">
        <v>290</v>
      </c>
      <c r="C159" s="194">
        <f>FEBRERO!H188+FEBRERO!S188+FEBRERO!T188</f>
        <v>598</v>
      </c>
      <c r="D159" s="136" t="s">
        <v>243</v>
      </c>
      <c r="E159" s="124">
        <v>45699</v>
      </c>
      <c r="F159" s="194">
        <f>SUM(FEBRERO!V188:AW188)</f>
        <v>598</v>
      </c>
      <c r="G159" s="122">
        <f t="shared" si="19"/>
        <v>0</v>
      </c>
      <c r="H159" s="387"/>
    </row>
    <row r="160" spans="1:9" x14ac:dyDescent="0.35">
      <c r="A160" s="134" t="s">
        <v>1660</v>
      </c>
      <c r="B160" s="110" t="s">
        <v>290</v>
      </c>
      <c r="C160" s="194">
        <f>FEBRERO!H189+FEBRERO!S189+FEBRERO!T189</f>
        <v>300</v>
      </c>
      <c r="D160" s="136" t="s">
        <v>243</v>
      </c>
      <c r="E160" s="124">
        <v>45693</v>
      </c>
      <c r="F160" s="194">
        <f>SUM(FEBRERO!V189:AW189)</f>
        <v>300</v>
      </c>
      <c r="G160" s="122">
        <f t="shared" si="19"/>
        <v>0</v>
      </c>
      <c r="H160" s="387"/>
    </row>
    <row r="161" spans="1:9" x14ac:dyDescent="0.35">
      <c r="A161" s="134" t="s">
        <v>258</v>
      </c>
      <c r="B161" s="110" t="s">
        <v>290</v>
      </c>
      <c r="C161" s="194">
        <f>FEBRERO!H190+FEBRERO!S190+FEBRERO!T190</f>
        <v>0</v>
      </c>
      <c r="D161" s="136" t="s">
        <v>243</v>
      </c>
      <c r="E161" s="124">
        <v>45663</v>
      </c>
      <c r="F161" s="194">
        <f>SUM(FEBRERO!V190:AW190)</f>
        <v>0</v>
      </c>
      <c r="G161" s="122">
        <f t="shared" si="19"/>
        <v>0</v>
      </c>
      <c r="H161" s="203" t="s">
        <v>1970</v>
      </c>
    </row>
    <row r="162" spans="1:9" x14ac:dyDescent="0.35">
      <c r="A162" s="91" t="s">
        <v>863</v>
      </c>
      <c r="B162" s="110" t="s">
        <v>290</v>
      </c>
      <c r="C162" s="194">
        <f>FEBRERO!H191+FEBRERO!S191+FEBRERO!T191</f>
        <v>498</v>
      </c>
      <c r="D162" s="136" t="s">
        <v>243</v>
      </c>
      <c r="E162" s="124">
        <v>45695</v>
      </c>
      <c r="F162" s="194">
        <f>SUM(FEBRERO!V191:AW191)</f>
        <v>498</v>
      </c>
      <c r="G162" s="122">
        <f t="shared" si="19"/>
        <v>0</v>
      </c>
      <c r="H162" s="203"/>
    </row>
    <row r="163" spans="1:9" x14ac:dyDescent="0.35">
      <c r="A163" s="134" t="s">
        <v>1557</v>
      </c>
      <c r="B163" s="110" t="s">
        <v>290</v>
      </c>
      <c r="C163" s="194">
        <f>FEBRERO!H192+FEBRERO!S192+FEBRERO!T192</f>
        <v>600</v>
      </c>
      <c r="D163" s="136" t="s">
        <v>243</v>
      </c>
      <c r="E163" s="124">
        <v>45695</v>
      </c>
      <c r="F163" s="194">
        <f>SUM(FEBRERO!V192:AW192)</f>
        <v>600</v>
      </c>
      <c r="G163" s="122">
        <f t="shared" si="19"/>
        <v>0</v>
      </c>
      <c r="H163" s="203"/>
    </row>
    <row r="164" spans="1:9" x14ac:dyDescent="0.35">
      <c r="A164" s="134" t="s">
        <v>1265</v>
      </c>
      <c r="B164" s="110" t="s">
        <v>290</v>
      </c>
      <c r="C164" s="194">
        <f>FEBRERO!H193+FEBRERO!S193+FEBRERO!T193</f>
        <v>900</v>
      </c>
      <c r="D164" s="136" t="s">
        <v>243</v>
      </c>
      <c r="E164" s="124">
        <v>45693</v>
      </c>
      <c r="F164" s="194">
        <f>SUM(FEBRERO!V193:AW193)</f>
        <v>900</v>
      </c>
      <c r="G164" s="122">
        <f>C164-F164</f>
        <v>0</v>
      </c>
      <c r="H164" s="203"/>
    </row>
    <row r="165" spans="1:9" x14ac:dyDescent="0.35">
      <c r="A165" s="134" t="s">
        <v>971</v>
      </c>
      <c r="B165" s="110" t="s">
        <v>290</v>
      </c>
      <c r="C165" s="194">
        <f>FEBRERO!H194+FEBRERO!S194+FEBRERO!T194</f>
        <v>0</v>
      </c>
      <c r="D165" s="136" t="s">
        <v>243</v>
      </c>
      <c r="E165" s="124">
        <v>45687</v>
      </c>
      <c r="F165" s="194">
        <f>SUM(FEBRERO!V194:AW194)</f>
        <v>0</v>
      </c>
      <c r="G165" s="122">
        <f>C165-F165</f>
        <v>0</v>
      </c>
      <c r="H165" s="203" t="s">
        <v>1970</v>
      </c>
    </row>
    <row r="166" spans="1:9" x14ac:dyDescent="0.35">
      <c r="A166" s="134" t="s">
        <v>1026</v>
      </c>
      <c r="B166" s="110" t="s">
        <v>290</v>
      </c>
      <c r="C166" s="194">
        <f>FEBRERO!H195+FEBRERO!S195+FEBRERO!T195</f>
        <v>3250</v>
      </c>
      <c r="D166" s="132" t="s">
        <v>2078</v>
      </c>
      <c r="E166" s="124"/>
      <c r="F166" s="194">
        <f>SUM(FEBRERO!V195:AW195)</f>
        <v>0</v>
      </c>
      <c r="G166" s="122">
        <f>C166-F166</f>
        <v>3250</v>
      </c>
      <c r="H166" s="203"/>
      <c r="I166" s="212" t="s">
        <v>931</v>
      </c>
    </row>
    <row r="167" spans="1:9" x14ac:dyDescent="0.35">
      <c r="A167" s="134" t="s">
        <v>1359</v>
      </c>
      <c r="B167" s="110" t="s">
        <v>290</v>
      </c>
      <c r="C167" s="194">
        <f>FEBRERO!H196+FEBRERO!S196+FEBRERO!T196</f>
        <v>280</v>
      </c>
      <c r="D167" s="136" t="s">
        <v>243</v>
      </c>
      <c r="E167" s="124">
        <v>45692</v>
      </c>
      <c r="F167" s="194">
        <f>SUM(FEBRERO!V196:AW196)</f>
        <v>280</v>
      </c>
      <c r="G167" s="122">
        <f>C167-F167</f>
        <v>0</v>
      </c>
      <c r="H167" s="203"/>
    </row>
    <row r="168" spans="1:9" x14ac:dyDescent="0.35">
      <c r="A168" s="134" t="s">
        <v>618</v>
      </c>
      <c r="B168" s="110" t="s">
        <v>290</v>
      </c>
      <c r="C168" s="194">
        <f>FEBRERO!H197+FEBRERO!S197+FEBRERO!T197</f>
        <v>900</v>
      </c>
      <c r="D168" s="136" t="s">
        <v>243</v>
      </c>
      <c r="E168" s="124">
        <v>45699</v>
      </c>
      <c r="F168" s="194">
        <f>SUM(FEBRERO!V197:AW197)</f>
        <v>900</v>
      </c>
      <c r="G168" s="122">
        <f t="shared" ref="G168:G183" si="20">C168-F168</f>
        <v>0</v>
      </c>
      <c r="H168" s="203"/>
    </row>
    <row r="169" spans="1:9" ht="26" x14ac:dyDescent="0.35">
      <c r="A169" s="134" t="s">
        <v>131</v>
      </c>
      <c r="B169" s="110" t="s">
        <v>290</v>
      </c>
      <c r="C169" s="194">
        <f>FEBRERO!H198+FEBRERO!S198+FEBRERO!T198</f>
        <v>27040</v>
      </c>
      <c r="D169" s="136" t="s">
        <v>243</v>
      </c>
      <c r="E169" s="124">
        <v>45703</v>
      </c>
      <c r="F169" s="194">
        <f>SUM(FEBRERO!V198:AW198)</f>
        <v>28000</v>
      </c>
      <c r="G169" s="122">
        <f t="shared" si="20"/>
        <v>-960</v>
      </c>
      <c r="H169" s="203" t="s">
        <v>2228</v>
      </c>
    </row>
    <row r="170" spans="1:9" x14ac:dyDescent="0.35">
      <c r="A170" s="134" t="s">
        <v>259</v>
      </c>
      <c r="B170" s="110" t="s">
        <v>290</v>
      </c>
      <c r="C170" s="194">
        <f>FEBRERO!H199+FEBRERO!S199+FEBRERO!T199</f>
        <v>18700</v>
      </c>
      <c r="D170" s="136" t="s">
        <v>243</v>
      </c>
      <c r="E170" s="124">
        <v>45706</v>
      </c>
      <c r="F170" s="194">
        <f>SUM(FEBRERO!V199:AW199)</f>
        <v>18700</v>
      </c>
      <c r="G170" s="122">
        <f t="shared" si="20"/>
        <v>0</v>
      </c>
      <c r="H170" s="387" t="s">
        <v>2229</v>
      </c>
    </row>
    <row r="171" spans="1:9" ht="26" x14ac:dyDescent="0.35">
      <c r="A171" s="134" t="s">
        <v>2252</v>
      </c>
      <c r="B171" s="110" t="s">
        <v>290</v>
      </c>
      <c r="C171" s="194">
        <f>FEBRERO!H200+FEBRERO!S200+FEBRERO!T200</f>
        <v>2500</v>
      </c>
      <c r="D171" s="136" t="s">
        <v>243</v>
      </c>
      <c r="E171" s="124">
        <v>45705</v>
      </c>
      <c r="F171" s="194">
        <f>SUM(FEBRERO!V200:AW200)</f>
        <v>2500</v>
      </c>
      <c r="G171" s="122">
        <f t="shared" ref="G171" si="21">C171-F171</f>
        <v>0</v>
      </c>
      <c r="H171" s="203" t="s">
        <v>2250</v>
      </c>
    </row>
    <row r="172" spans="1:9" x14ac:dyDescent="0.35">
      <c r="A172" s="134" t="s">
        <v>260</v>
      </c>
      <c r="B172" s="110" t="s">
        <v>290</v>
      </c>
      <c r="C172" s="194">
        <f>FEBRERO!H201+FEBRERO!S201+FEBRERO!T201</f>
        <v>7800</v>
      </c>
      <c r="D172" s="149" t="s">
        <v>1911</v>
      </c>
      <c r="E172" s="124">
        <v>45689</v>
      </c>
      <c r="F172" s="194">
        <f>SUM(FEBRERO!V201:AW201)</f>
        <v>5000</v>
      </c>
      <c r="G172" s="122">
        <f t="shared" si="20"/>
        <v>2800</v>
      </c>
      <c r="H172" s="203" t="s">
        <v>2226</v>
      </c>
    </row>
    <row r="173" spans="1:9" x14ac:dyDescent="0.35">
      <c r="A173" s="134" t="s">
        <v>250</v>
      </c>
      <c r="B173" s="110" t="s">
        <v>290</v>
      </c>
      <c r="C173" s="194">
        <f>FEBRERO!H202+FEBRERO!S202+FEBRERO!T202</f>
        <v>500</v>
      </c>
      <c r="D173" s="136" t="s">
        <v>243</v>
      </c>
      <c r="E173" s="124">
        <v>45707</v>
      </c>
      <c r="F173" s="194">
        <f>SUM(FEBRERO!V202:AW202)</f>
        <v>500</v>
      </c>
      <c r="G173" s="122">
        <f t="shared" si="20"/>
        <v>0</v>
      </c>
      <c r="H173" s="203"/>
      <c r="I173" s="1"/>
    </row>
    <row r="174" spans="1:9" x14ac:dyDescent="0.35">
      <c r="A174" s="134" t="s">
        <v>421</v>
      </c>
      <c r="B174" s="110" t="s">
        <v>290</v>
      </c>
      <c r="C174" s="194">
        <f>FEBRERO!H203+FEBRERO!S203+FEBRERO!T203</f>
        <v>4499.8999999999996</v>
      </c>
      <c r="D174" s="136" t="s">
        <v>243</v>
      </c>
      <c r="E174" s="124">
        <v>45709</v>
      </c>
      <c r="F174" s="194">
        <f>SUM(FEBRERO!V203:AW203)</f>
        <v>4499.8999999999996</v>
      </c>
      <c r="G174" s="122">
        <f t="shared" si="20"/>
        <v>0</v>
      </c>
      <c r="H174" s="388"/>
      <c r="I174" s="212" t="s">
        <v>617</v>
      </c>
    </row>
    <row r="175" spans="1:9" x14ac:dyDescent="0.35">
      <c r="A175" s="134" t="s">
        <v>140</v>
      </c>
      <c r="B175" s="110" t="s">
        <v>290</v>
      </c>
      <c r="C175" s="194">
        <f>FEBRERO!H204+FEBRERO!S204+FEBRERO!T204</f>
        <v>500</v>
      </c>
      <c r="D175" s="132" t="s">
        <v>2078</v>
      </c>
      <c r="E175" s="124"/>
      <c r="F175" s="194">
        <f>SUM(FEBRERO!V204:AW204)</f>
        <v>0</v>
      </c>
      <c r="G175" s="122">
        <f t="shared" si="20"/>
        <v>500</v>
      </c>
      <c r="H175" s="203"/>
      <c r="I175" s="212" t="s">
        <v>617</v>
      </c>
    </row>
    <row r="176" spans="1:9" ht="26" x14ac:dyDescent="0.35">
      <c r="A176" s="134" t="s">
        <v>2245</v>
      </c>
      <c r="B176" s="110" t="s">
        <v>290</v>
      </c>
      <c r="C176" s="194">
        <f>FEBRERO!H205+FEBRERO!S205+FEBRERO!T205</f>
        <v>0</v>
      </c>
      <c r="D176" s="136" t="s">
        <v>243</v>
      </c>
      <c r="E176" s="124">
        <v>45705</v>
      </c>
      <c r="F176" s="194">
        <f>SUM(FEBRERO!V205:AW205)</f>
        <v>0</v>
      </c>
      <c r="G176" s="122">
        <f t="shared" ref="G176:G177" si="22">C176-F176</f>
        <v>0</v>
      </c>
      <c r="H176" s="203" t="s">
        <v>2244</v>
      </c>
      <c r="I176" s="212" t="s">
        <v>617</v>
      </c>
    </row>
    <row r="177" spans="1:9" ht="26" x14ac:dyDescent="0.35">
      <c r="A177" s="134" t="s">
        <v>2256</v>
      </c>
      <c r="B177" s="110" t="s">
        <v>290</v>
      </c>
      <c r="C177" s="194">
        <f>FEBRERO!H206+FEBRERO!S206+FEBRERO!T206</f>
        <v>2499</v>
      </c>
      <c r="D177" s="136" t="s">
        <v>243</v>
      </c>
      <c r="E177" s="124">
        <v>45707</v>
      </c>
      <c r="F177" s="194">
        <f>SUM(FEBRERO!V206:AW206)</f>
        <v>2499</v>
      </c>
      <c r="G177" s="122">
        <f t="shared" si="22"/>
        <v>0</v>
      </c>
      <c r="H177" s="203" t="s">
        <v>2261</v>
      </c>
      <c r="I177" s="1"/>
    </row>
    <row r="178" spans="1:9" x14ac:dyDescent="0.35">
      <c r="A178" s="134" t="s">
        <v>2298</v>
      </c>
      <c r="B178" s="110" t="s">
        <v>290</v>
      </c>
      <c r="C178" s="194">
        <f>FEBRERO!H207+FEBRERO!S207+FEBRERO!T207</f>
        <v>2100</v>
      </c>
      <c r="D178" s="136" t="s">
        <v>243</v>
      </c>
      <c r="E178" s="124">
        <v>45714</v>
      </c>
      <c r="F178" s="194">
        <f>SUM(FEBRERO!V207:AW207)</f>
        <v>2100</v>
      </c>
      <c r="G178" s="122">
        <f t="shared" ref="G178" si="23">C178-F178</f>
        <v>0</v>
      </c>
      <c r="H178" s="203" t="s">
        <v>2299</v>
      </c>
      <c r="I178" s="1"/>
    </row>
    <row r="179" spans="1:9" x14ac:dyDescent="0.35">
      <c r="A179" s="134" t="s">
        <v>295</v>
      </c>
      <c r="B179" s="110" t="s">
        <v>290</v>
      </c>
      <c r="C179" s="194">
        <f>FEBRERO!H208+FEBRERO!S208+FEBRERO!T208</f>
        <v>2249.2699999999995</v>
      </c>
      <c r="D179" s="136" t="s">
        <v>243</v>
      </c>
      <c r="E179" s="124">
        <v>45708</v>
      </c>
      <c r="F179" s="194">
        <f>SUM(FEBRERO!V208:AW208)</f>
        <v>2249.27</v>
      </c>
      <c r="G179" s="122">
        <f t="shared" si="20"/>
        <v>0</v>
      </c>
      <c r="H179" s="203" t="s">
        <v>2041</v>
      </c>
      <c r="I179" s="212" t="s">
        <v>617</v>
      </c>
    </row>
    <row r="180" spans="1:9" x14ac:dyDescent="0.35">
      <c r="A180" s="134" t="s">
        <v>251</v>
      </c>
      <c r="B180" s="110" t="s">
        <v>290</v>
      </c>
      <c r="C180" s="194">
        <f>FEBRERO!H209+FEBRERO!S209+FEBRERO!T209</f>
        <v>496.66000000000008</v>
      </c>
      <c r="D180" s="136" t="s">
        <v>243</v>
      </c>
      <c r="E180" s="124">
        <v>45708</v>
      </c>
      <c r="F180" s="194">
        <f>SUM(FEBRERO!V209:AW209)</f>
        <v>496.66</v>
      </c>
      <c r="G180" s="122">
        <f t="shared" si="20"/>
        <v>0</v>
      </c>
      <c r="H180" s="203"/>
    </row>
    <row r="181" spans="1:9" x14ac:dyDescent="0.35">
      <c r="A181" s="134" t="s">
        <v>144</v>
      </c>
      <c r="B181" s="110" t="s">
        <v>290</v>
      </c>
      <c r="C181" s="194">
        <f>FEBRERO!H210+FEBRERO!S210+FEBRERO!T210</f>
        <v>4200</v>
      </c>
      <c r="D181" s="136" t="s">
        <v>243</v>
      </c>
      <c r="E181" s="124">
        <v>45706</v>
      </c>
      <c r="F181" s="194">
        <f>SUM(FEBRERO!V210:AW210)</f>
        <v>4200</v>
      </c>
      <c r="G181" s="122">
        <f t="shared" si="20"/>
        <v>0</v>
      </c>
      <c r="H181" s="203"/>
    </row>
    <row r="182" spans="1:9" x14ac:dyDescent="0.35">
      <c r="A182" s="202" t="s">
        <v>2192</v>
      </c>
      <c r="B182" s="110" t="s">
        <v>290</v>
      </c>
      <c r="C182" s="194">
        <f>FEBRERO!H211+FEBRERO!S211+FEBRERO!T211</f>
        <v>2700</v>
      </c>
      <c r="D182" s="136" t="s">
        <v>243</v>
      </c>
      <c r="E182" s="124">
        <v>45701</v>
      </c>
      <c r="F182" s="194">
        <f>SUM(FEBRERO!V211:AW211)</f>
        <v>2250</v>
      </c>
      <c r="G182" s="122">
        <f t="shared" ref="G182" si="24">C182-F182</f>
        <v>450</v>
      </c>
      <c r="H182" s="203" t="s">
        <v>2285</v>
      </c>
    </row>
    <row r="183" spans="1:9" x14ac:dyDescent="0.35">
      <c r="A183" s="202" t="s">
        <v>146</v>
      </c>
      <c r="B183" s="110" t="s">
        <v>290</v>
      </c>
      <c r="C183" s="194">
        <f>FEBRERO!H212+FEBRERO!S212+FEBRERO!T212</f>
        <v>600</v>
      </c>
      <c r="D183" s="136" t="s">
        <v>243</v>
      </c>
      <c r="E183" s="124">
        <v>45707</v>
      </c>
      <c r="F183" s="194">
        <f>SUM(FEBRERO!V212:AW212)</f>
        <v>600</v>
      </c>
      <c r="G183" s="122">
        <f t="shared" si="20"/>
        <v>0</v>
      </c>
      <c r="H183" s="387" t="s">
        <v>2188</v>
      </c>
    </row>
    <row r="184" spans="1:9" ht="15.5" x14ac:dyDescent="0.35">
      <c r="A184" s="196" t="s">
        <v>1994</v>
      </c>
      <c r="B184" s="196">
        <v>89</v>
      </c>
      <c r="C184" s="197">
        <f>SUM(C95:C183)</f>
        <v>165954.23119999998</v>
      </c>
      <c r="D184" s="197"/>
      <c r="E184" s="197"/>
      <c r="F184" s="197">
        <f>SUM(F95:F183)</f>
        <v>144686.49</v>
      </c>
      <c r="G184" s="197">
        <f>SUM(G95:G183)</f>
        <v>21267.7412</v>
      </c>
      <c r="H184" s="216"/>
    </row>
    <row r="185" spans="1:9" x14ac:dyDescent="0.35">
      <c r="A185" s="142" t="s">
        <v>1080</v>
      </c>
      <c r="B185" s="110" t="s">
        <v>318</v>
      </c>
      <c r="C185" s="194">
        <f>MARZO!I132+MARZO!S132+MARZO!T132</f>
        <v>-500</v>
      </c>
      <c r="D185" s="281" t="s">
        <v>243</v>
      </c>
      <c r="E185" s="279">
        <v>45693</v>
      </c>
      <c r="F185" s="194">
        <f>SUM(MARZO!V132:AZ132)</f>
        <v>0</v>
      </c>
      <c r="G185" s="213">
        <f t="shared" ref="G185:G199" si="25">C185-F185</f>
        <v>-500</v>
      </c>
      <c r="H185" s="386" t="s">
        <v>2194</v>
      </c>
    </row>
    <row r="186" spans="1:9" x14ac:dyDescent="0.35">
      <c r="A186" s="193" t="s">
        <v>569</v>
      </c>
      <c r="B186" s="110" t="s">
        <v>318</v>
      </c>
      <c r="C186" s="194">
        <f>MARZO!I133+MARZO!S133+MARZO!T133</f>
        <v>696</v>
      </c>
      <c r="D186" s="165" t="s">
        <v>243</v>
      </c>
      <c r="E186" s="195">
        <v>45723</v>
      </c>
      <c r="F186" s="194">
        <f>SUM(MARZO!V133:AZ133)</f>
        <v>696</v>
      </c>
      <c r="G186" s="213">
        <f t="shared" si="25"/>
        <v>0</v>
      </c>
      <c r="H186" s="386"/>
    </row>
    <row r="187" spans="1:9" x14ac:dyDescent="0.35">
      <c r="A187" s="134" t="s">
        <v>293</v>
      </c>
      <c r="B187" s="110" t="s">
        <v>318</v>
      </c>
      <c r="C187" s="194">
        <f>MARZO!I134+MARZO!S134+MARZO!T134</f>
        <v>2750</v>
      </c>
      <c r="D187" s="165" t="s">
        <v>243</v>
      </c>
      <c r="E187" s="124">
        <v>45736</v>
      </c>
      <c r="F187" s="194">
        <f>SUM(MARZO!V134:AZ134)</f>
        <v>2750</v>
      </c>
      <c r="G187" s="213">
        <f t="shared" si="25"/>
        <v>0</v>
      </c>
      <c r="H187" s="203" t="s">
        <v>2287</v>
      </c>
    </row>
    <row r="188" spans="1:9" x14ac:dyDescent="0.35">
      <c r="A188" s="134" t="s">
        <v>93</v>
      </c>
      <c r="B188" s="110" t="s">
        <v>318</v>
      </c>
      <c r="C188" s="194">
        <f>MARZO!I135+MARZO!S135+MARZO!T135</f>
        <v>300</v>
      </c>
      <c r="D188" s="136" t="s">
        <v>243</v>
      </c>
      <c r="E188" s="124">
        <v>45731</v>
      </c>
      <c r="F188" s="194">
        <f>SUM(MARZO!V135:AZ135)</f>
        <v>750</v>
      </c>
      <c r="G188" s="122">
        <f t="shared" si="25"/>
        <v>-450</v>
      </c>
      <c r="H188" s="203"/>
    </row>
    <row r="189" spans="1:9" x14ac:dyDescent="0.35">
      <c r="A189" s="134" t="s">
        <v>95</v>
      </c>
      <c r="B189" s="110" t="s">
        <v>318</v>
      </c>
      <c r="C189" s="194">
        <f>MARZO!I136+MARZO!S136+MARZO!T136</f>
        <v>5220</v>
      </c>
      <c r="D189" s="136" t="s">
        <v>243</v>
      </c>
      <c r="E189" s="124">
        <v>45722</v>
      </c>
      <c r="F189" s="194">
        <f>SUM(MARZO!V136:AZ136)</f>
        <v>5220</v>
      </c>
      <c r="G189" s="122">
        <f t="shared" si="25"/>
        <v>0</v>
      </c>
      <c r="H189" s="203"/>
    </row>
    <row r="190" spans="1:9" x14ac:dyDescent="0.35">
      <c r="A190" s="134" t="s">
        <v>1299</v>
      </c>
      <c r="B190" s="110" t="s">
        <v>318</v>
      </c>
      <c r="C190" s="194">
        <f>MARZO!I137+MARZO!S137+MARZO!T137</f>
        <v>300</v>
      </c>
      <c r="D190" s="136" t="s">
        <v>243</v>
      </c>
      <c r="E190" s="124">
        <v>45740</v>
      </c>
      <c r="F190" s="194">
        <f>SUM(MARZO!V137:AZ137)</f>
        <v>300</v>
      </c>
      <c r="G190" s="122">
        <f t="shared" si="25"/>
        <v>0</v>
      </c>
      <c r="H190" s="203"/>
    </row>
    <row r="191" spans="1:9" x14ac:dyDescent="0.35">
      <c r="A191" s="350" t="s">
        <v>1963</v>
      </c>
      <c r="B191" s="110" t="s">
        <v>318</v>
      </c>
      <c r="C191" s="194">
        <f>MARZO!I138+MARZO!S138+MARZO!T138</f>
        <v>350</v>
      </c>
      <c r="D191" s="136" t="s">
        <v>243</v>
      </c>
      <c r="E191" s="124">
        <v>45740</v>
      </c>
      <c r="F191" s="194">
        <f>SUM(MARZO!V138:AZ138)</f>
        <v>350</v>
      </c>
      <c r="G191" s="122">
        <f t="shared" si="25"/>
        <v>0</v>
      </c>
      <c r="H191" s="203"/>
    </row>
    <row r="192" spans="1:9" x14ac:dyDescent="0.35">
      <c r="A192" s="91" t="s">
        <v>1663</v>
      </c>
      <c r="B192" s="110" t="s">
        <v>318</v>
      </c>
      <c r="C192" s="194">
        <f>MARZO!I139+MARZO!S139+MARZO!T139</f>
        <v>0</v>
      </c>
      <c r="D192" s="136" t="s">
        <v>243</v>
      </c>
      <c r="E192" s="124">
        <v>45715</v>
      </c>
      <c r="F192" s="194">
        <f>SUM(MARZO!V139:AZ139)</f>
        <v>0</v>
      </c>
      <c r="G192" s="122">
        <f t="shared" si="25"/>
        <v>0</v>
      </c>
      <c r="H192" s="203" t="s">
        <v>2227</v>
      </c>
    </row>
    <row r="193" spans="1:8" x14ac:dyDescent="0.35">
      <c r="A193" s="134" t="s">
        <v>1571</v>
      </c>
      <c r="B193" s="110" t="s">
        <v>318</v>
      </c>
      <c r="C193" s="194">
        <f>MARZO!I140+MARZO!S140+MARZO!T140</f>
        <v>0</v>
      </c>
      <c r="D193" s="136" t="s">
        <v>243</v>
      </c>
      <c r="E193" s="124">
        <v>45717</v>
      </c>
      <c r="F193" s="194">
        <f>SUM(MARZO!V140:AZ140)</f>
        <v>0</v>
      </c>
      <c r="G193" s="122">
        <f t="shared" si="25"/>
        <v>0</v>
      </c>
      <c r="H193" s="203" t="s">
        <v>1776</v>
      </c>
    </row>
    <row r="194" spans="1:8" x14ac:dyDescent="0.35">
      <c r="A194" s="134" t="s">
        <v>1280</v>
      </c>
      <c r="B194" s="110" t="s">
        <v>318</v>
      </c>
      <c r="C194" s="194">
        <f>MARZO!I141+MARZO!S141+MARZO!T141</f>
        <v>250</v>
      </c>
      <c r="D194" s="136" t="s">
        <v>243</v>
      </c>
      <c r="E194" s="124">
        <v>45728</v>
      </c>
      <c r="F194" s="194">
        <f>SUM(MARZO!V141:AZ141)</f>
        <v>250</v>
      </c>
      <c r="G194" s="122">
        <f t="shared" si="25"/>
        <v>0</v>
      </c>
      <c r="H194" s="203"/>
    </row>
    <row r="195" spans="1:8" x14ac:dyDescent="0.35">
      <c r="A195" s="134" t="s">
        <v>1239</v>
      </c>
      <c r="B195" s="110" t="s">
        <v>318</v>
      </c>
      <c r="C195" s="194">
        <f>MARZO!I142+MARZO!S142+MARZO!T142</f>
        <v>10840</v>
      </c>
      <c r="D195" s="136" t="s">
        <v>243</v>
      </c>
      <c r="E195" s="124">
        <v>45719</v>
      </c>
      <c r="F195" s="194">
        <f>SUM(MARZO!V142:AZ142)</f>
        <v>10840</v>
      </c>
      <c r="G195" s="122">
        <f t="shared" si="25"/>
        <v>0</v>
      </c>
      <c r="H195" s="203" t="s">
        <v>2311</v>
      </c>
    </row>
    <row r="196" spans="1:8" x14ac:dyDescent="0.35">
      <c r="A196" s="134" t="s">
        <v>2069</v>
      </c>
      <c r="B196" s="110" t="s">
        <v>318</v>
      </c>
      <c r="C196" s="194">
        <f>MARZO!I143+MARZO!S143+MARZO!T143</f>
        <v>350</v>
      </c>
      <c r="D196" s="132" t="s">
        <v>2078</v>
      </c>
      <c r="E196" s="372"/>
      <c r="F196" s="194">
        <f>SUM(MARZO!V143:AZ143)</f>
        <v>0</v>
      </c>
      <c r="G196" s="122">
        <f t="shared" si="25"/>
        <v>350</v>
      </c>
      <c r="H196" s="203" t="s">
        <v>2073</v>
      </c>
    </row>
    <row r="197" spans="1:8" x14ac:dyDescent="0.35">
      <c r="A197" s="134" t="s">
        <v>248</v>
      </c>
      <c r="B197" s="110" t="s">
        <v>318</v>
      </c>
      <c r="C197" s="194">
        <f>MARZO!I144+MARZO!S144+MARZO!T144</f>
        <v>600</v>
      </c>
      <c r="D197" s="132" t="s">
        <v>2078</v>
      </c>
      <c r="E197" s="124"/>
      <c r="F197" s="194">
        <f>SUM(MARZO!V144:AZ144)</f>
        <v>0</v>
      </c>
      <c r="G197" s="122">
        <f t="shared" si="25"/>
        <v>600</v>
      </c>
      <c r="H197" s="203"/>
    </row>
    <row r="198" spans="1:8" x14ac:dyDescent="0.35">
      <c r="A198" s="134" t="s">
        <v>1561</v>
      </c>
      <c r="B198" s="110" t="s">
        <v>318</v>
      </c>
      <c r="C198" s="194">
        <f>MARZO!I145+MARZO!S145+MARZO!T145</f>
        <v>245</v>
      </c>
      <c r="D198" s="132" t="s">
        <v>2078</v>
      </c>
      <c r="E198" s="124"/>
      <c r="F198" s="194">
        <f>SUM(MARZO!V145:AZ145)</f>
        <v>0</v>
      </c>
      <c r="G198" s="122">
        <f t="shared" si="25"/>
        <v>245</v>
      </c>
      <c r="H198" s="203"/>
    </row>
    <row r="199" spans="1:8" x14ac:dyDescent="0.35">
      <c r="A199" s="134" t="s">
        <v>254</v>
      </c>
      <c r="B199" s="110" t="s">
        <v>318</v>
      </c>
      <c r="C199" s="194">
        <f>MARZO!I146+MARZO!S146+MARZO!T146</f>
        <v>0</v>
      </c>
      <c r="D199" s="136" t="s">
        <v>243</v>
      </c>
      <c r="E199" s="124">
        <v>45700</v>
      </c>
      <c r="F199" s="194">
        <f>SUM(MARZO!V146:AZ146)</f>
        <v>0</v>
      </c>
      <c r="G199" s="122">
        <f t="shared" si="25"/>
        <v>0</v>
      </c>
      <c r="H199" s="203" t="s">
        <v>2227</v>
      </c>
    </row>
    <row r="200" spans="1:8" x14ac:dyDescent="0.35">
      <c r="A200" s="134" t="s">
        <v>1389</v>
      </c>
      <c r="B200" s="110" t="s">
        <v>318</v>
      </c>
      <c r="C200" s="194">
        <f>MARZO!I147+MARZO!S147+MARZO!T147</f>
        <v>440</v>
      </c>
      <c r="D200" s="136" t="s">
        <v>243</v>
      </c>
      <c r="E200" s="124">
        <v>45723</v>
      </c>
      <c r="F200" s="194">
        <f>SUM(MARZO!V147:AZ147)</f>
        <v>600</v>
      </c>
      <c r="G200" s="122">
        <f>C200-F200</f>
        <v>-160</v>
      </c>
      <c r="H200" s="203" t="s">
        <v>2501</v>
      </c>
    </row>
    <row r="201" spans="1:8" x14ac:dyDescent="0.35">
      <c r="A201" s="134" t="s">
        <v>255</v>
      </c>
      <c r="B201" s="110" t="s">
        <v>318</v>
      </c>
      <c r="C201" s="194">
        <f>MARZO!I148+MARZO!S148+MARZO!T148</f>
        <v>0</v>
      </c>
      <c r="D201" s="136" t="s">
        <v>243</v>
      </c>
      <c r="E201" s="124">
        <v>45715</v>
      </c>
      <c r="F201" s="194">
        <f>SUM(MARZO!V148:AZ148)</f>
        <v>0</v>
      </c>
      <c r="G201" s="122">
        <f t="shared" ref="G201" si="26">C201-F201</f>
        <v>0</v>
      </c>
      <c r="H201" s="203" t="s">
        <v>2227</v>
      </c>
    </row>
    <row r="202" spans="1:8" x14ac:dyDescent="0.35">
      <c r="A202" s="134" t="s">
        <v>1461</v>
      </c>
      <c r="B202" s="110" t="s">
        <v>318</v>
      </c>
      <c r="C202" s="194">
        <f>MARZO!I149+MARZO!S149+MARZO!T149</f>
        <v>1800</v>
      </c>
      <c r="D202" s="136" t="s">
        <v>243</v>
      </c>
      <c r="E202" s="124">
        <v>45717</v>
      </c>
      <c r="F202" s="194">
        <f>SUM(MARZO!V149:AZ149)</f>
        <v>1800</v>
      </c>
      <c r="G202" s="122">
        <f>C202-F202</f>
        <v>0</v>
      </c>
      <c r="H202" s="203"/>
    </row>
    <row r="203" spans="1:8" x14ac:dyDescent="0.35">
      <c r="A203" s="134" t="s">
        <v>635</v>
      </c>
      <c r="B203" s="110" t="s">
        <v>318</v>
      </c>
      <c r="C203" s="194">
        <f>MARZO!I150+MARZO!S150+MARZO!T150</f>
        <v>1500</v>
      </c>
      <c r="D203" s="136" t="s">
        <v>243</v>
      </c>
      <c r="E203" s="124">
        <v>45726</v>
      </c>
      <c r="F203" s="194">
        <f>SUM(MARZO!V150:AZ150)</f>
        <v>1500</v>
      </c>
      <c r="G203" s="122">
        <f t="shared" ref="G203" si="27">C203-F203</f>
        <v>0</v>
      </c>
      <c r="H203" s="203"/>
    </row>
    <row r="204" spans="1:8" x14ac:dyDescent="0.35">
      <c r="A204" s="134" t="s">
        <v>1440</v>
      </c>
      <c r="B204" s="110" t="s">
        <v>318</v>
      </c>
      <c r="C204" s="194">
        <f>MARZO!I151+MARZO!S151+MARZO!T151</f>
        <v>300</v>
      </c>
      <c r="D204" s="136" t="s">
        <v>243</v>
      </c>
      <c r="E204" s="124">
        <v>45724</v>
      </c>
      <c r="F204" s="194">
        <f>SUM(MARZO!V151:AZ151)</f>
        <v>300</v>
      </c>
      <c r="G204" s="122">
        <f>C204-F204</f>
        <v>0</v>
      </c>
      <c r="H204" s="203"/>
    </row>
    <row r="205" spans="1:8" x14ac:dyDescent="0.35">
      <c r="A205" s="134" t="s">
        <v>105</v>
      </c>
      <c r="B205" s="110" t="s">
        <v>318</v>
      </c>
      <c r="C205" s="194">
        <f>MARZO!I152+MARZO!S152+MARZO!T152</f>
        <v>891</v>
      </c>
      <c r="D205" s="136" t="s">
        <v>243</v>
      </c>
      <c r="E205" s="124">
        <v>45719</v>
      </c>
      <c r="F205" s="194">
        <f>SUM(MARZO!V152:AZ152)</f>
        <v>891</v>
      </c>
      <c r="G205" s="122">
        <f t="shared" ref="G205:G232" si="28">C205-F205</f>
        <v>0</v>
      </c>
      <c r="H205" s="203"/>
    </row>
    <row r="206" spans="1:8" x14ac:dyDescent="0.35">
      <c r="A206" s="134" t="s">
        <v>256</v>
      </c>
      <c r="B206" s="110" t="s">
        <v>318</v>
      </c>
      <c r="C206" s="194">
        <f>MARZO!I153+MARZO!S153+MARZO!T153</f>
        <v>300</v>
      </c>
      <c r="D206" s="136" t="s">
        <v>243</v>
      </c>
      <c r="E206" s="124">
        <v>45728</v>
      </c>
      <c r="F206" s="194">
        <f>SUM(MARZO!V153:AZ153)</f>
        <v>300</v>
      </c>
      <c r="G206" s="122">
        <f t="shared" si="28"/>
        <v>0</v>
      </c>
      <c r="H206" s="203"/>
    </row>
    <row r="207" spans="1:8" x14ac:dyDescent="0.35">
      <c r="A207" s="134" t="s">
        <v>359</v>
      </c>
      <c r="B207" s="110" t="s">
        <v>318</v>
      </c>
      <c r="C207" s="194">
        <f>MARZO!I154+MARZO!S154+MARZO!T154</f>
        <v>996</v>
      </c>
      <c r="D207" s="136" t="s">
        <v>243</v>
      </c>
      <c r="E207" s="124">
        <v>45737</v>
      </c>
      <c r="F207" s="194">
        <f>SUM(MARZO!V154:AZ154)</f>
        <v>996</v>
      </c>
      <c r="G207" s="122">
        <f t="shared" si="28"/>
        <v>0</v>
      </c>
      <c r="H207" s="203" t="s">
        <v>2308</v>
      </c>
    </row>
    <row r="208" spans="1:8" x14ac:dyDescent="0.35">
      <c r="A208" s="134" t="s">
        <v>34</v>
      </c>
      <c r="B208" s="110" t="s">
        <v>318</v>
      </c>
      <c r="C208" s="194">
        <f>MARZO!I155+MARZO!S155+MARZO!T155</f>
        <v>869.99560000000019</v>
      </c>
      <c r="D208" s="136" t="s">
        <v>243</v>
      </c>
      <c r="E208" s="124">
        <v>45722</v>
      </c>
      <c r="F208" s="194">
        <f>SUM(MARZO!V155:AZ155)</f>
        <v>870</v>
      </c>
      <c r="G208" s="122">
        <f t="shared" si="28"/>
        <v>-4.3999999998050043E-3</v>
      </c>
      <c r="H208" s="203"/>
    </row>
    <row r="209" spans="1:9" x14ac:dyDescent="0.35">
      <c r="A209" s="134" t="s">
        <v>1625</v>
      </c>
      <c r="B209" s="110" t="s">
        <v>318</v>
      </c>
      <c r="C209" s="194">
        <f>MARZO!I156+MARZO!S156+MARZO!T156</f>
        <v>0</v>
      </c>
      <c r="D209" s="136" t="s">
        <v>243</v>
      </c>
      <c r="E209" s="124">
        <v>45715</v>
      </c>
      <c r="F209" s="194">
        <f>SUM(MARZO!V156:AZ156)</f>
        <v>0</v>
      </c>
      <c r="G209" s="122">
        <f t="shared" si="28"/>
        <v>0</v>
      </c>
      <c r="H209" s="203" t="s">
        <v>2227</v>
      </c>
    </row>
    <row r="210" spans="1:9" x14ac:dyDescent="0.35">
      <c r="A210" s="134" t="s">
        <v>110</v>
      </c>
      <c r="B210" s="110" t="s">
        <v>318</v>
      </c>
      <c r="C210" s="194">
        <f>MARZO!I157+MARZO!S157+MARZO!T157</f>
        <v>280</v>
      </c>
      <c r="D210" s="136" t="s">
        <v>243</v>
      </c>
      <c r="E210" s="124">
        <v>45729</v>
      </c>
      <c r="F210" s="194">
        <f>SUM(MARZO!V157:AZ157)</f>
        <v>280</v>
      </c>
      <c r="G210" s="122">
        <f t="shared" si="28"/>
        <v>0</v>
      </c>
      <c r="H210" s="203"/>
      <c r="I210" s="212" t="s">
        <v>617</v>
      </c>
    </row>
    <row r="211" spans="1:9" x14ac:dyDescent="0.35">
      <c r="A211" s="134" t="s">
        <v>1696</v>
      </c>
      <c r="B211" s="110" t="s">
        <v>318</v>
      </c>
      <c r="C211" s="194">
        <f>MARZO!I158+MARZO!S158+MARZO!T158</f>
        <v>300</v>
      </c>
      <c r="D211" s="136" t="s">
        <v>243</v>
      </c>
      <c r="E211" s="124">
        <v>45720</v>
      </c>
      <c r="F211" s="194">
        <f>SUM(MARZO!V158:AZ158)</f>
        <v>300</v>
      </c>
      <c r="G211" s="122">
        <f t="shared" si="28"/>
        <v>0</v>
      </c>
      <c r="H211" s="203"/>
      <c r="I211" s="1"/>
    </row>
    <row r="212" spans="1:9" x14ac:dyDescent="0.35">
      <c r="A212" s="134" t="s">
        <v>2205</v>
      </c>
      <c r="B212" s="110" t="s">
        <v>318</v>
      </c>
      <c r="C212" s="194">
        <f>MARZO!I159+MARZO!S159+MARZO!T159</f>
        <v>0</v>
      </c>
      <c r="D212" s="136" t="s">
        <v>243</v>
      </c>
      <c r="E212" s="124">
        <v>45715</v>
      </c>
      <c r="F212" s="194">
        <f>SUM(MARZO!V159:AZ159)</f>
        <v>0</v>
      </c>
      <c r="G212" s="122">
        <f t="shared" si="28"/>
        <v>0</v>
      </c>
      <c r="H212" s="203" t="s">
        <v>2227</v>
      </c>
      <c r="I212" s="1"/>
    </row>
    <row r="213" spans="1:9" x14ac:dyDescent="0.35">
      <c r="A213" s="134" t="s">
        <v>1397</v>
      </c>
      <c r="B213" s="110" t="s">
        <v>318</v>
      </c>
      <c r="C213" s="194">
        <f>MARZO!I160+MARZO!S160+MARZO!T160</f>
        <v>300</v>
      </c>
      <c r="D213" s="136" t="s">
        <v>243</v>
      </c>
      <c r="E213" s="124">
        <v>45737</v>
      </c>
      <c r="F213" s="194">
        <f>SUM(MARZO!V160:AZ160)</f>
        <v>300</v>
      </c>
      <c r="G213" s="122">
        <f t="shared" si="28"/>
        <v>0</v>
      </c>
      <c r="H213" s="203"/>
      <c r="I213" s="1"/>
    </row>
    <row r="214" spans="1:9" ht="39" x14ac:dyDescent="0.35">
      <c r="A214" s="134" t="s">
        <v>951</v>
      </c>
      <c r="B214" s="110" t="s">
        <v>318</v>
      </c>
      <c r="C214" s="194">
        <f>MARZO!I161+MARZO!S161+MARZO!T161</f>
        <v>200</v>
      </c>
      <c r="D214" s="132" t="s">
        <v>2078</v>
      </c>
      <c r="E214" s="124"/>
      <c r="F214" s="194">
        <f>SUM(MARZO!V161:AZ161)</f>
        <v>0</v>
      </c>
      <c r="G214" s="122">
        <f t="shared" si="28"/>
        <v>200</v>
      </c>
      <c r="H214" s="203" t="s">
        <v>1348</v>
      </c>
      <c r="I214" s="1"/>
    </row>
    <row r="215" spans="1:9" x14ac:dyDescent="0.35">
      <c r="A215" s="134" t="s">
        <v>249</v>
      </c>
      <c r="B215" s="110" t="s">
        <v>318</v>
      </c>
      <c r="C215" s="194">
        <f>MARZO!I162+MARZO!S162+MARZO!T162</f>
        <v>13700</v>
      </c>
      <c r="D215" s="149" t="s">
        <v>1911</v>
      </c>
      <c r="E215" s="124">
        <v>45737</v>
      </c>
      <c r="F215" s="194">
        <f>SUM(MARZO!V162:AZ162)</f>
        <v>1500</v>
      </c>
      <c r="G215" s="122">
        <f t="shared" si="28"/>
        <v>12200</v>
      </c>
      <c r="H215" s="203" t="s">
        <v>2276</v>
      </c>
    </row>
    <row r="216" spans="1:9" ht="26" x14ac:dyDescent="0.35">
      <c r="A216" s="134" t="s">
        <v>679</v>
      </c>
      <c r="B216" s="110" t="s">
        <v>318</v>
      </c>
      <c r="C216" s="194">
        <f>MARZO!I163+MARZO!S163+MARZO!T163</f>
        <v>5839.66</v>
      </c>
      <c r="D216" s="136" t="s">
        <v>243</v>
      </c>
      <c r="E216" s="124">
        <v>45723</v>
      </c>
      <c r="F216" s="194">
        <f>SUM(MARZO!V163:AZ163)</f>
        <v>5839.66</v>
      </c>
      <c r="G216" s="122">
        <f t="shared" si="28"/>
        <v>0</v>
      </c>
      <c r="H216" s="203" t="s">
        <v>2449</v>
      </c>
    </row>
    <row r="217" spans="1:9" x14ac:dyDescent="0.35">
      <c r="A217" s="134" t="s">
        <v>1367</v>
      </c>
      <c r="B217" s="110" t="s">
        <v>318</v>
      </c>
      <c r="C217" s="194">
        <f>MARZO!I164+MARZO!S164+MARZO!T164</f>
        <v>189</v>
      </c>
      <c r="D217" s="136" t="s">
        <v>243</v>
      </c>
      <c r="E217" s="124">
        <v>45724</v>
      </c>
      <c r="F217" s="194">
        <f>SUM(MARZO!V164:AZ164)</f>
        <v>300</v>
      </c>
      <c r="G217" s="122">
        <f t="shared" si="28"/>
        <v>-111</v>
      </c>
      <c r="H217" s="203"/>
    </row>
    <row r="218" spans="1:9" x14ac:dyDescent="0.35">
      <c r="A218" s="134" t="s">
        <v>908</v>
      </c>
      <c r="B218" s="110" t="s">
        <v>318</v>
      </c>
      <c r="C218" s="194">
        <f>MARZO!I165+MARZO!S165+MARZO!T165</f>
        <v>500</v>
      </c>
      <c r="D218" s="136" t="s">
        <v>243</v>
      </c>
      <c r="E218" s="124">
        <v>45723</v>
      </c>
      <c r="F218" s="194">
        <f>SUM(MARZO!V165:AZ165)</f>
        <v>500</v>
      </c>
      <c r="G218" s="122">
        <f t="shared" si="28"/>
        <v>0</v>
      </c>
      <c r="H218" s="203"/>
    </row>
    <row r="219" spans="1:9" x14ac:dyDescent="0.35">
      <c r="A219" s="134" t="s">
        <v>1642</v>
      </c>
      <c r="B219" s="110" t="s">
        <v>318</v>
      </c>
      <c r="C219" s="194">
        <f>MARZO!I166+MARZO!S166+MARZO!T166</f>
        <v>300</v>
      </c>
      <c r="D219" s="136" t="s">
        <v>243</v>
      </c>
      <c r="E219" s="124">
        <v>45720</v>
      </c>
      <c r="F219" s="194">
        <f>SUM(MARZO!V166:AZ166)</f>
        <v>300</v>
      </c>
      <c r="G219" s="122">
        <f t="shared" si="28"/>
        <v>0</v>
      </c>
      <c r="H219" s="203"/>
    </row>
    <row r="220" spans="1:9" x14ac:dyDescent="0.35">
      <c r="A220" s="134" t="s">
        <v>1485</v>
      </c>
      <c r="B220" s="110" t="s">
        <v>318</v>
      </c>
      <c r="C220" s="194">
        <f>MARZO!I167+MARZO!S167+MARZO!T167</f>
        <v>248</v>
      </c>
      <c r="D220" s="136" t="s">
        <v>243</v>
      </c>
      <c r="E220" s="124">
        <v>45719</v>
      </c>
      <c r="F220" s="194">
        <f>SUM(MARZO!V167:AZ167)</f>
        <v>248</v>
      </c>
      <c r="G220" s="122">
        <f t="shared" si="28"/>
        <v>0</v>
      </c>
      <c r="H220" s="203"/>
    </row>
    <row r="221" spans="1:9" x14ac:dyDescent="0.35">
      <c r="A221" s="91" t="s">
        <v>1906</v>
      </c>
      <c r="B221" s="110" t="s">
        <v>318</v>
      </c>
      <c r="C221" s="194">
        <f>MARZO!I168+MARZO!S168+MARZO!T168</f>
        <v>250</v>
      </c>
      <c r="D221" s="136" t="s">
        <v>243</v>
      </c>
      <c r="E221" s="124">
        <v>45745</v>
      </c>
      <c r="F221" s="194">
        <f>SUM(MARZO!V168:AZ168)</f>
        <v>250</v>
      </c>
      <c r="G221" s="122">
        <f t="shared" si="28"/>
        <v>0</v>
      </c>
      <c r="H221" s="203"/>
    </row>
    <row r="222" spans="1:9" x14ac:dyDescent="0.35">
      <c r="A222" s="357" t="s">
        <v>294</v>
      </c>
      <c r="B222" s="110" t="s">
        <v>318</v>
      </c>
      <c r="C222" s="194">
        <f>MARZO!I169+MARZO!S169+MARZO!T169</f>
        <v>250</v>
      </c>
      <c r="D222" s="136" t="s">
        <v>243</v>
      </c>
      <c r="E222" s="124">
        <v>45743</v>
      </c>
      <c r="F222" s="194">
        <f>SUM(MARZO!V169:AZ169)</f>
        <v>250</v>
      </c>
      <c r="G222" s="122">
        <f t="shared" si="28"/>
        <v>0</v>
      </c>
      <c r="H222" s="203"/>
    </row>
    <row r="223" spans="1:9" x14ac:dyDescent="0.35">
      <c r="A223" s="218" t="s">
        <v>1584</v>
      </c>
      <c r="B223" s="110" t="s">
        <v>318</v>
      </c>
      <c r="C223" s="194">
        <f>MARZO!I170+MARZO!S170+MARZO!T170</f>
        <v>300</v>
      </c>
      <c r="D223" s="136" t="s">
        <v>243</v>
      </c>
      <c r="E223" s="124">
        <v>45728</v>
      </c>
      <c r="F223" s="194">
        <f>SUM(MARZO!V170:AZ170)</f>
        <v>300</v>
      </c>
      <c r="G223" s="122">
        <f t="shared" si="28"/>
        <v>0</v>
      </c>
      <c r="H223" s="203"/>
    </row>
    <row r="224" spans="1:9" x14ac:dyDescent="0.35">
      <c r="A224" s="134" t="s">
        <v>457</v>
      </c>
      <c r="B224" s="110" t="s">
        <v>318</v>
      </c>
      <c r="C224" s="194">
        <f>MARZO!I171+MARZO!S171+MARZO!T171</f>
        <v>-1082.2543999999998</v>
      </c>
      <c r="D224" s="136" t="s">
        <v>243</v>
      </c>
      <c r="E224" s="124">
        <v>45713</v>
      </c>
      <c r="F224" s="194">
        <f>SUM(MARZO!V171:AZ171)</f>
        <v>0</v>
      </c>
      <c r="G224" s="122">
        <f t="shared" si="28"/>
        <v>-1082.2543999999998</v>
      </c>
      <c r="H224" s="203"/>
    </row>
    <row r="225" spans="1:9" x14ac:dyDescent="0.35">
      <c r="A225" s="134" t="s">
        <v>288</v>
      </c>
      <c r="B225" s="110" t="s">
        <v>318</v>
      </c>
      <c r="C225" s="194">
        <f>MARZO!I172+MARZO!S172+MARZO!T172</f>
        <v>1450</v>
      </c>
      <c r="D225" s="136" t="s">
        <v>243</v>
      </c>
      <c r="E225" s="124">
        <v>45726</v>
      </c>
      <c r="F225" s="194">
        <f>SUM(MARZO!V172:AZ172)</f>
        <v>1500</v>
      </c>
      <c r="G225" s="122">
        <f t="shared" si="28"/>
        <v>-50</v>
      </c>
      <c r="H225" s="203" t="s">
        <v>2454</v>
      </c>
    </row>
    <row r="226" spans="1:9" x14ac:dyDescent="0.35">
      <c r="A226" s="134" t="s">
        <v>1356</v>
      </c>
      <c r="B226" s="110" t="s">
        <v>318</v>
      </c>
      <c r="C226" s="194">
        <f>MARZO!I173+MARZO!S173+MARZO!T173</f>
        <v>250</v>
      </c>
      <c r="D226" s="136" t="s">
        <v>243</v>
      </c>
      <c r="E226" s="124">
        <v>45726</v>
      </c>
      <c r="F226" s="194">
        <f>SUM(MARZO!V173:AZ173)</f>
        <v>250</v>
      </c>
      <c r="G226" s="122">
        <f t="shared" si="28"/>
        <v>0</v>
      </c>
      <c r="H226" s="203"/>
    </row>
    <row r="227" spans="1:9" x14ac:dyDescent="0.35">
      <c r="A227" s="134" t="s">
        <v>1422</v>
      </c>
      <c r="B227" s="110" t="s">
        <v>318</v>
      </c>
      <c r="C227" s="194">
        <f>MARZO!I174+MARZO!S174+MARZO!T174</f>
        <v>300</v>
      </c>
      <c r="D227" s="136" t="s">
        <v>243</v>
      </c>
      <c r="E227" s="124">
        <v>45723</v>
      </c>
      <c r="F227" s="194">
        <f>SUM(MARZO!V174:AZ174)</f>
        <v>300</v>
      </c>
      <c r="G227" s="122">
        <f t="shared" si="28"/>
        <v>0</v>
      </c>
      <c r="H227" s="203"/>
    </row>
    <row r="228" spans="1:9" x14ac:dyDescent="0.35">
      <c r="A228" s="134" t="s">
        <v>118</v>
      </c>
      <c r="B228" s="110" t="s">
        <v>318</v>
      </c>
      <c r="C228" s="194">
        <f>MARZO!I175+MARZO!S175+MARZO!T175</f>
        <v>499.99999999999983</v>
      </c>
      <c r="D228" s="136" t="s">
        <v>243</v>
      </c>
      <c r="E228" s="124">
        <v>45731</v>
      </c>
      <c r="F228" s="194">
        <f>SUM(MARZO!V175:AZ175)</f>
        <v>500</v>
      </c>
      <c r="G228" s="122">
        <f t="shared" si="28"/>
        <v>0</v>
      </c>
      <c r="H228" s="203"/>
    </row>
    <row r="229" spans="1:9" x14ac:dyDescent="0.35">
      <c r="A229" s="134" t="s">
        <v>1242</v>
      </c>
      <c r="B229" s="110" t="s">
        <v>318</v>
      </c>
      <c r="C229" s="194">
        <f>MARZO!I176+MARZO!S176+MARZO!T176</f>
        <v>250</v>
      </c>
      <c r="D229" s="132" t="s">
        <v>2078</v>
      </c>
      <c r="E229" s="124"/>
      <c r="F229" s="194">
        <f>SUM(MARZO!V176:AZ176)</f>
        <v>0</v>
      </c>
      <c r="G229" s="122">
        <f t="shared" si="28"/>
        <v>250</v>
      </c>
      <c r="H229" s="203"/>
      <c r="I229" s="1"/>
    </row>
    <row r="230" spans="1:9" x14ac:dyDescent="0.35">
      <c r="A230" s="134" t="s">
        <v>1289</v>
      </c>
      <c r="B230" s="110" t="s">
        <v>318</v>
      </c>
      <c r="C230" s="194">
        <f>MARZO!I177+MARZO!S177+MARZO!T177</f>
        <v>250</v>
      </c>
      <c r="D230" s="136" t="s">
        <v>243</v>
      </c>
      <c r="E230" s="124">
        <v>45737</v>
      </c>
      <c r="F230" s="194">
        <f>SUM(MARZO!V177:AZ177)</f>
        <v>250</v>
      </c>
      <c r="G230" s="122">
        <f t="shared" si="28"/>
        <v>0</v>
      </c>
      <c r="H230" s="203"/>
      <c r="I230" s="1"/>
    </row>
    <row r="231" spans="1:9" x14ac:dyDescent="0.35">
      <c r="A231" s="134" t="s">
        <v>954</v>
      </c>
      <c r="B231" s="110" t="s">
        <v>318</v>
      </c>
      <c r="C231" s="194">
        <f>MARZO!I178+MARZO!S178+MARZO!T178</f>
        <v>2549</v>
      </c>
      <c r="D231" s="136" t="s">
        <v>243</v>
      </c>
      <c r="E231" s="124">
        <v>45724</v>
      </c>
      <c r="F231" s="194">
        <f>SUM(MARZO!V178:AZ178)</f>
        <v>2549</v>
      </c>
      <c r="G231" s="122">
        <f t="shared" si="28"/>
        <v>0</v>
      </c>
      <c r="H231" s="203" t="s">
        <v>2277</v>
      </c>
      <c r="I231" s="1"/>
    </row>
    <row r="232" spans="1:9" x14ac:dyDescent="0.35">
      <c r="A232" s="134" t="s">
        <v>1294</v>
      </c>
      <c r="B232" s="110" t="s">
        <v>318</v>
      </c>
      <c r="C232" s="194">
        <f>MARZO!I179+MARZO!S179+MARZO!T179</f>
        <v>3061</v>
      </c>
      <c r="D232" s="136" t="s">
        <v>243</v>
      </c>
      <c r="E232" s="124">
        <v>45738</v>
      </c>
      <c r="F232" s="194">
        <f>SUM(MARZO!V179:AZ179)</f>
        <v>3061</v>
      </c>
      <c r="G232" s="122">
        <f t="shared" si="28"/>
        <v>0</v>
      </c>
      <c r="H232" s="203" t="s">
        <v>2278</v>
      </c>
    </row>
    <row r="233" spans="1:9" x14ac:dyDescent="0.35">
      <c r="A233" s="134" t="s">
        <v>1377</v>
      </c>
      <c r="B233" s="110" t="s">
        <v>318</v>
      </c>
      <c r="C233" s="194">
        <f>MARZO!I180+MARZO!S180+MARZO!T180</f>
        <v>0</v>
      </c>
      <c r="D233" s="136" t="s">
        <v>243</v>
      </c>
      <c r="E233" s="124">
        <v>45714</v>
      </c>
      <c r="F233" s="194">
        <f>SUM(MARZO!V180:AZ180)</f>
        <v>0</v>
      </c>
      <c r="G233" s="122">
        <f>C233-F233</f>
        <v>0</v>
      </c>
      <c r="H233" s="203" t="s">
        <v>2227</v>
      </c>
    </row>
    <row r="234" spans="1:9" x14ac:dyDescent="0.35">
      <c r="A234" s="134" t="s">
        <v>1566</v>
      </c>
      <c r="B234" s="110" t="s">
        <v>318</v>
      </c>
      <c r="C234" s="194">
        <f>MARZO!I181+MARZO!S181+MARZO!T181</f>
        <v>600</v>
      </c>
      <c r="D234" s="136" t="s">
        <v>243</v>
      </c>
      <c r="E234" s="124">
        <v>45717</v>
      </c>
      <c r="F234" s="194">
        <f>SUM(MARZO!V181:AZ181)</f>
        <v>600</v>
      </c>
      <c r="G234" s="122">
        <f t="shared" ref="G234:G243" si="29">C234-F234</f>
        <v>0</v>
      </c>
      <c r="H234" s="203"/>
      <c r="I234" s="331"/>
    </row>
    <row r="235" spans="1:9" x14ac:dyDescent="0.35">
      <c r="A235" s="134" t="s">
        <v>922</v>
      </c>
      <c r="B235" s="110" t="s">
        <v>318</v>
      </c>
      <c r="C235" s="194">
        <f>MARZO!I182+MARZO!S182+MARZO!T182</f>
        <v>250</v>
      </c>
      <c r="D235" s="136" t="s">
        <v>243</v>
      </c>
      <c r="E235" s="124">
        <v>45725</v>
      </c>
      <c r="F235" s="194">
        <f>SUM(MARZO!V182:AZ182)</f>
        <v>250</v>
      </c>
      <c r="G235" s="122">
        <f t="shared" si="29"/>
        <v>0</v>
      </c>
      <c r="H235" s="203"/>
      <c r="I235" s="331"/>
    </row>
    <row r="236" spans="1:9" x14ac:dyDescent="0.35">
      <c r="A236" s="134" t="s">
        <v>257</v>
      </c>
      <c r="B236" s="110" t="s">
        <v>318</v>
      </c>
      <c r="C236" s="194">
        <f>MARZO!I183+MARZO!S183+MARZO!T183</f>
        <v>1062</v>
      </c>
      <c r="D236" s="136" t="s">
        <v>243</v>
      </c>
      <c r="E236" s="124">
        <v>45724</v>
      </c>
      <c r="F236" s="194">
        <f>SUM(MARZO!V183:AZ183)</f>
        <v>1062</v>
      </c>
      <c r="G236" s="122">
        <f t="shared" si="29"/>
        <v>0</v>
      </c>
      <c r="H236" s="387" t="s">
        <v>2519</v>
      </c>
    </row>
    <row r="237" spans="1:9" x14ac:dyDescent="0.35">
      <c r="A237" s="134" t="s">
        <v>1056</v>
      </c>
      <c r="B237" s="110" t="s">
        <v>318</v>
      </c>
      <c r="C237" s="194">
        <f>MARZO!I184+MARZO!S184+MARZO!T184</f>
        <v>300</v>
      </c>
      <c r="D237" s="136" t="s">
        <v>243</v>
      </c>
      <c r="E237" s="124">
        <v>45723</v>
      </c>
      <c r="F237" s="194">
        <f>SUM(MARZO!V184:AZ184)</f>
        <v>300</v>
      </c>
      <c r="G237" s="122">
        <f t="shared" si="29"/>
        <v>0</v>
      </c>
      <c r="H237" s="387"/>
    </row>
    <row r="238" spans="1:9" x14ac:dyDescent="0.35">
      <c r="A238" s="134" t="s">
        <v>1609</v>
      </c>
      <c r="B238" s="110" t="s">
        <v>318</v>
      </c>
      <c r="C238" s="194">
        <f>MARZO!I185+MARZO!S185+MARZO!T185</f>
        <v>1044</v>
      </c>
      <c r="D238" s="136" t="s">
        <v>243</v>
      </c>
      <c r="E238" s="124">
        <v>45723</v>
      </c>
      <c r="F238" s="194">
        <f>SUM(MARZO!V185:AZ185)</f>
        <v>1044</v>
      </c>
      <c r="G238" s="122">
        <f t="shared" si="29"/>
        <v>0</v>
      </c>
      <c r="H238" s="387"/>
    </row>
    <row r="239" spans="1:9" x14ac:dyDescent="0.35">
      <c r="A239" s="134" t="s">
        <v>945</v>
      </c>
      <c r="B239" s="110" t="s">
        <v>318</v>
      </c>
      <c r="C239" s="194">
        <f>MARZO!I186+MARZO!S186+MARZO!T186</f>
        <v>299</v>
      </c>
      <c r="D239" s="136" t="s">
        <v>243</v>
      </c>
      <c r="E239" s="124">
        <v>45744</v>
      </c>
      <c r="F239" s="194">
        <f>SUM(MARZO!V186:AZ186)</f>
        <v>299</v>
      </c>
      <c r="G239" s="122">
        <f t="shared" si="29"/>
        <v>0</v>
      </c>
      <c r="H239" s="387"/>
    </row>
    <row r="240" spans="1:9" x14ac:dyDescent="0.35">
      <c r="A240" s="134" t="s">
        <v>1660</v>
      </c>
      <c r="B240" s="110" t="s">
        <v>318</v>
      </c>
      <c r="C240" s="194">
        <f>MARZO!I187+MARZO!S187+MARZO!T187</f>
        <v>300</v>
      </c>
      <c r="D240" s="136" t="s">
        <v>243</v>
      </c>
      <c r="E240" s="124">
        <v>45719</v>
      </c>
      <c r="F240" s="194">
        <f>SUM(MARZO!V187:AZ187)</f>
        <v>300</v>
      </c>
      <c r="G240" s="122">
        <f t="shared" si="29"/>
        <v>0</v>
      </c>
      <c r="H240" s="387"/>
    </row>
    <row r="241" spans="1:9" x14ac:dyDescent="0.35">
      <c r="A241" s="134" t="s">
        <v>258</v>
      </c>
      <c r="B241" s="110" t="s">
        <v>318</v>
      </c>
      <c r="C241" s="194">
        <f>MARZO!I188+MARZO!S188+MARZO!T188</f>
        <v>350</v>
      </c>
      <c r="D241" s="136" t="s">
        <v>243</v>
      </c>
      <c r="E241" s="124">
        <v>45730</v>
      </c>
      <c r="F241" s="194">
        <f>SUM(MARZO!V188:AZ188)</f>
        <v>350</v>
      </c>
      <c r="G241" s="122">
        <f t="shared" si="29"/>
        <v>0</v>
      </c>
      <c r="H241" s="203"/>
    </row>
    <row r="242" spans="1:9" x14ac:dyDescent="0.35">
      <c r="A242" s="91" t="s">
        <v>863</v>
      </c>
      <c r="B242" s="110" t="s">
        <v>318</v>
      </c>
      <c r="C242" s="194">
        <f>MARZO!I189+MARZO!S189+MARZO!T189</f>
        <v>498</v>
      </c>
      <c r="D242" s="136" t="s">
        <v>243</v>
      </c>
      <c r="E242" s="124">
        <v>45721</v>
      </c>
      <c r="F242" s="194">
        <f>SUM(MARZO!V189:AZ189)</f>
        <v>498</v>
      </c>
      <c r="G242" s="122">
        <f t="shared" si="29"/>
        <v>0</v>
      </c>
      <c r="H242" s="203"/>
    </row>
    <row r="243" spans="1:9" x14ac:dyDescent="0.35">
      <c r="A243" s="134" t="s">
        <v>1557</v>
      </c>
      <c r="B243" s="110" t="s">
        <v>318</v>
      </c>
      <c r="C243" s="194">
        <f>MARZO!I190+MARZO!S190+MARZO!T190</f>
        <v>300</v>
      </c>
      <c r="D243" s="136" t="s">
        <v>243</v>
      </c>
      <c r="E243" s="124">
        <v>45728</v>
      </c>
      <c r="F243" s="194">
        <f>SUM(MARZO!V190:AZ190)</f>
        <v>300</v>
      </c>
      <c r="G243" s="122">
        <f t="shared" si="29"/>
        <v>0</v>
      </c>
      <c r="H243" s="203"/>
    </row>
    <row r="244" spans="1:9" x14ac:dyDescent="0.35">
      <c r="A244" s="134" t="s">
        <v>2433</v>
      </c>
      <c r="B244" s="110" t="s">
        <v>318</v>
      </c>
      <c r="C244" s="194">
        <f>MARZO!I191+MARZO!S191+MARZO!T191</f>
        <v>2300</v>
      </c>
      <c r="D244" s="136" t="s">
        <v>243</v>
      </c>
      <c r="E244" s="124">
        <v>45721</v>
      </c>
      <c r="F244" s="194">
        <f>SUM(MARZO!V191:AZ191)</f>
        <v>2300</v>
      </c>
      <c r="G244" s="122">
        <f t="shared" ref="G244" si="30">C244-F244</f>
        <v>0</v>
      </c>
      <c r="H244" s="203" t="s">
        <v>2435</v>
      </c>
    </row>
    <row r="245" spans="1:9" x14ac:dyDescent="0.35">
      <c r="A245" s="134" t="s">
        <v>1265</v>
      </c>
      <c r="B245" s="110" t="s">
        <v>318</v>
      </c>
      <c r="C245" s="194">
        <f>MARZO!I192+MARZO!S192+MARZO!T192</f>
        <v>900</v>
      </c>
      <c r="D245" s="136" t="s">
        <v>243</v>
      </c>
      <c r="E245" s="124">
        <v>45719</v>
      </c>
      <c r="F245" s="194">
        <f>SUM(MARZO!V192:AZ192)</f>
        <v>900</v>
      </c>
      <c r="G245" s="122">
        <f>C245-F245</f>
        <v>0</v>
      </c>
      <c r="H245" s="203"/>
    </row>
    <row r="246" spans="1:9" x14ac:dyDescent="0.35">
      <c r="A246" s="134" t="s">
        <v>971</v>
      </c>
      <c r="B246" s="110" t="s">
        <v>318</v>
      </c>
      <c r="C246" s="194">
        <f>MARZO!I193+MARZO!S193+MARZO!T193</f>
        <v>250</v>
      </c>
      <c r="D246" s="136" t="s">
        <v>243</v>
      </c>
      <c r="E246" s="124">
        <v>45717</v>
      </c>
      <c r="F246" s="194">
        <f>SUM(MARZO!V193:AZ193)</f>
        <v>250</v>
      </c>
      <c r="G246" s="122">
        <f>C246-F246</f>
        <v>0</v>
      </c>
      <c r="H246" s="203"/>
    </row>
    <row r="247" spans="1:9" x14ac:dyDescent="0.35">
      <c r="A247" s="134" t="s">
        <v>1026</v>
      </c>
      <c r="B247" s="110" t="s">
        <v>318</v>
      </c>
      <c r="C247" s="194">
        <f>MARZO!I194+MARZO!S194+MARZO!T194</f>
        <v>4750</v>
      </c>
      <c r="D247" s="149" t="s">
        <v>1911</v>
      </c>
      <c r="E247" s="124">
        <v>45722</v>
      </c>
      <c r="F247" s="194">
        <f>SUM(MARZO!V194:AZ194)</f>
        <v>2500</v>
      </c>
      <c r="G247" s="122">
        <f>C247-F247</f>
        <v>2250</v>
      </c>
      <c r="H247" s="203"/>
      <c r="I247" s="212" t="s">
        <v>931</v>
      </c>
    </row>
    <row r="248" spans="1:9" x14ac:dyDescent="0.35">
      <c r="A248" s="134" t="s">
        <v>1359</v>
      </c>
      <c r="B248" s="110" t="s">
        <v>318</v>
      </c>
      <c r="C248" s="194">
        <f>MARZO!I195+MARZO!S195+MARZO!T195</f>
        <v>280</v>
      </c>
      <c r="D248" s="136" t="s">
        <v>243</v>
      </c>
      <c r="E248" s="124">
        <v>45720</v>
      </c>
      <c r="F248" s="194">
        <f>SUM(MARZO!V195:AZ195)</f>
        <v>280</v>
      </c>
      <c r="G248" s="122">
        <f>C248-F248</f>
        <v>0</v>
      </c>
      <c r="H248" s="203"/>
    </row>
    <row r="249" spans="1:9" x14ac:dyDescent="0.35">
      <c r="A249" s="134" t="s">
        <v>618</v>
      </c>
      <c r="B249" s="110" t="s">
        <v>318</v>
      </c>
      <c r="C249" s="194">
        <f>MARZO!I196+MARZO!S196+MARZO!T196</f>
        <v>900</v>
      </c>
      <c r="D249" s="136" t="s">
        <v>243</v>
      </c>
      <c r="E249" s="124">
        <v>45735</v>
      </c>
      <c r="F249" s="194">
        <f>SUM(MARZO!V196:AZ196)</f>
        <v>900</v>
      </c>
      <c r="G249" s="122">
        <f t="shared" ref="G249:G268" si="31">C249-F249</f>
        <v>0</v>
      </c>
      <c r="H249" s="203"/>
    </row>
    <row r="250" spans="1:9" ht="26" x14ac:dyDescent="0.35">
      <c r="A250" s="134" t="s">
        <v>131</v>
      </c>
      <c r="B250" s="110" t="s">
        <v>318</v>
      </c>
      <c r="C250" s="194">
        <f>MARZO!I197+MARZO!S197+MARZO!T197</f>
        <v>25770</v>
      </c>
      <c r="D250" s="149" t="s">
        <v>1911</v>
      </c>
      <c r="E250" s="124">
        <v>45738</v>
      </c>
      <c r="F250" s="194">
        <f>SUM(MARZO!V197:AZ197)</f>
        <v>25400</v>
      </c>
      <c r="G250" s="122">
        <f t="shared" si="31"/>
        <v>370</v>
      </c>
      <c r="H250" s="203" t="s">
        <v>2490</v>
      </c>
    </row>
    <row r="251" spans="1:9" x14ac:dyDescent="0.35">
      <c r="A251" s="134" t="s">
        <v>259</v>
      </c>
      <c r="B251" s="110" t="s">
        <v>318</v>
      </c>
      <c r="C251" s="194">
        <f>MARZO!I198+MARZO!S198+MARZO!T198</f>
        <v>17680</v>
      </c>
      <c r="D251" s="136" t="s">
        <v>243</v>
      </c>
      <c r="E251" s="124">
        <v>45735</v>
      </c>
      <c r="F251" s="194">
        <f>SUM(MARZO!V198:AZ198)</f>
        <v>17680</v>
      </c>
      <c r="G251" s="122">
        <f t="shared" si="31"/>
        <v>0</v>
      </c>
      <c r="H251" s="387" t="s">
        <v>2489</v>
      </c>
    </row>
    <row r="252" spans="1:9" x14ac:dyDescent="0.35">
      <c r="A252" s="134" t="s">
        <v>2252</v>
      </c>
      <c r="B252" s="110" t="s">
        <v>318</v>
      </c>
      <c r="C252" s="194">
        <f>MARZO!I199+MARZO!S199+MARZO!T199</f>
        <v>300</v>
      </c>
      <c r="D252" s="136" t="s">
        <v>243</v>
      </c>
      <c r="E252" s="124">
        <v>45734</v>
      </c>
      <c r="F252" s="194">
        <f>SUM(MARZO!V199:AZ199)</f>
        <v>300</v>
      </c>
      <c r="G252" s="122">
        <f t="shared" si="31"/>
        <v>0</v>
      </c>
      <c r="H252" s="203"/>
    </row>
    <row r="253" spans="1:9" x14ac:dyDescent="0.35">
      <c r="A253" s="134" t="s">
        <v>260</v>
      </c>
      <c r="B253" s="110" t="s">
        <v>318</v>
      </c>
      <c r="C253" s="194">
        <f>MARZO!I200+MARZO!S200+MARZO!T200</f>
        <v>8700</v>
      </c>
      <c r="D253" s="149" t="s">
        <v>1911</v>
      </c>
      <c r="E253" s="124">
        <v>45736</v>
      </c>
      <c r="F253" s="194">
        <f>SUM(MARZO!V200:AZ200)</f>
        <v>4000</v>
      </c>
      <c r="G253" s="122">
        <f t="shared" si="31"/>
        <v>4700</v>
      </c>
      <c r="H253" s="203" t="s">
        <v>2546</v>
      </c>
    </row>
    <row r="254" spans="1:9" x14ac:dyDescent="0.35">
      <c r="A254" s="134" t="s">
        <v>250</v>
      </c>
      <c r="B254" s="110" t="s">
        <v>318</v>
      </c>
      <c r="C254" s="194">
        <f>MARZO!I201+MARZO!S201+MARZO!T201</f>
        <v>500</v>
      </c>
      <c r="D254" s="136" t="s">
        <v>243</v>
      </c>
      <c r="E254" s="124">
        <v>45735</v>
      </c>
      <c r="F254" s="194">
        <f>SUM(MARZO!V201:AZ201)</f>
        <v>1000</v>
      </c>
      <c r="G254" s="122">
        <f t="shared" si="31"/>
        <v>-500</v>
      </c>
      <c r="H254" s="203" t="s">
        <v>2523</v>
      </c>
      <c r="I254" s="1"/>
    </row>
    <row r="255" spans="1:9" x14ac:dyDescent="0.35">
      <c r="A255" s="134" t="s">
        <v>421</v>
      </c>
      <c r="B255" s="110" t="s">
        <v>318</v>
      </c>
      <c r="C255" s="194">
        <f>MARZO!I202+MARZO!S202+MARZO!T202</f>
        <v>2000</v>
      </c>
      <c r="D255" s="136" t="s">
        <v>243</v>
      </c>
      <c r="E255" s="124">
        <v>45740</v>
      </c>
      <c r="F255" s="194">
        <f>SUM(MARZO!V202:AZ202)</f>
        <v>2000</v>
      </c>
      <c r="G255" s="122">
        <f t="shared" si="31"/>
        <v>0</v>
      </c>
      <c r="H255" s="388" t="s">
        <v>2480</v>
      </c>
      <c r="I255" s="212" t="s">
        <v>617</v>
      </c>
    </row>
    <row r="256" spans="1:9" x14ac:dyDescent="0.35">
      <c r="A256" s="134" t="s">
        <v>140</v>
      </c>
      <c r="B256" s="110" t="s">
        <v>318</v>
      </c>
      <c r="C256" s="194">
        <f>MARZO!I203+MARZO!S203+MARZO!T203</f>
        <v>750</v>
      </c>
      <c r="D256" s="132" t="s">
        <v>2078</v>
      </c>
      <c r="E256" s="124"/>
      <c r="F256" s="194">
        <f>SUM(MARZO!V203:AZ203)</f>
        <v>0</v>
      </c>
      <c r="G256" s="122">
        <f t="shared" si="31"/>
        <v>750</v>
      </c>
      <c r="H256" s="203"/>
      <c r="I256" s="212" t="s">
        <v>617</v>
      </c>
    </row>
    <row r="257" spans="1:9" x14ac:dyDescent="0.35">
      <c r="A257" s="134" t="s">
        <v>2245</v>
      </c>
      <c r="B257" s="110" t="s">
        <v>318</v>
      </c>
      <c r="C257" s="194">
        <f>MARZO!I204+MARZO!S204+MARZO!T204</f>
        <v>1700</v>
      </c>
      <c r="D257" s="136" t="s">
        <v>243</v>
      </c>
      <c r="E257" s="124">
        <v>45729</v>
      </c>
      <c r="F257" s="194">
        <f>SUM(MARZO!V204:AZ204)</f>
        <v>1700</v>
      </c>
      <c r="G257" s="122">
        <f t="shared" si="31"/>
        <v>0</v>
      </c>
      <c r="H257" s="203"/>
      <c r="I257" s="212" t="s">
        <v>617</v>
      </c>
    </row>
    <row r="258" spans="1:9" x14ac:dyDescent="0.35">
      <c r="A258" s="134" t="s">
        <v>2256</v>
      </c>
      <c r="B258" s="110" t="s">
        <v>318</v>
      </c>
      <c r="C258" s="194">
        <f>MARZO!I205+MARZO!S205+MARZO!T205</f>
        <v>299</v>
      </c>
      <c r="D258" s="136" t="s">
        <v>243</v>
      </c>
      <c r="E258" s="124">
        <v>45743</v>
      </c>
      <c r="F258" s="194">
        <f>SUM(MARZO!V205:AZ205)</f>
        <v>299</v>
      </c>
      <c r="G258" s="122">
        <f t="shared" si="31"/>
        <v>0</v>
      </c>
      <c r="H258" s="203"/>
      <c r="I258" s="1"/>
    </row>
    <row r="259" spans="1:9" x14ac:dyDescent="0.35">
      <c r="A259" s="134" t="s">
        <v>2298</v>
      </c>
      <c r="B259" s="110" t="s">
        <v>318</v>
      </c>
      <c r="C259" s="194">
        <f>MARZO!I206+MARZO!S206+MARZO!T206</f>
        <v>0</v>
      </c>
      <c r="D259" s="136" t="s">
        <v>243</v>
      </c>
      <c r="E259" s="124">
        <v>45714</v>
      </c>
      <c r="F259" s="194">
        <f>SUM(MARZO!V206:AZ206)</f>
        <v>0</v>
      </c>
      <c r="G259" s="122">
        <f t="shared" ref="G259:G260" si="32">C259-F259</f>
        <v>0</v>
      </c>
      <c r="H259" s="203" t="s">
        <v>2301</v>
      </c>
      <c r="I259" s="1"/>
    </row>
    <row r="260" spans="1:9" ht="26" x14ac:dyDescent="0.35">
      <c r="A260" s="134" t="s">
        <v>2526</v>
      </c>
      <c r="B260" s="110" t="s">
        <v>318</v>
      </c>
      <c r="C260" s="194">
        <f>MARZO!I207+MARZO!S207+MARZO!T207</f>
        <v>4200</v>
      </c>
      <c r="D260" s="136" t="s">
        <v>243</v>
      </c>
      <c r="E260" s="124">
        <v>45736</v>
      </c>
      <c r="F260" s="194">
        <f>SUM(MARZO!V207:AZ207)</f>
        <v>4200</v>
      </c>
      <c r="G260" s="122">
        <f t="shared" si="32"/>
        <v>0</v>
      </c>
      <c r="H260" s="203" t="s">
        <v>2549</v>
      </c>
      <c r="I260" s="1"/>
    </row>
    <row r="261" spans="1:9" ht="26" x14ac:dyDescent="0.35">
      <c r="A261" s="134" t="s">
        <v>295</v>
      </c>
      <c r="B261" s="110" t="s">
        <v>318</v>
      </c>
      <c r="C261" s="194">
        <f>MARZO!I208+MARZO!S208+MARZO!T208-MARZO!U208</f>
        <v>499.99999999999955</v>
      </c>
      <c r="D261" s="136" t="s">
        <v>243</v>
      </c>
      <c r="E261" s="124">
        <v>45735</v>
      </c>
      <c r="F261" s="194">
        <f>SUM(MARZO!V208:AZ208)</f>
        <v>500</v>
      </c>
      <c r="G261" s="122">
        <f t="shared" ref="G261:G262" si="33">C261-F261</f>
        <v>-4.5474735088646412E-13</v>
      </c>
      <c r="H261" s="203" t="s">
        <v>2307</v>
      </c>
      <c r="I261" s="212" t="s">
        <v>617</v>
      </c>
    </row>
    <row r="262" spans="1:9" x14ac:dyDescent="0.35">
      <c r="A262" s="134" t="s">
        <v>2575</v>
      </c>
      <c r="B262" s="110" t="s">
        <v>318</v>
      </c>
      <c r="C262" s="194">
        <f>MARZO!I209+MARZO!S209+MARZO!T209</f>
        <v>984.84</v>
      </c>
      <c r="D262" s="136" t="s">
        <v>243</v>
      </c>
      <c r="E262" s="124">
        <v>45745</v>
      </c>
      <c r="F262" s="194">
        <f>SUM(MARZO!V209:AZ209)</f>
        <v>985</v>
      </c>
      <c r="G262" s="122">
        <f t="shared" si="33"/>
        <v>-0.15999999999996817</v>
      </c>
      <c r="H262" s="203" t="s">
        <v>2577</v>
      </c>
      <c r="I262" s="1"/>
    </row>
    <row r="263" spans="1:9" x14ac:dyDescent="0.35">
      <c r="A263" s="134" t="s">
        <v>251</v>
      </c>
      <c r="B263" s="110" t="s">
        <v>318</v>
      </c>
      <c r="C263" s="194">
        <f>MARZO!I210+MARZO!S210+MARZO!T210</f>
        <v>500.00000000000006</v>
      </c>
      <c r="D263" s="136" t="s">
        <v>243</v>
      </c>
      <c r="E263" s="124">
        <v>45740</v>
      </c>
      <c r="F263" s="194">
        <f>SUM(MARZO!V210:AZ210)</f>
        <v>500</v>
      </c>
      <c r="G263" s="122">
        <f t="shared" si="31"/>
        <v>0</v>
      </c>
      <c r="H263" s="203"/>
    </row>
    <row r="264" spans="1:9" x14ac:dyDescent="0.35">
      <c r="A264" s="134" t="s">
        <v>144</v>
      </c>
      <c r="B264" s="110" t="s">
        <v>318</v>
      </c>
      <c r="C264" s="194">
        <f>MARZO!I211+MARZO!S211+MARZO!T211</f>
        <v>4200</v>
      </c>
      <c r="D264" s="136" t="s">
        <v>243</v>
      </c>
      <c r="E264" s="124">
        <v>45736</v>
      </c>
      <c r="F264" s="194">
        <f>SUM(MARZO!V211:AZ211)</f>
        <v>4200</v>
      </c>
      <c r="G264" s="122">
        <f t="shared" si="31"/>
        <v>0</v>
      </c>
      <c r="H264" s="203"/>
    </row>
    <row r="265" spans="1:9" ht="26" x14ac:dyDescent="0.35">
      <c r="A265" s="202" t="s">
        <v>2192</v>
      </c>
      <c r="B265" s="110" t="s">
        <v>318</v>
      </c>
      <c r="C265" s="194">
        <f>MARZO!I212+MARZO!S212+MARZO!T212</f>
        <v>2650</v>
      </c>
      <c r="D265" s="374" t="s">
        <v>243</v>
      </c>
      <c r="E265" s="375">
        <v>45745</v>
      </c>
      <c r="F265" s="194">
        <f>SUM(MARZO!V212:AZ212)</f>
        <v>2650</v>
      </c>
      <c r="G265" s="122">
        <f t="shared" ref="G265:G267" si="34">C265-F265</f>
        <v>0</v>
      </c>
      <c r="H265" s="203" t="s">
        <v>2540</v>
      </c>
    </row>
    <row r="266" spans="1:9" x14ac:dyDescent="0.35">
      <c r="A266" s="202" t="s">
        <v>2533</v>
      </c>
      <c r="B266" s="110" t="s">
        <v>318</v>
      </c>
      <c r="C266" s="194">
        <f>MARZO!I213+MARZO!S213+MARZO!T213</f>
        <v>1850</v>
      </c>
      <c r="D266" s="374" t="s">
        <v>243</v>
      </c>
      <c r="E266" s="375">
        <v>45737</v>
      </c>
      <c r="F266" s="194">
        <f>SUM(MARZO!V213:AZ213)</f>
        <v>1850</v>
      </c>
      <c r="G266" s="122">
        <f t="shared" ref="G266" si="35">C266-F266</f>
        <v>0</v>
      </c>
      <c r="H266" s="203" t="s">
        <v>2532</v>
      </c>
    </row>
    <row r="267" spans="1:9" x14ac:dyDescent="0.35">
      <c r="A267" s="202" t="s">
        <v>2507</v>
      </c>
      <c r="B267" s="110" t="s">
        <v>318</v>
      </c>
      <c r="C267" s="194">
        <f>MARZO!I214+MARZO!S214+MARZO!T214</f>
        <v>6000</v>
      </c>
      <c r="D267" s="404" t="s">
        <v>1911</v>
      </c>
      <c r="E267" s="375">
        <v>45744</v>
      </c>
      <c r="F267" s="194">
        <f>SUM(MARZO!V214:AZ214)</f>
        <v>3000</v>
      </c>
      <c r="G267" s="122">
        <f t="shared" si="34"/>
        <v>3000</v>
      </c>
      <c r="H267" s="203" t="s">
        <v>2429</v>
      </c>
    </row>
    <row r="268" spans="1:9" ht="15" thickBot="1" x14ac:dyDescent="0.4">
      <c r="A268" s="202" t="s">
        <v>146</v>
      </c>
      <c r="B268" s="157" t="s">
        <v>318</v>
      </c>
      <c r="C268" s="373">
        <f>MARZO!I215+MARZO!S215+MARZO!T215</f>
        <v>300</v>
      </c>
      <c r="D268" s="402" t="s">
        <v>2078</v>
      </c>
      <c r="E268" s="375"/>
      <c r="F268" s="373">
        <f>SUM(MARZO!V215:AZ215)</f>
        <v>0</v>
      </c>
      <c r="G268" s="184">
        <f t="shared" si="31"/>
        <v>300</v>
      </c>
      <c r="H268" s="387" t="s">
        <v>2524</v>
      </c>
    </row>
    <row r="269" spans="1:9" ht="16" thickBot="1" x14ac:dyDescent="0.4">
      <c r="A269" s="377" t="s">
        <v>2271</v>
      </c>
      <c r="B269" s="378">
        <v>84</v>
      </c>
      <c r="C269" s="379">
        <f>SUM(C185:C268)</f>
        <v>151949.24119999999</v>
      </c>
      <c r="D269" s="379"/>
      <c r="E269" s="379"/>
      <c r="F269" s="379">
        <f>SUM(F185:F268)</f>
        <v>129587.66</v>
      </c>
      <c r="G269" s="379">
        <f>SUM(G185:G268)</f>
        <v>22361.581200000001</v>
      </c>
      <c r="H269" s="403"/>
    </row>
    <row r="270" spans="1:9" ht="15.5" x14ac:dyDescent="0.35">
      <c r="A270" s="142" t="s">
        <v>1080</v>
      </c>
      <c r="B270" s="110" t="s">
        <v>403</v>
      </c>
      <c r="C270" s="194">
        <f>ABRIL!J137+ABRIL!S137+ABRIL!T137</f>
        <v>-250</v>
      </c>
      <c r="D270" s="281" t="s">
        <v>243</v>
      </c>
      <c r="E270" s="279">
        <v>45693</v>
      </c>
      <c r="F270" s="194">
        <f>SUM(ABRIL!V137:AY137)</f>
        <v>0</v>
      </c>
      <c r="G270" s="213">
        <f t="shared" ref="G270:G286" si="36">C270-F270</f>
        <v>-250</v>
      </c>
      <c r="H270" s="278"/>
    </row>
    <row r="271" spans="1:9" x14ac:dyDescent="0.35">
      <c r="A271" s="193" t="s">
        <v>569</v>
      </c>
      <c r="B271" s="110" t="s">
        <v>403</v>
      </c>
      <c r="C271" s="194">
        <f>ABRIL!J138+ABRIL!S138+ABRIL!T138</f>
        <v>696</v>
      </c>
      <c r="D271" s="165" t="s">
        <v>243</v>
      </c>
      <c r="E271" s="195">
        <v>45751</v>
      </c>
      <c r="F271" s="194">
        <f>SUM(ABRIL!V138:AY138)</f>
        <v>696</v>
      </c>
      <c r="G271" s="213">
        <f t="shared" si="36"/>
        <v>0</v>
      </c>
      <c r="H271" s="277"/>
    </row>
    <row r="272" spans="1:9" x14ac:dyDescent="0.35">
      <c r="A272" s="134" t="s">
        <v>293</v>
      </c>
      <c r="B272" s="110" t="s">
        <v>403</v>
      </c>
      <c r="C272" s="194">
        <f>ABRIL!J139+ABRIL!S139+ABRIL!T139</f>
        <v>3050</v>
      </c>
      <c r="D272" s="165" t="s">
        <v>243</v>
      </c>
      <c r="E272" s="124">
        <v>45756</v>
      </c>
      <c r="F272" s="194">
        <f>SUM(ABRIL!V139:AY139)</f>
        <v>3050</v>
      </c>
      <c r="G272" s="213">
        <f t="shared" si="36"/>
        <v>0</v>
      </c>
      <c r="H272" s="214"/>
    </row>
    <row r="273" spans="1:8" x14ac:dyDescent="0.35">
      <c r="A273" s="134" t="s">
        <v>93</v>
      </c>
      <c r="B273" s="110" t="s">
        <v>403</v>
      </c>
      <c r="C273" s="194">
        <f>ABRIL!J140+ABRIL!S140+ABRIL!T140</f>
        <v>300</v>
      </c>
      <c r="D273" s="136" t="s">
        <v>243</v>
      </c>
      <c r="E273" s="124">
        <v>45762</v>
      </c>
      <c r="F273" s="194">
        <f>SUM(ABRIL!V140:AY140)</f>
        <v>750</v>
      </c>
      <c r="G273" s="122">
        <f t="shared" si="36"/>
        <v>-450</v>
      </c>
      <c r="H273" s="214"/>
    </row>
    <row r="274" spans="1:8" x14ac:dyDescent="0.35">
      <c r="A274" s="134" t="s">
        <v>95</v>
      </c>
      <c r="B274" s="110" t="s">
        <v>403</v>
      </c>
      <c r="C274" s="194">
        <f>ABRIL!J141+ABRIL!S141+ABRIL!T141</f>
        <v>11159.2</v>
      </c>
      <c r="D274" s="136" t="s">
        <v>243</v>
      </c>
      <c r="E274" s="124">
        <v>45752</v>
      </c>
      <c r="F274" s="194">
        <f>SUM(ABRIL!V141:AY141)</f>
        <v>6380</v>
      </c>
      <c r="G274" s="122">
        <f t="shared" si="36"/>
        <v>4779.2000000000007</v>
      </c>
      <c r="H274" s="214"/>
    </row>
    <row r="275" spans="1:8" x14ac:dyDescent="0.35">
      <c r="A275" s="134" t="s">
        <v>1299</v>
      </c>
      <c r="B275" s="110" t="s">
        <v>403</v>
      </c>
      <c r="C275" s="194">
        <f>ABRIL!J142+ABRIL!S142+ABRIL!T142</f>
        <v>300</v>
      </c>
      <c r="D275" s="136" t="s">
        <v>243</v>
      </c>
      <c r="E275" s="124">
        <v>45770</v>
      </c>
      <c r="F275" s="194">
        <f>SUM(ABRIL!V142:AY142)</f>
        <v>300</v>
      </c>
      <c r="G275" s="122">
        <f t="shared" si="36"/>
        <v>0</v>
      </c>
      <c r="H275" s="214"/>
    </row>
    <row r="276" spans="1:8" x14ac:dyDescent="0.35">
      <c r="A276" s="350" t="s">
        <v>2810</v>
      </c>
      <c r="B276" s="110" t="s">
        <v>403</v>
      </c>
      <c r="C276" s="194">
        <f>ABRIL!J143+ABRIL!S143+ABRIL!T143</f>
        <v>2350</v>
      </c>
      <c r="D276" s="136" t="s">
        <v>243</v>
      </c>
      <c r="E276" s="124">
        <v>45757</v>
      </c>
      <c r="F276" s="194">
        <f>SUM(ABRIL!V143:AY143)</f>
        <v>2350</v>
      </c>
      <c r="G276" s="122">
        <f t="shared" ref="G276" si="37">C276-F276</f>
        <v>0</v>
      </c>
      <c r="H276" s="214"/>
    </row>
    <row r="277" spans="1:8" x14ac:dyDescent="0.35">
      <c r="A277" s="350" t="s">
        <v>1963</v>
      </c>
      <c r="B277" s="110" t="s">
        <v>403</v>
      </c>
      <c r="C277" s="194">
        <f>ABRIL!J144+ABRIL!S144+ABRIL!T144</f>
        <v>350</v>
      </c>
      <c r="D277" s="136" t="s">
        <v>243</v>
      </c>
      <c r="E277" s="124">
        <v>45772</v>
      </c>
      <c r="F277" s="194">
        <f>SUM(ABRIL!V144:AY144)</f>
        <v>350</v>
      </c>
      <c r="G277" s="122">
        <f t="shared" si="36"/>
        <v>0</v>
      </c>
      <c r="H277" s="214"/>
    </row>
    <row r="278" spans="1:8" x14ac:dyDescent="0.35">
      <c r="A278" s="91" t="s">
        <v>1663</v>
      </c>
      <c r="B278" s="110" t="s">
        <v>403</v>
      </c>
      <c r="C278" s="194">
        <f>ABRIL!J145+ABRIL!S145+ABRIL!T145</f>
        <v>750</v>
      </c>
      <c r="D278" s="136" t="s">
        <v>243</v>
      </c>
      <c r="E278" s="124">
        <v>45748</v>
      </c>
      <c r="F278" s="194">
        <f>SUM(ABRIL!V145:AY145)</f>
        <v>750</v>
      </c>
      <c r="G278" s="122">
        <f t="shared" si="36"/>
        <v>0</v>
      </c>
      <c r="H278" s="214"/>
    </row>
    <row r="279" spans="1:8" x14ac:dyDescent="0.35">
      <c r="A279" s="134" t="s">
        <v>1571</v>
      </c>
      <c r="B279" s="110" t="s">
        <v>403</v>
      </c>
      <c r="C279" s="194">
        <f>ABRIL!J146+ABRIL!S146+ABRIL!T146</f>
        <v>0</v>
      </c>
      <c r="D279" s="136" t="s">
        <v>243</v>
      </c>
      <c r="E279" s="124">
        <v>45748</v>
      </c>
      <c r="F279" s="194">
        <f>SUM(ABRIL!V146:AY146)</f>
        <v>0</v>
      </c>
      <c r="G279" s="122">
        <f t="shared" si="36"/>
        <v>0</v>
      </c>
      <c r="H279" s="214"/>
    </row>
    <row r="280" spans="1:8" x14ac:dyDescent="0.35">
      <c r="A280" s="134" t="s">
        <v>1280</v>
      </c>
      <c r="B280" s="110" t="s">
        <v>403</v>
      </c>
      <c r="C280" s="194">
        <f>ABRIL!J147+ABRIL!S147+ABRIL!T147</f>
        <v>250</v>
      </c>
      <c r="D280" s="136" t="s">
        <v>243</v>
      </c>
      <c r="E280" s="124">
        <v>45754</v>
      </c>
      <c r="F280" s="194">
        <f>SUM(ABRIL!V147:AY147)</f>
        <v>250</v>
      </c>
      <c r="G280" s="122">
        <f t="shared" si="36"/>
        <v>0</v>
      </c>
      <c r="H280" s="214"/>
    </row>
    <row r="281" spans="1:8" x14ac:dyDescent="0.35">
      <c r="A281" s="134" t="s">
        <v>1239</v>
      </c>
      <c r="B281" s="110" t="s">
        <v>403</v>
      </c>
      <c r="C281" s="194">
        <f>ABRIL!J148+ABRIL!S148+ABRIL!T148</f>
        <v>2050</v>
      </c>
      <c r="D281" s="136" t="s">
        <v>243</v>
      </c>
      <c r="E281" s="124">
        <v>45751</v>
      </c>
      <c r="F281" s="194">
        <f>SUM(ABRIL!V148:AY148)</f>
        <v>2050</v>
      </c>
      <c r="G281" s="122">
        <f t="shared" si="36"/>
        <v>0</v>
      </c>
      <c r="H281" s="214"/>
    </row>
    <row r="282" spans="1:8" x14ac:dyDescent="0.35">
      <c r="A282" s="134" t="s">
        <v>2069</v>
      </c>
      <c r="B282" s="110" t="s">
        <v>403</v>
      </c>
      <c r="C282" s="194">
        <f>ABRIL!J149+ABRIL!S149+ABRIL!T149</f>
        <v>700</v>
      </c>
      <c r="D282" s="136" t="s">
        <v>243</v>
      </c>
      <c r="E282" s="124">
        <v>45772</v>
      </c>
      <c r="F282" s="194">
        <f>SUM(ABRIL!V149:AY149)</f>
        <v>700</v>
      </c>
      <c r="G282" s="122">
        <f t="shared" si="36"/>
        <v>0</v>
      </c>
      <c r="H282" s="214"/>
    </row>
    <row r="283" spans="1:8" x14ac:dyDescent="0.35">
      <c r="A283" s="134" t="s">
        <v>248</v>
      </c>
      <c r="B283" s="110" t="s">
        <v>403</v>
      </c>
      <c r="C283" s="194">
        <f>ABRIL!J150+ABRIL!S150+ABRIL!T150</f>
        <v>1200</v>
      </c>
      <c r="D283" s="136"/>
      <c r="E283" s="124"/>
      <c r="F283" s="194">
        <f>SUM(ABRIL!V150:AY150)</f>
        <v>0</v>
      </c>
      <c r="G283" s="122">
        <f t="shared" si="36"/>
        <v>1200</v>
      </c>
      <c r="H283" s="214"/>
    </row>
    <row r="284" spans="1:8" x14ac:dyDescent="0.35">
      <c r="A284" s="134" t="s">
        <v>2775</v>
      </c>
      <c r="B284" s="110" t="s">
        <v>403</v>
      </c>
      <c r="C284" s="194">
        <f>ABRIL!J151+ABRIL!S151+ABRIL!T151</f>
        <v>2547</v>
      </c>
      <c r="D284" s="136" t="s">
        <v>243</v>
      </c>
      <c r="E284" s="124">
        <v>45756</v>
      </c>
      <c r="F284" s="194">
        <f>SUM(ABRIL!V151:AY151)</f>
        <v>2547</v>
      </c>
      <c r="G284" s="122">
        <f t="shared" ref="G284" si="38">C284-F284</f>
        <v>0</v>
      </c>
      <c r="H284" s="214"/>
    </row>
    <row r="285" spans="1:8" x14ac:dyDescent="0.35">
      <c r="A285" s="134" t="s">
        <v>1561</v>
      </c>
      <c r="B285" s="110" t="s">
        <v>403</v>
      </c>
      <c r="C285" s="194">
        <f>ABRIL!J152+ABRIL!S152+ABRIL!T152</f>
        <v>544</v>
      </c>
      <c r="D285" s="136" t="s">
        <v>1911</v>
      </c>
      <c r="E285" s="124">
        <v>45748</v>
      </c>
      <c r="F285" s="194">
        <f>SUM(ABRIL!V152:AY152)</f>
        <v>300</v>
      </c>
      <c r="G285" s="122">
        <f t="shared" si="36"/>
        <v>244</v>
      </c>
      <c r="H285" s="214"/>
    </row>
    <row r="286" spans="1:8" x14ac:dyDescent="0.35">
      <c r="A286" s="134" t="s">
        <v>254</v>
      </c>
      <c r="B286" s="110" t="s">
        <v>403</v>
      </c>
      <c r="C286" s="194">
        <f>ABRIL!J153+ABRIL!S153+ABRIL!T153</f>
        <v>300</v>
      </c>
      <c r="D286" s="136"/>
      <c r="E286" s="124"/>
      <c r="F286" s="194">
        <f>SUM(ABRIL!V153:AY153)</f>
        <v>0</v>
      </c>
      <c r="G286" s="122">
        <f t="shared" si="36"/>
        <v>300</v>
      </c>
      <c r="H286" s="214"/>
    </row>
    <row r="287" spans="1:8" x14ac:dyDescent="0.35">
      <c r="A287" s="134" t="s">
        <v>1389</v>
      </c>
      <c r="B287" s="110" t="s">
        <v>403</v>
      </c>
      <c r="C287" s="194">
        <f>ABRIL!J154+ABRIL!S154+ABRIL!T154</f>
        <v>140</v>
      </c>
      <c r="D287" s="136" t="s">
        <v>243</v>
      </c>
      <c r="E287" s="124">
        <v>45763</v>
      </c>
      <c r="F287" s="194">
        <f>SUM(ABRIL!V154:AY154)</f>
        <v>140</v>
      </c>
      <c r="G287" s="122">
        <f>C287-F287</f>
        <v>0</v>
      </c>
      <c r="H287" s="214"/>
    </row>
    <row r="288" spans="1:8" x14ac:dyDescent="0.35">
      <c r="A288" s="134" t="s">
        <v>255</v>
      </c>
      <c r="B288" s="110" t="s">
        <v>403</v>
      </c>
      <c r="C288" s="194">
        <f>ABRIL!J155+ABRIL!S155+ABRIL!T155</f>
        <v>300</v>
      </c>
      <c r="D288" s="136" t="s">
        <v>243</v>
      </c>
      <c r="E288" s="124">
        <v>45748</v>
      </c>
      <c r="F288" s="194">
        <f>SUM(ABRIL!V155:AY155)</f>
        <v>300</v>
      </c>
      <c r="G288" s="122">
        <f t="shared" ref="G288" si="39">C288-F288</f>
        <v>0</v>
      </c>
      <c r="H288" s="215"/>
    </row>
    <row r="289" spans="1:9" x14ac:dyDescent="0.35">
      <c r="A289" s="134" t="s">
        <v>1461</v>
      </c>
      <c r="B289" s="110" t="s">
        <v>403</v>
      </c>
      <c r="C289" s="194">
        <f>ABRIL!J156+ABRIL!S156+ABRIL!T156</f>
        <v>1800</v>
      </c>
      <c r="D289" s="136" t="s">
        <v>243</v>
      </c>
      <c r="E289" s="124">
        <v>45750</v>
      </c>
      <c r="F289" s="194">
        <f>SUM(ABRIL!V156:AY156)</f>
        <v>1800</v>
      </c>
      <c r="G289" s="122">
        <f>C289-F289</f>
        <v>0</v>
      </c>
      <c r="H289" s="215"/>
    </row>
    <row r="290" spans="1:9" x14ac:dyDescent="0.35">
      <c r="A290" s="134" t="s">
        <v>635</v>
      </c>
      <c r="B290" s="110" t="s">
        <v>403</v>
      </c>
      <c r="C290" s="194">
        <f>ABRIL!J157+ABRIL!S157+ABRIL!T157</f>
        <v>1500</v>
      </c>
      <c r="D290" s="136" t="s">
        <v>243</v>
      </c>
      <c r="E290" s="124">
        <v>45751</v>
      </c>
      <c r="F290" s="194">
        <f>SUM(ABRIL!V157:AY157)</f>
        <v>1500</v>
      </c>
      <c r="G290" s="122">
        <f t="shared" ref="G290" si="40">C290-F290</f>
        <v>0</v>
      </c>
      <c r="H290" s="214"/>
    </row>
    <row r="291" spans="1:9" x14ac:dyDescent="0.35">
      <c r="A291" s="134" t="s">
        <v>1440</v>
      </c>
      <c r="B291" s="110" t="s">
        <v>403</v>
      </c>
      <c r="C291" s="194">
        <f>ABRIL!J158+ABRIL!S158+ABRIL!T158</f>
        <v>300</v>
      </c>
      <c r="D291" s="136" t="s">
        <v>243</v>
      </c>
      <c r="E291" s="124">
        <v>45757</v>
      </c>
      <c r="F291" s="194">
        <f>SUM(ABRIL!V158:AY158)</f>
        <v>300</v>
      </c>
      <c r="G291" s="122">
        <f>C291-F291</f>
        <v>0</v>
      </c>
      <c r="H291" s="214"/>
    </row>
    <row r="292" spans="1:9" x14ac:dyDescent="0.35">
      <c r="A292" s="134" t="s">
        <v>105</v>
      </c>
      <c r="B292" s="110" t="s">
        <v>403</v>
      </c>
      <c r="C292" s="194">
        <f>ABRIL!J159+ABRIL!S159+ABRIL!T159</f>
        <v>891</v>
      </c>
      <c r="D292" s="136" t="s">
        <v>243</v>
      </c>
      <c r="E292" s="124">
        <v>45750</v>
      </c>
      <c r="F292" s="194">
        <f>SUM(ABRIL!V159:AY159)</f>
        <v>891</v>
      </c>
      <c r="G292" s="122">
        <f t="shared" ref="G292:G319" si="41">C292-F292</f>
        <v>0</v>
      </c>
      <c r="H292" s="215"/>
    </row>
    <row r="293" spans="1:9" x14ac:dyDescent="0.35">
      <c r="A293" s="134" t="s">
        <v>256</v>
      </c>
      <c r="B293" s="110" t="s">
        <v>403</v>
      </c>
      <c r="C293" s="194">
        <f>ABRIL!J160+ABRIL!S160+ABRIL!T160</f>
        <v>300</v>
      </c>
      <c r="D293" s="136" t="s">
        <v>243</v>
      </c>
      <c r="E293" s="124">
        <v>45764</v>
      </c>
      <c r="F293" s="194">
        <f>SUM(ABRIL!V160:AY160)</f>
        <v>300</v>
      </c>
      <c r="G293" s="122">
        <f t="shared" si="41"/>
        <v>0</v>
      </c>
      <c r="H293" s="214"/>
    </row>
    <row r="294" spans="1:9" x14ac:dyDescent="0.35">
      <c r="A294" s="134" t="s">
        <v>359</v>
      </c>
      <c r="B294" s="110" t="s">
        <v>403</v>
      </c>
      <c r="C294" s="194">
        <f>ABRIL!J161+ABRIL!S161+ABRIL!T161</f>
        <v>3445</v>
      </c>
      <c r="D294" s="136"/>
      <c r="E294" s="124"/>
      <c r="F294" s="194">
        <f>SUM(ABRIL!V161:AY161)</f>
        <v>0</v>
      </c>
      <c r="G294" s="122">
        <f t="shared" si="41"/>
        <v>3445</v>
      </c>
      <c r="H294" s="214"/>
    </row>
    <row r="295" spans="1:9" x14ac:dyDescent="0.35">
      <c r="A295" s="134" t="s">
        <v>34</v>
      </c>
      <c r="B295" s="110" t="s">
        <v>403</v>
      </c>
      <c r="C295" s="194">
        <f>ABRIL!J162+ABRIL!S162+ABRIL!T162</f>
        <v>869.99560000000019</v>
      </c>
      <c r="D295" s="136" t="s">
        <v>243</v>
      </c>
      <c r="E295" s="124">
        <v>45749</v>
      </c>
      <c r="F295" s="194">
        <f>SUM(ABRIL!V162:AY162)</f>
        <v>870</v>
      </c>
      <c r="G295" s="122">
        <f t="shared" si="41"/>
        <v>-4.3999999998050043E-3</v>
      </c>
      <c r="H295" s="214"/>
    </row>
    <row r="296" spans="1:9" x14ac:dyDescent="0.35">
      <c r="A296" s="134" t="s">
        <v>1625</v>
      </c>
      <c r="B296" s="110" t="s">
        <v>403</v>
      </c>
      <c r="C296" s="194">
        <f>ABRIL!J163+ABRIL!S163+ABRIL!T163</f>
        <v>300</v>
      </c>
      <c r="D296" s="136" t="s">
        <v>243</v>
      </c>
      <c r="E296" s="124">
        <v>45750</v>
      </c>
      <c r="F296" s="194">
        <f>SUM(ABRIL!V163:AY163)</f>
        <v>300</v>
      </c>
      <c r="G296" s="122">
        <f t="shared" si="41"/>
        <v>0</v>
      </c>
      <c r="H296" s="214"/>
    </row>
    <row r="297" spans="1:9" x14ac:dyDescent="0.35">
      <c r="A297" s="134" t="s">
        <v>110</v>
      </c>
      <c r="B297" s="110" t="s">
        <v>403</v>
      </c>
      <c r="C297" s="194">
        <f>ABRIL!J164+ABRIL!S164+ABRIL!T164</f>
        <v>280</v>
      </c>
      <c r="D297" s="136" t="s">
        <v>243</v>
      </c>
      <c r="E297" s="124">
        <v>45762</v>
      </c>
      <c r="F297" s="194">
        <f>SUM(ABRIL!V164:AY164)</f>
        <v>280</v>
      </c>
      <c r="G297" s="122">
        <f t="shared" si="41"/>
        <v>0</v>
      </c>
      <c r="H297" s="214"/>
      <c r="I297" s="212" t="s">
        <v>617</v>
      </c>
    </row>
    <row r="298" spans="1:9" x14ac:dyDescent="0.35">
      <c r="A298" s="134" t="s">
        <v>1696</v>
      </c>
      <c r="B298" s="110" t="s">
        <v>403</v>
      </c>
      <c r="C298" s="194">
        <f>ABRIL!J165+ABRIL!S165+ABRIL!T165</f>
        <v>300</v>
      </c>
      <c r="D298" s="136" t="s">
        <v>243</v>
      </c>
      <c r="E298" s="124">
        <v>45751</v>
      </c>
      <c r="F298" s="194">
        <f>SUM(ABRIL!V165:AY165)</f>
        <v>300</v>
      </c>
      <c r="G298" s="122">
        <f t="shared" si="41"/>
        <v>0</v>
      </c>
      <c r="H298" s="214"/>
      <c r="I298" s="1"/>
    </row>
    <row r="299" spans="1:9" x14ac:dyDescent="0.35">
      <c r="A299" s="134" t="s">
        <v>2205</v>
      </c>
      <c r="B299" s="110" t="s">
        <v>403</v>
      </c>
      <c r="C299" s="194">
        <f>ABRIL!J166+ABRIL!S166+ABRIL!T166</f>
        <v>0</v>
      </c>
      <c r="D299" s="132" t="s">
        <v>456</v>
      </c>
      <c r="E299" s="124">
        <v>45749</v>
      </c>
      <c r="F299" s="194">
        <f>SUM(ABRIL!V166:AY166)</f>
        <v>0</v>
      </c>
      <c r="G299" s="122">
        <f t="shared" si="41"/>
        <v>0</v>
      </c>
      <c r="H299" s="214"/>
      <c r="I299" s="1"/>
    </row>
    <row r="300" spans="1:9" x14ac:dyDescent="0.35">
      <c r="A300" s="134" t="s">
        <v>1397</v>
      </c>
      <c r="B300" s="110" t="s">
        <v>403</v>
      </c>
      <c r="C300" s="194">
        <f>ABRIL!J167+ABRIL!S167+ABRIL!T167</f>
        <v>300</v>
      </c>
      <c r="D300" s="136" t="s">
        <v>243</v>
      </c>
      <c r="E300" s="124">
        <v>45772</v>
      </c>
      <c r="F300" s="194">
        <f>SUM(ABRIL!V167:AY167)</f>
        <v>300</v>
      </c>
      <c r="G300" s="122">
        <f t="shared" si="41"/>
        <v>0</v>
      </c>
      <c r="H300" s="214"/>
      <c r="I300" s="1"/>
    </row>
    <row r="301" spans="1:9" x14ac:dyDescent="0.35">
      <c r="A301" s="134" t="s">
        <v>951</v>
      </c>
      <c r="B301" s="110" t="s">
        <v>403</v>
      </c>
      <c r="C301" s="194">
        <f>ABRIL!J168+ABRIL!S168+ABRIL!T168</f>
        <v>0</v>
      </c>
      <c r="D301" s="136"/>
      <c r="E301" s="124"/>
      <c r="F301" s="194">
        <f>SUM(ABRIL!V168:AY168)</f>
        <v>0</v>
      </c>
      <c r="G301" s="122">
        <f t="shared" si="41"/>
        <v>0</v>
      </c>
      <c r="H301" s="214"/>
      <c r="I301" s="1"/>
    </row>
    <row r="302" spans="1:9" x14ac:dyDescent="0.35">
      <c r="A302" s="134" t="s">
        <v>249</v>
      </c>
      <c r="B302" s="110" t="s">
        <v>403</v>
      </c>
      <c r="C302" s="194">
        <f>ABRIL!J169+ABRIL!S169+ABRIL!T169</f>
        <v>13700</v>
      </c>
      <c r="D302" s="132" t="s">
        <v>1911</v>
      </c>
      <c r="E302" s="124">
        <v>45751</v>
      </c>
      <c r="F302" s="194">
        <f>SUM(ABRIL!V169:AY169)</f>
        <v>1000</v>
      </c>
      <c r="G302" s="122">
        <f t="shared" si="41"/>
        <v>12700</v>
      </c>
      <c r="H302" s="214"/>
    </row>
    <row r="303" spans="1:9" x14ac:dyDescent="0.35">
      <c r="A303" s="134" t="s">
        <v>679</v>
      </c>
      <c r="B303" s="110" t="s">
        <v>403</v>
      </c>
      <c r="C303" s="194">
        <f>ABRIL!J170+ABRIL!S170+ABRIL!T170</f>
        <v>2000</v>
      </c>
      <c r="D303" s="149" t="s">
        <v>243</v>
      </c>
      <c r="E303" s="124">
        <v>45754</v>
      </c>
      <c r="F303" s="194">
        <f>SUM(ABRIL!V170:AY170)</f>
        <v>2000</v>
      </c>
      <c r="G303" s="122">
        <f t="shared" si="41"/>
        <v>0</v>
      </c>
      <c r="H303" s="214"/>
    </row>
    <row r="304" spans="1:9" x14ac:dyDescent="0.35">
      <c r="A304" s="134" t="s">
        <v>1367</v>
      </c>
      <c r="B304" s="110" t="s">
        <v>403</v>
      </c>
      <c r="C304" s="194">
        <f>ABRIL!J171+ABRIL!S171+ABRIL!T171</f>
        <v>189</v>
      </c>
      <c r="D304" s="136" t="s">
        <v>243</v>
      </c>
      <c r="E304" s="124">
        <v>45754</v>
      </c>
      <c r="F304" s="194">
        <f>SUM(ABRIL!V171:AY171)</f>
        <v>300</v>
      </c>
      <c r="G304" s="122">
        <f t="shared" si="41"/>
        <v>-111</v>
      </c>
      <c r="H304" s="214"/>
    </row>
    <row r="305" spans="1:9" x14ac:dyDescent="0.35">
      <c r="A305" s="134" t="s">
        <v>908</v>
      </c>
      <c r="B305" s="110" t="s">
        <v>403</v>
      </c>
      <c r="C305" s="194">
        <f>ABRIL!J172+ABRIL!S172+ABRIL!T172</f>
        <v>333</v>
      </c>
      <c r="D305" s="136" t="s">
        <v>243</v>
      </c>
      <c r="E305" s="124">
        <v>45759</v>
      </c>
      <c r="F305" s="194">
        <f>SUM(ABRIL!V172:AY172)</f>
        <v>333</v>
      </c>
      <c r="G305" s="122">
        <f t="shared" si="41"/>
        <v>0</v>
      </c>
      <c r="H305" s="214"/>
    </row>
    <row r="306" spans="1:9" x14ac:dyDescent="0.35">
      <c r="A306" s="134" t="s">
        <v>1642</v>
      </c>
      <c r="B306" s="110" t="s">
        <v>403</v>
      </c>
      <c r="C306" s="194">
        <f>ABRIL!J173+ABRIL!S173+ABRIL!T173</f>
        <v>300</v>
      </c>
      <c r="D306" s="136" t="s">
        <v>243</v>
      </c>
      <c r="E306" s="124">
        <v>45754</v>
      </c>
      <c r="F306" s="194">
        <f>SUM(ABRIL!V173:AY173)</f>
        <v>300</v>
      </c>
      <c r="G306" s="122">
        <f t="shared" si="41"/>
        <v>0</v>
      </c>
      <c r="H306" s="214"/>
    </row>
    <row r="307" spans="1:9" x14ac:dyDescent="0.35">
      <c r="A307" s="134" t="s">
        <v>1485</v>
      </c>
      <c r="B307" s="110" t="s">
        <v>403</v>
      </c>
      <c r="C307" s="194">
        <f>ABRIL!J174+ABRIL!S174+ABRIL!T174</f>
        <v>249</v>
      </c>
      <c r="D307" s="136" t="s">
        <v>243</v>
      </c>
      <c r="E307" s="124">
        <v>45748</v>
      </c>
      <c r="F307" s="194">
        <f>SUM(ABRIL!V174:AY174)</f>
        <v>240</v>
      </c>
      <c r="G307" s="122">
        <f t="shared" si="41"/>
        <v>9</v>
      </c>
      <c r="H307" s="214"/>
    </row>
    <row r="308" spans="1:9" x14ac:dyDescent="0.35">
      <c r="A308" s="91" t="s">
        <v>1906</v>
      </c>
      <c r="B308" s="110" t="s">
        <v>403</v>
      </c>
      <c r="C308" s="194">
        <f>ABRIL!J175+ABRIL!S175+ABRIL!T175</f>
        <v>250</v>
      </c>
      <c r="D308" s="136" t="s">
        <v>243</v>
      </c>
      <c r="E308" s="124">
        <v>45757</v>
      </c>
      <c r="F308" s="194">
        <f>SUM(ABRIL!V175:AY175)</f>
        <v>250</v>
      </c>
      <c r="G308" s="122">
        <f t="shared" si="41"/>
        <v>0</v>
      </c>
      <c r="H308" s="214"/>
    </row>
    <row r="309" spans="1:9" x14ac:dyDescent="0.35">
      <c r="A309" s="357" t="s">
        <v>294</v>
      </c>
      <c r="B309" s="110" t="s">
        <v>403</v>
      </c>
      <c r="C309" s="194">
        <f>ABRIL!J176+ABRIL!S176+ABRIL!T176</f>
        <v>250</v>
      </c>
      <c r="D309" s="136" t="s">
        <v>243</v>
      </c>
      <c r="E309" s="124">
        <v>45764</v>
      </c>
      <c r="F309" s="194">
        <f>SUM(ABRIL!V176:AY176)</f>
        <v>250</v>
      </c>
      <c r="G309" s="122">
        <f t="shared" si="41"/>
        <v>0</v>
      </c>
      <c r="H309" s="214"/>
    </row>
    <row r="310" spans="1:9" x14ac:dyDescent="0.35">
      <c r="A310" s="218" t="s">
        <v>1584</v>
      </c>
      <c r="B310" s="110" t="s">
        <v>403</v>
      </c>
      <c r="C310" s="194">
        <f>ABRIL!J177+ABRIL!S177+ABRIL!T177</f>
        <v>300</v>
      </c>
      <c r="D310" s="136" t="s">
        <v>243</v>
      </c>
      <c r="E310" s="124">
        <v>45762</v>
      </c>
      <c r="F310" s="194">
        <f>SUM(ABRIL!V177:AY177)</f>
        <v>300</v>
      </c>
      <c r="G310" s="122">
        <f t="shared" si="41"/>
        <v>0</v>
      </c>
      <c r="H310" s="214"/>
    </row>
    <row r="311" spans="1:9" x14ac:dyDescent="0.35">
      <c r="A311" s="134" t="s">
        <v>457</v>
      </c>
      <c r="B311" s="110" t="s">
        <v>403</v>
      </c>
      <c r="C311" s="194">
        <f>ABRIL!J178+ABRIL!S178+ABRIL!T178</f>
        <v>-270.25439999999981</v>
      </c>
      <c r="D311" s="136" t="s">
        <v>243</v>
      </c>
      <c r="E311" s="124">
        <v>45713</v>
      </c>
      <c r="F311" s="194">
        <f>SUM(ABRIL!V178:AY178)</f>
        <v>0</v>
      </c>
      <c r="G311" s="122">
        <f t="shared" si="41"/>
        <v>-270.25439999999981</v>
      </c>
      <c r="H311" s="224"/>
    </row>
    <row r="312" spans="1:9" x14ac:dyDescent="0.35">
      <c r="A312" s="134" t="s">
        <v>288</v>
      </c>
      <c r="B312" s="110" t="s">
        <v>403</v>
      </c>
      <c r="C312" s="194">
        <f>ABRIL!J179+ABRIL!S179+ABRIL!T179</f>
        <v>1450</v>
      </c>
      <c r="D312" s="136" t="s">
        <v>243</v>
      </c>
      <c r="E312" s="124">
        <v>45755</v>
      </c>
      <c r="F312" s="194">
        <f>SUM(ABRIL!V179:AY179)</f>
        <v>1500</v>
      </c>
      <c r="G312" s="122">
        <f t="shared" si="41"/>
        <v>-50</v>
      </c>
      <c r="H312" s="214"/>
    </row>
    <row r="313" spans="1:9" x14ac:dyDescent="0.35">
      <c r="A313" s="134" t="s">
        <v>1356</v>
      </c>
      <c r="B313" s="110" t="s">
        <v>403</v>
      </c>
      <c r="C313" s="194">
        <f>ABRIL!J180+ABRIL!S180+ABRIL!T180</f>
        <v>250</v>
      </c>
      <c r="D313" s="136" t="s">
        <v>243</v>
      </c>
      <c r="E313" s="124">
        <v>45756</v>
      </c>
      <c r="F313" s="194">
        <f>SUM(ABRIL!V180:AY180)</f>
        <v>250</v>
      </c>
      <c r="G313" s="122">
        <f t="shared" si="41"/>
        <v>0</v>
      </c>
      <c r="H313" s="214"/>
    </row>
    <row r="314" spans="1:9" x14ac:dyDescent="0.35">
      <c r="A314" s="134" t="s">
        <v>1422</v>
      </c>
      <c r="B314" s="110" t="s">
        <v>403</v>
      </c>
      <c r="C314" s="194">
        <f>ABRIL!J181+ABRIL!S181+ABRIL!T181</f>
        <v>300</v>
      </c>
      <c r="D314" s="136" t="s">
        <v>243</v>
      </c>
      <c r="E314" s="124">
        <v>45758</v>
      </c>
      <c r="F314" s="194">
        <f>SUM(ABRIL!V181:AY181)</f>
        <v>300</v>
      </c>
      <c r="G314" s="122">
        <f t="shared" si="41"/>
        <v>0</v>
      </c>
      <c r="H314" s="214"/>
    </row>
    <row r="315" spans="1:9" ht="29" x14ac:dyDescent="0.35">
      <c r="A315" s="134" t="s">
        <v>1658</v>
      </c>
      <c r="B315" s="110" t="s">
        <v>403</v>
      </c>
      <c r="C315" s="194">
        <f>ABRIL!J182+ABRIL!S182+ABRIL!T182</f>
        <v>499.99999999999983</v>
      </c>
      <c r="D315" s="136" t="s">
        <v>243</v>
      </c>
      <c r="E315" s="124">
        <v>45752</v>
      </c>
      <c r="F315" s="194">
        <f>SUM(ABRIL!V182:AY182)</f>
        <v>500</v>
      </c>
      <c r="G315" s="122">
        <f t="shared" si="41"/>
        <v>0</v>
      </c>
      <c r="H315" s="214"/>
    </row>
    <row r="316" spans="1:9" x14ac:dyDescent="0.35">
      <c r="A316" s="134" t="s">
        <v>1242</v>
      </c>
      <c r="B316" s="110" t="s">
        <v>403</v>
      </c>
      <c r="C316" s="194">
        <f>ABRIL!J183+ABRIL!S183+ABRIL!T183</f>
        <v>0</v>
      </c>
      <c r="D316" s="132" t="s">
        <v>456</v>
      </c>
      <c r="E316" s="124">
        <v>45748</v>
      </c>
      <c r="F316" s="194">
        <f>SUM(ABRIL!V183:AY183)</f>
        <v>0</v>
      </c>
      <c r="G316" s="122">
        <f t="shared" si="41"/>
        <v>0</v>
      </c>
      <c r="H316" s="214"/>
      <c r="I316" s="1"/>
    </row>
    <row r="317" spans="1:9" x14ac:dyDescent="0.35">
      <c r="A317" s="134" t="s">
        <v>1289</v>
      </c>
      <c r="B317" s="110" t="s">
        <v>403</v>
      </c>
      <c r="C317" s="194">
        <f>ABRIL!J184+ABRIL!S184+ABRIL!T184</f>
        <v>250</v>
      </c>
      <c r="D317" s="136" t="s">
        <v>243</v>
      </c>
      <c r="E317" s="124">
        <v>45757</v>
      </c>
      <c r="F317" s="194">
        <f>SUM(ABRIL!V184:AY184)</f>
        <v>250</v>
      </c>
      <c r="G317" s="122">
        <f t="shared" si="41"/>
        <v>0</v>
      </c>
      <c r="H317" s="214"/>
      <c r="I317" s="1"/>
    </row>
    <row r="318" spans="1:9" x14ac:dyDescent="0.35">
      <c r="A318" s="134" t="s">
        <v>954</v>
      </c>
      <c r="B318" s="110" t="s">
        <v>403</v>
      </c>
      <c r="C318" s="194">
        <f>ABRIL!J185+ABRIL!S185+ABRIL!T185</f>
        <v>750</v>
      </c>
      <c r="D318" s="136" t="s">
        <v>243</v>
      </c>
      <c r="E318" s="124">
        <v>45756</v>
      </c>
      <c r="F318" s="194">
        <f>SUM(ABRIL!V185:AY185)</f>
        <v>750</v>
      </c>
      <c r="G318" s="122">
        <f t="shared" si="41"/>
        <v>0</v>
      </c>
      <c r="H318" s="214"/>
      <c r="I318" s="1"/>
    </row>
    <row r="319" spans="1:9" x14ac:dyDescent="0.35">
      <c r="A319" s="134" t="s">
        <v>1294</v>
      </c>
      <c r="B319" s="110" t="s">
        <v>403</v>
      </c>
      <c r="C319" s="194">
        <f>ABRIL!J186+ABRIL!S186+ABRIL!T186</f>
        <v>750</v>
      </c>
      <c r="D319" s="136" t="s">
        <v>243</v>
      </c>
      <c r="E319" s="124">
        <v>45772</v>
      </c>
      <c r="F319" s="194">
        <f>SUM(ABRIL!V186:AY186)</f>
        <v>750</v>
      </c>
      <c r="G319" s="122">
        <f t="shared" si="41"/>
        <v>0</v>
      </c>
      <c r="H319" s="214"/>
    </row>
    <row r="320" spans="1:9" x14ac:dyDescent="0.35">
      <c r="A320" s="134" t="s">
        <v>2815</v>
      </c>
      <c r="B320" s="110" t="s">
        <v>403</v>
      </c>
      <c r="C320" s="194">
        <f>ABRIL!J187+ABRIL!S187+ABRIL!T187</f>
        <v>1700</v>
      </c>
      <c r="D320" s="136" t="s">
        <v>243</v>
      </c>
      <c r="E320" s="124">
        <v>45758</v>
      </c>
      <c r="F320" s="194">
        <f>SUM(ABRIL!V187:AY187)</f>
        <v>1700</v>
      </c>
      <c r="G320" s="122">
        <f t="shared" ref="G320" si="42">C320-F320</f>
        <v>0</v>
      </c>
      <c r="H320" s="214"/>
    </row>
    <row r="321" spans="1:9" x14ac:dyDescent="0.35">
      <c r="A321" s="134" t="s">
        <v>1377</v>
      </c>
      <c r="B321" s="110" t="s">
        <v>403</v>
      </c>
      <c r="C321" s="194">
        <f>ABRIL!J188+ABRIL!S188+ABRIL!T188</f>
        <v>348</v>
      </c>
      <c r="D321" s="136"/>
      <c r="E321" s="124"/>
      <c r="F321" s="194">
        <f>SUM(ABRIL!V188:AY188)</f>
        <v>0</v>
      </c>
      <c r="G321" s="122">
        <f>C321-F321</f>
        <v>348</v>
      </c>
      <c r="H321" s="214"/>
    </row>
    <row r="322" spans="1:9" x14ac:dyDescent="0.35">
      <c r="A322" s="134" t="s">
        <v>1566</v>
      </c>
      <c r="B322" s="110" t="s">
        <v>403</v>
      </c>
      <c r="C322" s="194">
        <f>ABRIL!J189+ABRIL!S189+ABRIL!T189</f>
        <v>300</v>
      </c>
      <c r="D322" s="136" t="s">
        <v>243</v>
      </c>
      <c r="E322" s="124">
        <v>45754</v>
      </c>
      <c r="F322" s="194">
        <f>SUM(ABRIL!V189:AY189)</f>
        <v>300</v>
      </c>
      <c r="G322" s="122">
        <f t="shared" ref="G322:G332" si="43">C322-F322</f>
        <v>0</v>
      </c>
      <c r="H322" s="214"/>
      <c r="I322" s="331"/>
    </row>
    <row r="323" spans="1:9" x14ac:dyDescent="0.35">
      <c r="A323" s="134" t="s">
        <v>922</v>
      </c>
      <c r="B323" s="110" t="s">
        <v>403</v>
      </c>
      <c r="C323" s="194">
        <f>ABRIL!J190+ABRIL!S190+ABRIL!T190</f>
        <v>250</v>
      </c>
      <c r="D323" s="136" t="s">
        <v>243</v>
      </c>
      <c r="E323" s="124">
        <v>45757</v>
      </c>
      <c r="F323" s="194">
        <f>SUM(ABRIL!V190:AY190)</f>
        <v>250</v>
      </c>
      <c r="G323" s="122">
        <f t="shared" si="43"/>
        <v>0</v>
      </c>
      <c r="H323" s="214"/>
      <c r="I323" s="331"/>
    </row>
    <row r="324" spans="1:9" x14ac:dyDescent="0.35">
      <c r="A324" s="134" t="s">
        <v>257</v>
      </c>
      <c r="B324" s="110" t="s">
        <v>403</v>
      </c>
      <c r="C324" s="194">
        <f>ABRIL!J191+ABRIL!S191+ABRIL!T191</f>
        <v>250</v>
      </c>
      <c r="D324" s="136" t="s">
        <v>243</v>
      </c>
      <c r="E324" s="124">
        <v>45755</v>
      </c>
      <c r="F324" s="194">
        <f>SUM(ABRIL!V191:AY191)</f>
        <v>250</v>
      </c>
      <c r="G324" s="122">
        <f t="shared" si="43"/>
        <v>0</v>
      </c>
      <c r="H324" s="214"/>
    </row>
    <row r="325" spans="1:9" x14ac:dyDescent="0.35">
      <c r="A325" s="134" t="s">
        <v>1056</v>
      </c>
      <c r="B325" s="110" t="s">
        <v>403</v>
      </c>
      <c r="C325" s="194">
        <f>ABRIL!J192+ABRIL!S192+ABRIL!T192</f>
        <v>300</v>
      </c>
      <c r="D325" s="136" t="s">
        <v>243</v>
      </c>
      <c r="E325" s="124">
        <v>45757</v>
      </c>
      <c r="F325" s="194">
        <f>SUM(ABRIL!V192:AY192)</f>
        <v>300</v>
      </c>
      <c r="G325" s="122">
        <f t="shared" si="43"/>
        <v>0</v>
      </c>
      <c r="H325" s="214"/>
    </row>
    <row r="326" spans="1:9" x14ac:dyDescent="0.35">
      <c r="A326" s="134" t="s">
        <v>1609</v>
      </c>
      <c r="B326" s="110" t="s">
        <v>403</v>
      </c>
      <c r="C326" s="194">
        <f>ABRIL!J193+ABRIL!S193+ABRIL!T193</f>
        <v>1044</v>
      </c>
      <c r="D326" s="136" t="s">
        <v>243</v>
      </c>
      <c r="E326" s="124">
        <v>45758</v>
      </c>
      <c r="F326" s="194">
        <f>SUM(ABRIL!V193:AY193)</f>
        <v>1044</v>
      </c>
      <c r="G326" s="122">
        <f t="shared" si="43"/>
        <v>0</v>
      </c>
      <c r="H326" s="214"/>
    </row>
    <row r="327" spans="1:9" x14ac:dyDescent="0.35">
      <c r="A327" s="134" t="s">
        <v>945</v>
      </c>
      <c r="B327" s="110" t="s">
        <v>403</v>
      </c>
      <c r="C327" s="194">
        <f>ABRIL!J194+ABRIL!S194+ABRIL!T194</f>
        <v>299</v>
      </c>
      <c r="D327" s="136"/>
      <c r="E327" s="124"/>
      <c r="F327" s="194">
        <f>SUM(ABRIL!V194:AY194)</f>
        <v>0</v>
      </c>
      <c r="G327" s="122">
        <f t="shared" si="43"/>
        <v>299</v>
      </c>
      <c r="H327" s="214"/>
    </row>
    <row r="328" spans="1:9" x14ac:dyDescent="0.35">
      <c r="A328" s="134" t="s">
        <v>1660</v>
      </c>
      <c r="B328" s="110" t="s">
        <v>403</v>
      </c>
      <c r="C328" s="194">
        <f>ABRIL!J195+ABRIL!S195+ABRIL!T195</f>
        <v>300</v>
      </c>
      <c r="D328" s="136" t="s">
        <v>243</v>
      </c>
      <c r="E328" s="124">
        <v>45751</v>
      </c>
      <c r="F328" s="194">
        <f>SUM(ABRIL!V195:AY195)</f>
        <v>300</v>
      </c>
      <c r="G328" s="122">
        <f t="shared" si="43"/>
        <v>0</v>
      </c>
      <c r="H328" s="214"/>
    </row>
    <row r="329" spans="1:9" x14ac:dyDescent="0.35">
      <c r="A329" s="134" t="s">
        <v>258</v>
      </c>
      <c r="B329" s="110" t="s">
        <v>403</v>
      </c>
      <c r="C329" s="194">
        <f>ABRIL!J196+ABRIL!S196+ABRIL!T196</f>
        <v>350</v>
      </c>
      <c r="D329" s="136" t="s">
        <v>243</v>
      </c>
      <c r="E329" s="124">
        <v>45748</v>
      </c>
      <c r="F329" s="194">
        <f>SUM(ABRIL!V196:AY196)</f>
        <v>350</v>
      </c>
      <c r="G329" s="122">
        <f t="shared" si="43"/>
        <v>0</v>
      </c>
      <c r="H329" s="214"/>
    </row>
    <row r="330" spans="1:9" x14ac:dyDescent="0.35">
      <c r="A330" s="91" t="s">
        <v>863</v>
      </c>
      <c r="B330" s="110" t="s">
        <v>403</v>
      </c>
      <c r="C330" s="194">
        <f>ABRIL!J197+ABRIL!S197+ABRIL!T197</f>
        <v>498</v>
      </c>
      <c r="D330" s="136" t="s">
        <v>243</v>
      </c>
      <c r="E330" s="124">
        <v>45751</v>
      </c>
      <c r="F330" s="194">
        <f>SUM(ABRIL!V197:AY197)</f>
        <v>498</v>
      </c>
      <c r="G330" s="122">
        <f t="shared" si="43"/>
        <v>0</v>
      </c>
      <c r="H330" s="214"/>
    </row>
    <row r="331" spans="1:9" x14ac:dyDescent="0.35">
      <c r="A331" s="134" t="s">
        <v>1557</v>
      </c>
      <c r="B331" s="110" t="s">
        <v>403</v>
      </c>
      <c r="C331" s="194">
        <f>ABRIL!J198+ABRIL!S198+ABRIL!T198</f>
        <v>300</v>
      </c>
      <c r="D331" s="136"/>
      <c r="E331" s="124"/>
      <c r="F331" s="194">
        <f>SUM(ABRIL!V198:AY198)</f>
        <v>0</v>
      </c>
      <c r="G331" s="122">
        <f t="shared" si="43"/>
        <v>300</v>
      </c>
      <c r="H331" s="214"/>
    </row>
    <row r="332" spans="1:9" x14ac:dyDescent="0.35">
      <c r="A332" s="134" t="s">
        <v>2433</v>
      </c>
      <c r="B332" s="110" t="s">
        <v>403</v>
      </c>
      <c r="C332" s="194">
        <f>ABRIL!J199+ABRIL!S199+ABRIL!T199</f>
        <v>300</v>
      </c>
      <c r="D332" s="136" t="s">
        <v>243</v>
      </c>
      <c r="E332" s="124">
        <v>45753</v>
      </c>
      <c r="F332" s="194">
        <f>SUM(ABRIL!V199:AY199)</f>
        <v>300</v>
      </c>
      <c r="G332" s="122">
        <f t="shared" si="43"/>
        <v>0</v>
      </c>
      <c r="H332" s="214"/>
    </row>
    <row r="333" spans="1:9" x14ac:dyDescent="0.35">
      <c r="A333" s="134" t="s">
        <v>2767</v>
      </c>
      <c r="B333" s="110" t="s">
        <v>403</v>
      </c>
      <c r="C333" s="194">
        <f>ABRIL!J200+ABRIL!S200+ABRIL!T200</f>
        <v>850</v>
      </c>
      <c r="D333" s="136" t="s">
        <v>243</v>
      </c>
      <c r="E333" s="124">
        <v>45751</v>
      </c>
      <c r="F333" s="194">
        <f>SUM(ABRIL!V200:AY200)</f>
        <v>850</v>
      </c>
      <c r="G333" s="122">
        <f t="shared" ref="G333" si="44">C333-F333</f>
        <v>0</v>
      </c>
      <c r="H333" s="214"/>
    </row>
    <row r="334" spans="1:9" x14ac:dyDescent="0.35">
      <c r="A334" s="134" t="s">
        <v>1265</v>
      </c>
      <c r="B334" s="110" t="s">
        <v>403</v>
      </c>
      <c r="C334" s="194">
        <f>ABRIL!J201+ABRIL!S201+ABRIL!T201</f>
        <v>900</v>
      </c>
      <c r="D334" s="136" t="s">
        <v>243</v>
      </c>
      <c r="E334" s="124">
        <v>45750</v>
      </c>
      <c r="F334" s="194">
        <f>SUM(ABRIL!V201:AY201)</f>
        <v>900</v>
      </c>
      <c r="G334" s="122">
        <f>C334-F334</f>
        <v>0</v>
      </c>
      <c r="H334" s="214"/>
    </row>
    <row r="335" spans="1:9" x14ac:dyDescent="0.35">
      <c r="A335" s="134" t="s">
        <v>971</v>
      </c>
      <c r="B335" s="110" t="s">
        <v>403</v>
      </c>
      <c r="C335" s="194">
        <f>ABRIL!J202+ABRIL!S202+ABRIL!T202</f>
        <v>250</v>
      </c>
      <c r="D335" s="136" t="s">
        <v>243</v>
      </c>
      <c r="E335" s="124">
        <v>45754</v>
      </c>
      <c r="F335" s="194">
        <f>SUM(ABRIL!V202:AY202)</f>
        <v>250</v>
      </c>
      <c r="G335" s="122">
        <f>C335-F335</f>
        <v>0</v>
      </c>
      <c r="H335" s="214"/>
    </row>
    <row r="336" spans="1:9" x14ac:dyDescent="0.35">
      <c r="A336" s="134" t="s">
        <v>1026</v>
      </c>
      <c r="B336" s="110" t="s">
        <v>403</v>
      </c>
      <c r="C336" s="194">
        <f>ABRIL!J203+ABRIL!S203+ABRIL!T203</f>
        <v>3750</v>
      </c>
      <c r="D336" s="149"/>
      <c r="E336" s="124"/>
      <c r="F336" s="194">
        <f>SUM(ABRIL!V203:AY203)</f>
        <v>0</v>
      </c>
      <c r="G336" s="122">
        <f>C336-F336</f>
        <v>3750</v>
      </c>
      <c r="H336" s="214"/>
      <c r="I336" s="212" t="s">
        <v>931</v>
      </c>
    </row>
    <row r="337" spans="1:9" x14ac:dyDescent="0.35">
      <c r="A337" s="134" t="s">
        <v>1359</v>
      </c>
      <c r="B337" s="110" t="s">
        <v>403</v>
      </c>
      <c r="C337" s="194">
        <f>ABRIL!J204+ABRIL!S204+ABRIL!T204</f>
        <v>280</v>
      </c>
      <c r="D337" s="136" t="s">
        <v>243</v>
      </c>
      <c r="E337" s="124">
        <v>45754</v>
      </c>
      <c r="F337" s="194">
        <f>SUM(ABRIL!V204:AY204)</f>
        <v>280</v>
      </c>
      <c r="G337" s="122">
        <f>C337-F337</f>
        <v>0</v>
      </c>
      <c r="H337" s="214"/>
    </row>
    <row r="338" spans="1:9" x14ac:dyDescent="0.35">
      <c r="A338" s="134" t="s">
        <v>618</v>
      </c>
      <c r="B338" s="110" t="s">
        <v>403</v>
      </c>
      <c r="C338" s="194">
        <f>ABRIL!J205+ABRIL!S205+ABRIL!T205</f>
        <v>900</v>
      </c>
      <c r="D338" s="136" t="s">
        <v>243</v>
      </c>
      <c r="E338" s="124">
        <v>45762</v>
      </c>
      <c r="F338" s="194">
        <f>SUM(ABRIL!V205:AY205)</f>
        <v>900</v>
      </c>
      <c r="G338" s="122">
        <f t="shared" ref="G338:G364" si="45">C338-F338</f>
        <v>0</v>
      </c>
      <c r="H338" s="215"/>
    </row>
    <row r="339" spans="1:9" x14ac:dyDescent="0.35">
      <c r="A339" s="134" t="s">
        <v>131</v>
      </c>
      <c r="B339" s="110" t="s">
        <v>403</v>
      </c>
      <c r="C339" s="194">
        <f>ABRIL!J206+ABRIL!S206+ABRIL!T206</f>
        <v>23570</v>
      </c>
      <c r="D339" s="136" t="s">
        <v>243</v>
      </c>
      <c r="E339" s="124">
        <v>45768</v>
      </c>
      <c r="F339" s="194">
        <f>SUM(ABRIL!V206:AY206)</f>
        <v>24000</v>
      </c>
      <c r="G339" s="122">
        <f t="shared" si="45"/>
        <v>-430</v>
      </c>
      <c r="H339" s="214"/>
    </row>
    <row r="340" spans="1:9" x14ac:dyDescent="0.35">
      <c r="A340" s="134" t="s">
        <v>259</v>
      </c>
      <c r="B340" s="110" t="s">
        <v>403</v>
      </c>
      <c r="C340" s="194">
        <f>ABRIL!J207+ABRIL!S207+ABRIL!T207</f>
        <v>13980</v>
      </c>
      <c r="D340" s="136" t="s">
        <v>243</v>
      </c>
      <c r="E340" s="124">
        <v>45768</v>
      </c>
      <c r="F340" s="194">
        <f>SUM(ABRIL!V207:AY207)</f>
        <v>14980</v>
      </c>
      <c r="G340" s="122">
        <f t="shared" si="45"/>
        <v>-1000</v>
      </c>
      <c r="H340" s="214"/>
    </row>
    <row r="341" spans="1:9" x14ac:dyDescent="0.35">
      <c r="A341" s="134" t="s">
        <v>2854</v>
      </c>
      <c r="B341" s="110" t="s">
        <v>403</v>
      </c>
      <c r="C341" s="194">
        <f>ABRIL!J208+ABRIL!S208+ABRIL!T208</f>
        <v>850</v>
      </c>
      <c r="D341" s="136" t="s">
        <v>243</v>
      </c>
      <c r="E341" s="124">
        <v>45763</v>
      </c>
      <c r="F341" s="194">
        <f>SUM(ABRIL!V208:AY208)</f>
        <v>850</v>
      </c>
      <c r="G341" s="122">
        <f t="shared" ref="G341" si="46">C341-F341</f>
        <v>0</v>
      </c>
      <c r="H341" s="214"/>
    </row>
    <row r="342" spans="1:9" x14ac:dyDescent="0.35">
      <c r="A342" s="134" t="s">
        <v>2252</v>
      </c>
      <c r="B342" s="110" t="s">
        <v>403</v>
      </c>
      <c r="C342" s="194">
        <f>ABRIL!J209+ABRIL!S209+ABRIL!T209</f>
        <v>300</v>
      </c>
      <c r="D342" s="136" t="s">
        <v>243</v>
      </c>
      <c r="E342" s="124">
        <v>45770</v>
      </c>
      <c r="F342" s="194">
        <f>SUM(ABRIL!V209:AY209)</f>
        <v>300</v>
      </c>
      <c r="G342" s="122">
        <f t="shared" si="45"/>
        <v>0</v>
      </c>
      <c r="H342" s="215"/>
    </row>
    <row r="343" spans="1:9" x14ac:dyDescent="0.35">
      <c r="A343" s="134" t="s">
        <v>2934</v>
      </c>
      <c r="B343" s="110" t="s">
        <v>403</v>
      </c>
      <c r="C343" s="194">
        <f>ABRIL!J210+ABRIL!S210+ABRIL!T210</f>
        <v>850</v>
      </c>
      <c r="D343" s="136" t="s">
        <v>243</v>
      </c>
      <c r="E343" s="124">
        <v>45772</v>
      </c>
      <c r="F343" s="194">
        <f>SUM(ABRIL!V210:AY210)</f>
        <v>850</v>
      </c>
      <c r="G343" s="122">
        <f t="shared" si="45"/>
        <v>0</v>
      </c>
      <c r="H343" s="215"/>
    </row>
    <row r="344" spans="1:9" x14ac:dyDescent="0.35">
      <c r="A344" s="134" t="s">
        <v>260</v>
      </c>
      <c r="B344" s="110" t="s">
        <v>403</v>
      </c>
      <c r="C344" s="194">
        <f>ABRIL!J211+ABRIL!S211+ABRIL!T211</f>
        <v>8800</v>
      </c>
      <c r="D344" s="136" t="s">
        <v>243</v>
      </c>
      <c r="E344" s="124">
        <v>45761</v>
      </c>
      <c r="F344" s="194">
        <f>SUM(ABRIL!V211:AY211)</f>
        <v>8800</v>
      </c>
      <c r="G344" s="122">
        <f t="shared" si="45"/>
        <v>0</v>
      </c>
      <c r="H344" s="215"/>
    </row>
    <row r="345" spans="1:9" x14ac:dyDescent="0.35">
      <c r="A345" s="134" t="s">
        <v>250</v>
      </c>
      <c r="B345" s="110" t="s">
        <v>403</v>
      </c>
      <c r="C345" s="194">
        <f>ABRIL!J212+ABRIL!S212+ABRIL!T212</f>
        <v>0</v>
      </c>
      <c r="D345" s="136" t="s">
        <v>243</v>
      </c>
      <c r="E345" s="124">
        <v>45735</v>
      </c>
      <c r="F345" s="194">
        <f>SUM(ABRIL!V212:AY212)</f>
        <v>0</v>
      </c>
      <c r="G345" s="122">
        <f t="shared" si="45"/>
        <v>0</v>
      </c>
      <c r="H345" s="203"/>
      <c r="I345" s="1"/>
    </row>
    <row r="346" spans="1:9" x14ac:dyDescent="0.35">
      <c r="A346" s="134" t="s">
        <v>421</v>
      </c>
      <c r="B346" s="110" t="s">
        <v>403</v>
      </c>
      <c r="C346" s="194">
        <f>ABRIL!J213+ABRIL!S213+ABRIL!T213</f>
        <v>2000</v>
      </c>
      <c r="D346" s="136" t="s">
        <v>243</v>
      </c>
      <c r="E346" s="124">
        <v>45770</v>
      </c>
      <c r="F346" s="194">
        <f>SUM(ABRIL!V213:AY213)</f>
        <v>2000</v>
      </c>
      <c r="G346" s="122">
        <f t="shared" si="45"/>
        <v>0</v>
      </c>
      <c r="H346" s="214"/>
      <c r="I346" s="212" t="s">
        <v>617</v>
      </c>
    </row>
    <row r="347" spans="1:9" x14ac:dyDescent="0.35">
      <c r="A347" s="134" t="s">
        <v>140</v>
      </c>
      <c r="B347" s="110" t="s">
        <v>403</v>
      </c>
      <c r="C347" s="194">
        <f>ABRIL!J214+ABRIL!S214+ABRIL!T214</f>
        <v>1000</v>
      </c>
      <c r="D347" s="136"/>
      <c r="E347" s="124"/>
      <c r="F347" s="194">
        <f>SUM(ABRIL!V214:AY214)</f>
        <v>0</v>
      </c>
      <c r="G347" s="122">
        <f t="shared" si="45"/>
        <v>1000</v>
      </c>
      <c r="H347" s="214"/>
      <c r="I347" s="212" t="s">
        <v>617</v>
      </c>
    </row>
    <row r="348" spans="1:9" x14ac:dyDescent="0.35">
      <c r="A348" s="134" t="s">
        <v>2245</v>
      </c>
      <c r="B348" s="110" t="s">
        <v>403</v>
      </c>
      <c r="C348" s="194">
        <f>ABRIL!J215+ABRIL!S215+ABRIL!T215</f>
        <v>1700</v>
      </c>
      <c r="D348" s="136" t="s">
        <v>243</v>
      </c>
      <c r="E348" s="124">
        <v>45749</v>
      </c>
      <c r="F348" s="194">
        <f>SUM(ABRIL!V215:AY215)</f>
        <v>1700</v>
      </c>
      <c r="G348" s="122">
        <f t="shared" si="45"/>
        <v>0</v>
      </c>
      <c r="H348" s="214"/>
      <c r="I348" s="212" t="s">
        <v>617</v>
      </c>
    </row>
    <row r="349" spans="1:9" x14ac:dyDescent="0.35">
      <c r="A349" s="134" t="s">
        <v>2256</v>
      </c>
      <c r="B349" s="110" t="s">
        <v>403</v>
      </c>
      <c r="C349" s="194">
        <f>ABRIL!J216+ABRIL!S216+ABRIL!T216</f>
        <v>299</v>
      </c>
      <c r="D349" s="136"/>
      <c r="E349" s="124"/>
      <c r="F349" s="194">
        <f>SUM(ABRIL!V216:AY216)</f>
        <v>0</v>
      </c>
      <c r="G349" s="122">
        <f t="shared" si="45"/>
        <v>299</v>
      </c>
      <c r="H349" s="214"/>
      <c r="I349" s="1"/>
    </row>
    <row r="350" spans="1:9" x14ac:dyDescent="0.35">
      <c r="A350" s="91" t="s">
        <v>3048</v>
      </c>
      <c r="B350" s="110" t="s">
        <v>403</v>
      </c>
      <c r="C350" s="194">
        <f>ABRIL!J217+ABRIL!S217+ABRIL!T217</f>
        <v>2100</v>
      </c>
      <c r="D350" s="136" t="s">
        <v>243</v>
      </c>
      <c r="E350" s="124">
        <v>45773</v>
      </c>
      <c r="F350" s="194">
        <f>SUM(ABRIL!V217:AY217)</f>
        <v>2100</v>
      </c>
      <c r="G350" s="122">
        <f t="shared" ref="G350" si="47">C350-F350</f>
        <v>0</v>
      </c>
      <c r="H350" s="214"/>
      <c r="I350" s="1"/>
    </row>
    <row r="351" spans="1:9" x14ac:dyDescent="0.35">
      <c r="A351" s="134" t="s">
        <v>2298</v>
      </c>
      <c r="B351" s="110" t="s">
        <v>403</v>
      </c>
      <c r="C351" s="194">
        <f>ABRIL!J218+ABRIL!S218+ABRIL!T218</f>
        <v>300</v>
      </c>
      <c r="D351" s="136" t="s">
        <v>243</v>
      </c>
      <c r="E351" s="124">
        <v>45749</v>
      </c>
      <c r="F351" s="194">
        <f>SUM(ABRIL!V218:AY218)</f>
        <v>300</v>
      </c>
      <c r="G351" s="122">
        <f t="shared" si="45"/>
        <v>0</v>
      </c>
      <c r="H351" s="214"/>
      <c r="I351" s="1"/>
    </row>
    <row r="352" spans="1:9" x14ac:dyDescent="0.35">
      <c r="A352" s="134" t="s">
        <v>2907</v>
      </c>
      <c r="B352" s="110" t="s">
        <v>403</v>
      </c>
      <c r="C352" s="194">
        <f>ABRIL!J219+ABRIL!S219+ABRIL!T219</f>
        <v>849</v>
      </c>
      <c r="D352" s="136" t="s">
        <v>243</v>
      </c>
      <c r="E352" s="124">
        <v>45770</v>
      </c>
      <c r="F352" s="194">
        <f>SUM(ABRIL!V219:AY219)</f>
        <v>849</v>
      </c>
      <c r="G352" s="122">
        <f t="shared" ref="G352" si="48">C352-F352</f>
        <v>0</v>
      </c>
      <c r="H352" s="214"/>
      <c r="I352" s="1"/>
    </row>
    <row r="353" spans="1:9" x14ac:dyDescent="0.35">
      <c r="A353" s="134" t="s">
        <v>2526</v>
      </c>
      <c r="B353" s="110" t="s">
        <v>403</v>
      </c>
      <c r="C353" s="194">
        <f>ABRIL!J220+ABRIL!S220+ABRIL!T220</f>
        <v>440</v>
      </c>
      <c r="D353" s="136" t="s">
        <v>243</v>
      </c>
      <c r="E353" s="124">
        <v>45749</v>
      </c>
      <c r="F353" s="194">
        <f>SUM(ABRIL!V220:AY220)</f>
        <v>440</v>
      </c>
      <c r="G353" s="122">
        <f t="shared" si="45"/>
        <v>0</v>
      </c>
      <c r="H353" s="214"/>
      <c r="I353" s="1"/>
    </row>
    <row r="354" spans="1:9" x14ac:dyDescent="0.35">
      <c r="A354" s="134" t="s">
        <v>295</v>
      </c>
      <c r="B354" s="110" t="s">
        <v>403</v>
      </c>
      <c r="C354" s="194">
        <f>ABRIL!J222+ABRIL!S222+ABRIL!T222</f>
        <v>999.99999999999955</v>
      </c>
      <c r="D354" s="136" t="s">
        <v>243</v>
      </c>
      <c r="E354" s="124">
        <v>45765</v>
      </c>
      <c r="F354" s="194">
        <f>SUM(ABRIL!V222:AY222)</f>
        <v>1000</v>
      </c>
      <c r="G354" s="122">
        <f t="shared" si="45"/>
        <v>0</v>
      </c>
      <c r="H354" s="214"/>
      <c r="I354" s="212" t="s">
        <v>617</v>
      </c>
    </row>
    <row r="355" spans="1:9" x14ac:dyDescent="0.35">
      <c r="A355" s="134" t="s">
        <v>2575</v>
      </c>
      <c r="B355" s="110" t="s">
        <v>403</v>
      </c>
      <c r="C355" s="194">
        <f>ABRIL!J223+ABRIL!S223+ABRIL!T223</f>
        <v>185.44000000000003</v>
      </c>
      <c r="D355" s="136" t="s">
        <v>243</v>
      </c>
      <c r="E355" s="124">
        <v>45758</v>
      </c>
      <c r="F355" s="194">
        <f>SUM(ABRIL!V223:AY223)</f>
        <v>185.44</v>
      </c>
      <c r="G355" s="122">
        <f t="shared" ref="G355" si="49">C355-F355</f>
        <v>0</v>
      </c>
      <c r="H355" s="214"/>
      <c r="I355" s="1"/>
    </row>
    <row r="356" spans="1:9" x14ac:dyDescent="0.35">
      <c r="A356" s="134" t="s">
        <v>251</v>
      </c>
      <c r="B356" s="110" t="s">
        <v>403</v>
      </c>
      <c r="C356" s="194">
        <f>ABRIL!J224+ABRIL!S224+ABRIL!T224</f>
        <v>250.00000000000006</v>
      </c>
      <c r="D356" s="136" t="s">
        <v>243</v>
      </c>
      <c r="E356" s="124">
        <v>45772</v>
      </c>
      <c r="F356" s="194">
        <f>SUM(ABRIL!V224:AY224)</f>
        <v>250</v>
      </c>
      <c r="G356" s="122">
        <f t="shared" si="45"/>
        <v>0</v>
      </c>
      <c r="H356" s="214"/>
    </row>
    <row r="357" spans="1:9" x14ac:dyDescent="0.35">
      <c r="A357" s="134" t="s">
        <v>144</v>
      </c>
      <c r="B357" s="110" t="s">
        <v>403</v>
      </c>
      <c r="C357" s="194">
        <f>ABRIL!J225+ABRIL!S225+ABRIL!T225</f>
        <v>4200</v>
      </c>
      <c r="D357" s="136" t="s">
        <v>243</v>
      </c>
      <c r="E357" s="124">
        <v>45761</v>
      </c>
      <c r="F357" s="194">
        <f>SUM(ABRIL!V225:AY225)</f>
        <v>4200</v>
      </c>
      <c r="G357" s="122">
        <f t="shared" si="45"/>
        <v>0</v>
      </c>
      <c r="H357" s="214"/>
    </row>
    <row r="358" spans="1:9" x14ac:dyDescent="0.35">
      <c r="A358" s="134" t="s">
        <v>2761</v>
      </c>
      <c r="B358" s="110" t="s">
        <v>403</v>
      </c>
      <c r="C358" s="194">
        <f>ABRIL!J226+ABRIL!S226+ABRIL!T226</f>
        <v>17954.86</v>
      </c>
      <c r="D358" s="136"/>
      <c r="E358" s="124"/>
      <c r="F358" s="194">
        <f>SUM(ABRIL!V226:AY226)</f>
        <v>0</v>
      </c>
      <c r="G358" s="122">
        <f t="shared" si="45"/>
        <v>17954.86</v>
      </c>
      <c r="H358" s="376"/>
    </row>
    <row r="359" spans="1:9" x14ac:dyDescent="0.35">
      <c r="A359" s="134" t="s">
        <v>2507</v>
      </c>
      <c r="B359" s="110" t="s">
        <v>403</v>
      </c>
      <c r="C359" s="117">
        <f>ABRIL!J227+ABRIL!S227+ABRIL!T227</f>
        <v>3000</v>
      </c>
      <c r="D359" s="136"/>
      <c r="E359" s="124"/>
      <c r="F359" s="117">
        <f>SUM(ABRIL!V227:AY227)</f>
        <v>0</v>
      </c>
      <c r="G359" s="122">
        <f>C359-F359</f>
        <v>3000</v>
      </c>
      <c r="H359" s="376"/>
    </row>
    <row r="360" spans="1:9" x14ac:dyDescent="0.35">
      <c r="A360" s="134" t="s">
        <v>2757</v>
      </c>
      <c r="B360" s="110" t="s">
        <v>403</v>
      </c>
      <c r="C360" s="194">
        <f>ABRIL!J228+ABRIL!S228+ABRIL!T228</f>
        <v>800</v>
      </c>
      <c r="D360" s="136" t="s">
        <v>243</v>
      </c>
      <c r="E360" s="124">
        <v>45750</v>
      </c>
      <c r="F360" s="194">
        <f>SUM(ABRIL!V228:AY228)</f>
        <v>800</v>
      </c>
      <c r="G360" s="122">
        <f t="shared" ref="G360" si="50">C360-F360</f>
        <v>0</v>
      </c>
      <c r="H360" s="376"/>
    </row>
    <row r="361" spans="1:9" x14ac:dyDescent="0.35">
      <c r="A361" s="142" t="s">
        <v>2755</v>
      </c>
      <c r="B361" s="110" t="s">
        <v>403</v>
      </c>
      <c r="C361" s="194">
        <f>ABRIL!J229+ABRIL!S229+ABRIL!T229</f>
        <v>1800</v>
      </c>
      <c r="D361" s="136" t="s">
        <v>243</v>
      </c>
      <c r="E361" s="124">
        <v>45748</v>
      </c>
      <c r="F361" s="194">
        <f>SUM(ABRIL!V229:AY229)</f>
        <v>1800</v>
      </c>
      <c r="G361" s="122">
        <f t="shared" ref="G361" si="51">C361-F361</f>
        <v>0</v>
      </c>
      <c r="H361" s="376"/>
    </row>
    <row r="362" spans="1:9" x14ac:dyDescent="0.35">
      <c r="A362" s="142" t="s">
        <v>2827</v>
      </c>
      <c r="B362" s="110" t="s">
        <v>403</v>
      </c>
      <c r="C362" s="117">
        <f>ABRIL!J230+ABRIL!S230+ABRIL!T230</f>
        <v>1300</v>
      </c>
      <c r="D362" s="136" t="s">
        <v>243</v>
      </c>
      <c r="E362" s="124">
        <v>45758</v>
      </c>
      <c r="F362" s="117">
        <f>SUM(ABRIL!V230:AY230)</f>
        <v>1300</v>
      </c>
      <c r="G362" s="122">
        <f>C362-F362</f>
        <v>0</v>
      </c>
      <c r="H362" s="214"/>
    </row>
    <row r="363" spans="1:9" x14ac:dyDescent="0.35">
      <c r="A363" s="134" t="s">
        <v>146</v>
      </c>
      <c r="B363" s="110" t="s">
        <v>403</v>
      </c>
      <c r="C363" s="117">
        <f>ABRIL!J231+ABRIL!S231+ABRIL!T231</f>
        <v>3000</v>
      </c>
      <c r="D363" s="136" t="s">
        <v>1911</v>
      </c>
      <c r="E363" s="124">
        <v>45761</v>
      </c>
      <c r="F363" s="117">
        <f>SUM(ABRIL!V231:AY231)</f>
        <v>2500</v>
      </c>
      <c r="G363" s="122">
        <f t="shared" si="45"/>
        <v>500</v>
      </c>
      <c r="H363" s="214"/>
    </row>
    <row r="364" spans="1:9" x14ac:dyDescent="0.35">
      <c r="A364" s="134" t="s">
        <v>2853</v>
      </c>
      <c r="B364" s="110" t="s">
        <v>403</v>
      </c>
      <c r="C364" s="117">
        <f>ABRIL!J232+ABRIL!S232+ABRIL!T232</f>
        <v>850</v>
      </c>
      <c r="D364" s="136" t="s">
        <v>243</v>
      </c>
      <c r="E364" s="124">
        <v>45761</v>
      </c>
      <c r="F364" s="117">
        <f>SUM(ABRIL!V232:AY232)</f>
        <v>850</v>
      </c>
      <c r="G364" s="122">
        <f t="shared" si="45"/>
        <v>0</v>
      </c>
      <c r="H364" s="214"/>
    </row>
    <row r="365" spans="1:9" ht="15" thickBot="1" x14ac:dyDescent="0.4">
      <c r="A365" s="202" t="s">
        <v>2913</v>
      </c>
      <c r="B365" s="157" t="s">
        <v>403</v>
      </c>
      <c r="C365" s="342">
        <f>ABRIL!J233+ABRIL!S233+ABRIL!T233</f>
        <v>850</v>
      </c>
      <c r="D365" s="374" t="s">
        <v>243</v>
      </c>
      <c r="E365" s="375">
        <v>45770</v>
      </c>
      <c r="F365" s="342">
        <f>SUM(ABRIL!V233:AY233)</f>
        <v>850</v>
      </c>
      <c r="G365" s="184">
        <f t="shared" ref="G365" si="52">C365-F365</f>
        <v>0</v>
      </c>
      <c r="H365" s="376"/>
    </row>
    <row r="366" spans="1:9" ht="16" thickBot="1" x14ac:dyDescent="0.4">
      <c r="A366" s="377" t="s">
        <v>2565</v>
      </c>
      <c r="B366" s="378">
        <v>92</v>
      </c>
      <c r="C366" s="379">
        <f>SUM(C270:C365)</f>
        <v>163970.24119999999</v>
      </c>
      <c r="D366" s="379"/>
      <c r="E366" s="379"/>
      <c r="F366" s="379">
        <f>SUM(F270:F365)</f>
        <v>116403.44</v>
      </c>
      <c r="G366" s="379">
        <f>SUM(G270:G365)</f>
        <v>47566.801200000002</v>
      </c>
      <c r="H366" s="380"/>
    </row>
    <row r="367" spans="1:9" ht="15.5" x14ac:dyDescent="0.35">
      <c r="A367" s="142" t="s">
        <v>1080</v>
      </c>
      <c r="B367" s="110" t="s">
        <v>442</v>
      </c>
      <c r="C367" s="194">
        <f>MAYO!K131+MAYO!S131+MAYO!T131</f>
        <v>0</v>
      </c>
      <c r="D367" s="281" t="s">
        <v>243</v>
      </c>
      <c r="E367" s="279">
        <v>45693</v>
      </c>
      <c r="F367" s="194">
        <f>SUM(MAYO!V131:AZ131)</f>
        <v>0</v>
      </c>
      <c r="G367" s="213">
        <f t="shared" ref="G367:G383" si="53">C367-F367</f>
        <v>0</v>
      </c>
      <c r="H367" s="278"/>
    </row>
    <row r="368" spans="1:9" x14ac:dyDescent="0.35">
      <c r="A368" s="193" t="s">
        <v>569</v>
      </c>
      <c r="B368" s="110" t="s">
        <v>442</v>
      </c>
      <c r="C368" s="194">
        <f>MAYO!K132+MAYO!S132+MAYO!T132</f>
        <v>696</v>
      </c>
      <c r="D368" s="165"/>
      <c r="E368" s="195"/>
      <c r="F368" s="194">
        <f>SUM(MAYO!V132:AZ132)</f>
        <v>0</v>
      </c>
      <c r="G368" s="213">
        <f t="shared" si="53"/>
        <v>696</v>
      </c>
      <c r="H368" s="277"/>
    </row>
    <row r="369" spans="1:8" x14ac:dyDescent="0.35">
      <c r="A369" s="134" t="s">
        <v>293</v>
      </c>
      <c r="B369" s="110" t="s">
        <v>442</v>
      </c>
      <c r="C369" s="194">
        <f>MAYO!K133+MAYO!S133+MAYO!T133</f>
        <v>2700</v>
      </c>
      <c r="D369" s="165"/>
      <c r="E369" s="124"/>
      <c r="F369" s="194">
        <f>SUM(MAYO!V133:AZ133)</f>
        <v>0</v>
      </c>
      <c r="G369" s="213">
        <f t="shared" si="53"/>
        <v>2700</v>
      </c>
      <c r="H369" s="214"/>
    </row>
    <row r="370" spans="1:8" x14ac:dyDescent="0.35">
      <c r="A370" s="134" t="s">
        <v>93</v>
      </c>
      <c r="B370" s="110" t="s">
        <v>442</v>
      </c>
      <c r="C370" s="194">
        <f>MAYO!K134+MAYO!S134+MAYO!T134</f>
        <v>300</v>
      </c>
      <c r="D370" s="136"/>
      <c r="E370" s="124"/>
      <c r="F370" s="194">
        <f>SUM(MAYO!V134:AZ134)</f>
        <v>0</v>
      </c>
      <c r="G370" s="122">
        <f t="shared" si="53"/>
        <v>300</v>
      </c>
      <c r="H370" s="214"/>
    </row>
    <row r="371" spans="1:8" x14ac:dyDescent="0.35">
      <c r="A371" s="134" t="s">
        <v>95</v>
      </c>
      <c r="B371" s="110" t="s">
        <v>442</v>
      </c>
      <c r="C371" s="194">
        <f>MAYO!K135+MAYO!S135+MAYO!T135</f>
        <v>9999.2000000000007</v>
      </c>
      <c r="D371" s="136"/>
      <c r="E371" s="124"/>
      <c r="F371" s="194">
        <f>SUM(MAYO!V135:AZ135)</f>
        <v>0</v>
      </c>
      <c r="G371" s="122">
        <f t="shared" si="53"/>
        <v>9999.2000000000007</v>
      </c>
      <c r="H371" s="214"/>
    </row>
    <row r="372" spans="1:8" x14ac:dyDescent="0.35">
      <c r="A372" s="134" t="s">
        <v>1299</v>
      </c>
      <c r="B372" s="110" t="s">
        <v>442</v>
      </c>
      <c r="C372" s="194">
        <f>MAYO!K136+MAYO!S136+MAYO!T136</f>
        <v>300</v>
      </c>
      <c r="D372" s="136"/>
      <c r="E372" s="124"/>
      <c r="F372" s="194">
        <f>SUM(MAYO!V136:AZ136)</f>
        <v>0</v>
      </c>
      <c r="G372" s="122">
        <f t="shared" si="53"/>
        <v>300</v>
      </c>
      <c r="H372" s="214"/>
    </row>
    <row r="373" spans="1:8" x14ac:dyDescent="0.35">
      <c r="A373" s="350" t="s">
        <v>2810</v>
      </c>
      <c r="B373" s="110" t="s">
        <v>442</v>
      </c>
      <c r="C373" s="194">
        <f>MAYO!K137+MAYO!S137+MAYO!T137</f>
        <v>300</v>
      </c>
      <c r="D373" s="136"/>
      <c r="E373" s="124"/>
      <c r="F373" s="194">
        <f>SUM(MAYO!V137:AZ137)</f>
        <v>0</v>
      </c>
      <c r="G373" s="122">
        <f t="shared" si="53"/>
        <v>300</v>
      </c>
      <c r="H373" s="214"/>
    </row>
    <row r="374" spans="1:8" x14ac:dyDescent="0.35">
      <c r="A374" s="350" t="s">
        <v>1963</v>
      </c>
      <c r="B374" s="110" t="s">
        <v>442</v>
      </c>
      <c r="C374" s="194">
        <f>MAYO!K138+MAYO!S138+MAYO!T138</f>
        <v>350</v>
      </c>
      <c r="D374" s="136"/>
      <c r="E374" s="124"/>
      <c r="F374" s="194">
        <f>SUM(MAYO!V138:AZ138)</f>
        <v>0</v>
      </c>
      <c r="G374" s="122">
        <f t="shared" si="53"/>
        <v>350</v>
      </c>
      <c r="H374" s="214"/>
    </row>
    <row r="375" spans="1:8" x14ac:dyDescent="0.35">
      <c r="A375" s="91" t="s">
        <v>1663</v>
      </c>
      <c r="B375" s="110" t="s">
        <v>442</v>
      </c>
      <c r="C375" s="194">
        <f>MAYO!K139+MAYO!S139+MAYO!T139</f>
        <v>750</v>
      </c>
      <c r="D375" s="136"/>
      <c r="E375" s="124"/>
      <c r="F375" s="194">
        <f>SUM(MAYO!V139:AZ139)</f>
        <v>0</v>
      </c>
      <c r="G375" s="122">
        <f t="shared" si="53"/>
        <v>750</v>
      </c>
      <c r="H375" s="214"/>
    </row>
    <row r="376" spans="1:8" x14ac:dyDescent="0.35">
      <c r="A376" s="134" t="s">
        <v>1571</v>
      </c>
      <c r="B376" s="110" t="s">
        <v>442</v>
      </c>
      <c r="C376" s="194">
        <f>MAYO!K140+MAYO!S140+MAYO!T140</f>
        <v>0</v>
      </c>
      <c r="D376" s="136" t="s">
        <v>243</v>
      </c>
      <c r="E376" s="124">
        <v>45748</v>
      </c>
      <c r="F376" s="194">
        <f>SUM(MAYO!V140:AZ140)</f>
        <v>0</v>
      </c>
      <c r="G376" s="122">
        <f t="shared" si="53"/>
        <v>0</v>
      </c>
      <c r="H376" s="214"/>
    </row>
    <row r="377" spans="1:8" x14ac:dyDescent="0.35">
      <c r="A377" s="134" t="s">
        <v>1280</v>
      </c>
      <c r="B377" s="110" t="s">
        <v>442</v>
      </c>
      <c r="C377" s="194">
        <f>MAYO!K141+MAYO!S141+MAYO!T141</f>
        <v>250</v>
      </c>
      <c r="D377" s="136"/>
      <c r="E377" s="124"/>
      <c r="F377" s="194">
        <f>SUM(MAYO!V141:AZ141)</f>
        <v>0</v>
      </c>
      <c r="G377" s="122">
        <f t="shared" si="53"/>
        <v>250</v>
      </c>
      <c r="H377" s="214"/>
    </row>
    <row r="378" spans="1:8" x14ac:dyDescent="0.35">
      <c r="A378" s="134" t="s">
        <v>1239</v>
      </c>
      <c r="B378" s="110" t="s">
        <v>442</v>
      </c>
      <c r="C378" s="194">
        <f>MAYO!K142+MAYO!S142+MAYO!T142</f>
        <v>2050</v>
      </c>
      <c r="D378" s="136"/>
      <c r="E378" s="124"/>
      <c r="F378" s="194">
        <f>SUM(MAYO!V142:AZ142)</f>
        <v>0</v>
      </c>
      <c r="G378" s="122">
        <f t="shared" si="53"/>
        <v>2050</v>
      </c>
      <c r="H378" s="214"/>
    </row>
    <row r="379" spans="1:8" x14ac:dyDescent="0.35">
      <c r="A379" s="134" t="s">
        <v>2069</v>
      </c>
      <c r="B379" s="110" t="s">
        <v>442</v>
      </c>
      <c r="C379" s="194">
        <f>MAYO!K143+MAYO!S143+MAYO!T143</f>
        <v>350</v>
      </c>
      <c r="D379" s="371"/>
      <c r="E379" s="372"/>
      <c r="F379" s="194">
        <f>SUM(MAYO!V143:AZ143)</f>
        <v>0</v>
      </c>
      <c r="G379" s="122">
        <f t="shared" si="53"/>
        <v>350</v>
      </c>
      <c r="H379" s="214"/>
    </row>
    <row r="380" spans="1:8" x14ac:dyDescent="0.35">
      <c r="A380" s="134" t="s">
        <v>248</v>
      </c>
      <c r="B380" s="110" t="s">
        <v>442</v>
      </c>
      <c r="C380" s="194">
        <f>MAYO!K144+MAYO!S144+MAYO!T144</f>
        <v>1800</v>
      </c>
      <c r="D380" s="136"/>
      <c r="E380" s="124"/>
      <c r="F380" s="194">
        <f>SUM(MAYO!V144:AZ144)</f>
        <v>0</v>
      </c>
      <c r="G380" s="122">
        <f t="shared" si="53"/>
        <v>1800</v>
      </c>
      <c r="H380" s="214"/>
    </row>
    <row r="381" spans="1:8" x14ac:dyDescent="0.35">
      <c r="A381" s="134" t="s">
        <v>2775</v>
      </c>
      <c r="B381" s="110" t="s">
        <v>442</v>
      </c>
      <c r="C381" s="194">
        <f>MAYO!K145+MAYO!S145+MAYO!T145</f>
        <v>900</v>
      </c>
      <c r="D381" s="136"/>
      <c r="E381" s="124"/>
      <c r="F381" s="194">
        <f>SUM(MAYO!V145:AZ145)</f>
        <v>0</v>
      </c>
      <c r="G381" s="122">
        <f t="shared" si="53"/>
        <v>900</v>
      </c>
      <c r="H381" s="214"/>
    </row>
    <row r="382" spans="1:8" x14ac:dyDescent="0.35">
      <c r="A382" s="134" t="s">
        <v>1561</v>
      </c>
      <c r="B382" s="110" t="s">
        <v>442</v>
      </c>
      <c r="C382" s="194">
        <f>MAYO!K146+MAYO!S146+MAYO!T146</f>
        <v>543</v>
      </c>
      <c r="D382" s="136"/>
      <c r="E382" s="124"/>
      <c r="F382" s="194">
        <f>SUM(MAYO!V146:AZ146)</f>
        <v>0</v>
      </c>
      <c r="G382" s="122">
        <f t="shared" si="53"/>
        <v>543</v>
      </c>
      <c r="H382" s="214"/>
    </row>
    <row r="383" spans="1:8" x14ac:dyDescent="0.35">
      <c r="A383" s="134" t="s">
        <v>254</v>
      </c>
      <c r="B383" s="110" t="s">
        <v>442</v>
      </c>
      <c r="C383" s="194">
        <f>MAYO!K147+MAYO!S147+MAYO!T147</f>
        <v>600</v>
      </c>
      <c r="D383" s="136"/>
      <c r="E383" s="124"/>
      <c r="F383" s="194">
        <f>SUM(MAYO!V147:AZ147)</f>
        <v>0</v>
      </c>
      <c r="G383" s="122">
        <f t="shared" si="53"/>
        <v>600</v>
      </c>
      <c r="H383" s="214"/>
    </row>
    <row r="384" spans="1:8" x14ac:dyDescent="0.35">
      <c r="A384" s="134" t="s">
        <v>1389</v>
      </c>
      <c r="B384" s="110" t="s">
        <v>442</v>
      </c>
      <c r="C384" s="194">
        <f>MAYO!K148+MAYO!S148+MAYO!T148</f>
        <v>300</v>
      </c>
      <c r="D384" s="136"/>
      <c r="E384" s="124"/>
      <c r="F384" s="194">
        <f>SUM(MAYO!V148:AZ148)</f>
        <v>0</v>
      </c>
      <c r="G384" s="122">
        <f>C384-F384</f>
        <v>300</v>
      </c>
      <c r="H384" s="214"/>
    </row>
    <row r="385" spans="1:9" x14ac:dyDescent="0.35">
      <c r="A385" s="134" t="s">
        <v>255</v>
      </c>
      <c r="B385" s="110" t="s">
        <v>442</v>
      </c>
      <c r="C385" s="194">
        <f>MAYO!K149+MAYO!S149+MAYO!T149</f>
        <v>300</v>
      </c>
      <c r="D385" s="136"/>
      <c r="E385" s="124"/>
      <c r="F385" s="194">
        <f>SUM(MAYO!V149:AZ149)</f>
        <v>0</v>
      </c>
      <c r="G385" s="122">
        <f t="shared" ref="G385" si="54">C385-F385</f>
        <v>300</v>
      </c>
      <c r="H385" s="215"/>
    </row>
    <row r="386" spans="1:9" x14ac:dyDescent="0.35">
      <c r="A386" s="134" t="s">
        <v>1461</v>
      </c>
      <c r="B386" s="110" t="s">
        <v>442</v>
      </c>
      <c r="C386" s="194">
        <f>MAYO!K150+MAYO!S150+MAYO!T150</f>
        <v>1800</v>
      </c>
      <c r="D386" s="136"/>
      <c r="E386" s="124"/>
      <c r="F386" s="194">
        <f>SUM(MAYO!V150:AZ150)</f>
        <v>0</v>
      </c>
      <c r="G386" s="122">
        <f>C386-F386</f>
        <v>1800</v>
      </c>
      <c r="H386" s="215"/>
    </row>
    <row r="387" spans="1:9" x14ac:dyDescent="0.35">
      <c r="A387" s="134" t="s">
        <v>635</v>
      </c>
      <c r="B387" s="110" t="s">
        <v>442</v>
      </c>
      <c r="C387" s="194">
        <f>MAYO!K151+MAYO!S151+MAYO!T151</f>
        <v>1500</v>
      </c>
      <c r="D387" s="136"/>
      <c r="E387" s="124"/>
      <c r="F387" s="194">
        <f>SUM(MAYO!V151:AZ151)</f>
        <v>0</v>
      </c>
      <c r="G387" s="122">
        <f t="shared" ref="G387" si="55">C387-F387</f>
        <v>1500</v>
      </c>
      <c r="H387" s="214"/>
    </row>
    <row r="388" spans="1:9" x14ac:dyDescent="0.35">
      <c r="A388" s="134" t="s">
        <v>1440</v>
      </c>
      <c r="B388" s="110" t="s">
        <v>442</v>
      </c>
      <c r="C388" s="194">
        <f>MAYO!K152+MAYO!S152+MAYO!T152</f>
        <v>300</v>
      </c>
      <c r="D388" s="136"/>
      <c r="E388" s="124"/>
      <c r="F388" s="194">
        <f>SUM(MAYO!V152:AZ152)</f>
        <v>0</v>
      </c>
      <c r="G388" s="122">
        <f>C388-F388</f>
        <v>300</v>
      </c>
      <c r="H388" s="214"/>
    </row>
    <row r="389" spans="1:9" x14ac:dyDescent="0.35">
      <c r="A389" s="134" t="s">
        <v>105</v>
      </c>
      <c r="B389" s="110" t="s">
        <v>442</v>
      </c>
      <c r="C389" s="194">
        <f>MAYO!K153+MAYO!S153+MAYO!T153</f>
        <v>891</v>
      </c>
      <c r="D389" s="136"/>
      <c r="E389" s="124"/>
      <c r="F389" s="194">
        <f>SUM(MAYO!V153:AZ153)</f>
        <v>0</v>
      </c>
      <c r="G389" s="122">
        <f t="shared" ref="G389:G415" si="56">C389-F389</f>
        <v>891</v>
      </c>
      <c r="H389" s="215"/>
    </row>
    <row r="390" spans="1:9" x14ac:dyDescent="0.35">
      <c r="A390" s="134" t="s">
        <v>256</v>
      </c>
      <c r="B390" s="110" t="s">
        <v>442</v>
      </c>
      <c r="C390" s="194">
        <f>MAYO!K154+MAYO!S154+MAYO!T154</f>
        <v>300</v>
      </c>
      <c r="D390" s="136"/>
      <c r="E390" s="124"/>
      <c r="F390" s="194">
        <f>SUM(MAYO!V154:AZ154)</f>
        <v>0</v>
      </c>
      <c r="G390" s="122">
        <f t="shared" si="56"/>
        <v>300</v>
      </c>
      <c r="H390" s="214"/>
    </row>
    <row r="391" spans="1:9" x14ac:dyDescent="0.35">
      <c r="A391" s="134" t="s">
        <v>359</v>
      </c>
      <c r="B391" s="110" t="s">
        <v>442</v>
      </c>
      <c r="C391" s="194">
        <f>MAYO!K155+MAYO!S155+MAYO!T155</f>
        <v>4690</v>
      </c>
      <c r="D391" s="136"/>
      <c r="E391" s="124"/>
      <c r="F391" s="194">
        <f>SUM(MAYO!V155:AZ155)</f>
        <v>0</v>
      </c>
      <c r="G391" s="122">
        <f t="shared" si="56"/>
        <v>4690</v>
      </c>
      <c r="H391" s="214"/>
    </row>
    <row r="392" spans="1:9" x14ac:dyDescent="0.35">
      <c r="A392" s="134" t="s">
        <v>34</v>
      </c>
      <c r="B392" s="110" t="s">
        <v>442</v>
      </c>
      <c r="C392" s="194">
        <f>MAYO!K156+MAYO!S156+MAYO!T156</f>
        <v>869.99560000000019</v>
      </c>
      <c r="D392" s="136"/>
      <c r="E392" s="124"/>
      <c r="F392" s="194">
        <f>SUM(MAYO!V156:AZ156)</f>
        <v>0</v>
      </c>
      <c r="G392" s="122">
        <f t="shared" si="56"/>
        <v>869.99560000000019</v>
      </c>
      <c r="H392" s="214"/>
    </row>
    <row r="393" spans="1:9" x14ac:dyDescent="0.35">
      <c r="A393" s="134" t="s">
        <v>1625</v>
      </c>
      <c r="B393" s="110" t="s">
        <v>442</v>
      </c>
      <c r="C393" s="194">
        <f>MAYO!K157+MAYO!S157+MAYO!T157</f>
        <v>300</v>
      </c>
      <c r="D393" s="136"/>
      <c r="E393" s="124"/>
      <c r="F393" s="194">
        <f>SUM(MAYO!V157:AZ157)</f>
        <v>0</v>
      </c>
      <c r="G393" s="122">
        <f t="shared" si="56"/>
        <v>300</v>
      </c>
      <c r="H393" s="214"/>
    </row>
    <row r="394" spans="1:9" x14ac:dyDescent="0.35">
      <c r="A394" s="134" t="s">
        <v>110</v>
      </c>
      <c r="B394" s="110" t="s">
        <v>442</v>
      </c>
      <c r="C394" s="194">
        <f>MAYO!K158+MAYO!S158+MAYO!T158</f>
        <v>280</v>
      </c>
      <c r="D394" s="136"/>
      <c r="E394" s="124"/>
      <c r="F394" s="194">
        <f>SUM(MAYO!V158:AZ158)</f>
        <v>0</v>
      </c>
      <c r="G394" s="122">
        <f t="shared" si="56"/>
        <v>280</v>
      </c>
      <c r="H394" s="214"/>
      <c r="I394" s="212" t="s">
        <v>617</v>
      </c>
    </row>
    <row r="395" spans="1:9" x14ac:dyDescent="0.35">
      <c r="A395" s="134" t="s">
        <v>1696</v>
      </c>
      <c r="B395" s="110" t="s">
        <v>442</v>
      </c>
      <c r="C395" s="194">
        <f>MAYO!K159+MAYO!S159+MAYO!T159</f>
        <v>300</v>
      </c>
      <c r="D395" s="136"/>
      <c r="E395" s="124"/>
      <c r="F395" s="194">
        <f>SUM(MAYO!V159:AZ159)</f>
        <v>0</v>
      </c>
      <c r="G395" s="122">
        <f t="shared" si="56"/>
        <v>300</v>
      </c>
      <c r="H395" s="214"/>
      <c r="I395" s="1"/>
    </row>
    <row r="396" spans="1:9" x14ac:dyDescent="0.35">
      <c r="A396" s="134" t="s">
        <v>1397</v>
      </c>
      <c r="B396" s="110" t="s">
        <v>442</v>
      </c>
      <c r="C396" s="194">
        <f>MAYO!K160+MAYO!S160+MAYO!T160</f>
        <v>300</v>
      </c>
      <c r="D396" s="136"/>
      <c r="E396" s="124"/>
      <c r="F396" s="194">
        <f>SUM(MAYO!V160:AZ160)</f>
        <v>0</v>
      </c>
      <c r="G396" s="122">
        <f t="shared" si="56"/>
        <v>300</v>
      </c>
      <c r="H396" s="214"/>
      <c r="I396" s="1"/>
    </row>
    <row r="397" spans="1:9" x14ac:dyDescent="0.35">
      <c r="A397" s="134" t="s">
        <v>951</v>
      </c>
      <c r="B397" s="110" t="s">
        <v>442</v>
      </c>
      <c r="C397" s="194">
        <f>MAYO!K161+MAYO!S161+MAYO!T161</f>
        <v>200</v>
      </c>
      <c r="D397" s="136"/>
      <c r="E397" s="124"/>
      <c r="F397" s="194">
        <f>SUM(MAYO!V161:AZ161)</f>
        <v>0</v>
      </c>
      <c r="G397" s="122">
        <f t="shared" si="56"/>
        <v>200</v>
      </c>
      <c r="H397" s="214"/>
      <c r="I397" s="1"/>
    </row>
    <row r="398" spans="1:9" x14ac:dyDescent="0.35">
      <c r="A398" s="134" t="s">
        <v>249</v>
      </c>
      <c r="B398" s="110" t="s">
        <v>442</v>
      </c>
      <c r="C398" s="194">
        <f>MAYO!K162+MAYO!S162+MAYO!T162</f>
        <v>13750</v>
      </c>
      <c r="D398" s="132"/>
      <c r="E398" s="124"/>
      <c r="F398" s="194">
        <f>SUM(MAYO!V162:AZ162)</f>
        <v>0</v>
      </c>
      <c r="G398" s="122">
        <f t="shared" si="56"/>
        <v>13750</v>
      </c>
      <c r="H398" s="214"/>
    </row>
    <row r="399" spans="1:9" x14ac:dyDescent="0.35">
      <c r="A399" s="134" t="s">
        <v>679</v>
      </c>
      <c r="B399" s="110" t="s">
        <v>442</v>
      </c>
      <c r="C399" s="194">
        <f>MAYO!K163+MAYO!S163+MAYO!T163</f>
        <v>1500</v>
      </c>
      <c r="D399" s="149"/>
      <c r="E399" s="124"/>
      <c r="F399" s="194">
        <f>SUM(MAYO!V163:AZ163)</f>
        <v>0</v>
      </c>
      <c r="G399" s="122">
        <f t="shared" si="56"/>
        <v>1500</v>
      </c>
      <c r="H399" s="214"/>
    </row>
    <row r="400" spans="1:9" x14ac:dyDescent="0.35">
      <c r="A400" s="134" t="s">
        <v>1367</v>
      </c>
      <c r="B400" s="110" t="s">
        <v>442</v>
      </c>
      <c r="C400" s="194">
        <f>MAYO!K164+MAYO!S164+MAYO!T164</f>
        <v>189</v>
      </c>
      <c r="D400" s="136"/>
      <c r="E400" s="124"/>
      <c r="F400" s="194">
        <f>SUM(MAYO!V164:AZ164)</f>
        <v>0</v>
      </c>
      <c r="G400" s="122">
        <f t="shared" si="56"/>
        <v>189</v>
      </c>
      <c r="H400" s="214"/>
    </row>
    <row r="401" spans="1:9" x14ac:dyDescent="0.35">
      <c r="A401" s="134" t="s">
        <v>908</v>
      </c>
      <c r="B401" s="110" t="s">
        <v>442</v>
      </c>
      <c r="C401" s="194">
        <f>MAYO!K165+MAYO!S165+MAYO!T165</f>
        <v>333</v>
      </c>
      <c r="D401" s="136"/>
      <c r="E401" s="124"/>
      <c r="F401" s="194">
        <f>SUM(MAYO!V165:AZ165)</f>
        <v>0</v>
      </c>
      <c r="G401" s="122">
        <f t="shared" si="56"/>
        <v>333</v>
      </c>
      <c r="H401" s="214"/>
    </row>
    <row r="402" spans="1:9" x14ac:dyDescent="0.35">
      <c r="A402" s="134" t="s">
        <v>1642</v>
      </c>
      <c r="B402" s="110" t="s">
        <v>442</v>
      </c>
      <c r="C402" s="194">
        <f>MAYO!K166+MAYO!S166+MAYO!T166</f>
        <v>300</v>
      </c>
      <c r="D402" s="136"/>
      <c r="E402" s="124"/>
      <c r="F402" s="194">
        <f>SUM(MAYO!V166:AZ166)</f>
        <v>0</v>
      </c>
      <c r="G402" s="122">
        <f t="shared" si="56"/>
        <v>300</v>
      </c>
      <c r="H402" s="214"/>
    </row>
    <row r="403" spans="1:9" x14ac:dyDescent="0.35">
      <c r="A403" s="134" t="s">
        <v>1485</v>
      </c>
      <c r="B403" s="110" t="s">
        <v>442</v>
      </c>
      <c r="C403" s="194">
        <f>MAYO!K167+MAYO!S167+MAYO!T167</f>
        <v>258</v>
      </c>
      <c r="D403" s="136"/>
      <c r="E403" s="124"/>
      <c r="F403" s="194">
        <f>SUM(MAYO!V167:AZ167)</f>
        <v>0</v>
      </c>
      <c r="G403" s="122">
        <f t="shared" si="56"/>
        <v>258</v>
      </c>
      <c r="H403" s="214"/>
    </row>
    <row r="404" spans="1:9" x14ac:dyDescent="0.35">
      <c r="A404" s="91" t="s">
        <v>1906</v>
      </c>
      <c r="B404" s="110" t="s">
        <v>442</v>
      </c>
      <c r="C404" s="194">
        <f>MAYO!K168+MAYO!S168+MAYO!T168</f>
        <v>250</v>
      </c>
      <c r="D404" s="136"/>
      <c r="E404" s="124"/>
      <c r="F404" s="194">
        <f>SUM(MAYO!V168:AZ168)</f>
        <v>0</v>
      </c>
      <c r="G404" s="122">
        <f t="shared" si="56"/>
        <v>250</v>
      </c>
      <c r="H404" s="214"/>
    </row>
    <row r="405" spans="1:9" x14ac:dyDescent="0.35">
      <c r="A405" s="357" t="s">
        <v>294</v>
      </c>
      <c r="B405" s="110" t="s">
        <v>442</v>
      </c>
      <c r="C405" s="194">
        <f>MAYO!K169+MAYO!S169+MAYO!T169</f>
        <v>250</v>
      </c>
      <c r="D405" s="136"/>
      <c r="E405" s="124"/>
      <c r="F405" s="194">
        <f>SUM(MAYO!V169:AZ169)</f>
        <v>0</v>
      </c>
      <c r="G405" s="122">
        <f t="shared" si="56"/>
        <v>250</v>
      </c>
      <c r="H405" s="214"/>
    </row>
    <row r="406" spans="1:9" x14ac:dyDescent="0.35">
      <c r="A406" s="218" t="s">
        <v>1584</v>
      </c>
      <c r="B406" s="110" t="s">
        <v>442</v>
      </c>
      <c r="C406" s="194">
        <f>MAYO!K170+MAYO!S170+MAYO!T170</f>
        <v>300</v>
      </c>
      <c r="D406" s="136"/>
      <c r="E406" s="124"/>
      <c r="F406" s="194">
        <f>SUM(MAYO!V170:AZ170)</f>
        <v>0</v>
      </c>
      <c r="G406" s="122">
        <f t="shared" si="56"/>
        <v>300</v>
      </c>
      <c r="H406" s="214"/>
    </row>
    <row r="407" spans="1:9" x14ac:dyDescent="0.35">
      <c r="A407" s="134" t="s">
        <v>457</v>
      </c>
      <c r="B407" s="110" t="s">
        <v>442</v>
      </c>
      <c r="C407" s="194">
        <f>MAYO!K171+MAYO!S171+MAYO!T171</f>
        <v>541.74560000000019</v>
      </c>
      <c r="D407" s="136"/>
      <c r="E407" s="124"/>
      <c r="F407" s="194">
        <f>SUM(MAYO!V171:AZ171)</f>
        <v>0</v>
      </c>
      <c r="G407" s="122">
        <f t="shared" si="56"/>
        <v>541.74560000000019</v>
      </c>
      <c r="H407" s="224"/>
    </row>
    <row r="408" spans="1:9" x14ac:dyDescent="0.35">
      <c r="A408" s="134" t="s">
        <v>288</v>
      </c>
      <c r="B408" s="110" t="s">
        <v>442</v>
      </c>
      <c r="C408" s="194">
        <f>MAYO!K172+MAYO!S172+MAYO!T172</f>
        <v>1450</v>
      </c>
      <c r="D408" s="136"/>
      <c r="E408" s="124"/>
      <c r="F408" s="194">
        <f>SUM(MAYO!V172:AZ172)</f>
        <v>0</v>
      </c>
      <c r="G408" s="122">
        <f t="shared" si="56"/>
        <v>1450</v>
      </c>
      <c r="H408" s="214"/>
    </row>
    <row r="409" spans="1:9" x14ac:dyDescent="0.35">
      <c r="A409" s="134" t="s">
        <v>1356</v>
      </c>
      <c r="B409" s="110" t="s">
        <v>442</v>
      </c>
      <c r="C409" s="194">
        <f>MAYO!K173+MAYO!S173+MAYO!T173</f>
        <v>250</v>
      </c>
      <c r="D409" s="136"/>
      <c r="E409" s="124"/>
      <c r="F409" s="194">
        <f>SUM(MAYO!V173:AZ173)</f>
        <v>0</v>
      </c>
      <c r="G409" s="122">
        <f t="shared" si="56"/>
        <v>250</v>
      </c>
      <c r="H409" s="214"/>
    </row>
    <row r="410" spans="1:9" x14ac:dyDescent="0.35">
      <c r="A410" s="134" t="s">
        <v>1422</v>
      </c>
      <c r="B410" s="110" t="s">
        <v>442</v>
      </c>
      <c r="C410" s="194">
        <f>MAYO!K174+MAYO!S174+MAYO!T174</f>
        <v>300</v>
      </c>
      <c r="D410" s="136"/>
      <c r="E410" s="124"/>
      <c r="F410" s="194">
        <f>SUM(MAYO!V174:AZ174)</f>
        <v>0</v>
      </c>
      <c r="G410" s="122">
        <f t="shared" si="56"/>
        <v>300</v>
      </c>
      <c r="H410" s="214"/>
    </row>
    <row r="411" spans="1:9" ht="29" x14ac:dyDescent="0.35">
      <c r="A411" s="134" t="s">
        <v>1658</v>
      </c>
      <c r="B411" s="110" t="s">
        <v>442</v>
      </c>
      <c r="C411" s="194">
        <f>MAYO!K175+MAYO!S175+MAYO!T175</f>
        <v>2858.33</v>
      </c>
      <c r="D411" s="136"/>
      <c r="E411" s="124"/>
      <c r="F411" s="194">
        <f>SUM(MAYO!V175:AZ175)</f>
        <v>0</v>
      </c>
      <c r="G411" s="122">
        <f t="shared" si="56"/>
        <v>2858.33</v>
      </c>
      <c r="H411" s="214"/>
    </row>
    <row r="412" spans="1:9" x14ac:dyDescent="0.35">
      <c r="A412" s="134" t="s">
        <v>1289</v>
      </c>
      <c r="B412" s="110" t="s">
        <v>442</v>
      </c>
      <c r="C412" s="194">
        <f>MAYO!K176+MAYO!S176+MAYO!T176</f>
        <v>250</v>
      </c>
      <c r="D412" s="136"/>
      <c r="E412" s="124"/>
      <c r="F412" s="194">
        <f>SUM(MAYO!V176:AZ176)</f>
        <v>0</v>
      </c>
      <c r="G412" s="122">
        <f t="shared" si="56"/>
        <v>250</v>
      </c>
      <c r="H412" s="214"/>
      <c r="I412" s="1"/>
    </row>
    <row r="413" spans="1:9" x14ac:dyDescent="0.35">
      <c r="A413" s="134" t="s">
        <v>954</v>
      </c>
      <c r="B413" s="110" t="s">
        <v>442</v>
      </c>
      <c r="C413" s="194">
        <f>MAYO!K177+MAYO!S177+MAYO!T177</f>
        <v>750</v>
      </c>
      <c r="D413" s="136"/>
      <c r="E413" s="124"/>
      <c r="F413" s="194">
        <f>SUM(MAYO!V177:AZ177)</f>
        <v>0</v>
      </c>
      <c r="G413" s="122">
        <f t="shared" si="56"/>
        <v>750</v>
      </c>
      <c r="H413" s="214"/>
      <c r="I413" s="1"/>
    </row>
    <row r="414" spans="1:9" x14ac:dyDescent="0.35">
      <c r="A414" s="134" t="s">
        <v>1294</v>
      </c>
      <c r="B414" s="110" t="s">
        <v>442</v>
      </c>
      <c r="C414" s="194">
        <f>MAYO!K178+MAYO!S178+MAYO!T178</f>
        <v>750</v>
      </c>
      <c r="D414" s="136"/>
      <c r="E414" s="124"/>
      <c r="F414" s="194">
        <f>SUM(MAYO!V178:AZ178)</f>
        <v>0</v>
      </c>
      <c r="G414" s="122">
        <f t="shared" si="56"/>
        <v>750</v>
      </c>
      <c r="H414" s="214"/>
    </row>
    <row r="415" spans="1:9" x14ac:dyDescent="0.35">
      <c r="A415" s="134" t="s">
        <v>2815</v>
      </c>
      <c r="B415" s="110" t="s">
        <v>442</v>
      </c>
      <c r="C415" s="194">
        <f>MAYO!K179+MAYO!S179+MAYO!T179</f>
        <v>300</v>
      </c>
      <c r="D415" s="136"/>
      <c r="E415" s="124"/>
      <c r="F415" s="194">
        <f>SUM(MAYO!V179:AZ179)</f>
        <v>0</v>
      </c>
      <c r="G415" s="122">
        <f t="shared" si="56"/>
        <v>300</v>
      </c>
      <c r="H415" s="214"/>
    </row>
    <row r="416" spans="1:9" x14ac:dyDescent="0.35">
      <c r="A416" s="134" t="s">
        <v>1377</v>
      </c>
      <c r="B416" s="110" t="s">
        <v>442</v>
      </c>
      <c r="C416" s="194">
        <f>MAYO!K180+MAYO!S180+MAYO!T180</f>
        <v>696</v>
      </c>
      <c r="D416" s="136"/>
      <c r="E416" s="124"/>
      <c r="F416" s="194">
        <f>SUM(MAYO!V180:AZ180)</f>
        <v>0</v>
      </c>
      <c r="G416" s="122">
        <f>C416-F416</f>
        <v>696</v>
      </c>
      <c r="H416" s="214"/>
    </row>
    <row r="417" spans="1:9" x14ac:dyDescent="0.35">
      <c r="A417" s="134" t="s">
        <v>1566</v>
      </c>
      <c r="B417" s="110" t="s">
        <v>442</v>
      </c>
      <c r="C417" s="194">
        <f>MAYO!K181+MAYO!S181+MAYO!T181</f>
        <v>300</v>
      </c>
      <c r="D417" s="136"/>
      <c r="E417" s="124"/>
      <c r="F417" s="194">
        <f>SUM(MAYO!V181:AZ181)</f>
        <v>0</v>
      </c>
      <c r="G417" s="122">
        <f t="shared" ref="G417:G428" si="57">C417-F417</f>
        <v>300</v>
      </c>
      <c r="H417" s="214"/>
      <c r="I417" s="331"/>
    </row>
    <row r="418" spans="1:9" x14ac:dyDescent="0.35">
      <c r="A418" s="134" t="s">
        <v>922</v>
      </c>
      <c r="B418" s="110" t="s">
        <v>442</v>
      </c>
      <c r="C418" s="194">
        <f>MAYO!K182+MAYO!S182+MAYO!T182</f>
        <v>250</v>
      </c>
      <c r="D418" s="136"/>
      <c r="E418" s="124"/>
      <c r="F418" s="194">
        <f>SUM(MAYO!V182:AZ182)</f>
        <v>0</v>
      </c>
      <c r="G418" s="122">
        <f t="shared" si="57"/>
        <v>250</v>
      </c>
      <c r="H418" s="214"/>
      <c r="I418" s="331"/>
    </row>
    <row r="419" spans="1:9" x14ac:dyDescent="0.35">
      <c r="A419" s="134" t="s">
        <v>257</v>
      </c>
      <c r="B419" s="110" t="s">
        <v>442</v>
      </c>
      <c r="C419" s="194">
        <f>MAYO!K183+MAYO!S183+MAYO!T183</f>
        <v>250</v>
      </c>
      <c r="D419" s="136"/>
      <c r="E419" s="124"/>
      <c r="F419" s="194">
        <f>SUM(MAYO!V183:AZ183)</f>
        <v>0</v>
      </c>
      <c r="G419" s="122">
        <f t="shared" si="57"/>
        <v>250</v>
      </c>
      <c r="H419" s="214"/>
    </row>
    <row r="420" spans="1:9" x14ac:dyDescent="0.35">
      <c r="A420" s="134" t="s">
        <v>1056</v>
      </c>
      <c r="B420" s="110" t="s">
        <v>442</v>
      </c>
      <c r="C420" s="194">
        <f>MAYO!K184+MAYO!S184+MAYO!T184</f>
        <v>300</v>
      </c>
      <c r="D420" s="136"/>
      <c r="E420" s="124"/>
      <c r="F420" s="194">
        <f>SUM(MAYO!V184:AZ184)</f>
        <v>0</v>
      </c>
      <c r="G420" s="122">
        <f t="shared" si="57"/>
        <v>300</v>
      </c>
      <c r="H420" s="214"/>
    </row>
    <row r="421" spans="1:9" x14ac:dyDescent="0.35">
      <c r="A421" s="134" t="s">
        <v>1609</v>
      </c>
      <c r="B421" s="110" t="s">
        <v>442</v>
      </c>
      <c r="C421" s="194">
        <f>MAYO!K185+MAYO!S185+MAYO!T185</f>
        <v>1044</v>
      </c>
      <c r="D421" s="136"/>
      <c r="E421" s="124"/>
      <c r="F421" s="194">
        <f>SUM(MAYO!V185:AZ185)</f>
        <v>0</v>
      </c>
      <c r="G421" s="122">
        <f t="shared" si="57"/>
        <v>1044</v>
      </c>
      <c r="H421" s="214"/>
    </row>
    <row r="422" spans="1:9" x14ac:dyDescent="0.35">
      <c r="A422" s="134" t="s">
        <v>945</v>
      </c>
      <c r="B422" s="110" t="s">
        <v>442</v>
      </c>
      <c r="C422" s="194">
        <f>MAYO!K186+MAYO!S186+MAYO!T186</f>
        <v>598</v>
      </c>
      <c r="D422" s="136"/>
      <c r="E422" s="124"/>
      <c r="F422" s="194">
        <f>SUM(MAYO!V186:AZ186)</f>
        <v>0</v>
      </c>
      <c r="G422" s="122">
        <f t="shared" si="57"/>
        <v>598</v>
      </c>
      <c r="H422" s="214"/>
    </row>
    <row r="423" spans="1:9" x14ac:dyDescent="0.35">
      <c r="A423" s="134" t="s">
        <v>1660</v>
      </c>
      <c r="B423" s="110" t="s">
        <v>442</v>
      </c>
      <c r="C423" s="194">
        <f>MAYO!K187+MAYO!S187+MAYO!T187</f>
        <v>300</v>
      </c>
      <c r="D423" s="136"/>
      <c r="E423" s="124"/>
      <c r="F423" s="194">
        <f>SUM(MAYO!V187:AZ187)</f>
        <v>0</v>
      </c>
      <c r="G423" s="122">
        <f t="shared" si="57"/>
        <v>300</v>
      </c>
      <c r="H423" s="214"/>
    </row>
    <row r="424" spans="1:9" x14ac:dyDescent="0.35">
      <c r="A424" s="134" t="s">
        <v>258</v>
      </c>
      <c r="B424" s="110" t="s">
        <v>442</v>
      </c>
      <c r="C424" s="194">
        <f>MAYO!K188+MAYO!S188+MAYO!T188</f>
        <v>350</v>
      </c>
      <c r="D424" s="136"/>
      <c r="E424" s="124"/>
      <c r="F424" s="194">
        <f>SUM(MAYO!V188:AZ188)</f>
        <v>0</v>
      </c>
      <c r="G424" s="122">
        <f t="shared" si="57"/>
        <v>350</v>
      </c>
      <c r="H424" s="214"/>
    </row>
    <row r="425" spans="1:9" x14ac:dyDescent="0.35">
      <c r="A425" s="91" t="s">
        <v>863</v>
      </c>
      <c r="B425" s="110" t="s">
        <v>442</v>
      </c>
      <c r="C425" s="194">
        <f>MAYO!K189+MAYO!S189+MAYO!T189</f>
        <v>498</v>
      </c>
      <c r="D425" s="136"/>
      <c r="E425" s="124"/>
      <c r="F425" s="194">
        <f>SUM(MAYO!V189:AZ189)</f>
        <v>0</v>
      </c>
      <c r="G425" s="122">
        <f t="shared" si="57"/>
        <v>498</v>
      </c>
      <c r="H425" s="214"/>
    </row>
    <row r="426" spans="1:9" x14ac:dyDescent="0.35">
      <c r="A426" s="134" t="s">
        <v>1557</v>
      </c>
      <c r="B426" s="110" t="s">
        <v>442</v>
      </c>
      <c r="C426" s="194">
        <f>MAYO!K190+MAYO!S190+MAYO!T190</f>
        <v>600</v>
      </c>
      <c r="D426" s="136"/>
      <c r="E426" s="124"/>
      <c r="F426" s="194">
        <f>SUM(MAYO!V190:AZ190)</f>
        <v>0</v>
      </c>
      <c r="G426" s="122">
        <f t="shared" si="57"/>
        <v>600</v>
      </c>
      <c r="H426" s="214"/>
    </row>
    <row r="427" spans="1:9" x14ac:dyDescent="0.35">
      <c r="A427" s="134" t="s">
        <v>2433</v>
      </c>
      <c r="B427" s="110" t="s">
        <v>442</v>
      </c>
      <c r="C427" s="194">
        <f>MAYO!K191+MAYO!S191+MAYO!T191</f>
        <v>300</v>
      </c>
      <c r="D427" s="136"/>
      <c r="E427" s="124"/>
      <c r="F427" s="194">
        <f>SUM(MAYO!V191:AZ191)</f>
        <v>0</v>
      </c>
      <c r="G427" s="122">
        <f t="shared" si="57"/>
        <v>300</v>
      </c>
      <c r="H427" s="214"/>
    </row>
    <row r="428" spans="1:9" x14ac:dyDescent="0.35">
      <c r="A428" s="134" t="s">
        <v>2767</v>
      </c>
      <c r="B428" s="110" t="s">
        <v>442</v>
      </c>
      <c r="C428" s="194">
        <f>MAYO!K192+MAYO!S192+MAYO!T192</f>
        <v>300</v>
      </c>
      <c r="D428" s="136"/>
      <c r="E428" s="124"/>
      <c r="F428" s="194">
        <f>SUM(MAYO!V192:AZ192)</f>
        <v>0</v>
      </c>
      <c r="G428" s="122">
        <f t="shared" si="57"/>
        <v>300</v>
      </c>
      <c r="H428" s="214"/>
    </row>
    <row r="429" spans="1:9" x14ac:dyDescent="0.35">
      <c r="A429" s="134" t="s">
        <v>1265</v>
      </c>
      <c r="B429" s="110" t="s">
        <v>442</v>
      </c>
      <c r="C429" s="194">
        <f>MAYO!K193+MAYO!S193+MAYO!T193</f>
        <v>900</v>
      </c>
      <c r="D429" s="136"/>
      <c r="E429" s="124"/>
      <c r="F429" s="194">
        <f>SUM(MAYO!V193:AZ193)</f>
        <v>0</v>
      </c>
      <c r="G429" s="122">
        <f>C429-F429</f>
        <v>900</v>
      </c>
      <c r="H429" s="214"/>
    </row>
    <row r="430" spans="1:9" x14ac:dyDescent="0.35">
      <c r="A430" s="134" t="s">
        <v>971</v>
      </c>
      <c r="B430" s="110" t="s">
        <v>442</v>
      </c>
      <c r="C430" s="194">
        <f>MAYO!K194+MAYO!S194+MAYO!T194</f>
        <v>250</v>
      </c>
      <c r="D430" s="136"/>
      <c r="E430" s="124"/>
      <c r="F430" s="194">
        <f>SUM(MAYO!V194:AZ194)</f>
        <v>0</v>
      </c>
      <c r="G430" s="122">
        <f>C430-F430</f>
        <v>250</v>
      </c>
      <c r="H430" s="214"/>
    </row>
    <row r="431" spans="1:9" x14ac:dyDescent="0.35">
      <c r="A431" s="134" t="s">
        <v>1026</v>
      </c>
      <c r="B431" s="110" t="s">
        <v>442</v>
      </c>
      <c r="C431" s="194">
        <f>MAYO!K195+MAYO!S195+MAYO!T195</f>
        <v>5250</v>
      </c>
      <c r="D431" s="149"/>
      <c r="E431" s="124"/>
      <c r="F431" s="194">
        <f>SUM(MAYO!V195:AZ195)</f>
        <v>0</v>
      </c>
      <c r="G431" s="122">
        <f>C431-F431</f>
        <v>5250</v>
      </c>
      <c r="H431" s="214"/>
      <c r="I431" s="212" t="s">
        <v>931</v>
      </c>
    </row>
    <row r="432" spans="1:9" x14ac:dyDescent="0.35">
      <c r="A432" s="134" t="s">
        <v>1359</v>
      </c>
      <c r="B432" s="110" t="s">
        <v>442</v>
      </c>
      <c r="C432" s="194">
        <f>MAYO!K196+MAYO!S196+MAYO!T196</f>
        <v>280</v>
      </c>
      <c r="D432" s="136"/>
      <c r="E432" s="124"/>
      <c r="F432" s="194">
        <f>SUM(MAYO!V196:AZ196)</f>
        <v>0</v>
      </c>
      <c r="G432" s="122">
        <f>C432-F432</f>
        <v>280</v>
      </c>
      <c r="H432" s="214"/>
    </row>
    <row r="433" spans="1:9" x14ac:dyDescent="0.35">
      <c r="A433" s="134" t="s">
        <v>618</v>
      </c>
      <c r="B433" s="110" t="s">
        <v>442</v>
      </c>
      <c r="C433" s="194">
        <f>MAYO!K197+MAYO!S197+MAYO!T197</f>
        <v>900</v>
      </c>
      <c r="D433" s="136"/>
      <c r="E433" s="124"/>
      <c r="F433" s="194">
        <f>SUM(MAYO!V197:AZ197)</f>
        <v>0</v>
      </c>
      <c r="G433" s="122">
        <f t="shared" ref="G433:G455" si="58">C433-F433</f>
        <v>900</v>
      </c>
      <c r="H433" s="215"/>
    </row>
    <row r="434" spans="1:9" x14ac:dyDescent="0.35">
      <c r="A434" s="134" t="s">
        <v>131</v>
      </c>
      <c r="B434" s="110" t="s">
        <v>442</v>
      </c>
      <c r="C434" s="194">
        <f>MAYO!K199+MAYO!S199+MAYO!T199</f>
        <v>18770</v>
      </c>
      <c r="D434" s="136"/>
      <c r="E434" s="124"/>
      <c r="F434" s="194">
        <f>SUM(MAYO!V199:AZ199)</f>
        <v>0</v>
      </c>
      <c r="G434" s="122">
        <f t="shared" si="58"/>
        <v>18770</v>
      </c>
      <c r="H434" s="214"/>
    </row>
    <row r="435" spans="1:9" x14ac:dyDescent="0.35">
      <c r="A435" s="134" t="s">
        <v>259</v>
      </c>
      <c r="B435" s="110" t="s">
        <v>442</v>
      </c>
      <c r="C435" s="194">
        <f>MAYO!K200+MAYO!S200+MAYO!T200</f>
        <v>9080</v>
      </c>
      <c r="D435" s="136"/>
      <c r="E435" s="124"/>
      <c r="F435" s="194">
        <f>SUM(MAYO!V200:AZ200)</f>
        <v>0</v>
      </c>
      <c r="G435" s="122">
        <f t="shared" si="58"/>
        <v>9080</v>
      </c>
      <c r="H435" s="214"/>
    </row>
    <row r="436" spans="1:9" x14ac:dyDescent="0.35">
      <c r="A436" s="134" t="s">
        <v>2854</v>
      </c>
      <c r="B436" s="110" t="s">
        <v>442</v>
      </c>
      <c r="C436" s="194">
        <f>MAYO!K201+MAYO!S201+MAYO!T201</f>
        <v>300</v>
      </c>
      <c r="D436" s="136"/>
      <c r="E436" s="124"/>
      <c r="F436" s="194">
        <f>SUM(MAYO!V201:AZ201)</f>
        <v>0</v>
      </c>
      <c r="G436" s="122">
        <f t="shared" si="58"/>
        <v>300</v>
      </c>
      <c r="H436" s="214"/>
    </row>
    <row r="437" spans="1:9" x14ac:dyDescent="0.35">
      <c r="A437" s="134" t="s">
        <v>2252</v>
      </c>
      <c r="B437" s="110" t="s">
        <v>442</v>
      </c>
      <c r="C437" s="194">
        <f>MAYO!K202+MAYO!S202+MAYO!T202</f>
        <v>300</v>
      </c>
      <c r="D437" s="136"/>
      <c r="E437" s="124"/>
      <c r="F437" s="194">
        <f>SUM(MAYO!V202:AZ202)</f>
        <v>0</v>
      </c>
      <c r="G437" s="122">
        <f t="shared" si="58"/>
        <v>300</v>
      </c>
      <c r="H437" s="215"/>
    </row>
    <row r="438" spans="1:9" x14ac:dyDescent="0.35">
      <c r="A438" s="134" t="s">
        <v>2934</v>
      </c>
      <c r="B438" s="110" t="s">
        <v>442</v>
      </c>
      <c r="C438" s="194">
        <f>MAYO!K203+MAYO!S203+MAYO!T203</f>
        <v>300</v>
      </c>
      <c r="D438" s="136"/>
      <c r="E438" s="124"/>
      <c r="F438" s="194">
        <f>SUM(MAYO!V203:AZ203)</f>
        <v>0</v>
      </c>
      <c r="G438" s="122">
        <f t="shared" ref="G438" si="59">C438-F438</f>
        <v>300</v>
      </c>
      <c r="H438" s="215"/>
    </row>
    <row r="439" spans="1:9" x14ac:dyDescent="0.35">
      <c r="A439" s="134" t="s">
        <v>260</v>
      </c>
      <c r="B439" s="110" t="s">
        <v>442</v>
      </c>
      <c r="C439" s="194">
        <f>MAYO!K204+MAYO!S204+MAYO!T204</f>
        <v>2100</v>
      </c>
      <c r="D439" s="149"/>
      <c r="E439" s="124"/>
      <c r="F439" s="194">
        <f>SUM(MAYO!V204:AZ204)</f>
        <v>0</v>
      </c>
      <c r="G439" s="122">
        <f t="shared" si="58"/>
        <v>2100</v>
      </c>
      <c r="H439" s="215"/>
    </row>
    <row r="440" spans="1:9" x14ac:dyDescent="0.35">
      <c r="A440" s="134" t="s">
        <v>250</v>
      </c>
      <c r="B440" s="110" t="s">
        <v>442</v>
      </c>
      <c r="C440" s="194">
        <f>MAYO!K205+MAYO!S205+MAYO!T205</f>
        <v>500</v>
      </c>
      <c r="D440" s="136"/>
      <c r="E440" s="124"/>
      <c r="F440" s="194">
        <f>SUM(MAYO!V205:AZ205)</f>
        <v>0</v>
      </c>
      <c r="G440" s="122">
        <f t="shared" si="58"/>
        <v>500</v>
      </c>
      <c r="H440" s="203"/>
      <c r="I440" s="1"/>
    </row>
    <row r="441" spans="1:9" x14ac:dyDescent="0.35">
      <c r="A441" s="134" t="s">
        <v>421</v>
      </c>
      <c r="B441" s="110" t="s">
        <v>442</v>
      </c>
      <c r="C441" s="194">
        <f>MAYO!K206+MAYO!S206+MAYO!T206</f>
        <v>2000</v>
      </c>
      <c r="D441" s="136"/>
      <c r="E441" s="124"/>
      <c r="F441" s="194">
        <f>SUM(MAYO!V206:AZ206)</f>
        <v>0</v>
      </c>
      <c r="G441" s="122">
        <f t="shared" si="58"/>
        <v>2000</v>
      </c>
      <c r="H441" s="214"/>
      <c r="I441" s="212" t="s">
        <v>617</v>
      </c>
    </row>
    <row r="442" spans="1:9" x14ac:dyDescent="0.35">
      <c r="A442" s="134" t="s">
        <v>140</v>
      </c>
      <c r="B442" s="110" t="s">
        <v>442</v>
      </c>
      <c r="C442" s="194">
        <f>MAYO!K207+MAYO!S207+MAYO!T207</f>
        <v>1250</v>
      </c>
      <c r="D442" s="136"/>
      <c r="E442" s="124"/>
      <c r="F442" s="194">
        <f>SUM(MAYO!V207:AZ207)</f>
        <v>0</v>
      </c>
      <c r="G442" s="122">
        <f t="shared" si="58"/>
        <v>1250</v>
      </c>
      <c r="H442" s="214"/>
      <c r="I442" s="212" t="s">
        <v>617</v>
      </c>
    </row>
    <row r="443" spans="1:9" x14ac:dyDescent="0.35">
      <c r="A443" s="134" t="s">
        <v>2245</v>
      </c>
      <c r="B443" s="110" t="s">
        <v>442</v>
      </c>
      <c r="C443" s="194">
        <f>MAYO!K208+MAYO!S208+MAYO!T208</f>
        <v>1700</v>
      </c>
      <c r="D443" s="136"/>
      <c r="E443" s="124"/>
      <c r="F443" s="194">
        <f>SUM(MAYO!V208:AZ208)</f>
        <v>0</v>
      </c>
      <c r="G443" s="122">
        <f t="shared" si="58"/>
        <v>1700</v>
      </c>
      <c r="H443" s="214"/>
      <c r="I443" s="212" t="s">
        <v>617</v>
      </c>
    </row>
    <row r="444" spans="1:9" x14ac:dyDescent="0.35">
      <c r="A444" s="134" t="s">
        <v>2256</v>
      </c>
      <c r="B444" s="110" t="s">
        <v>442</v>
      </c>
      <c r="C444" s="194">
        <f>MAYO!K209+MAYO!S209+MAYO!T209</f>
        <v>598</v>
      </c>
      <c r="D444" s="136"/>
      <c r="E444" s="124"/>
      <c r="F444" s="194">
        <f>SUM(MAYO!V209:AZ209)</f>
        <v>0</v>
      </c>
      <c r="G444" s="122">
        <f t="shared" si="58"/>
        <v>598</v>
      </c>
      <c r="H444" s="214"/>
      <c r="I444" s="1"/>
    </row>
    <row r="445" spans="1:9" x14ac:dyDescent="0.35">
      <c r="A445" s="202" t="s">
        <v>3048</v>
      </c>
      <c r="B445" s="110" t="s">
        <v>442</v>
      </c>
      <c r="C445" s="194">
        <f>MAYO!K210+MAYO!S210+MAYO!T210</f>
        <v>250</v>
      </c>
      <c r="D445" s="136"/>
      <c r="E445" s="124"/>
      <c r="F445" s="194">
        <f>SUM(MAYO!V210:AZ210)</f>
        <v>0</v>
      </c>
      <c r="G445" s="122">
        <f t="shared" ref="G445" si="60">C445-F445</f>
        <v>250</v>
      </c>
      <c r="H445" s="214"/>
      <c r="I445" s="1"/>
    </row>
    <row r="446" spans="1:9" x14ac:dyDescent="0.35">
      <c r="A446" s="202" t="s">
        <v>2853</v>
      </c>
      <c r="B446" s="110" t="s">
        <v>442</v>
      </c>
      <c r="C446" s="194">
        <f>MAYO!K211+MAYO!S211+MAYO!T211</f>
        <v>300</v>
      </c>
      <c r="D446" s="136"/>
      <c r="E446" s="124"/>
      <c r="F446" s="194">
        <f>SUM(MAYO!V211:AZ211)</f>
        <v>0</v>
      </c>
      <c r="G446" s="122">
        <f t="shared" si="58"/>
        <v>300</v>
      </c>
      <c r="H446" s="214"/>
      <c r="I446" s="1"/>
    </row>
    <row r="447" spans="1:9" x14ac:dyDescent="0.35">
      <c r="A447" s="134" t="s">
        <v>2298</v>
      </c>
      <c r="B447" s="110" t="s">
        <v>442</v>
      </c>
      <c r="C447" s="194">
        <f>MAYO!K212+MAYO!S212+MAYO!T212</f>
        <v>300</v>
      </c>
      <c r="D447" s="136"/>
      <c r="E447" s="124"/>
      <c r="F447" s="194">
        <f>SUM(MAYO!V212:AZ212)</f>
        <v>0</v>
      </c>
      <c r="G447" s="122">
        <f t="shared" si="58"/>
        <v>300</v>
      </c>
      <c r="H447" s="214"/>
      <c r="I447" s="1"/>
    </row>
    <row r="448" spans="1:9" x14ac:dyDescent="0.35">
      <c r="A448" s="134" t="s">
        <v>2907</v>
      </c>
      <c r="B448" s="110" t="s">
        <v>442</v>
      </c>
      <c r="C448" s="194">
        <f>MAYO!K213+MAYO!S213+MAYO!T213</f>
        <v>0</v>
      </c>
      <c r="D448" s="136"/>
      <c r="E448" s="124"/>
      <c r="F448" s="194">
        <f>SUM(MAYO!V213:AZ213)</f>
        <v>0</v>
      </c>
      <c r="G448" s="122">
        <f t="shared" ref="G448" si="61">C448-F448</f>
        <v>0</v>
      </c>
      <c r="H448" s="214"/>
      <c r="I448" s="1"/>
    </row>
    <row r="449" spans="1:9" x14ac:dyDescent="0.35">
      <c r="A449" s="134" t="s">
        <v>2526</v>
      </c>
      <c r="B449" s="110" t="s">
        <v>442</v>
      </c>
      <c r="C449" s="194">
        <f>MAYO!K214+MAYO!S214+MAYO!T214</f>
        <v>600</v>
      </c>
      <c r="D449" s="136"/>
      <c r="E449" s="124"/>
      <c r="F449" s="194">
        <f>SUM(MAYO!V214:AZ214)</f>
        <v>0</v>
      </c>
      <c r="G449" s="122">
        <f t="shared" si="58"/>
        <v>600</v>
      </c>
      <c r="H449" s="214"/>
      <c r="I449" s="1"/>
    </row>
    <row r="450" spans="1:9" x14ac:dyDescent="0.35">
      <c r="A450" s="134" t="s">
        <v>295</v>
      </c>
      <c r="B450" s="110" t="s">
        <v>442</v>
      </c>
      <c r="C450" s="194">
        <f>MAYO!K216+MAYO!S216+MAYO!T216</f>
        <v>999.99999999999955</v>
      </c>
      <c r="D450" s="136"/>
      <c r="E450" s="124"/>
      <c r="F450" s="194">
        <f>SUM(MAYO!V216:AZ216)</f>
        <v>0</v>
      </c>
      <c r="G450" s="122">
        <f t="shared" si="58"/>
        <v>999.99999999999955</v>
      </c>
      <c r="H450" s="214"/>
      <c r="I450" s="212" t="s">
        <v>617</v>
      </c>
    </row>
    <row r="451" spans="1:9" x14ac:dyDescent="0.35">
      <c r="A451" s="134" t="s">
        <v>2940</v>
      </c>
      <c r="B451" s="110" t="s">
        <v>442</v>
      </c>
      <c r="C451" s="194">
        <f>MAYO!K217+MAYO!S217+MAYO!T217</f>
        <v>300</v>
      </c>
      <c r="D451" s="136"/>
      <c r="E451" s="124"/>
      <c r="F451" s="194">
        <f>SUM(MAYO!V217:AZ217)</f>
        <v>0</v>
      </c>
      <c r="G451" s="122">
        <f t="shared" ref="G451" si="62">C451-F451</f>
        <v>300</v>
      </c>
      <c r="H451" s="214"/>
      <c r="I451" s="212"/>
    </row>
    <row r="452" spans="1:9" x14ac:dyDescent="0.35">
      <c r="A452" s="134" t="s">
        <v>2575</v>
      </c>
      <c r="B452" s="110" t="s">
        <v>442</v>
      </c>
      <c r="C452" s="194">
        <f>MAYO!K218+MAYO!S218+MAYO!T218</f>
        <v>348</v>
      </c>
      <c r="D452" s="136"/>
      <c r="E452" s="124"/>
      <c r="F452" s="194">
        <f>SUM(MAYO!V218:AZ218)</f>
        <v>0</v>
      </c>
      <c r="G452" s="122">
        <f t="shared" si="58"/>
        <v>348</v>
      </c>
      <c r="H452" s="214"/>
      <c r="I452" s="1"/>
    </row>
    <row r="453" spans="1:9" x14ac:dyDescent="0.35">
      <c r="A453" s="134" t="s">
        <v>251</v>
      </c>
      <c r="B453" s="110" t="s">
        <v>442</v>
      </c>
      <c r="C453" s="194">
        <f>MAYO!K219+MAYO!S219+MAYO!T219</f>
        <v>250.00000000000006</v>
      </c>
      <c r="D453" s="136"/>
      <c r="E453" s="124"/>
      <c r="F453" s="194">
        <f>SUM(MAYO!V219:AZ219)</f>
        <v>0</v>
      </c>
      <c r="G453" s="122">
        <f t="shared" si="58"/>
        <v>250.00000000000006</v>
      </c>
      <c r="H453" s="214"/>
    </row>
    <row r="454" spans="1:9" x14ac:dyDescent="0.35">
      <c r="A454" s="134" t="s">
        <v>144</v>
      </c>
      <c r="B454" s="110" t="s">
        <v>442</v>
      </c>
      <c r="C454" s="194">
        <f>MAYO!K220+MAYO!S220+MAYO!T220</f>
        <v>4200</v>
      </c>
      <c r="D454" s="136"/>
      <c r="E454" s="124"/>
      <c r="F454" s="194">
        <f>SUM(MAYO!V220:AZ220)</f>
        <v>0</v>
      </c>
      <c r="G454" s="122">
        <f t="shared" si="58"/>
        <v>4200</v>
      </c>
      <c r="H454" s="214"/>
    </row>
    <row r="455" spans="1:9" x14ac:dyDescent="0.35">
      <c r="A455" s="134" t="s">
        <v>2761</v>
      </c>
      <c r="B455" s="110" t="s">
        <v>442</v>
      </c>
      <c r="C455" s="194">
        <f>MAYO!K221+MAYO!S221+MAYO!T221</f>
        <v>17954.86</v>
      </c>
      <c r="D455" s="136"/>
      <c r="E455" s="124"/>
      <c r="F455" s="194">
        <f>SUM(MAYO!V221:AZ221)</f>
        <v>0</v>
      </c>
      <c r="G455" s="122">
        <f t="shared" si="58"/>
        <v>17954.86</v>
      </c>
      <c r="H455" s="376"/>
    </row>
    <row r="456" spans="1:9" x14ac:dyDescent="0.35">
      <c r="A456" s="134" t="s">
        <v>2507</v>
      </c>
      <c r="B456" s="110" t="s">
        <v>442</v>
      </c>
      <c r="C456" s="194">
        <f>MAYO!K222+MAYO!S222+MAYO!T222</f>
        <v>3000</v>
      </c>
      <c r="D456" s="136"/>
      <c r="E456" s="124"/>
      <c r="F456" s="194">
        <f>SUM(MAYO!V222:AZ222)</f>
        <v>0</v>
      </c>
      <c r="G456" s="122">
        <f>C456-F456</f>
        <v>3000</v>
      </c>
      <c r="H456" s="376"/>
    </row>
    <row r="457" spans="1:9" x14ac:dyDescent="0.35">
      <c r="A457" s="134" t="s">
        <v>146</v>
      </c>
      <c r="B457" s="110" t="s">
        <v>442</v>
      </c>
      <c r="C457" s="194">
        <f>MAYO!K223+MAYO!S223+MAYO!T223</f>
        <v>700</v>
      </c>
      <c r="D457" s="136"/>
      <c r="E457" s="124"/>
      <c r="F457" s="194">
        <f>SUM(MAYO!V223:AZ223)</f>
        <v>0</v>
      </c>
      <c r="G457" s="122">
        <f t="shared" ref="G457" si="63">C457-F457</f>
        <v>700</v>
      </c>
      <c r="H457" s="214"/>
    </row>
    <row r="458" spans="1:9" ht="15" thickBot="1" x14ac:dyDescent="0.4">
      <c r="A458" s="91" t="s">
        <v>2913</v>
      </c>
      <c r="B458" s="110" t="s">
        <v>442</v>
      </c>
      <c r="C458" s="194">
        <f>MAYO!K224+MAYO!S224+MAYO!T224</f>
        <v>0</v>
      </c>
      <c r="D458" s="331"/>
      <c r="E458" s="415"/>
      <c r="F458" s="194">
        <f>SUM(MAYO!V224:AZ224)</f>
        <v>0</v>
      </c>
      <c r="G458" s="122">
        <f>C458-F458</f>
        <v>0</v>
      </c>
      <c r="H458" s="416"/>
    </row>
    <row r="459" spans="1:9" ht="16" thickBot="1" x14ac:dyDescent="0.4">
      <c r="A459" s="377" t="s">
        <v>2886</v>
      </c>
      <c r="B459" s="378">
        <v>81</v>
      </c>
      <c r="C459" s="379">
        <f>SUM(C367:C458)</f>
        <v>138266.1312</v>
      </c>
      <c r="D459" s="379"/>
      <c r="E459" s="379"/>
      <c r="F459" s="379">
        <f>SUM(F367:F458)</f>
        <v>0</v>
      </c>
      <c r="G459" s="379">
        <f>SUM(G367:G458)</f>
        <v>138266.1312</v>
      </c>
      <c r="H459" s="380"/>
    </row>
  </sheetData>
  <autoFilter ref="A1:I459" xr:uid="{00000000-0009-0000-0000-000007000000}"/>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N98"/>
  <sheetViews>
    <sheetView zoomScale="95" zoomScaleNormal="95" workbookViewId="0">
      <pane xSplit="2" ySplit="2" topLeftCell="C87" activePane="bottomRight" state="frozenSplit"/>
      <selection pane="topRight" activeCell="E1" sqref="E1"/>
      <selection pane="bottomLeft" activeCell="A8" sqref="A8"/>
      <selection pane="bottomRight" activeCell="B99" sqref="B99"/>
    </sheetView>
  </sheetViews>
  <sheetFormatPr baseColWidth="10" defaultRowHeight="14.5" x14ac:dyDescent="0.35"/>
  <cols>
    <col min="1" max="1" width="33" style="137" customWidth="1"/>
    <col min="2" max="2" width="22.54296875" style="1" customWidth="1"/>
    <col min="3" max="3" width="29.54296875" style="1" customWidth="1"/>
    <col min="4" max="4" width="10.7265625" style="1" customWidth="1"/>
    <col min="5" max="5" width="30" style="1" customWidth="1"/>
    <col min="6" max="6" width="11.7265625" style="1" customWidth="1"/>
    <col min="7" max="7" width="16.7265625" style="1" customWidth="1"/>
    <col min="8" max="8" width="18.26953125" style="1" customWidth="1"/>
    <col min="9" max="9" width="13" style="1" customWidth="1"/>
    <col min="10" max="10" width="15.26953125" style="139" customWidth="1"/>
    <col min="11" max="11" width="15.26953125" style="1" customWidth="1"/>
    <col min="12" max="12" width="45.81640625" style="1" customWidth="1"/>
    <col min="13" max="13" width="29.1796875" style="163" customWidth="1"/>
    <col min="14" max="14" width="36.26953125" customWidth="1"/>
  </cols>
  <sheetData>
    <row r="1" spans="1:13" ht="32.25" customHeight="1" x14ac:dyDescent="0.35">
      <c r="A1" s="442" t="s">
        <v>801</v>
      </c>
      <c r="B1" s="442"/>
      <c r="C1" s="442"/>
      <c r="D1" s="442"/>
      <c r="E1" s="442"/>
      <c r="F1" s="442"/>
      <c r="G1" s="442"/>
      <c r="H1" s="442"/>
      <c r="I1" s="442"/>
      <c r="J1" s="442"/>
      <c r="K1" s="442"/>
      <c r="L1" s="442"/>
    </row>
    <row r="2" spans="1:13" ht="36.75" customHeight="1" x14ac:dyDescent="0.35">
      <c r="A2" s="107" t="s">
        <v>175</v>
      </c>
      <c r="B2" s="107" t="s">
        <v>3</v>
      </c>
      <c r="C2" s="106" t="s">
        <v>168</v>
      </c>
      <c r="D2" s="106" t="s">
        <v>169</v>
      </c>
      <c r="E2" s="108" t="s">
        <v>170</v>
      </c>
      <c r="F2" s="106" t="s">
        <v>177</v>
      </c>
      <c r="G2" s="106" t="s">
        <v>171</v>
      </c>
      <c r="H2" s="106" t="s">
        <v>328</v>
      </c>
      <c r="I2" s="106" t="s">
        <v>172</v>
      </c>
      <c r="J2" s="109" t="s">
        <v>173</v>
      </c>
      <c r="K2" s="109" t="s">
        <v>176</v>
      </c>
      <c r="L2" s="106" t="s">
        <v>174</v>
      </c>
    </row>
    <row r="3" spans="1:13" ht="19.5" customHeight="1" x14ac:dyDescent="0.35">
      <c r="A3" s="138">
        <v>44933</v>
      </c>
      <c r="B3" s="110" t="s">
        <v>261</v>
      </c>
      <c r="C3" s="110" t="s">
        <v>262</v>
      </c>
      <c r="D3" s="110">
        <v>1</v>
      </c>
      <c r="E3" s="110" t="s">
        <v>263</v>
      </c>
      <c r="F3" s="110" t="s">
        <v>264</v>
      </c>
      <c r="G3" s="110">
        <v>8125743258</v>
      </c>
      <c r="H3" s="110" t="s">
        <v>264</v>
      </c>
      <c r="I3" s="110" t="s">
        <v>30</v>
      </c>
      <c r="J3" s="122">
        <v>1800</v>
      </c>
      <c r="K3" s="110" t="s">
        <v>265</v>
      </c>
      <c r="L3" s="110" t="s">
        <v>286</v>
      </c>
    </row>
    <row r="4" spans="1:13" ht="19.5" customHeight="1" x14ac:dyDescent="0.35">
      <c r="A4" s="138">
        <v>44943</v>
      </c>
      <c r="B4" s="110" t="s">
        <v>271</v>
      </c>
      <c r="C4" s="110" t="s">
        <v>277</v>
      </c>
      <c r="D4" s="110">
        <v>0</v>
      </c>
      <c r="E4" s="110" t="s">
        <v>280</v>
      </c>
      <c r="F4" s="110" t="s">
        <v>278</v>
      </c>
      <c r="G4" s="110">
        <v>8124037781</v>
      </c>
      <c r="H4" s="157">
        <v>865011034739582</v>
      </c>
      <c r="I4" s="110" t="s">
        <v>279</v>
      </c>
      <c r="J4" s="122">
        <v>350</v>
      </c>
      <c r="K4" s="110" t="s">
        <v>265</v>
      </c>
      <c r="L4" s="142" t="s">
        <v>284</v>
      </c>
      <c r="M4" s="141" t="s">
        <v>281</v>
      </c>
    </row>
    <row r="5" spans="1:13" ht="19.5" customHeight="1" x14ac:dyDescent="0.35">
      <c r="A5" s="138">
        <v>44951</v>
      </c>
      <c r="B5" s="110" t="s">
        <v>276</v>
      </c>
      <c r="C5" s="110" t="s">
        <v>279</v>
      </c>
      <c r="D5" s="110">
        <v>1</v>
      </c>
      <c r="E5" s="110" t="s">
        <v>282</v>
      </c>
      <c r="F5" s="110" t="s">
        <v>283</v>
      </c>
      <c r="G5" s="110">
        <v>8123308539</v>
      </c>
      <c r="H5" s="110">
        <v>868166053312336</v>
      </c>
      <c r="I5" s="110" t="s">
        <v>30</v>
      </c>
      <c r="J5" s="122">
        <v>1700</v>
      </c>
      <c r="K5" s="110" t="s">
        <v>265</v>
      </c>
      <c r="L5" s="110" t="s">
        <v>285</v>
      </c>
    </row>
    <row r="6" spans="1:13" ht="18.75" customHeight="1" x14ac:dyDescent="0.35">
      <c r="A6" s="138">
        <v>44966</v>
      </c>
      <c r="B6" s="110" t="s">
        <v>303</v>
      </c>
      <c r="C6" s="110" t="s">
        <v>305</v>
      </c>
      <c r="D6" s="110">
        <v>1</v>
      </c>
      <c r="E6" s="110" t="s">
        <v>306</v>
      </c>
      <c r="F6" s="110" t="s">
        <v>307</v>
      </c>
      <c r="G6" s="110">
        <v>8117851984</v>
      </c>
      <c r="H6" s="110">
        <v>868166053311056</v>
      </c>
      <c r="I6" s="110" t="s">
        <v>30</v>
      </c>
      <c r="J6" s="122">
        <v>1650</v>
      </c>
      <c r="K6" s="110" t="s">
        <v>30</v>
      </c>
      <c r="L6" s="110" t="s">
        <v>308</v>
      </c>
    </row>
    <row r="7" spans="1:13" ht="35.25" customHeight="1" x14ac:dyDescent="0.35">
      <c r="A7" s="138">
        <v>44967</v>
      </c>
      <c r="B7" s="110" t="s">
        <v>304</v>
      </c>
      <c r="C7" s="110" t="s">
        <v>279</v>
      </c>
      <c r="D7" s="110">
        <v>2</v>
      </c>
      <c r="E7" s="111" t="s">
        <v>309</v>
      </c>
      <c r="F7" s="110" t="s">
        <v>264</v>
      </c>
      <c r="G7" s="111" t="s">
        <v>310</v>
      </c>
      <c r="H7" s="111" t="s">
        <v>330</v>
      </c>
      <c r="I7" s="110" t="s">
        <v>30</v>
      </c>
      <c r="J7" s="122">
        <f>1800*2</f>
        <v>3600</v>
      </c>
      <c r="K7" s="110" t="s">
        <v>265</v>
      </c>
      <c r="L7" s="110" t="s">
        <v>311</v>
      </c>
    </row>
    <row r="8" spans="1:13" ht="18.75" customHeight="1" x14ac:dyDescent="0.35">
      <c r="A8" s="138">
        <v>44975</v>
      </c>
      <c r="B8" s="110" t="s">
        <v>304</v>
      </c>
      <c r="C8" s="110" t="s">
        <v>313</v>
      </c>
      <c r="D8" s="110">
        <v>1</v>
      </c>
      <c r="E8" s="110" t="s">
        <v>279</v>
      </c>
      <c r="F8" s="110" t="s">
        <v>279</v>
      </c>
      <c r="G8" s="110" t="s">
        <v>279</v>
      </c>
      <c r="H8" s="110" t="s">
        <v>279</v>
      </c>
      <c r="I8" s="110" t="s">
        <v>279</v>
      </c>
      <c r="J8" s="122">
        <v>200</v>
      </c>
      <c r="K8" s="110" t="s">
        <v>265</v>
      </c>
      <c r="L8" s="110" t="s">
        <v>331</v>
      </c>
      <c r="M8" s="141" t="s">
        <v>314</v>
      </c>
    </row>
    <row r="9" spans="1:13" ht="18.75" customHeight="1" x14ac:dyDescent="0.35">
      <c r="A9" s="138">
        <v>44985</v>
      </c>
      <c r="B9" s="110" t="s">
        <v>321</v>
      </c>
      <c r="C9" s="110" t="s">
        <v>326</v>
      </c>
      <c r="D9" s="110">
        <v>1</v>
      </c>
      <c r="E9" s="110" t="s">
        <v>329</v>
      </c>
      <c r="F9" s="110" t="s">
        <v>264</v>
      </c>
      <c r="G9" s="110">
        <v>8446688364</v>
      </c>
      <c r="H9" s="110">
        <v>860856040231759</v>
      </c>
      <c r="I9" s="110" t="s">
        <v>30</v>
      </c>
      <c r="J9" s="122">
        <v>1650</v>
      </c>
      <c r="K9" s="110" t="s">
        <v>327</v>
      </c>
      <c r="L9" s="110" t="s">
        <v>332</v>
      </c>
    </row>
    <row r="10" spans="1:13" ht="18.75" customHeight="1" x14ac:dyDescent="0.35">
      <c r="A10" s="138">
        <v>44992</v>
      </c>
      <c r="B10" s="110" t="s">
        <v>325</v>
      </c>
      <c r="C10" s="110" t="s">
        <v>279</v>
      </c>
      <c r="D10" s="110">
        <v>1</v>
      </c>
      <c r="E10" s="110" t="s">
        <v>333</v>
      </c>
      <c r="F10" s="110" t="s">
        <v>334</v>
      </c>
      <c r="G10" s="110">
        <v>8182758888</v>
      </c>
      <c r="H10" s="110">
        <v>869220040810743</v>
      </c>
      <c r="I10" s="110" t="s">
        <v>30</v>
      </c>
      <c r="J10" s="122">
        <v>1700</v>
      </c>
      <c r="K10" s="110" t="s">
        <v>335</v>
      </c>
      <c r="L10" s="110" t="s">
        <v>336</v>
      </c>
    </row>
    <row r="11" spans="1:13" ht="18.75" customHeight="1" x14ac:dyDescent="0.35">
      <c r="A11" s="138">
        <v>44993</v>
      </c>
      <c r="B11" s="110" t="s">
        <v>261</v>
      </c>
      <c r="C11" s="110" t="s">
        <v>262</v>
      </c>
      <c r="D11" s="110">
        <v>1</v>
      </c>
      <c r="E11" s="110" t="s">
        <v>263</v>
      </c>
      <c r="F11" s="110" t="s">
        <v>264</v>
      </c>
      <c r="G11" s="110" t="s">
        <v>279</v>
      </c>
      <c r="H11" s="110" t="s">
        <v>264</v>
      </c>
      <c r="I11" s="110" t="s">
        <v>30</v>
      </c>
      <c r="J11" s="122">
        <v>450</v>
      </c>
      <c r="K11" s="110" t="s">
        <v>265</v>
      </c>
      <c r="L11" s="110" t="s">
        <v>400</v>
      </c>
      <c r="M11" s="141" t="s">
        <v>281</v>
      </c>
    </row>
    <row r="12" spans="1:13" ht="18.75" customHeight="1" x14ac:dyDescent="0.35">
      <c r="A12" s="138">
        <v>45014</v>
      </c>
      <c r="B12" s="110" t="s">
        <v>261</v>
      </c>
      <c r="C12" s="110" t="s">
        <v>262</v>
      </c>
      <c r="D12" s="110">
        <v>1</v>
      </c>
      <c r="E12" s="110" t="s">
        <v>395</v>
      </c>
      <c r="F12" s="110" t="s">
        <v>396</v>
      </c>
      <c r="G12" s="110">
        <v>8119854247</v>
      </c>
      <c r="H12" s="110">
        <v>865011033829863</v>
      </c>
      <c r="I12" s="110" t="s">
        <v>30</v>
      </c>
      <c r="J12" s="122">
        <v>1800</v>
      </c>
      <c r="K12" s="110" t="s">
        <v>30</v>
      </c>
      <c r="L12" s="110" t="s">
        <v>332</v>
      </c>
    </row>
    <row r="13" spans="1:13" ht="18.75" customHeight="1" x14ac:dyDescent="0.35">
      <c r="A13" s="138">
        <v>45009</v>
      </c>
      <c r="B13" s="110" t="s">
        <v>394</v>
      </c>
      <c r="C13" s="110" t="s">
        <v>397</v>
      </c>
      <c r="D13" s="110">
        <v>1</v>
      </c>
      <c r="E13" s="110" t="s">
        <v>398</v>
      </c>
      <c r="F13" s="110" t="s">
        <v>264</v>
      </c>
      <c r="G13" s="110" t="s">
        <v>279</v>
      </c>
      <c r="H13" s="110" t="s">
        <v>264</v>
      </c>
      <c r="I13" s="110" t="s">
        <v>30</v>
      </c>
      <c r="J13" s="122">
        <v>400</v>
      </c>
      <c r="K13" s="110" t="s">
        <v>335</v>
      </c>
      <c r="L13" s="110" t="s">
        <v>399</v>
      </c>
      <c r="M13" s="141" t="s">
        <v>281</v>
      </c>
    </row>
    <row r="14" spans="1:13" ht="18.75" customHeight="1" x14ac:dyDescent="0.35">
      <c r="A14" s="138">
        <v>45014</v>
      </c>
      <c r="B14" s="110" t="s">
        <v>401</v>
      </c>
      <c r="C14" s="110"/>
      <c r="D14" s="110">
        <v>1</v>
      </c>
      <c r="E14" s="110" t="s">
        <v>402</v>
      </c>
      <c r="F14" s="110" t="s">
        <v>264</v>
      </c>
      <c r="G14" s="110">
        <v>8119892256</v>
      </c>
      <c r="H14" s="110">
        <v>868166054739974</v>
      </c>
      <c r="I14" s="110" t="s">
        <v>30</v>
      </c>
      <c r="J14" s="122">
        <v>1800</v>
      </c>
      <c r="K14" s="110" t="s">
        <v>30</v>
      </c>
      <c r="L14" s="110" t="s">
        <v>332</v>
      </c>
    </row>
    <row r="15" spans="1:13" ht="18.75" customHeight="1" x14ac:dyDescent="0.35">
      <c r="A15" s="138">
        <v>45022</v>
      </c>
      <c r="B15" s="110" t="s">
        <v>261</v>
      </c>
      <c r="C15" s="110" t="s">
        <v>262</v>
      </c>
      <c r="D15" s="110">
        <v>1</v>
      </c>
      <c r="E15" s="110" t="s">
        <v>420</v>
      </c>
      <c r="F15" s="110" t="s">
        <v>264</v>
      </c>
      <c r="G15" s="110" t="s">
        <v>279</v>
      </c>
      <c r="H15" s="110">
        <v>868166054735964</v>
      </c>
      <c r="I15" s="110" t="s">
        <v>30</v>
      </c>
      <c r="J15" s="122">
        <v>1800</v>
      </c>
      <c r="K15" s="110" t="s">
        <v>335</v>
      </c>
      <c r="L15" s="110" t="s">
        <v>490</v>
      </c>
      <c r="M15" s="166" t="s">
        <v>2284</v>
      </c>
    </row>
    <row r="16" spans="1:13" x14ac:dyDescent="0.35">
      <c r="A16" s="138">
        <v>45037</v>
      </c>
      <c r="B16" s="110" t="s">
        <v>511</v>
      </c>
      <c r="C16" s="110" t="s">
        <v>537</v>
      </c>
      <c r="D16" s="110">
        <v>1</v>
      </c>
      <c r="E16" s="110" t="s">
        <v>333</v>
      </c>
      <c r="F16" s="110" t="s">
        <v>437</v>
      </c>
      <c r="G16" s="110">
        <v>8135969488</v>
      </c>
      <c r="H16" s="110">
        <v>868166052722915</v>
      </c>
      <c r="I16" s="110" t="s">
        <v>30</v>
      </c>
      <c r="J16" s="122">
        <v>1500</v>
      </c>
      <c r="K16" s="110" t="s">
        <v>335</v>
      </c>
      <c r="L16" s="110" t="s">
        <v>332</v>
      </c>
    </row>
    <row r="17" spans="1:14" ht="38.25" customHeight="1" x14ac:dyDescent="0.35">
      <c r="A17" s="138">
        <v>45040</v>
      </c>
      <c r="B17" s="110" t="s">
        <v>394</v>
      </c>
      <c r="C17" s="110" t="s">
        <v>397</v>
      </c>
      <c r="D17" s="110">
        <v>2</v>
      </c>
      <c r="E17" s="110" t="s">
        <v>438</v>
      </c>
      <c r="F17" s="110" t="s">
        <v>264</v>
      </c>
      <c r="G17" s="111" t="s">
        <v>439</v>
      </c>
      <c r="H17" s="111" t="s">
        <v>440</v>
      </c>
      <c r="I17" s="110" t="s">
        <v>30</v>
      </c>
      <c r="J17" s="122">
        <f>800*0.16+800</f>
        <v>928</v>
      </c>
      <c r="K17" s="110" t="s">
        <v>335</v>
      </c>
      <c r="L17" s="110" t="s">
        <v>332</v>
      </c>
      <c r="M17" s="162" t="s">
        <v>281</v>
      </c>
      <c r="N17" s="167" t="s">
        <v>441</v>
      </c>
    </row>
    <row r="18" spans="1:14" x14ac:dyDescent="0.35">
      <c r="A18" s="138">
        <v>45063</v>
      </c>
      <c r="B18" s="110" t="s">
        <v>511</v>
      </c>
      <c r="C18" s="110" t="s">
        <v>537</v>
      </c>
      <c r="D18" s="110">
        <v>1</v>
      </c>
      <c r="E18" s="110" t="s">
        <v>333</v>
      </c>
      <c r="F18" s="110" t="s">
        <v>464</v>
      </c>
      <c r="G18" s="110">
        <v>8115966127</v>
      </c>
      <c r="H18" s="110">
        <v>869220041114509</v>
      </c>
      <c r="I18" s="110" t="s">
        <v>30</v>
      </c>
      <c r="J18" s="122">
        <v>1600</v>
      </c>
      <c r="K18" s="110" t="s">
        <v>335</v>
      </c>
      <c r="L18" s="110" t="s">
        <v>332</v>
      </c>
    </row>
    <row r="19" spans="1:14" x14ac:dyDescent="0.35">
      <c r="A19" s="138">
        <v>45068</v>
      </c>
      <c r="B19" s="110" t="s">
        <v>394</v>
      </c>
      <c r="C19" s="110" t="s">
        <v>397</v>
      </c>
      <c r="D19" s="110">
        <v>1</v>
      </c>
      <c r="E19" s="110" t="s">
        <v>491</v>
      </c>
      <c r="F19" s="110" t="s">
        <v>264</v>
      </c>
      <c r="G19" s="110" t="s">
        <v>279</v>
      </c>
      <c r="H19" s="110">
        <v>864180036720584</v>
      </c>
      <c r="I19" s="110" t="s">
        <v>30</v>
      </c>
      <c r="J19" s="122">
        <f>450*0.16+450</f>
        <v>522</v>
      </c>
      <c r="K19" s="110" t="s">
        <v>335</v>
      </c>
      <c r="L19" s="110" t="s">
        <v>500</v>
      </c>
      <c r="M19" s="166" t="s">
        <v>281</v>
      </c>
    </row>
    <row r="20" spans="1:14" x14ac:dyDescent="0.35">
      <c r="A20" s="138">
        <v>45071</v>
      </c>
      <c r="B20" s="110" t="s">
        <v>501</v>
      </c>
      <c r="C20" s="110" t="s">
        <v>279</v>
      </c>
      <c r="D20" s="110">
        <v>1</v>
      </c>
      <c r="E20" s="110" t="s">
        <v>503</v>
      </c>
      <c r="F20" s="110" t="s">
        <v>502</v>
      </c>
      <c r="G20" s="110">
        <v>8180176934</v>
      </c>
      <c r="H20" s="110">
        <v>869220040430229</v>
      </c>
      <c r="I20" s="110" t="s">
        <v>30</v>
      </c>
      <c r="J20" s="122">
        <v>1500</v>
      </c>
      <c r="K20" s="110" t="s">
        <v>30</v>
      </c>
      <c r="L20" s="110" t="s">
        <v>332</v>
      </c>
    </row>
    <row r="21" spans="1:14" x14ac:dyDescent="0.35">
      <c r="A21" s="138">
        <v>45079</v>
      </c>
      <c r="B21" s="110" t="s">
        <v>394</v>
      </c>
      <c r="C21" s="110" t="s">
        <v>397</v>
      </c>
      <c r="D21" s="110">
        <v>1</v>
      </c>
      <c r="E21" s="110" t="s">
        <v>491</v>
      </c>
      <c r="F21" s="110" t="s">
        <v>264</v>
      </c>
      <c r="G21" s="110">
        <v>8126126264</v>
      </c>
      <c r="H21" s="110">
        <v>865011031932636</v>
      </c>
      <c r="I21" s="110" t="s">
        <v>30</v>
      </c>
      <c r="J21" s="122">
        <f>1800*0.16+1800</f>
        <v>2088</v>
      </c>
      <c r="K21" s="110" t="s">
        <v>335</v>
      </c>
      <c r="L21" s="110" t="s">
        <v>535</v>
      </c>
      <c r="M21" s="181" t="s">
        <v>512</v>
      </c>
    </row>
    <row r="22" spans="1:14" x14ac:dyDescent="0.35">
      <c r="A22" s="183">
        <v>45079</v>
      </c>
      <c r="B22" s="157" t="s">
        <v>511</v>
      </c>
      <c r="C22" s="157" t="s">
        <v>537</v>
      </c>
      <c r="D22" s="157">
        <v>1</v>
      </c>
      <c r="E22" s="157" t="s">
        <v>333</v>
      </c>
      <c r="F22" s="182" t="s">
        <v>264</v>
      </c>
      <c r="G22" s="182">
        <v>8110764027</v>
      </c>
      <c r="H22" s="182">
        <v>864893033152375</v>
      </c>
      <c r="I22" s="157" t="s">
        <v>30</v>
      </c>
      <c r="J22" s="184">
        <v>1600</v>
      </c>
      <c r="K22" s="157" t="s">
        <v>335</v>
      </c>
      <c r="L22" s="157" t="s">
        <v>536</v>
      </c>
    </row>
    <row r="23" spans="1:14" ht="43.5" x14ac:dyDescent="0.35">
      <c r="A23" s="183">
        <v>45082</v>
      </c>
      <c r="B23" s="157" t="s">
        <v>524</v>
      </c>
      <c r="C23" s="157" t="s">
        <v>538</v>
      </c>
      <c r="D23" s="157">
        <v>2</v>
      </c>
      <c r="E23" s="157" t="s">
        <v>525</v>
      </c>
      <c r="F23" s="157" t="s">
        <v>264</v>
      </c>
      <c r="G23" s="328" t="s">
        <v>526</v>
      </c>
      <c r="H23" s="328" t="s">
        <v>527</v>
      </c>
      <c r="I23" s="157" t="s">
        <v>30</v>
      </c>
      <c r="J23" s="184">
        <v>2300</v>
      </c>
      <c r="K23" s="157" t="s">
        <v>30</v>
      </c>
      <c r="L23" s="157" t="s">
        <v>519</v>
      </c>
      <c r="N23" s="185" t="s">
        <v>532</v>
      </c>
    </row>
    <row r="24" spans="1:14" x14ac:dyDescent="0.35">
      <c r="A24" s="138">
        <v>45082</v>
      </c>
      <c r="B24" s="110" t="s">
        <v>523</v>
      </c>
      <c r="C24" s="110"/>
      <c r="D24" s="110">
        <v>1</v>
      </c>
      <c r="E24" s="110" t="s">
        <v>503</v>
      </c>
      <c r="F24" s="110" t="s">
        <v>534</v>
      </c>
      <c r="G24" s="110">
        <v>81306067208</v>
      </c>
      <c r="H24" s="110">
        <v>869220040431557</v>
      </c>
      <c r="I24" s="110" t="s">
        <v>30</v>
      </c>
      <c r="J24" s="122">
        <v>1500</v>
      </c>
      <c r="K24" s="110" t="s">
        <v>30</v>
      </c>
      <c r="L24" s="110" t="s">
        <v>567</v>
      </c>
      <c r="M24" s="166" t="s">
        <v>281</v>
      </c>
    </row>
    <row r="25" spans="1:14" ht="29" x14ac:dyDescent="0.35">
      <c r="A25" s="138">
        <v>45106</v>
      </c>
      <c r="B25" s="110" t="s">
        <v>261</v>
      </c>
      <c r="C25" s="110" t="s">
        <v>262</v>
      </c>
      <c r="D25" s="110">
        <v>0</v>
      </c>
      <c r="E25" s="110" t="s">
        <v>573</v>
      </c>
      <c r="F25" s="110" t="s">
        <v>264</v>
      </c>
      <c r="G25" s="110" t="s">
        <v>574</v>
      </c>
      <c r="H25" s="111" t="s">
        <v>575</v>
      </c>
      <c r="I25" s="110" t="s">
        <v>30</v>
      </c>
      <c r="J25" s="122">
        <f>450*2</f>
        <v>900</v>
      </c>
      <c r="K25" s="110" t="s">
        <v>335</v>
      </c>
      <c r="L25" s="110" t="s">
        <v>586</v>
      </c>
      <c r="M25" s="166" t="s">
        <v>281</v>
      </c>
    </row>
    <row r="26" spans="1:14" x14ac:dyDescent="0.35">
      <c r="A26" s="183">
        <v>45106</v>
      </c>
      <c r="B26" s="157" t="s">
        <v>394</v>
      </c>
      <c r="C26" s="157" t="s">
        <v>397</v>
      </c>
      <c r="D26" s="157">
        <v>0</v>
      </c>
      <c r="E26" s="157" t="s">
        <v>491</v>
      </c>
      <c r="F26" s="157" t="s">
        <v>264</v>
      </c>
      <c r="G26" s="157" t="s">
        <v>279</v>
      </c>
      <c r="H26" s="157">
        <v>865011031932636</v>
      </c>
      <c r="I26" s="157" t="s">
        <v>30</v>
      </c>
      <c r="J26" s="184">
        <f>450*0.16+450</f>
        <v>522</v>
      </c>
      <c r="K26" s="157" t="s">
        <v>335</v>
      </c>
      <c r="L26" s="157" t="s">
        <v>578</v>
      </c>
      <c r="M26" s="166" t="s">
        <v>281</v>
      </c>
    </row>
    <row r="27" spans="1:14" x14ac:dyDescent="0.35">
      <c r="A27" s="138">
        <v>45118</v>
      </c>
      <c r="B27" s="110" t="s">
        <v>511</v>
      </c>
      <c r="C27" s="110" t="s">
        <v>537</v>
      </c>
      <c r="D27" s="110">
        <v>0</v>
      </c>
      <c r="E27" s="110" t="s">
        <v>333</v>
      </c>
      <c r="F27" s="110" t="s">
        <v>614</v>
      </c>
      <c r="G27" s="110">
        <v>81182754867</v>
      </c>
      <c r="H27" s="110">
        <v>865011034235292</v>
      </c>
      <c r="I27" s="110" t="s">
        <v>30</v>
      </c>
      <c r="J27" s="122">
        <v>450</v>
      </c>
      <c r="K27" s="110" t="s">
        <v>335</v>
      </c>
      <c r="L27" s="110" t="s">
        <v>332</v>
      </c>
      <c r="M27" s="120" t="s">
        <v>596</v>
      </c>
    </row>
    <row r="28" spans="1:14" x14ac:dyDescent="0.35">
      <c r="A28" s="138">
        <v>45128</v>
      </c>
      <c r="B28" s="110" t="s">
        <v>261</v>
      </c>
      <c r="C28" s="110" t="s">
        <v>262</v>
      </c>
      <c r="D28" s="110">
        <v>0</v>
      </c>
      <c r="E28" s="110" t="s">
        <v>599</v>
      </c>
      <c r="F28" s="110" t="s">
        <v>600</v>
      </c>
      <c r="G28" s="110" t="s">
        <v>601</v>
      </c>
      <c r="H28" s="110" t="s">
        <v>279</v>
      </c>
      <c r="I28" s="110" t="s">
        <v>30</v>
      </c>
      <c r="J28" s="122">
        <v>450</v>
      </c>
      <c r="K28" s="110" t="s">
        <v>335</v>
      </c>
      <c r="L28" s="110" t="s">
        <v>613</v>
      </c>
      <c r="M28" s="120" t="s">
        <v>602</v>
      </c>
    </row>
    <row r="29" spans="1:14" x14ac:dyDescent="0.35">
      <c r="A29" s="138">
        <v>45132</v>
      </c>
      <c r="B29" s="110" t="s">
        <v>606</v>
      </c>
      <c r="C29" s="110" t="s">
        <v>609</v>
      </c>
      <c r="D29" s="110">
        <v>0</v>
      </c>
      <c r="E29" s="110" t="s">
        <v>610</v>
      </c>
      <c r="F29" s="110" t="s">
        <v>611</v>
      </c>
      <c r="G29" s="110">
        <v>8116346649</v>
      </c>
      <c r="H29" s="110" t="s">
        <v>279</v>
      </c>
      <c r="I29" s="110" t="s">
        <v>30</v>
      </c>
      <c r="J29" s="122">
        <v>450</v>
      </c>
      <c r="K29" s="110" t="s">
        <v>335</v>
      </c>
      <c r="L29" s="110" t="s">
        <v>332</v>
      </c>
      <c r="M29" s="166" t="s">
        <v>281</v>
      </c>
    </row>
    <row r="30" spans="1:14" x14ac:dyDescent="0.35">
      <c r="A30" s="138">
        <v>45135</v>
      </c>
      <c r="B30" s="110" t="s">
        <v>394</v>
      </c>
      <c r="C30" s="110" t="s">
        <v>397</v>
      </c>
      <c r="D30" s="110">
        <v>1</v>
      </c>
      <c r="E30" s="110" t="s">
        <v>491</v>
      </c>
      <c r="F30" s="110" t="s">
        <v>264</v>
      </c>
      <c r="G30" s="110">
        <v>8116395018</v>
      </c>
      <c r="H30" s="110">
        <v>868166053313458</v>
      </c>
      <c r="I30" s="110" t="s">
        <v>30</v>
      </c>
      <c r="J30" s="122">
        <f>1800*0.16+1800</f>
        <v>2088</v>
      </c>
      <c r="K30" s="110" t="s">
        <v>335</v>
      </c>
      <c r="L30" s="110" t="s">
        <v>612</v>
      </c>
    </row>
    <row r="31" spans="1:14" x14ac:dyDescent="0.35">
      <c r="A31" s="138">
        <v>45141</v>
      </c>
      <c r="B31" s="110" t="s">
        <v>261</v>
      </c>
      <c r="C31" s="110" t="s">
        <v>262</v>
      </c>
      <c r="D31" s="110">
        <v>1</v>
      </c>
      <c r="E31" s="110" t="s">
        <v>491</v>
      </c>
      <c r="F31" s="110" t="s">
        <v>264</v>
      </c>
      <c r="G31" s="110">
        <v>8135906462</v>
      </c>
      <c r="H31" s="110">
        <v>865011034751488</v>
      </c>
      <c r="I31" s="110" t="s">
        <v>30</v>
      </c>
      <c r="J31" s="122">
        <v>1800</v>
      </c>
      <c r="K31" s="110" t="s">
        <v>335</v>
      </c>
      <c r="L31" s="110" t="s">
        <v>625</v>
      </c>
      <c r="M31" s="166" t="s">
        <v>281</v>
      </c>
      <c r="N31" s="162" t="s">
        <v>624</v>
      </c>
    </row>
    <row r="32" spans="1:14" x14ac:dyDescent="0.35">
      <c r="A32" s="138">
        <v>45147</v>
      </c>
      <c r="B32" s="110" t="s">
        <v>261</v>
      </c>
      <c r="C32" s="110" t="s">
        <v>262</v>
      </c>
      <c r="D32" s="110">
        <v>1</v>
      </c>
      <c r="E32" s="110" t="s">
        <v>623</v>
      </c>
      <c r="F32" s="110" t="s">
        <v>264</v>
      </c>
      <c r="G32" s="110">
        <v>8121979227</v>
      </c>
      <c r="H32" s="110">
        <v>869220040435509</v>
      </c>
      <c r="I32" s="110" t="s">
        <v>30</v>
      </c>
      <c r="J32" s="122">
        <v>1800</v>
      </c>
      <c r="K32" s="110" t="s">
        <v>335</v>
      </c>
      <c r="L32" s="110" t="s">
        <v>625</v>
      </c>
      <c r="M32" s="166"/>
    </row>
    <row r="33" spans="1:13" x14ac:dyDescent="0.35">
      <c r="A33" s="138">
        <v>45160</v>
      </c>
      <c r="B33" s="110" t="s">
        <v>394</v>
      </c>
      <c r="C33" s="110" t="s">
        <v>397</v>
      </c>
      <c r="D33" s="110">
        <v>1</v>
      </c>
      <c r="E33" s="110" t="s">
        <v>491</v>
      </c>
      <c r="F33" s="110" t="s">
        <v>264</v>
      </c>
      <c r="G33" s="110" t="s">
        <v>264</v>
      </c>
      <c r="H33" s="110" t="s">
        <v>264</v>
      </c>
      <c r="I33" s="110" t="s">
        <v>30</v>
      </c>
      <c r="J33" s="122">
        <f>500*0.16+500</f>
        <v>580</v>
      </c>
      <c r="K33" s="110" t="s">
        <v>335</v>
      </c>
      <c r="L33" s="110" t="s">
        <v>653</v>
      </c>
      <c r="M33" s="166" t="s">
        <v>281</v>
      </c>
    </row>
    <row r="34" spans="1:13" x14ac:dyDescent="0.35">
      <c r="A34" s="138">
        <v>45161</v>
      </c>
      <c r="B34" s="110" t="s">
        <v>321</v>
      </c>
      <c r="C34" s="110" t="s">
        <v>326</v>
      </c>
      <c r="D34" s="110">
        <v>1</v>
      </c>
      <c r="E34" s="110" t="s">
        <v>632</v>
      </c>
      <c r="F34" s="110" t="s">
        <v>631</v>
      </c>
      <c r="G34" s="110">
        <v>8445011206</v>
      </c>
      <c r="H34" s="110">
        <v>869220040532313</v>
      </c>
      <c r="I34" s="110" t="s">
        <v>30</v>
      </c>
      <c r="J34" s="122">
        <v>1650</v>
      </c>
      <c r="K34" s="110" t="s">
        <v>327</v>
      </c>
      <c r="L34" s="110" t="s">
        <v>652</v>
      </c>
    </row>
    <row r="35" spans="1:13" x14ac:dyDescent="0.35">
      <c r="A35" s="138">
        <v>45166</v>
      </c>
      <c r="B35" s="110" t="s">
        <v>634</v>
      </c>
      <c r="C35" s="110" t="s">
        <v>651</v>
      </c>
      <c r="D35" s="110">
        <v>1</v>
      </c>
      <c r="E35" s="110" t="s">
        <v>491</v>
      </c>
      <c r="F35" s="110" t="s">
        <v>264</v>
      </c>
      <c r="G35" s="110">
        <v>8182048948</v>
      </c>
      <c r="H35" s="110">
        <v>869220041213194</v>
      </c>
      <c r="I35" s="110" t="s">
        <v>30</v>
      </c>
      <c r="J35" s="122">
        <v>1850</v>
      </c>
      <c r="K35" s="110" t="s">
        <v>335</v>
      </c>
      <c r="L35" s="110" t="s">
        <v>567</v>
      </c>
    </row>
    <row r="36" spans="1:13" ht="29" x14ac:dyDescent="0.35">
      <c r="A36" s="138">
        <v>45174</v>
      </c>
      <c r="B36" s="110" t="s">
        <v>668</v>
      </c>
      <c r="C36" s="110"/>
      <c r="D36" s="110">
        <v>2</v>
      </c>
      <c r="E36" s="111" t="s">
        <v>669</v>
      </c>
      <c r="F36" s="111" t="s">
        <v>670</v>
      </c>
      <c r="G36" s="111" t="s">
        <v>671</v>
      </c>
      <c r="H36" s="111" t="s">
        <v>672</v>
      </c>
      <c r="I36" s="110" t="s">
        <v>30</v>
      </c>
      <c r="J36" s="122">
        <f>1800*2</f>
        <v>3600</v>
      </c>
      <c r="K36" s="110" t="s">
        <v>335</v>
      </c>
      <c r="L36" s="110" t="s">
        <v>673</v>
      </c>
    </row>
    <row r="37" spans="1:13" x14ac:dyDescent="0.35">
      <c r="A37" s="138">
        <v>45174</v>
      </c>
      <c r="B37" s="110" t="s">
        <v>261</v>
      </c>
      <c r="C37" s="110" t="s">
        <v>262</v>
      </c>
      <c r="D37" s="110">
        <v>1</v>
      </c>
      <c r="E37" s="110" t="s">
        <v>676</v>
      </c>
      <c r="F37" s="110" t="s">
        <v>677</v>
      </c>
      <c r="G37" s="110">
        <v>8128935261</v>
      </c>
      <c r="H37" s="110">
        <v>869220041213160</v>
      </c>
      <c r="I37" s="110" t="s">
        <v>30</v>
      </c>
      <c r="J37" s="122">
        <v>1800</v>
      </c>
      <c r="K37" s="110" t="s">
        <v>327</v>
      </c>
      <c r="L37" s="110" t="s">
        <v>690</v>
      </c>
    </row>
    <row r="38" spans="1:13" ht="29" x14ac:dyDescent="0.35">
      <c r="A38" s="138">
        <v>45191</v>
      </c>
      <c r="B38" s="111" t="s">
        <v>694</v>
      </c>
      <c r="C38" s="110" t="s">
        <v>701</v>
      </c>
      <c r="D38" s="110">
        <v>2</v>
      </c>
      <c r="E38" s="111" t="s">
        <v>702</v>
      </c>
      <c r="F38" s="110" t="s">
        <v>703</v>
      </c>
      <c r="G38" s="111" t="s">
        <v>704</v>
      </c>
      <c r="H38" s="111" t="s">
        <v>705</v>
      </c>
      <c r="I38" s="110" t="s">
        <v>30</v>
      </c>
      <c r="J38" s="122">
        <f>1850*2</f>
        <v>3700</v>
      </c>
      <c r="K38" s="110" t="s">
        <v>706</v>
      </c>
      <c r="L38" s="110" t="s">
        <v>673</v>
      </c>
    </row>
    <row r="39" spans="1:13" x14ac:dyDescent="0.35">
      <c r="A39" s="138">
        <v>45218</v>
      </c>
      <c r="B39" s="110" t="s">
        <v>261</v>
      </c>
      <c r="C39" s="110" t="s">
        <v>262</v>
      </c>
      <c r="D39" s="110">
        <v>1</v>
      </c>
      <c r="E39" s="110" t="s">
        <v>741</v>
      </c>
      <c r="F39" s="110" t="s">
        <v>742</v>
      </c>
      <c r="G39" s="110">
        <v>8114896316</v>
      </c>
      <c r="H39" s="110">
        <v>869220041339775</v>
      </c>
      <c r="I39" s="110" t="s">
        <v>30</v>
      </c>
      <c r="J39" s="122">
        <v>1800</v>
      </c>
      <c r="K39" s="110" t="s">
        <v>335</v>
      </c>
      <c r="L39" s="110" t="s">
        <v>739</v>
      </c>
    </row>
    <row r="40" spans="1:13" x14ac:dyDescent="0.35">
      <c r="A40" s="138">
        <v>45218</v>
      </c>
      <c r="B40" s="110" t="s">
        <v>261</v>
      </c>
      <c r="C40" s="110" t="s">
        <v>262</v>
      </c>
      <c r="D40" s="110">
        <v>1</v>
      </c>
      <c r="E40" s="110" t="s">
        <v>743</v>
      </c>
      <c r="F40" s="110" t="s">
        <v>744</v>
      </c>
      <c r="G40" s="110" t="s">
        <v>264</v>
      </c>
      <c r="H40" s="110">
        <v>865011034738477</v>
      </c>
      <c r="I40" s="110" t="s">
        <v>30</v>
      </c>
      <c r="J40" s="122">
        <v>650</v>
      </c>
      <c r="K40" s="110" t="s">
        <v>335</v>
      </c>
      <c r="L40" s="110" t="s">
        <v>739</v>
      </c>
      <c r="M40" s="166" t="s">
        <v>281</v>
      </c>
    </row>
    <row r="41" spans="1:13" x14ac:dyDescent="0.35">
      <c r="A41" s="138">
        <v>45220</v>
      </c>
      <c r="B41" s="110" t="s">
        <v>737</v>
      </c>
      <c r="C41" s="110"/>
      <c r="D41" s="110">
        <v>1</v>
      </c>
      <c r="E41" s="110" t="s">
        <v>740</v>
      </c>
      <c r="F41" s="110" t="s">
        <v>264</v>
      </c>
      <c r="G41" s="110">
        <v>8181632177</v>
      </c>
      <c r="H41" s="110">
        <v>868166056885353</v>
      </c>
      <c r="I41" s="110" t="s">
        <v>30</v>
      </c>
      <c r="J41" s="122">
        <v>1850</v>
      </c>
      <c r="K41" s="110" t="s">
        <v>335</v>
      </c>
      <c r="L41" s="110" t="s">
        <v>738</v>
      </c>
    </row>
    <row r="42" spans="1:13" ht="29" x14ac:dyDescent="0.35">
      <c r="A42" s="138">
        <v>45239</v>
      </c>
      <c r="B42" s="111" t="s">
        <v>778</v>
      </c>
      <c r="C42" s="110"/>
      <c r="D42" s="110">
        <v>1</v>
      </c>
      <c r="E42" s="110" t="s">
        <v>264</v>
      </c>
      <c r="F42" s="110" t="s">
        <v>264</v>
      </c>
      <c r="G42" s="110" t="s">
        <v>264</v>
      </c>
      <c r="H42" s="110">
        <v>865011030527973</v>
      </c>
      <c r="I42" s="110" t="s">
        <v>30</v>
      </c>
      <c r="J42" s="122">
        <v>800</v>
      </c>
      <c r="K42" s="110" t="s">
        <v>335</v>
      </c>
      <c r="L42" s="110" t="s">
        <v>673</v>
      </c>
    </row>
    <row r="43" spans="1:13" ht="29" x14ac:dyDescent="0.35">
      <c r="A43" s="138">
        <v>45257</v>
      </c>
      <c r="B43" s="111" t="s">
        <v>778</v>
      </c>
      <c r="C43" s="110"/>
      <c r="D43" s="110">
        <v>1</v>
      </c>
      <c r="E43" s="110" t="s">
        <v>264</v>
      </c>
      <c r="F43" s="110" t="s">
        <v>264</v>
      </c>
      <c r="G43" s="110" t="s">
        <v>264</v>
      </c>
      <c r="H43" s="110" t="s">
        <v>264</v>
      </c>
      <c r="I43" s="110" t="s">
        <v>30</v>
      </c>
      <c r="J43" s="122">
        <v>850</v>
      </c>
      <c r="K43" s="110" t="s">
        <v>335</v>
      </c>
      <c r="L43" s="110" t="s">
        <v>673</v>
      </c>
      <c r="M43" s="166" t="s">
        <v>885</v>
      </c>
    </row>
    <row r="44" spans="1:13" x14ac:dyDescent="0.35">
      <c r="A44" s="138">
        <v>45267</v>
      </c>
      <c r="B44" s="110" t="s">
        <v>634</v>
      </c>
      <c r="C44" s="110" t="s">
        <v>651</v>
      </c>
      <c r="D44" s="110">
        <v>1</v>
      </c>
      <c r="E44" s="110" t="s">
        <v>491</v>
      </c>
      <c r="F44" s="110" t="s">
        <v>264</v>
      </c>
      <c r="G44" s="110" t="s">
        <v>279</v>
      </c>
      <c r="H44" s="110">
        <v>865011030823653</v>
      </c>
      <c r="I44" s="110" t="s">
        <v>30</v>
      </c>
      <c r="J44" s="122">
        <v>500</v>
      </c>
      <c r="K44" s="110" t="s">
        <v>335</v>
      </c>
      <c r="L44" s="110" t="s">
        <v>332</v>
      </c>
      <c r="M44" s="166" t="s">
        <v>281</v>
      </c>
    </row>
    <row r="45" spans="1:13" x14ac:dyDescent="0.35">
      <c r="A45" s="138">
        <v>45267</v>
      </c>
      <c r="B45" s="110" t="s">
        <v>261</v>
      </c>
      <c r="C45" s="110" t="s">
        <v>262</v>
      </c>
      <c r="D45" s="110">
        <v>1</v>
      </c>
      <c r="E45" s="110" t="s">
        <v>793</v>
      </c>
      <c r="F45" s="110" t="s">
        <v>600</v>
      </c>
      <c r="G45" s="110" t="s">
        <v>264</v>
      </c>
      <c r="H45" s="110" t="s">
        <v>794</v>
      </c>
      <c r="I45" s="110" t="s">
        <v>30</v>
      </c>
      <c r="J45" s="122">
        <v>450</v>
      </c>
      <c r="K45" s="110" t="s">
        <v>335</v>
      </c>
      <c r="L45" s="110"/>
      <c r="M45" s="166" t="s">
        <v>281</v>
      </c>
    </row>
    <row r="46" spans="1:13" x14ac:dyDescent="0.35">
      <c r="A46" s="138">
        <v>45314</v>
      </c>
      <c r="B46" s="110" t="s">
        <v>606</v>
      </c>
      <c r="C46" s="110" t="s">
        <v>609</v>
      </c>
      <c r="D46" s="110">
        <v>0</v>
      </c>
      <c r="E46" s="110" t="s">
        <v>879</v>
      </c>
      <c r="F46" s="110" t="s">
        <v>880</v>
      </c>
      <c r="G46" s="110">
        <v>8124356114</v>
      </c>
      <c r="H46" s="110">
        <v>865011032921588</v>
      </c>
      <c r="I46" s="110" t="s">
        <v>30</v>
      </c>
      <c r="J46" s="122">
        <v>500</v>
      </c>
      <c r="K46" s="110" t="s">
        <v>881</v>
      </c>
      <c r="L46" s="110" t="s">
        <v>886</v>
      </c>
      <c r="M46" s="166" t="s">
        <v>602</v>
      </c>
    </row>
    <row r="47" spans="1:13" x14ac:dyDescent="0.35">
      <c r="A47" s="138">
        <v>45314</v>
      </c>
      <c r="B47" s="110" t="s">
        <v>606</v>
      </c>
      <c r="C47" s="110" t="s">
        <v>609</v>
      </c>
      <c r="D47" s="110">
        <v>0</v>
      </c>
      <c r="E47" s="110" t="s">
        <v>882</v>
      </c>
      <c r="F47" s="110" t="s">
        <v>883</v>
      </c>
      <c r="G47" s="110">
        <v>8130871191</v>
      </c>
      <c r="H47" s="110">
        <v>865011031704282</v>
      </c>
      <c r="I47" s="110" t="s">
        <v>30</v>
      </c>
      <c r="J47" s="122">
        <v>500</v>
      </c>
      <c r="K47" s="110" t="s">
        <v>881</v>
      </c>
      <c r="L47" s="110" t="s">
        <v>886</v>
      </c>
      <c r="M47" s="166" t="s">
        <v>602</v>
      </c>
    </row>
    <row r="48" spans="1:13" x14ac:dyDescent="0.35">
      <c r="A48" s="138">
        <v>45314</v>
      </c>
      <c r="B48" s="110" t="s">
        <v>606</v>
      </c>
      <c r="C48" s="110" t="s">
        <v>609</v>
      </c>
      <c r="D48" s="110">
        <v>0</v>
      </c>
      <c r="E48" s="110" t="s">
        <v>610</v>
      </c>
      <c r="F48" s="110" t="s">
        <v>884</v>
      </c>
      <c r="G48" s="110" t="s">
        <v>264</v>
      </c>
      <c r="H48" s="110" t="s">
        <v>264</v>
      </c>
      <c r="I48" s="110" t="s">
        <v>30</v>
      </c>
      <c r="J48" s="122">
        <v>200</v>
      </c>
      <c r="K48" s="110" t="s">
        <v>881</v>
      </c>
      <c r="L48" s="110" t="s">
        <v>886</v>
      </c>
      <c r="M48" s="166" t="s">
        <v>281</v>
      </c>
    </row>
    <row r="49" spans="1:14" ht="29" x14ac:dyDescent="0.35">
      <c r="A49" s="138">
        <v>45343</v>
      </c>
      <c r="B49" s="111" t="s">
        <v>917</v>
      </c>
      <c r="C49" s="111" t="s">
        <v>918</v>
      </c>
      <c r="D49" s="110">
        <v>1</v>
      </c>
      <c r="E49" s="110" t="s">
        <v>920</v>
      </c>
      <c r="F49" s="110" t="s">
        <v>921</v>
      </c>
      <c r="G49" s="110">
        <v>8186932229</v>
      </c>
      <c r="H49" s="110">
        <v>869220041423157</v>
      </c>
      <c r="I49" s="110" t="s">
        <v>30</v>
      </c>
      <c r="J49" s="122">
        <v>1850</v>
      </c>
      <c r="K49" s="110" t="s">
        <v>881</v>
      </c>
      <c r="L49" s="110" t="s">
        <v>886</v>
      </c>
    </row>
    <row r="50" spans="1:14" x14ac:dyDescent="0.35">
      <c r="A50" s="138">
        <v>45345</v>
      </c>
      <c r="B50" s="110" t="s">
        <v>261</v>
      </c>
      <c r="C50" s="110" t="s">
        <v>262</v>
      </c>
      <c r="D50" s="110">
        <v>1</v>
      </c>
      <c r="E50" s="110" t="s">
        <v>491</v>
      </c>
      <c r="F50" s="110" t="s">
        <v>264</v>
      </c>
      <c r="G50" s="110">
        <v>8124489445</v>
      </c>
      <c r="H50" s="110">
        <v>869220041423330</v>
      </c>
      <c r="I50" s="110" t="s">
        <v>30</v>
      </c>
      <c r="J50" s="122">
        <v>1800</v>
      </c>
      <c r="K50" s="110" t="s">
        <v>881</v>
      </c>
      <c r="L50" s="110" t="s">
        <v>886</v>
      </c>
    </row>
    <row r="51" spans="1:14" x14ac:dyDescent="0.35">
      <c r="A51" s="138">
        <v>45346</v>
      </c>
      <c r="B51" s="110" t="s">
        <v>922</v>
      </c>
      <c r="C51" s="110" t="s">
        <v>925</v>
      </c>
      <c r="D51" s="110">
        <v>1</v>
      </c>
      <c r="E51" s="110" t="s">
        <v>923</v>
      </c>
      <c r="F51" s="110" t="s">
        <v>924</v>
      </c>
      <c r="G51" s="110">
        <v>8186834397</v>
      </c>
      <c r="H51" s="110">
        <v>869220041423033</v>
      </c>
      <c r="I51" s="110" t="s">
        <v>30</v>
      </c>
      <c r="J51" s="122">
        <v>1800</v>
      </c>
      <c r="K51" s="110" t="s">
        <v>881</v>
      </c>
      <c r="L51" s="110" t="s">
        <v>886</v>
      </c>
    </row>
    <row r="52" spans="1:14" x14ac:dyDescent="0.35">
      <c r="A52" s="138">
        <v>45350</v>
      </c>
      <c r="B52" s="110" t="s">
        <v>668</v>
      </c>
      <c r="C52" s="110"/>
      <c r="D52" s="110">
        <v>1</v>
      </c>
      <c r="E52" s="110" t="s">
        <v>395</v>
      </c>
      <c r="F52" s="110" t="s">
        <v>935</v>
      </c>
      <c r="G52" s="110">
        <v>8187999678</v>
      </c>
      <c r="H52" s="110">
        <v>865011034396315</v>
      </c>
      <c r="I52" s="110" t="s">
        <v>30</v>
      </c>
      <c r="J52" s="122">
        <v>1800</v>
      </c>
      <c r="K52" s="110" t="s">
        <v>881</v>
      </c>
      <c r="L52" s="110" t="s">
        <v>936</v>
      </c>
    </row>
    <row r="53" spans="1:14" x14ac:dyDescent="0.35">
      <c r="A53" s="138">
        <v>45351</v>
      </c>
      <c r="B53" s="110" t="s">
        <v>937</v>
      </c>
      <c r="C53" s="110"/>
      <c r="D53" s="110">
        <v>0</v>
      </c>
      <c r="E53" s="110" t="s">
        <v>938</v>
      </c>
      <c r="F53" s="110" t="s">
        <v>939</v>
      </c>
      <c r="G53" s="110">
        <v>8131233371</v>
      </c>
      <c r="H53" s="110">
        <v>864180030556638</v>
      </c>
      <c r="I53" s="110" t="s">
        <v>30</v>
      </c>
      <c r="J53" s="122">
        <v>450</v>
      </c>
      <c r="K53" s="110" t="s">
        <v>881</v>
      </c>
      <c r="L53" s="110" t="s">
        <v>886</v>
      </c>
      <c r="M53" s="166" t="s">
        <v>596</v>
      </c>
    </row>
    <row r="54" spans="1:14" x14ac:dyDescent="0.35">
      <c r="A54" s="138">
        <v>45351</v>
      </c>
      <c r="B54" s="110" t="s">
        <v>937</v>
      </c>
      <c r="C54" s="110"/>
      <c r="D54" s="110">
        <v>0</v>
      </c>
      <c r="E54" s="110" t="s">
        <v>941</v>
      </c>
      <c r="F54" s="110" t="s">
        <v>943</v>
      </c>
      <c r="G54" s="110">
        <v>8182030394</v>
      </c>
      <c r="H54" s="110">
        <v>864180036037591</v>
      </c>
      <c r="I54" s="110" t="s">
        <v>30</v>
      </c>
      <c r="J54" s="122">
        <v>650</v>
      </c>
      <c r="K54" s="110" t="s">
        <v>881</v>
      </c>
      <c r="L54" s="110" t="s">
        <v>886</v>
      </c>
      <c r="M54" s="166" t="s">
        <v>940</v>
      </c>
    </row>
    <row r="55" spans="1:14" x14ac:dyDescent="0.35">
      <c r="A55" s="138">
        <v>45351</v>
      </c>
      <c r="B55" s="110" t="s">
        <v>937</v>
      </c>
      <c r="C55" s="110" t="s">
        <v>946</v>
      </c>
      <c r="D55" s="110" t="s">
        <v>946</v>
      </c>
      <c r="E55" s="110" t="s">
        <v>942</v>
      </c>
      <c r="F55" s="110" t="s">
        <v>944</v>
      </c>
      <c r="G55" s="110">
        <v>8131039598</v>
      </c>
      <c r="H55" s="110">
        <v>868166058821190</v>
      </c>
      <c r="I55" s="110" t="s">
        <v>30</v>
      </c>
      <c r="J55" s="122">
        <v>1850</v>
      </c>
      <c r="K55" s="110" t="s">
        <v>881</v>
      </c>
      <c r="L55" s="110" t="s">
        <v>886</v>
      </c>
      <c r="M55" s="166"/>
    </row>
    <row r="56" spans="1:14" x14ac:dyDescent="0.35">
      <c r="A56" s="138">
        <v>45355</v>
      </c>
      <c r="B56" s="110" t="s">
        <v>956</v>
      </c>
      <c r="C56" s="110" t="s">
        <v>1006</v>
      </c>
      <c r="D56" s="110">
        <v>1</v>
      </c>
      <c r="E56" s="110" t="s">
        <v>491</v>
      </c>
      <c r="F56" s="110" t="s">
        <v>1007</v>
      </c>
      <c r="G56" s="110">
        <v>8123522980</v>
      </c>
      <c r="H56" s="110">
        <v>868166058820895</v>
      </c>
      <c r="I56" s="110" t="s">
        <v>30</v>
      </c>
      <c r="J56" s="122">
        <f>1850*0.16+1850</f>
        <v>2146</v>
      </c>
      <c r="K56" s="110" t="s">
        <v>881</v>
      </c>
      <c r="L56" s="110" t="s">
        <v>957</v>
      </c>
      <c r="M56" s="166" t="s">
        <v>958</v>
      </c>
    </row>
    <row r="57" spans="1:14" ht="29" x14ac:dyDescent="0.35">
      <c r="A57" s="138">
        <v>45357</v>
      </c>
      <c r="B57" s="110" t="s">
        <v>961</v>
      </c>
      <c r="C57" s="111" t="s">
        <v>963</v>
      </c>
      <c r="D57" s="110">
        <v>1</v>
      </c>
      <c r="E57" s="110" t="s">
        <v>491</v>
      </c>
      <c r="F57" s="110" t="s">
        <v>1008</v>
      </c>
      <c r="G57" s="110">
        <v>8186532585</v>
      </c>
      <c r="H57" s="110">
        <v>868166058820754</v>
      </c>
      <c r="I57" s="110" t="s">
        <v>30</v>
      </c>
      <c r="J57" s="122">
        <v>2250</v>
      </c>
      <c r="K57" s="110" t="s">
        <v>335</v>
      </c>
      <c r="L57" s="110" t="s">
        <v>968</v>
      </c>
    </row>
    <row r="58" spans="1:14" x14ac:dyDescent="0.35">
      <c r="A58" s="138">
        <v>45367</v>
      </c>
      <c r="B58" s="110" t="s">
        <v>261</v>
      </c>
      <c r="C58" s="110" t="s">
        <v>262</v>
      </c>
      <c r="D58" s="110">
        <v>0</v>
      </c>
      <c r="E58" s="110" t="s">
        <v>491</v>
      </c>
      <c r="F58" s="110" t="s">
        <v>1009</v>
      </c>
      <c r="G58" s="110">
        <v>8124463228</v>
      </c>
      <c r="H58" s="110" t="s">
        <v>279</v>
      </c>
      <c r="I58" s="110" t="s">
        <v>30</v>
      </c>
      <c r="J58" s="122">
        <v>450</v>
      </c>
      <c r="K58" s="110" t="s">
        <v>881</v>
      </c>
      <c r="L58" s="110" t="s">
        <v>1034</v>
      </c>
      <c r="M58" s="166" t="s">
        <v>969</v>
      </c>
    </row>
    <row r="59" spans="1:14" x14ac:dyDescent="0.35">
      <c r="A59" s="138">
        <v>45386</v>
      </c>
      <c r="B59" s="110" t="s">
        <v>271</v>
      </c>
      <c r="C59" s="110" t="s">
        <v>277</v>
      </c>
      <c r="D59" s="110">
        <v>1</v>
      </c>
      <c r="E59" s="110" t="s">
        <v>610</v>
      </c>
      <c r="F59" s="110" t="s">
        <v>1010</v>
      </c>
      <c r="G59" s="110">
        <v>8135926325</v>
      </c>
      <c r="H59" s="110">
        <v>868166058826215</v>
      </c>
      <c r="I59" s="110" t="s">
        <v>30</v>
      </c>
      <c r="J59" s="122">
        <v>1850</v>
      </c>
      <c r="K59" s="110" t="s">
        <v>881</v>
      </c>
      <c r="L59" s="110" t="s">
        <v>1011</v>
      </c>
    </row>
    <row r="60" spans="1:14" x14ac:dyDescent="0.35">
      <c r="A60" s="138">
        <v>45414</v>
      </c>
      <c r="B60" s="110" t="s">
        <v>1047</v>
      </c>
      <c r="C60" s="110" t="s">
        <v>1086</v>
      </c>
      <c r="D60" s="110">
        <v>1</v>
      </c>
      <c r="E60" s="110" t="s">
        <v>1048</v>
      </c>
      <c r="F60" s="110" t="s">
        <v>1049</v>
      </c>
      <c r="G60" s="110">
        <v>8123385173</v>
      </c>
      <c r="H60" s="110">
        <v>865011034239286</v>
      </c>
      <c r="I60" s="110" t="s">
        <v>30</v>
      </c>
      <c r="J60" s="122">
        <v>2500</v>
      </c>
      <c r="K60" s="110" t="s">
        <v>335</v>
      </c>
      <c r="L60" s="110" t="s">
        <v>1011</v>
      </c>
    </row>
    <row r="61" spans="1:14" ht="29" x14ac:dyDescent="0.35">
      <c r="A61" s="138">
        <v>45419</v>
      </c>
      <c r="B61" s="111" t="s">
        <v>694</v>
      </c>
      <c r="C61" s="110" t="s">
        <v>701</v>
      </c>
      <c r="D61" s="110">
        <v>1</v>
      </c>
      <c r="E61" s="110" t="s">
        <v>491</v>
      </c>
      <c r="F61" s="110" t="s">
        <v>1097</v>
      </c>
      <c r="G61" s="110" t="s">
        <v>264</v>
      </c>
      <c r="H61" s="110">
        <v>869220041212360</v>
      </c>
      <c r="I61" s="110" t="s">
        <v>30</v>
      </c>
      <c r="J61" s="122">
        <v>350</v>
      </c>
      <c r="K61" s="110" t="s">
        <v>881</v>
      </c>
      <c r="L61" s="110" t="s">
        <v>1271</v>
      </c>
      <c r="M61" s="166" t="s">
        <v>281</v>
      </c>
    </row>
    <row r="62" spans="1:14" x14ac:dyDescent="0.35">
      <c r="A62" s="138">
        <v>45422</v>
      </c>
      <c r="B62" s="110" t="s">
        <v>261</v>
      </c>
      <c r="C62" s="110" t="s">
        <v>262</v>
      </c>
      <c r="D62" s="110">
        <v>1</v>
      </c>
      <c r="E62" s="110" t="s">
        <v>491</v>
      </c>
      <c r="F62" s="110" t="s">
        <v>264</v>
      </c>
      <c r="G62" s="110" t="s">
        <v>264</v>
      </c>
      <c r="H62" s="110">
        <v>869220040532180</v>
      </c>
      <c r="I62" s="110" t="s">
        <v>30</v>
      </c>
      <c r="J62" s="122">
        <v>450</v>
      </c>
      <c r="K62" s="110" t="s">
        <v>335</v>
      </c>
      <c r="L62" s="110" t="s">
        <v>1249</v>
      </c>
      <c r="M62" s="166" t="s">
        <v>281</v>
      </c>
    </row>
    <row r="63" spans="1:14" x14ac:dyDescent="0.35">
      <c r="A63" s="138">
        <v>45435</v>
      </c>
      <c r="B63" s="110" t="s">
        <v>261</v>
      </c>
      <c r="C63" s="110" t="s">
        <v>262</v>
      </c>
      <c r="D63" s="110">
        <v>1</v>
      </c>
      <c r="E63" s="110" t="s">
        <v>491</v>
      </c>
      <c r="F63" s="110" t="s">
        <v>1098</v>
      </c>
      <c r="G63" s="110" t="s">
        <v>264</v>
      </c>
      <c r="H63" s="110">
        <v>869220041423330</v>
      </c>
      <c r="I63" s="110" t="s">
        <v>30</v>
      </c>
      <c r="J63" s="122">
        <v>1800</v>
      </c>
      <c r="K63" s="110" t="s">
        <v>881</v>
      </c>
      <c r="L63" s="110" t="s">
        <v>1249</v>
      </c>
      <c r="M63" s="166" t="s">
        <v>281</v>
      </c>
      <c r="N63" s="280" t="s">
        <v>1099</v>
      </c>
    </row>
    <row r="64" spans="1:14" x14ac:dyDescent="0.35">
      <c r="A64" s="138">
        <v>45441</v>
      </c>
      <c r="B64" s="110" t="s">
        <v>956</v>
      </c>
      <c r="C64" s="110" t="s">
        <v>1006</v>
      </c>
      <c r="D64" s="110">
        <v>1</v>
      </c>
      <c r="E64" s="110" t="s">
        <v>491</v>
      </c>
      <c r="F64" s="110" t="s">
        <v>1007</v>
      </c>
      <c r="G64" s="110" t="s">
        <v>264</v>
      </c>
      <c r="H64" s="110" t="s">
        <v>264</v>
      </c>
      <c r="I64" s="110" t="s">
        <v>30</v>
      </c>
      <c r="J64" s="122">
        <v>350</v>
      </c>
      <c r="K64" s="110" t="s">
        <v>881</v>
      </c>
      <c r="L64" s="110" t="s">
        <v>1096</v>
      </c>
      <c r="M64" s="166" t="s">
        <v>281</v>
      </c>
    </row>
    <row r="65" spans="1:13" x14ac:dyDescent="0.35">
      <c r="A65" s="283">
        <v>45444</v>
      </c>
      <c r="B65" s="110" t="s">
        <v>394</v>
      </c>
      <c r="C65" s="110" t="s">
        <v>397</v>
      </c>
      <c r="D65" s="110">
        <v>1</v>
      </c>
      <c r="E65" s="110" t="s">
        <v>491</v>
      </c>
      <c r="F65" s="110" t="s">
        <v>1109</v>
      </c>
      <c r="G65" s="110">
        <v>8134211598</v>
      </c>
      <c r="H65" s="110">
        <v>868166059175463</v>
      </c>
      <c r="I65" s="110" t="s">
        <v>30</v>
      </c>
      <c r="J65" s="122">
        <f>1800*0.16+1800</f>
        <v>2088</v>
      </c>
      <c r="K65" s="110" t="s">
        <v>881</v>
      </c>
      <c r="L65" s="110" t="s">
        <v>1106</v>
      </c>
    </row>
    <row r="66" spans="1:13" x14ac:dyDescent="0.35">
      <c r="A66" s="138">
        <v>45477</v>
      </c>
      <c r="B66" s="110" t="s">
        <v>394</v>
      </c>
      <c r="C66" s="110" t="s">
        <v>397</v>
      </c>
      <c r="D66" s="110">
        <v>1</v>
      </c>
      <c r="E66" s="110" t="s">
        <v>491</v>
      </c>
      <c r="F66" s="110" t="s">
        <v>264</v>
      </c>
      <c r="G66" s="110" t="s">
        <v>264</v>
      </c>
      <c r="H66" s="110" t="s">
        <v>794</v>
      </c>
      <c r="I66" s="110" t="s">
        <v>30</v>
      </c>
      <c r="J66" s="122">
        <f>500*0.16+500</f>
        <v>580</v>
      </c>
      <c r="K66" s="110" t="s">
        <v>881</v>
      </c>
      <c r="L66" s="110" t="s">
        <v>1309</v>
      </c>
      <c r="M66" s="166" t="s">
        <v>281</v>
      </c>
    </row>
    <row r="67" spans="1:13" x14ac:dyDescent="0.35">
      <c r="A67" s="138">
        <v>45504</v>
      </c>
      <c r="B67" s="110" t="s">
        <v>261</v>
      </c>
      <c r="C67" s="110" t="s">
        <v>262</v>
      </c>
      <c r="D67" s="110">
        <v>0</v>
      </c>
      <c r="E67" s="110" t="s">
        <v>1307</v>
      </c>
      <c r="F67" s="110" t="s">
        <v>600</v>
      </c>
      <c r="G67" s="110" t="s">
        <v>264</v>
      </c>
      <c r="H67" s="110">
        <v>868166057388605</v>
      </c>
      <c r="I67" s="110" t="s">
        <v>30</v>
      </c>
      <c r="J67" s="122">
        <v>500</v>
      </c>
      <c r="K67" s="110" t="s">
        <v>881</v>
      </c>
      <c r="L67" s="110" t="s">
        <v>1328</v>
      </c>
      <c r="M67" s="166" t="s">
        <v>1308</v>
      </c>
    </row>
    <row r="68" spans="1:13" x14ac:dyDescent="0.35">
      <c r="A68" s="138">
        <v>45504</v>
      </c>
      <c r="B68" s="110" t="s">
        <v>261</v>
      </c>
      <c r="C68" s="110" t="s">
        <v>262</v>
      </c>
      <c r="D68" s="110">
        <v>0</v>
      </c>
      <c r="E68" s="110" t="s">
        <v>1307</v>
      </c>
      <c r="F68" s="110" t="s">
        <v>1310</v>
      </c>
      <c r="G68" s="110" t="s">
        <v>264</v>
      </c>
      <c r="H68" s="110">
        <v>868166057388605</v>
      </c>
      <c r="I68" s="110" t="s">
        <v>30</v>
      </c>
      <c r="J68" s="122">
        <v>500</v>
      </c>
      <c r="K68" s="110" t="s">
        <v>881</v>
      </c>
      <c r="L68" s="110" t="s">
        <v>1328</v>
      </c>
      <c r="M68" s="166" t="s">
        <v>1311</v>
      </c>
    </row>
    <row r="69" spans="1:13" x14ac:dyDescent="0.35">
      <c r="A69" s="138">
        <v>45512</v>
      </c>
      <c r="B69" s="110" t="s">
        <v>668</v>
      </c>
      <c r="C69" s="110"/>
      <c r="D69" s="110">
        <v>1</v>
      </c>
      <c r="E69" s="110" t="s">
        <v>1324</v>
      </c>
      <c r="F69" s="110" t="s">
        <v>1325</v>
      </c>
      <c r="G69" s="110">
        <v>8123699510</v>
      </c>
      <c r="H69" s="110">
        <v>868166059136689</v>
      </c>
      <c r="I69" s="110" t="s">
        <v>30</v>
      </c>
      <c r="J69" s="122">
        <v>1800</v>
      </c>
      <c r="K69" s="110" t="s">
        <v>881</v>
      </c>
      <c r="L69" s="110" t="s">
        <v>1336</v>
      </c>
    </row>
    <row r="70" spans="1:13" x14ac:dyDescent="0.35">
      <c r="A70" s="138">
        <v>45521</v>
      </c>
      <c r="B70" s="110" t="s">
        <v>261</v>
      </c>
      <c r="C70" s="110" t="s">
        <v>262</v>
      </c>
      <c r="D70" s="110">
        <v>1</v>
      </c>
      <c r="E70" s="110" t="s">
        <v>1326</v>
      </c>
      <c r="F70" s="110" t="s">
        <v>1327</v>
      </c>
      <c r="G70" s="110">
        <v>8186038510</v>
      </c>
      <c r="H70" s="110" t="s">
        <v>279</v>
      </c>
      <c r="I70" s="110" t="s">
        <v>30</v>
      </c>
      <c r="J70" s="122">
        <v>1800</v>
      </c>
      <c r="K70" s="110" t="s">
        <v>881</v>
      </c>
      <c r="L70" s="110" t="s">
        <v>1339</v>
      </c>
    </row>
    <row r="71" spans="1:13" x14ac:dyDescent="0.35">
      <c r="A71" s="138">
        <v>45524</v>
      </c>
      <c r="B71" s="110" t="s">
        <v>321</v>
      </c>
      <c r="C71" s="110" t="s">
        <v>326</v>
      </c>
      <c r="D71" s="110">
        <v>1</v>
      </c>
      <c r="E71" s="110" t="s">
        <v>1334</v>
      </c>
      <c r="F71" s="110" t="s">
        <v>264</v>
      </c>
      <c r="G71" s="110">
        <v>8445879349</v>
      </c>
      <c r="H71" s="110" t="s">
        <v>279</v>
      </c>
      <c r="I71" s="110" t="s">
        <v>30</v>
      </c>
      <c r="J71" s="122">
        <v>1650</v>
      </c>
      <c r="K71" s="110" t="s">
        <v>327</v>
      </c>
      <c r="L71" s="110" t="s">
        <v>1338</v>
      </c>
    </row>
    <row r="72" spans="1:13" x14ac:dyDescent="0.35">
      <c r="A72" s="138">
        <v>45525</v>
      </c>
      <c r="B72" s="110" t="s">
        <v>261</v>
      </c>
      <c r="C72" s="110" t="s">
        <v>262</v>
      </c>
      <c r="D72" s="110">
        <v>1</v>
      </c>
      <c r="E72" s="110" t="s">
        <v>491</v>
      </c>
      <c r="F72" s="110" t="s">
        <v>1098</v>
      </c>
      <c r="G72" s="110">
        <v>8124088608</v>
      </c>
      <c r="H72" s="110">
        <v>848166057564304</v>
      </c>
      <c r="I72" s="110" t="s">
        <v>30</v>
      </c>
      <c r="J72" s="122">
        <v>1800</v>
      </c>
      <c r="K72" s="110" t="s">
        <v>881</v>
      </c>
      <c r="L72" s="110" t="s">
        <v>1339</v>
      </c>
    </row>
    <row r="73" spans="1:13" x14ac:dyDescent="0.35">
      <c r="A73" s="138">
        <v>45540</v>
      </c>
      <c r="B73" s="110" t="s">
        <v>524</v>
      </c>
      <c r="C73" s="110" t="s">
        <v>538</v>
      </c>
      <c r="D73" s="110">
        <v>1</v>
      </c>
      <c r="E73" s="110" t="s">
        <v>1410</v>
      </c>
      <c r="F73" s="110" t="s">
        <v>1411</v>
      </c>
      <c r="G73" s="110">
        <v>8128626458</v>
      </c>
      <c r="H73" s="110">
        <v>869220041859962</v>
      </c>
      <c r="I73" s="110" t="s">
        <v>30</v>
      </c>
      <c r="J73" s="122">
        <v>1150</v>
      </c>
      <c r="K73" s="110" t="s">
        <v>30</v>
      </c>
      <c r="L73" s="110" t="s">
        <v>1011</v>
      </c>
    </row>
    <row r="74" spans="1:13" x14ac:dyDescent="0.35">
      <c r="A74" s="257">
        <v>45552</v>
      </c>
      <c r="B74" s="258" t="s">
        <v>261</v>
      </c>
      <c r="C74" s="258" t="s">
        <v>262</v>
      </c>
      <c r="D74" s="258">
        <v>1</v>
      </c>
      <c r="E74" s="258" t="s">
        <v>395</v>
      </c>
      <c r="F74" s="258" t="s">
        <v>1413</v>
      </c>
      <c r="G74" s="258" t="s">
        <v>279</v>
      </c>
      <c r="H74" s="258">
        <v>865011034234352</v>
      </c>
      <c r="I74" s="258" t="s">
        <v>30</v>
      </c>
      <c r="J74" s="213">
        <v>500</v>
      </c>
      <c r="K74" s="258" t="s">
        <v>881</v>
      </c>
      <c r="L74" s="258" t="s">
        <v>1439</v>
      </c>
      <c r="M74" s="166" t="s">
        <v>1308</v>
      </c>
    </row>
    <row r="75" spans="1:13" x14ac:dyDescent="0.35">
      <c r="A75" s="138">
        <v>45552</v>
      </c>
      <c r="B75" s="110" t="s">
        <v>261</v>
      </c>
      <c r="C75" s="110" t="s">
        <v>262</v>
      </c>
      <c r="D75" s="110">
        <v>1</v>
      </c>
      <c r="E75" s="110" t="s">
        <v>1412</v>
      </c>
      <c r="F75" s="110" t="s">
        <v>1414</v>
      </c>
      <c r="G75" s="110" t="s">
        <v>279</v>
      </c>
      <c r="H75" s="110">
        <v>865011034234352</v>
      </c>
      <c r="I75" s="110" t="s">
        <v>30</v>
      </c>
      <c r="J75" s="122">
        <v>500</v>
      </c>
      <c r="K75" s="110" t="s">
        <v>881</v>
      </c>
      <c r="L75" s="110" t="s">
        <v>1439</v>
      </c>
      <c r="M75" s="166" t="s">
        <v>1311</v>
      </c>
    </row>
    <row r="76" spans="1:13" ht="29" x14ac:dyDescent="0.35">
      <c r="A76" s="257">
        <v>45560</v>
      </c>
      <c r="B76" s="259" t="s">
        <v>778</v>
      </c>
      <c r="C76" s="258"/>
      <c r="D76" s="258">
        <v>1</v>
      </c>
      <c r="E76" s="258" t="s">
        <v>1431</v>
      </c>
      <c r="F76" s="258" t="s">
        <v>1432</v>
      </c>
      <c r="G76" s="258">
        <v>8110480499</v>
      </c>
      <c r="H76" s="258">
        <v>868166057587214</v>
      </c>
      <c r="I76" s="258" t="s">
        <v>30</v>
      </c>
      <c r="J76" s="213">
        <v>1800</v>
      </c>
      <c r="K76" s="258" t="s">
        <v>335</v>
      </c>
      <c r="L76" s="258" t="s">
        <v>1011</v>
      </c>
    </row>
    <row r="77" spans="1:13" x14ac:dyDescent="0.35">
      <c r="A77" s="138">
        <v>45603</v>
      </c>
      <c r="B77" s="110" t="s">
        <v>321</v>
      </c>
      <c r="C77" s="110" t="s">
        <v>326</v>
      </c>
      <c r="D77" s="110">
        <v>1</v>
      </c>
      <c r="E77" s="110" t="s">
        <v>1603</v>
      </c>
      <c r="F77" s="110" t="s">
        <v>1604</v>
      </c>
      <c r="G77" s="110">
        <v>8441978392</v>
      </c>
      <c r="H77" s="110" t="s">
        <v>279</v>
      </c>
      <c r="I77" s="110" t="s">
        <v>30</v>
      </c>
      <c r="J77" s="122">
        <v>1650</v>
      </c>
      <c r="K77" s="110" t="s">
        <v>327</v>
      </c>
      <c r="L77" s="110" t="s">
        <v>1617</v>
      </c>
    </row>
    <row r="78" spans="1:13" x14ac:dyDescent="0.35">
      <c r="A78" s="138">
        <v>45610</v>
      </c>
      <c r="B78" s="110" t="s">
        <v>394</v>
      </c>
      <c r="C78" s="110" t="s">
        <v>397</v>
      </c>
      <c r="D78" s="110">
        <v>1</v>
      </c>
      <c r="E78" s="110" t="s">
        <v>491</v>
      </c>
      <c r="F78" s="110" t="s">
        <v>1614</v>
      </c>
      <c r="G78" s="110">
        <v>8111669644</v>
      </c>
      <c r="H78" s="110">
        <v>869706060882653</v>
      </c>
      <c r="I78" s="110" t="s">
        <v>30</v>
      </c>
      <c r="J78" s="122">
        <f>1800*0.16+1800</f>
        <v>2088</v>
      </c>
      <c r="K78" s="110" t="s">
        <v>881</v>
      </c>
      <c r="L78" s="110" t="s">
        <v>1618</v>
      </c>
    </row>
    <row r="79" spans="1:13" x14ac:dyDescent="0.35">
      <c r="A79" s="138">
        <v>45621</v>
      </c>
      <c r="B79" s="110" t="s">
        <v>321</v>
      </c>
      <c r="C79" s="110" t="s">
        <v>326</v>
      </c>
      <c r="D79" s="110">
        <v>0</v>
      </c>
      <c r="E79" s="110" t="s">
        <v>1639</v>
      </c>
      <c r="F79" s="110" t="s">
        <v>1640</v>
      </c>
      <c r="G79" s="110">
        <v>8446681289</v>
      </c>
      <c r="H79" s="110" t="s">
        <v>279</v>
      </c>
      <c r="I79" s="110" t="s">
        <v>30</v>
      </c>
      <c r="J79" s="122">
        <v>450</v>
      </c>
      <c r="K79" s="110" t="s">
        <v>327</v>
      </c>
      <c r="L79" s="110" t="s">
        <v>1649</v>
      </c>
      <c r="M79" s="166" t="s">
        <v>969</v>
      </c>
    </row>
    <row r="80" spans="1:13" x14ac:dyDescent="0.35">
      <c r="A80" s="138">
        <v>45630</v>
      </c>
      <c r="B80" s="110" t="s">
        <v>261</v>
      </c>
      <c r="C80" s="110" t="s">
        <v>262</v>
      </c>
      <c r="D80" s="110">
        <v>1</v>
      </c>
      <c r="E80" s="110" t="s">
        <v>395</v>
      </c>
      <c r="F80" s="110" t="s">
        <v>1413</v>
      </c>
      <c r="G80" s="110">
        <v>8131059545</v>
      </c>
      <c r="H80" s="110">
        <v>869706060881655</v>
      </c>
      <c r="I80" s="110" t="s">
        <v>30</v>
      </c>
      <c r="J80" s="122">
        <v>1800</v>
      </c>
      <c r="K80" s="110" t="s">
        <v>881</v>
      </c>
      <c r="L80" s="110" t="s">
        <v>1672</v>
      </c>
    </row>
    <row r="81" spans="1:13" x14ac:dyDescent="0.35">
      <c r="A81" s="138">
        <v>45636</v>
      </c>
      <c r="B81" s="110" t="s">
        <v>261</v>
      </c>
      <c r="C81" s="110" t="s">
        <v>262</v>
      </c>
      <c r="D81" s="110">
        <v>1</v>
      </c>
      <c r="E81" s="110" t="s">
        <v>491</v>
      </c>
      <c r="F81" s="110" t="s">
        <v>1432</v>
      </c>
      <c r="G81" s="110" t="s">
        <v>264</v>
      </c>
      <c r="H81" s="110">
        <v>865011031549992</v>
      </c>
      <c r="I81" s="110" t="s">
        <v>30</v>
      </c>
      <c r="J81" s="122">
        <v>450</v>
      </c>
      <c r="K81" s="110" t="s">
        <v>881</v>
      </c>
      <c r="L81" s="110" t="s">
        <v>1701</v>
      </c>
      <c r="M81" s="166" t="s">
        <v>281</v>
      </c>
    </row>
    <row r="82" spans="1:13" x14ac:dyDescent="0.35">
      <c r="A82" s="138">
        <v>45649</v>
      </c>
      <c r="B82" s="110" t="s">
        <v>1692</v>
      </c>
      <c r="C82" s="110"/>
      <c r="D82" s="110">
        <v>1</v>
      </c>
      <c r="E82" s="110" t="s">
        <v>1693</v>
      </c>
      <c r="F82" s="110" t="s">
        <v>1694</v>
      </c>
      <c r="G82" s="110">
        <v>8182508643</v>
      </c>
      <c r="H82" s="110">
        <v>869706060881101</v>
      </c>
      <c r="I82" s="110" t="s">
        <v>30</v>
      </c>
      <c r="J82" s="122">
        <v>1800</v>
      </c>
      <c r="K82" s="110" t="s">
        <v>881</v>
      </c>
      <c r="L82" s="110" t="s">
        <v>1695</v>
      </c>
    </row>
    <row r="83" spans="1:13" x14ac:dyDescent="0.35">
      <c r="A83" s="138">
        <v>45653</v>
      </c>
      <c r="B83" s="110" t="s">
        <v>524</v>
      </c>
      <c r="C83" s="110" t="s">
        <v>538</v>
      </c>
      <c r="D83" s="110">
        <v>1</v>
      </c>
      <c r="E83" s="110" t="s">
        <v>632</v>
      </c>
      <c r="F83" s="110" t="s">
        <v>1700</v>
      </c>
      <c r="G83" s="110">
        <v>8180931202</v>
      </c>
      <c r="H83" s="110">
        <v>869706060881606</v>
      </c>
      <c r="I83" s="110" t="s">
        <v>30</v>
      </c>
      <c r="J83" s="122">
        <v>1850</v>
      </c>
      <c r="K83" s="110" t="s">
        <v>881</v>
      </c>
      <c r="L83" s="110" t="s">
        <v>1901</v>
      </c>
    </row>
    <row r="84" spans="1:13" ht="29" x14ac:dyDescent="0.35">
      <c r="A84" s="138">
        <v>45685</v>
      </c>
      <c r="B84" s="111" t="s">
        <v>694</v>
      </c>
      <c r="C84" s="110" t="s">
        <v>701</v>
      </c>
      <c r="D84" s="110">
        <v>1</v>
      </c>
      <c r="E84" s="110" t="s">
        <v>2045</v>
      </c>
      <c r="F84" s="110" t="s">
        <v>2046</v>
      </c>
      <c r="G84" s="110" t="s">
        <v>264</v>
      </c>
      <c r="H84" s="110" t="s">
        <v>264</v>
      </c>
      <c r="I84" s="110" t="s">
        <v>30</v>
      </c>
      <c r="J84" s="122">
        <v>800</v>
      </c>
      <c r="K84" s="110" t="s">
        <v>881</v>
      </c>
      <c r="L84" s="110" t="s">
        <v>2068</v>
      </c>
      <c r="M84" s="166" t="s">
        <v>1308</v>
      </c>
    </row>
    <row r="85" spans="1:13" ht="29" x14ac:dyDescent="0.35">
      <c r="A85" s="138">
        <v>45685</v>
      </c>
      <c r="B85" s="111" t="s">
        <v>694</v>
      </c>
      <c r="C85" s="110" t="s">
        <v>701</v>
      </c>
      <c r="D85" s="110">
        <v>1</v>
      </c>
      <c r="E85" s="110" t="s">
        <v>491</v>
      </c>
      <c r="F85" s="110" t="s">
        <v>264</v>
      </c>
      <c r="G85" s="110" t="s">
        <v>264</v>
      </c>
      <c r="H85" s="110" t="s">
        <v>264</v>
      </c>
      <c r="I85" s="110" t="s">
        <v>30</v>
      </c>
      <c r="J85" s="122">
        <v>450</v>
      </c>
      <c r="K85" s="110" t="s">
        <v>881</v>
      </c>
      <c r="L85" s="110" t="s">
        <v>2068</v>
      </c>
      <c r="M85" s="166" t="s">
        <v>281</v>
      </c>
    </row>
    <row r="86" spans="1:13" x14ac:dyDescent="0.35">
      <c r="A86" s="138">
        <v>45688</v>
      </c>
      <c r="B86" s="110" t="s">
        <v>261</v>
      </c>
      <c r="C86" s="110" t="s">
        <v>262</v>
      </c>
      <c r="D86" s="110">
        <v>1</v>
      </c>
      <c r="E86" s="110" t="s">
        <v>2189</v>
      </c>
      <c r="F86" s="110" t="s">
        <v>2190</v>
      </c>
      <c r="G86" s="110">
        <v>8181194051</v>
      </c>
      <c r="H86" s="169">
        <v>868166056251580</v>
      </c>
      <c r="I86" s="110" t="s">
        <v>30</v>
      </c>
      <c r="J86" s="122">
        <v>1800</v>
      </c>
      <c r="K86" s="110" t="s">
        <v>881</v>
      </c>
      <c r="L86" s="110" t="s">
        <v>2255</v>
      </c>
      <c r="M86" s="166"/>
    </row>
    <row r="87" spans="1:13" x14ac:dyDescent="0.35">
      <c r="A87" s="183">
        <v>45688</v>
      </c>
      <c r="B87" s="157" t="s">
        <v>261</v>
      </c>
      <c r="C87" s="157" t="s">
        <v>262</v>
      </c>
      <c r="D87" s="157">
        <v>1</v>
      </c>
      <c r="E87" s="157" t="s">
        <v>743</v>
      </c>
      <c r="F87" s="157" t="s">
        <v>2191</v>
      </c>
      <c r="G87" s="157" t="s">
        <v>264</v>
      </c>
      <c r="H87" s="394">
        <v>865011034738477</v>
      </c>
      <c r="I87" s="157" t="s">
        <v>30</v>
      </c>
      <c r="J87" s="184">
        <v>450</v>
      </c>
      <c r="K87" s="157" t="s">
        <v>881</v>
      </c>
      <c r="L87" s="157" t="s">
        <v>2255</v>
      </c>
      <c r="M87" s="166" t="s">
        <v>281</v>
      </c>
    </row>
    <row r="88" spans="1:13" x14ac:dyDescent="0.35">
      <c r="A88" s="138">
        <v>45713</v>
      </c>
      <c r="B88" s="110" t="s">
        <v>261</v>
      </c>
      <c r="C88" s="110" t="s">
        <v>262</v>
      </c>
      <c r="D88" s="110">
        <v>1</v>
      </c>
      <c r="E88" s="110" t="s">
        <v>2282</v>
      </c>
      <c r="F88" s="110" t="s">
        <v>1098</v>
      </c>
      <c r="G88" s="110">
        <v>8123328279</v>
      </c>
      <c r="H88" s="169">
        <v>868166057564304</v>
      </c>
      <c r="I88" s="110" t="s">
        <v>30</v>
      </c>
      <c r="J88" s="122">
        <v>450</v>
      </c>
      <c r="K88" s="110" t="s">
        <v>335</v>
      </c>
      <c r="L88" s="110" t="s">
        <v>2593</v>
      </c>
      <c r="M88" s="166" t="s">
        <v>281</v>
      </c>
    </row>
    <row r="89" spans="1:13" x14ac:dyDescent="0.35">
      <c r="A89" s="138">
        <v>45713</v>
      </c>
      <c r="B89" s="110" t="s">
        <v>261</v>
      </c>
      <c r="C89" s="110" t="s">
        <v>262</v>
      </c>
      <c r="D89" s="110">
        <v>1</v>
      </c>
      <c r="E89" s="110" t="s">
        <v>1431</v>
      </c>
      <c r="F89" s="110" t="s">
        <v>2283</v>
      </c>
      <c r="G89" s="110">
        <v>8128974099</v>
      </c>
      <c r="H89" s="169">
        <v>869706060073501</v>
      </c>
      <c r="I89" s="110" t="s">
        <v>30</v>
      </c>
      <c r="J89" s="122">
        <v>1800</v>
      </c>
      <c r="K89" s="110" t="s">
        <v>335</v>
      </c>
      <c r="L89" s="110" t="s">
        <v>2592</v>
      </c>
      <c r="M89" s="166" t="s">
        <v>2284</v>
      </c>
    </row>
    <row r="90" spans="1:13" x14ac:dyDescent="0.35">
      <c r="A90" s="138">
        <v>45731</v>
      </c>
      <c r="B90" s="110" t="s">
        <v>261</v>
      </c>
      <c r="C90" s="110" t="s">
        <v>262</v>
      </c>
      <c r="D90" s="110">
        <v>1</v>
      </c>
      <c r="E90" s="110" t="s">
        <v>264</v>
      </c>
      <c r="F90" s="110" t="s">
        <v>264</v>
      </c>
      <c r="G90" s="110" t="s">
        <v>264</v>
      </c>
      <c r="H90" s="110" t="s">
        <v>264</v>
      </c>
      <c r="I90" s="110" t="s">
        <v>30</v>
      </c>
      <c r="J90" s="122">
        <v>250</v>
      </c>
      <c r="K90" s="110" t="s">
        <v>881</v>
      </c>
      <c r="L90" s="110" t="s">
        <v>2593</v>
      </c>
      <c r="M90" s="166" t="s">
        <v>2594</v>
      </c>
    </row>
    <row r="91" spans="1:13" x14ac:dyDescent="0.35">
      <c r="A91" s="138">
        <v>45736</v>
      </c>
      <c r="B91" s="110" t="s">
        <v>261</v>
      </c>
      <c r="C91" s="110" t="s">
        <v>262</v>
      </c>
      <c r="D91" s="110">
        <v>1</v>
      </c>
      <c r="E91" s="110" t="s">
        <v>2596</v>
      </c>
      <c r="F91" s="110" t="s">
        <v>264</v>
      </c>
      <c r="G91" s="110" t="s">
        <v>264</v>
      </c>
      <c r="H91" s="110" t="s">
        <v>264</v>
      </c>
      <c r="I91" s="110" t="s">
        <v>30</v>
      </c>
      <c r="J91" s="122">
        <v>450</v>
      </c>
      <c r="K91" s="110" t="s">
        <v>881</v>
      </c>
      <c r="L91" s="110" t="s">
        <v>2600</v>
      </c>
      <c r="M91" s="166" t="s">
        <v>281</v>
      </c>
    </row>
    <row r="92" spans="1:13" x14ac:dyDescent="0.35">
      <c r="A92" s="138">
        <v>45737</v>
      </c>
      <c r="B92" s="110" t="s">
        <v>2531</v>
      </c>
      <c r="C92" s="110" t="s">
        <v>2534</v>
      </c>
      <c r="D92" s="110">
        <v>1</v>
      </c>
      <c r="E92" s="110" t="s">
        <v>2535</v>
      </c>
      <c r="F92" s="110" t="s">
        <v>2536</v>
      </c>
      <c r="G92" s="110">
        <v>8110314112</v>
      </c>
      <c r="H92" s="110">
        <v>869706060073428</v>
      </c>
      <c r="I92" s="110" t="s">
        <v>30</v>
      </c>
      <c r="J92" s="122">
        <v>1850</v>
      </c>
      <c r="K92" s="110" t="s">
        <v>335</v>
      </c>
      <c r="L92" s="110" t="s">
        <v>1106</v>
      </c>
    </row>
    <row r="93" spans="1:13" x14ac:dyDescent="0.35">
      <c r="A93" s="138">
        <v>45737</v>
      </c>
      <c r="B93" s="110" t="s">
        <v>261</v>
      </c>
      <c r="C93" s="110" t="s">
        <v>262</v>
      </c>
      <c r="D93" s="110">
        <v>1</v>
      </c>
      <c r="E93" s="110" t="s">
        <v>2596</v>
      </c>
      <c r="F93" s="110" t="s">
        <v>264</v>
      </c>
      <c r="G93" s="110" t="s">
        <v>264</v>
      </c>
      <c r="H93" s="110" t="s">
        <v>264</v>
      </c>
      <c r="I93" s="110" t="s">
        <v>30</v>
      </c>
      <c r="J93" s="122">
        <v>500</v>
      </c>
      <c r="K93" s="110" t="s">
        <v>881</v>
      </c>
      <c r="L93" s="110" t="s">
        <v>2601</v>
      </c>
      <c r="M93" s="166" t="s">
        <v>940</v>
      </c>
    </row>
    <row r="94" spans="1:13" x14ac:dyDescent="0.35">
      <c r="A94" s="138">
        <v>45738</v>
      </c>
      <c r="B94" s="110" t="s">
        <v>261</v>
      </c>
      <c r="C94" s="110" t="s">
        <v>262</v>
      </c>
      <c r="D94" s="110">
        <v>1</v>
      </c>
      <c r="E94" s="110" t="s">
        <v>2597</v>
      </c>
      <c r="F94" s="169" t="s">
        <v>2598</v>
      </c>
      <c r="G94" s="110" t="s">
        <v>264</v>
      </c>
      <c r="H94" s="169">
        <v>868166052723442</v>
      </c>
      <c r="I94" s="110" t="s">
        <v>30</v>
      </c>
      <c r="J94" s="122">
        <v>500</v>
      </c>
      <c r="K94" s="110" t="s">
        <v>335</v>
      </c>
      <c r="L94" s="110" t="s">
        <v>2602</v>
      </c>
      <c r="M94" s="166" t="s">
        <v>2595</v>
      </c>
    </row>
    <row r="95" spans="1:13" x14ac:dyDescent="0.35">
      <c r="A95" s="138">
        <v>45738</v>
      </c>
      <c r="B95" s="110" t="s">
        <v>261</v>
      </c>
      <c r="C95" s="110" t="s">
        <v>262</v>
      </c>
      <c r="D95" s="110">
        <v>1</v>
      </c>
      <c r="E95" s="110" t="s">
        <v>2597</v>
      </c>
      <c r="F95" s="169" t="s">
        <v>2599</v>
      </c>
      <c r="G95" s="110" t="s">
        <v>264</v>
      </c>
      <c r="H95" s="169">
        <v>868166052723442</v>
      </c>
      <c r="I95" s="110" t="s">
        <v>30</v>
      </c>
      <c r="J95" s="122">
        <v>500</v>
      </c>
      <c r="K95" s="110" t="s">
        <v>335</v>
      </c>
      <c r="L95" s="110" t="s">
        <v>2603</v>
      </c>
      <c r="M95" s="166" t="s">
        <v>940</v>
      </c>
    </row>
    <row r="96" spans="1:13" x14ac:dyDescent="0.35">
      <c r="A96" s="138">
        <v>45748</v>
      </c>
      <c r="B96" s="110" t="s">
        <v>2751</v>
      </c>
      <c r="C96" s="110" t="s">
        <v>2754</v>
      </c>
      <c r="D96" s="110">
        <v>1</v>
      </c>
      <c r="E96" s="110" t="s">
        <v>2752</v>
      </c>
      <c r="F96" s="110" t="s">
        <v>2753</v>
      </c>
      <c r="G96" s="110">
        <v>8118272307</v>
      </c>
      <c r="H96" s="110">
        <v>869706060074368</v>
      </c>
      <c r="I96" s="110" t="s">
        <v>30</v>
      </c>
      <c r="J96" s="122">
        <v>1800</v>
      </c>
      <c r="K96" s="110" t="s">
        <v>881</v>
      </c>
      <c r="L96" s="110" t="s">
        <v>1106</v>
      </c>
    </row>
    <row r="97" spans="1:12" x14ac:dyDescent="0.35">
      <c r="A97" s="138">
        <v>45750</v>
      </c>
      <c r="B97" s="110" t="s">
        <v>2756</v>
      </c>
      <c r="C97" s="110"/>
      <c r="D97" s="110">
        <v>1</v>
      </c>
      <c r="E97" s="110" t="s">
        <v>2758</v>
      </c>
      <c r="F97" s="110" t="s">
        <v>2759</v>
      </c>
      <c r="G97" s="169">
        <v>8110029665</v>
      </c>
      <c r="H97" s="169">
        <v>869706061119279</v>
      </c>
      <c r="I97" s="110" t="s">
        <v>30</v>
      </c>
      <c r="J97" s="122">
        <v>800</v>
      </c>
      <c r="K97" s="110" t="s">
        <v>881</v>
      </c>
      <c r="L97" s="110" t="s">
        <v>1011</v>
      </c>
    </row>
    <row r="98" spans="1:12" x14ac:dyDescent="0.35">
      <c r="A98" s="138">
        <v>45759</v>
      </c>
      <c r="B98" s="110" t="s">
        <v>2817</v>
      </c>
      <c r="C98" s="110" t="s">
        <v>2830</v>
      </c>
      <c r="D98" s="110">
        <v>1</v>
      </c>
      <c r="E98" s="110" t="s">
        <v>2831</v>
      </c>
      <c r="F98" s="110" t="s">
        <v>2832</v>
      </c>
      <c r="G98" s="110">
        <v>8123721641</v>
      </c>
      <c r="H98" s="110">
        <v>864943047770090</v>
      </c>
      <c r="I98" s="110" t="s">
        <v>30</v>
      </c>
      <c r="J98" s="122">
        <f>1600*0.16+1600</f>
        <v>1856</v>
      </c>
      <c r="K98" s="110" t="s">
        <v>881</v>
      </c>
      <c r="L98" s="110" t="s">
        <v>1011</v>
      </c>
    </row>
  </sheetData>
  <autoFilter ref="A2:M95" xr:uid="{00000000-0009-0000-0000-000008000000}"/>
  <mergeCells count="1">
    <mergeCell ref="A1:L1"/>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M98"/>
  <sheetViews>
    <sheetView zoomScale="84" zoomScaleNormal="84" workbookViewId="0">
      <pane xSplit="2" ySplit="2" topLeftCell="C86" activePane="bottomRight" state="frozenSplit"/>
      <selection pane="topRight" activeCell="G1" sqref="G1"/>
      <selection pane="bottomLeft" activeCell="A6" sqref="A6"/>
      <selection pane="bottomRight" activeCell="A89" sqref="A89:XFD89"/>
    </sheetView>
  </sheetViews>
  <sheetFormatPr baseColWidth="10" defaultRowHeight="14.5" x14ac:dyDescent="0.35"/>
  <cols>
    <col min="1" max="1" width="12" style="5" customWidth="1"/>
    <col min="2" max="2" width="25.453125" style="104" customWidth="1"/>
    <col min="3" max="3" width="31.26953125" style="104" customWidth="1"/>
    <col min="4" max="4" width="9.54296875" style="104" customWidth="1"/>
    <col min="5" max="5" width="9.453125" style="104" customWidth="1"/>
    <col min="6" max="6" width="17.81640625" style="104" customWidth="1"/>
    <col min="7" max="7" width="15.1796875" style="144" customWidth="1"/>
    <col min="8" max="8" width="11.7265625" style="144" customWidth="1"/>
    <col min="9" max="9" width="12.26953125" style="144" customWidth="1"/>
    <col min="10" max="10" width="13.7265625" style="104" customWidth="1"/>
    <col min="11" max="11" width="18" style="104" customWidth="1"/>
    <col min="12" max="12" width="17.1796875" style="148" customWidth="1"/>
    <col min="13" max="13" width="28.81640625" style="263" customWidth="1"/>
  </cols>
  <sheetData>
    <row r="1" spans="1:13" ht="24.75" customHeight="1" x14ac:dyDescent="0.35">
      <c r="A1" s="443" t="s">
        <v>795</v>
      </c>
      <c r="B1" s="444"/>
      <c r="C1" s="444"/>
      <c r="D1" s="444"/>
      <c r="E1" s="444"/>
      <c r="F1" s="444"/>
      <c r="G1" s="444"/>
      <c r="H1" s="444"/>
      <c r="I1" s="444"/>
      <c r="J1" s="444"/>
      <c r="K1" s="444"/>
      <c r="L1" s="444"/>
    </row>
    <row r="2" spans="1:13" ht="15.75" customHeight="1" x14ac:dyDescent="0.35">
      <c r="A2" s="110" t="s">
        <v>167</v>
      </c>
      <c r="B2" s="110" t="s">
        <v>165</v>
      </c>
      <c r="C2" s="110" t="s">
        <v>5</v>
      </c>
      <c r="D2" s="110" t="s">
        <v>178</v>
      </c>
      <c r="E2" s="110" t="s">
        <v>179</v>
      </c>
      <c r="F2" s="110" t="s">
        <v>191</v>
      </c>
      <c r="G2" s="117" t="s">
        <v>180</v>
      </c>
      <c r="H2" s="117" t="s">
        <v>160</v>
      </c>
      <c r="I2" s="117" t="s">
        <v>181</v>
      </c>
      <c r="J2" s="110" t="s">
        <v>163</v>
      </c>
      <c r="K2" s="110" t="s">
        <v>468</v>
      </c>
      <c r="L2" s="117" t="s">
        <v>300</v>
      </c>
    </row>
    <row r="3" spans="1:13" s="115" customFormat="1" ht="42.75" customHeight="1" x14ac:dyDescent="0.35">
      <c r="A3" s="140" t="s">
        <v>164</v>
      </c>
      <c r="B3" s="178" t="s">
        <v>1296</v>
      </c>
      <c r="C3" s="146" t="s">
        <v>476</v>
      </c>
      <c r="D3" s="113">
        <v>8</v>
      </c>
      <c r="E3" s="113" t="s">
        <v>189</v>
      </c>
      <c r="F3" s="113">
        <v>1748</v>
      </c>
      <c r="G3" s="118">
        <v>7949.44</v>
      </c>
      <c r="H3" s="118">
        <f>G3*0.16</f>
        <v>1271.9104</v>
      </c>
      <c r="I3" s="118">
        <f>G3+H3</f>
        <v>9221.3503999999994</v>
      </c>
      <c r="J3" s="116" t="s">
        <v>243</v>
      </c>
      <c r="K3" s="168" t="s">
        <v>190</v>
      </c>
      <c r="L3" s="147" t="s">
        <v>90</v>
      </c>
      <c r="M3" s="264"/>
    </row>
    <row r="4" spans="1:13" ht="39" x14ac:dyDescent="0.35">
      <c r="A4" s="140" t="s">
        <v>290</v>
      </c>
      <c r="B4" s="179" t="s">
        <v>299</v>
      </c>
      <c r="C4" s="146" t="s">
        <v>477</v>
      </c>
      <c r="D4" s="113">
        <v>9</v>
      </c>
      <c r="E4" s="113" t="s">
        <v>189</v>
      </c>
      <c r="F4" s="113">
        <v>1823</v>
      </c>
      <c r="G4" s="131">
        <v>28110</v>
      </c>
      <c r="H4" s="131">
        <f>G4*0.16</f>
        <v>4497.6000000000004</v>
      </c>
      <c r="I4" s="131">
        <f>G4+H4</f>
        <v>32607.599999999999</v>
      </c>
      <c r="J4" s="116" t="s">
        <v>243</v>
      </c>
      <c r="K4" s="114" t="s">
        <v>298</v>
      </c>
      <c r="L4" s="114" t="s">
        <v>90</v>
      </c>
      <c r="M4" s="89" t="s">
        <v>302</v>
      </c>
    </row>
    <row r="5" spans="1:13" ht="78" x14ac:dyDescent="0.35">
      <c r="A5" s="140" t="s">
        <v>290</v>
      </c>
      <c r="B5" s="179" t="s">
        <v>301</v>
      </c>
      <c r="C5" s="146" t="s">
        <v>478</v>
      </c>
      <c r="D5" s="113">
        <v>1</v>
      </c>
      <c r="E5" s="113" t="s">
        <v>189</v>
      </c>
      <c r="F5" s="113">
        <v>1824</v>
      </c>
      <c r="G5" s="131">
        <v>3300</v>
      </c>
      <c r="H5" s="131">
        <f>G5*0.16</f>
        <v>528</v>
      </c>
      <c r="I5" s="131">
        <f>G5+H5</f>
        <v>3828</v>
      </c>
      <c r="J5" s="116" t="s">
        <v>243</v>
      </c>
      <c r="K5" s="114" t="s">
        <v>298</v>
      </c>
      <c r="L5" s="114" t="s">
        <v>90</v>
      </c>
    </row>
    <row r="6" spans="1:13" ht="29" x14ac:dyDescent="0.35">
      <c r="A6" s="140" t="s">
        <v>318</v>
      </c>
      <c r="B6" s="178" t="s">
        <v>369</v>
      </c>
      <c r="C6" s="146" t="s">
        <v>475</v>
      </c>
      <c r="D6" s="113">
        <v>6</v>
      </c>
      <c r="E6" s="113" t="s">
        <v>268</v>
      </c>
      <c r="F6" s="113" t="s">
        <v>279</v>
      </c>
      <c r="G6" s="131">
        <v>6000</v>
      </c>
      <c r="H6" s="131">
        <v>0</v>
      </c>
      <c r="I6" s="131">
        <v>6000</v>
      </c>
      <c r="J6" s="116" t="s">
        <v>243</v>
      </c>
      <c r="K6" s="114" t="s">
        <v>370</v>
      </c>
      <c r="L6" s="160" t="s">
        <v>371</v>
      </c>
    </row>
    <row r="7" spans="1:13" ht="41.25" customHeight="1" x14ac:dyDescent="0.35">
      <c r="A7" s="140" t="s">
        <v>373</v>
      </c>
      <c r="B7" s="178" t="s">
        <v>372</v>
      </c>
      <c r="C7" s="175"/>
      <c r="D7" s="113">
        <v>1</v>
      </c>
      <c r="E7" s="113" t="s">
        <v>268</v>
      </c>
      <c r="F7" s="113" t="s">
        <v>279</v>
      </c>
      <c r="G7" s="131">
        <v>4950</v>
      </c>
      <c r="H7" s="131">
        <v>0</v>
      </c>
      <c r="I7" s="131">
        <v>4950</v>
      </c>
      <c r="J7" s="116" t="s">
        <v>243</v>
      </c>
      <c r="K7" s="114" t="s">
        <v>370</v>
      </c>
      <c r="L7" s="114" t="s">
        <v>90</v>
      </c>
    </row>
    <row r="8" spans="1:13" ht="78" x14ac:dyDescent="0.35">
      <c r="A8" s="140" t="s">
        <v>403</v>
      </c>
      <c r="B8" s="179" t="s">
        <v>405</v>
      </c>
      <c r="C8" s="146" t="s">
        <v>479</v>
      </c>
      <c r="D8" s="113">
        <v>1</v>
      </c>
      <c r="E8" s="113" t="s">
        <v>189</v>
      </c>
      <c r="F8" s="113">
        <v>1936</v>
      </c>
      <c r="G8" s="131">
        <v>2000</v>
      </c>
      <c r="H8" s="131">
        <f>G8*0.16</f>
        <v>320</v>
      </c>
      <c r="I8" s="131">
        <f>G8+H8</f>
        <v>2320</v>
      </c>
      <c r="J8" s="116" t="s">
        <v>243</v>
      </c>
      <c r="K8" s="114" t="s">
        <v>607</v>
      </c>
      <c r="L8" s="114" t="s">
        <v>404</v>
      </c>
    </row>
    <row r="9" spans="1:13" ht="29" x14ac:dyDescent="0.35">
      <c r="A9" s="140" t="s">
        <v>403</v>
      </c>
      <c r="B9" s="178" t="s">
        <v>413</v>
      </c>
      <c r="C9" s="113" t="s">
        <v>714</v>
      </c>
      <c r="D9" s="113">
        <v>5</v>
      </c>
      <c r="E9" s="113" t="s">
        <v>268</v>
      </c>
      <c r="F9" s="113" t="s">
        <v>279</v>
      </c>
      <c r="G9" s="131">
        <f>696*5</f>
        <v>3480</v>
      </c>
      <c r="H9" s="131">
        <v>0</v>
      </c>
      <c r="I9" s="131">
        <v>3480</v>
      </c>
      <c r="J9" s="116" t="s">
        <v>243</v>
      </c>
      <c r="K9" s="114" t="s">
        <v>414</v>
      </c>
      <c r="L9" s="160" t="s">
        <v>418</v>
      </c>
    </row>
    <row r="10" spans="1:13" ht="73.5" customHeight="1" x14ac:dyDescent="0.35">
      <c r="A10" s="140" t="s">
        <v>403</v>
      </c>
      <c r="B10" s="180" t="s">
        <v>415</v>
      </c>
      <c r="C10" s="164" t="s">
        <v>480</v>
      </c>
      <c r="D10" s="113">
        <v>3</v>
      </c>
      <c r="E10" s="113" t="s">
        <v>189</v>
      </c>
      <c r="F10" s="113">
        <v>1938</v>
      </c>
      <c r="G10" s="131">
        <f>3300*D10</f>
        <v>9900</v>
      </c>
      <c r="H10" s="131">
        <f>G10*0.16</f>
        <v>1584</v>
      </c>
      <c r="I10" s="131">
        <f>G10+H10</f>
        <v>11484</v>
      </c>
      <c r="J10" s="116" t="s">
        <v>243</v>
      </c>
      <c r="K10" s="114" t="s">
        <v>414</v>
      </c>
      <c r="L10" s="114" t="s">
        <v>90</v>
      </c>
    </row>
    <row r="11" spans="1:13" ht="26" x14ac:dyDescent="0.35">
      <c r="A11" s="140" t="s">
        <v>403</v>
      </c>
      <c r="B11" s="178" t="s">
        <v>416</v>
      </c>
      <c r="C11" s="146" t="s">
        <v>471</v>
      </c>
      <c r="D11" s="113">
        <v>1</v>
      </c>
      <c r="E11" s="113" t="s">
        <v>268</v>
      </c>
      <c r="F11" s="113" t="s">
        <v>279</v>
      </c>
      <c r="G11" s="131">
        <v>3000</v>
      </c>
      <c r="H11" s="131">
        <v>0</v>
      </c>
      <c r="I11" s="131">
        <v>3000</v>
      </c>
      <c r="J11" s="116" t="s">
        <v>243</v>
      </c>
      <c r="K11" s="114" t="s">
        <v>414</v>
      </c>
      <c r="L11" s="114" t="s">
        <v>90</v>
      </c>
    </row>
    <row r="12" spans="1:13" ht="35.25" customHeight="1" x14ac:dyDescent="0.35">
      <c r="A12" s="140" t="s">
        <v>403</v>
      </c>
      <c r="B12" s="178" t="s">
        <v>417</v>
      </c>
      <c r="C12" s="177" t="s">
        <v>481</v>
      </c>
      <c r="D12" s="113">
        <v>1</v>
      </c>
      <c r="E12" s="113" t="s">
        <v>189</v>
      </c>
      <c r="F12" s="113">
        <v>1940</v>
      </c>
      <c r="G12" s="131">
        <v>3660</v>
      </c>
      <c r="H12" s="131">
        <f>G12*0.16</f>
        <v>585.6</v>
      </c>
      <c r="I12" s="131">
        <f>G12+H12</f>
        <v>4245.6000000000004</v>
      </c>
      <c r="J12" s="116" t="s">
        <v>243</v>
      </c>
      <c r="K12" s="114" t="s">
        <v>588</v>
      </c>
      <c r="L12" s="114" t="s">
        <v>404</v>
      </c>
    </row>
    <row r="13" spans="1:13" ht="75.75" customHeight="1" x14ac:dyDescent="0.35">
      <c r="A13" s="140" t="s">
        <v>403</v>
      </c>
      <c r="B13" s="179" t="s">
        <v>792</v>
      </c>
      <c r="C13" s="146" t="s">
        <v>474</v>
      </c>
      <c r="D13" s="113">
        <v>1</v>
      </c>
      <c r="E13" s="113" t="s">
        <v>268</v>
      </c>
      <c r="F13" s="172" t="s">
        <v>279</v>
      </c>
      <c r="G13" s="131">
        <v>4600</v>
      </c>
      <c r="H13" s="131">
        <v>0</v>
      </c>
      <c r="I13" s="131">
        <v>4600</v>
      </c>
      <c r="J13" s="116" t="s">
        <v>243</v>
      </c>
      <c r="K13" s="114" t="s">
        <v>419</v>
      </c>
      <c r="L13" s="160" t="s">
        <v>404</v>
      </c>
      <c r="M13" s="89" t="s">
        <v>710</v>
      </c>
    </row>
    <row r="14" spans="1:13" ht="108.75" customHeight="1" x14ac:dyDescent="0.35">
      <c r="A14" s="140" t="s">
        <v>442</v>
      </c>
      <c r="B14" s="179" t="s">
        <v>472</v>
      </c>
      <c r="C14" s="146" t="s">
        <v>473</v>
      </c>
      <c r="D14" s="176">
        <v>2</v>
      </c>
      <c r="E14" s="113" t="s">
        <v>189</v>
      </c>
      <c r="F14" s="113">
        <v>2007</v>
      </c>
      <c r="G14" s="131">
        <v>6000</v>
      </c>
      <c r="H14" s="131">
        <f>G14*0.16</f>
        <v>960</v>
      </c>
      <c r="I14" s="131">
        <f>G14+H14</f>
        <v>6960</v>
      </c>
      <c r="J14" s="116" t="s">
        <v>243</v>
      </c>
      <c r="K14" s="114" t="s">
        <v>466</v>
      </c>
      <c r="L14" s="114" t="s">
        <v>90</v>
      </c>
    </row>
    <row r="15" spans="1:13" ht="39" x14ac:dyDescent="0.35">
      <c r="A15" s="140" t="s">
        <v>442</v>
      </c>
      <c r="B15" s="179" t="s">
        <v>470</v>
      </c>
      <c r="C15" s="146" t="s">
        <v>482</v>
      </c>
      <c r="D15" s="174">
        <v>1</v>
      </c>
      <c r="E15" s="113" t="s">
        <v>189</v>
      </c>
      <c r="F15" s="172" t="s">
        <v>279</v>
      </c>
      <c r="G15" s="173">
        <v>3300</v>
      </c>
      <c r="H15" s="173">
        <f>G15*0.16</f>
        <v>528</v>
      </c>
      <c r="I15" s="173">
        <f>G15+H15</f>
        <v>3828</v>
      </c>
      <c r="J15" s="231" t="s">
        <v>456</v>
      </c>
      <c r="K15" s="147" t="s">
        <v>279</v>
      </c>
      <c r="L15" s="147" t="s">
        <v>90</v>
      </c>
      <c r="M15" s="263" t="s">
        <v>1016</v>
      </c>
    </row>
    <row r="16" spans="1:13" ht="43.5" x14ac:dyDescent="0.35">
      <c r="A16" s="140" t="s">
        <v>485</v>
      </c>
      <c r="B16" s="130" t="s">
        <v>541</v>
      </c>
      <c r="C16" s="146" t="s">
        <v>545</v>
      </c>
      <c r="D16" s="113">
        <v>1</v>
      </c>
      <c r="E16" s="113" t="s">
        <v>189</v>
      </c>
      <c r="F16" s="113">
        <v>2073</v>
      </c>
      <c r="G16" s="131">
        <f>1800+2790</f>
        <v>4590</v>
      </c>
      <c r="H16" s="131">
        <f>G16*0.16</f>
        <v>734.4</v>
      </c>
      <c r="I16" s="131">
        <f>G16+H16</f>
        <v>5324.4</v>
      </c>
      <c r="J16" s="116" t="s">
        <v>243</v>
      </c>
      <c r="K16" s="114" t="s">
        <v>467</v>
      </c>
      <c r="L16" s="114" t="s">
        <v>404</v>
      </c>
    </row>
    <row r="17" spans="1:13" ht="26" x14ac:dyDescent="0.35">
      <c r="A17" s="140" t="s">
        <v>485</v>
      </c>
      <c r="B17" s="178" t="s">
        <v>299</v>
      </c>
      <c r="C17" s="146" t="s">
        <v>564</v>
      </c>
      <c r="D17" s="113">
        <v>9</v>
      </c>
      <c r="E17" s="113" t="s">
        <v>189</v>
      </c>
      <c r="F17" s="113">
        <v>2078</v>
      </c>
      <c r="G17" s="131">
        <v>650</v>
      </c>
      <c r="H17" s="131">
        <f>G17*0.16</f>
        <v>104</v>
      </c>
      <c r="I17" s="131">
        <f>G17+H17</f>
        <v>754</v>
      </c>
      <c r="J17" s="116" t="s">
        <v>243</v>
      </c>
      <c r="K17" s="114" t="s">
        <v>298</v>
      </c>
      <c r="L17" s="188" t="s">
        <v>565</v>
      </c>
    </row>
    <row r="18" spans="1:13" ht="39" x14ac:dyDescent="0.35">
      <c r="A18" s="140" t="s">
        <v>566</v>
      </c>
      <c r="B18" s="113" t="s">
        <v>417</v>
      </c>
      <c r="C18" s="146" t="s">
        <v>587</v>
      </c>
      <c r="D18" s="113">
        <v>2</v>
      </c>
      <c r="E18" s="113" t="s">
        <v>189</v>
      </c>
      <c r="F18" s="113">
        <v>2144</v>
      </c>
      <c r="G18" s="131">
        <v>7200</v>
      </c>
      <c r="H18" s="131">
        <f>G18*0.16</f>
        <v>1152</v>
      </c>
      <c r="I18" s="131">
        <f>G18+H18</f>
        <v>8352</v>
      </c>
      <c r="J18" s="116" t="s">
        <v>243</v>
      </c>
      <c r="K18" s="114" t="s">
        <v>589</v>
      </c>
      <c r="L18" s="114" t="s">
        <v>90</v>
      </c>
    </row>
    <row r="19" spans="1:13" ht="26" x14ac:dyDescent="0.35">
      <c r="A19" s="140" t="s">
        <v>566</v>
      </c>
      <c r="B19" s="113" t="s">
        <v>585</v>
      </c>
      <c r="C19" s="146" t="s">
        <v>628</v>
      </c>
      <c r="D19" s="113">
        <v>1</v>
      </c>
      <c r="E19" s="113" t="s">
        <v>268</v>
      </c>
      <c r="F19" s="113" t="s">
        <v>279</v>
      </c>
      <c r="G19" s="131">
        <v>3000</v>
      </c>
      <c r="H19" s="131">
        <v>0</v>
      </c>
      <c r="I19" s="131">
        <v>3000</v>
      </c>
      <c r="J19" s="116" t="s">
        <v>456</v>
      </c>
      <c r="K19" s="114" t="s">
        <v>279</v>
      </c>
      <c r="L19" s="114" t="s">
        <v>90</v>
      </c>
      <c r="M19" s="263" t="s">
        <v>1015</v>
      </c>
    </row>
    <row r="20" spans="1:13" ht="65" x14ac:dyDescent="0.35">
      <c r="A20" s="190" t="s">
        <v>598</v>
      </c>
      <c r="B20" s="186" t="s">
        <v>608</v>
      </c>
      <c r="C20" s="192" t="s">
        <v>629</v>
      </c>
      <c r="D20" s="172">
        <v>1</v>
      </c>
      <c r="E20" s="172" t="s">
        <v>189</v>
      </c>
      <c r="F20" s="113">
        <v>2190</v>
      </c>
      <c r="G20" s="131">
        <v>2766.66</v>
      </c>
      <c r="H20" s="131">
        <f>G20*0.16</f>
        <v>442.66559999999998</v>
      </c>
      <c r="I20" s="131">
        <f t="shared" ref="I20:I27" si="0">G20+H20</f>
        <v>3209.3255999999997</v>
      </c>
      <c r="J20" s="116" t="s">
        <v>243</v>
      </c>
      <c r="K20" s="114" t="s">
        <v>607</v>
      </c>
      <c r="L20" s="114" t="s">
        <v>404</v>
      </c>
    </row>
    <row r="21" spans="1:13" ht="26" x14ac:dyDescent="0.35">
      <c r="A21" s="140" t="s">
        <v>598</v>
      </c>
      <c r="B21" s="113" t="s">
        <v>548</v>
      </c>
      <c r="C21" s="146" t="s">
        <v>551</v>
      </c>
      <c r="D21" s="176">
        <v>1</v>
      </c>
      <c r="E21" s="113" t="s">
        <v>189</v>
      </c>
      <c r="F21" s="113">
        <v>2209</v>
      </c>
      <c r="G21" s="131">
        <v>2500</v>
      </c>
      <c r="H21" s="131">
        <f>G21*0.16</f>
        <v>400</v>
      </c>
      <c r="I21" s="131">
        <f t="shared" si="0"/>
        <v>2900</v>
      </c>
      <c r="J21" s="116" t="s">
        <v>243</v>
      </c>
      <c r="K21" s="114" t="s">
        <v>622</v>
      </c>
      <c r="L21" s="114" t="s">
        <v>90</v>
      </c>
    </row>
    <row r="22" spans="1:13" ht="78" x14ac:dyDescent="0.35">
      <c r="A22" s="140" t="s">
        <v>598</v>
      </c>
      <c r="B22" s="130" t="s">
        <v>627</v>
      </c>
      <c r="C22" s="171" t="s">
        <v>630</v>
      </c>
      <c r="D22" s="176">
        <v>1</v>
      </c>
      <c r="E22" s="113" t="s">
        <v>189</v>
      </c>
      <c r="F22" s="113">
        <v>2213</v>
      </c>
      <c r="G22" s="131">
        <v>1900</v>
      </c>
      <c r="H22" s="131">
        <f>G22*0.16</f>
        <v>304</v>
      </c>
      <c r="I22" s="131">
        <f t="shared" si="0"/>
        <v>2204</v>
      </c>
      <c r="J22" s="116" t="s">
        <v>243</v>
      </c>
      <c r="K22" s="114" t="s">
        <v>607</v>
      </c>
      <c r="L22" s="114" t="s">
        <v>404</v>
      </c>
    </row>
    <row r="23" spans="1:13" x14ac:dyDescent="0.35">
      <c r="A23" s="140" t="s">
        <v>633</v>
      </c>
      <c r="B23" s="130" t="s">
        <v>660</v>
      </c>
      <c r="C23" s="175" t="s">
        <v>661</v>
      </c>
      <c r="D23" s="113">
        <v>2</v>
      </c>
      <c r="E23" s="113" t="s">
        <v>268</v>
      </c>
      <c r="F23" s="113" t="s">
        <v>279</v>
      </c>
      <c r="G23" s="131">
        <v>1200</v>
      </c>
      <c r="H23" s="131">
        <v>0</v>
      </c>
      <c r="I23" s="131">
        <f t="shared" si="0"/>
        <v>1200</v>
      </c>
      <c r="J23" s="116" t="s">
        <v>456</v>
      </c>
      <c r="K23" s="114" t="s">
        <v>279</v>
      </c>
      <c r="L23" s="114" t="s">
        <v>90</v>
      </c>
      <c r="M23" s="263" t="s">
        <v>1039</v>
      </c>
    </row>
    <row r="24" spans="1:13" ht="78" x14ac:dyDescent="0.35">
      <c r="A24" s="140" t="s">
        <v>633</v>
      </c>
      <c r="B24" s="130" t="s">
        <v>627</v>
      </c>
      <c r="C24" s="171" t="s">
        <v>630</v>
      </c>
      <c r="D24" s="113">
        <v>6</v>
      </c>
      <c r="E24" s="113" t="s">
        <v>189</v>
      </c>
      <c r="F24" s="113">
        <v>2276</v>
      </c>
      <c r="G24" s="131">
        <v>15674.7</v>
      </c>
      <c r="H24" s="131">
        <f>G24*0.16</f>
        <v>2507.9520000000002</v>
      </c>
      <c r="I24" s="131">
        <f t="shared" si="0"/>
        <v>18182.652000000002</v>
      </c>
      <c r="J24" s="116" t="s">
        <v>243</v>
      </c>
      <c r="K24" s="114" t="s">
        <v>662</v>
      </c>
      <c r="L24" s="114" t="s">
        <v>90</v>
      </c>
    </row>
    <row r="25" spans="1:13" ht="78" x14ac:dyDescent="0.35">
      <c r="A25" s="140" t="s">
        <v>633</v>
      </c>
      <c r="B25" s="130" t="s">
        <v>405</v>
      </c>
      <c r="C25" s="146" t="s">
        <v>479</v>
      </c>
      <c r="D25" s="113">
        <v>7</v>
      </c>
      <c r="E25" s="113" t="s">
        <v>189</v>
      </c>
      <c r="F25" s="113">
        <v>2280</v>
      </c>
      <c r="G25" s="131">
        <v>18900</v>
      </c>
      <c r="H25" s="131">
        <f>G25*0.16</f>
        <v>3024</v>
      </c>
      <c r="I25" s="131">
        <f t="shared" si="0"/>
        <v>21924</v>
      </c>
      <c r="J25" s="116" t="s">
        <v>243</v>
      </c>
      <c r="K25" s="114" t="s">
        <v>662</v>
      </c>
      <c r="L25" s="114" t="s">
        <v>90</v>
      </c>
    </row>
    <row r="26" spans="1:13" ht="65" x14ac:dyDescent="0.35">
      <c r="A26" s="140" t="s">
        <v>633</v>
      </c>
      <c r="B26" s="130" t="s">
        <v>608</v>
      </c>
      <c r="C26" s="192" t="s">
        <v>629</v>
      </c>
      <c r="D26" s="113">
        <v>19</v>
      </c>
      <c r="E26" s="113" t="s">
        <v>189</v>
      </c>
      <c r="F26" s="113">
        <v>2275</v>
      </c>
      <c r="G26" s="131">
        <v>57000</v>
      </c>
      <c r="H26" s="131">
        <f>G26*0.16</f>
        <v>9120</v>
      </c>
      <c r="I26" s="131">
        <f t="shared" si="0"/>
        <v>66120</v>
      </c>
      <c r="J26" s="116" t="s">
        <v>243</v>
      </c>
      <c r="K26" s="114" t="s">
        <v>662</v>
      </c>
      <c r="L26" s="114" t="s">
        <v>90</v>
      </c>
    </row>
    <row r="27" spans="1:13" ht="39" x14ac:dyDescent="0.35">
      <c r="A27" s="140" t="s">
        <v>633</v>
      </c>
      <c r="B27" s="113" t="s">
        <v>417</v>
      </c>
      <c r="C27" s="146" t="s">
        <v>587</v>
      </c>
      <c r="D27" s="113">
        <v>2</v>
      </c>
      <c r="E27" s="113" t="s">
        <v>189</v>
      </c>
      <c r="F27" s="113">
        <v>2285</v>
      </c>
      <c r="G27" s="131">
        <v>450</v>
      </c>
      <c r="H27" s="131">
        <f>G27*0.16</f>
        <v>72</v>
      </c>
      <c r="I27" s="131">
        <f t="shared" si="0"/>
        <v>522</v>
      </c>
      <c r="J27" s="116" t="s">
        <v>243</v>
      </c>
      <c r="K27" s="114" t="s">
        <v>589</v>
      </c>
      <c r="L27" s="114" t="s">
        <v>699</v>
      </c>
    </row>
    <row r="28" spans="1:13" x14ac:dyDescent="0.35">
      <c r="A28" s="190" t="s">
        <v>700</v>
      </c>
      <c r="B28" s="172" t="s">
        <v>708</v>
      </c>
      <c r="C28" s="219" t="s">
        <v>709</v>
      </c>
      <c r="D28" s="172">
        <v>1</v>
      </c>
      <c r="E28" s="172" t="s">
        <v>268</v>
      </c>
      <c r="F28" s="172" t="s">
        <v>279</v>
      </c>
      <c r="G28" s="220">
        <v>84</v>
      </c>
      <c r="H28" s="220">
        <v>0</v>
      </c>
      <c r="I28" s="220">
        <v>84</v>
      </c>
      <c r="J28" s="231" t="s">
        <v>243</v>
      </c>
      <c r="K28" s="147" t="s">
        <v>735</v>
      </c>
      <c r="L28" s="147" t="s">
        <v>90</v>
      </c>
      <c r="M28" s="89" t="s">
        <v>707</v>
      </c>
    </row>
    <row r="29" spans="1:13" ht="116" x14ac:dyDescent="0.35">
      <c r="A29" s="140" t="s">
        <v>700</v>
      </c>
      <c r="B29" s="113" t="s">
        <v>413</v>
      </c>
      <c r="C29" s="113" t="s">
        <v>714</v>
      </c>
      <c r="D29" s="113">
        <v>4</v>
      </c>
      <c r="E29" s="113" t="s">
        <v>268</v>
      </c>
      <c r="F29" s="113" t="s">
        <v>279</v>
      </c>
      <c r="G29" s="118">
        <v>5889.83</v>
      </c>
      <c r="H29" s="118">
        <v>0</v>
      </c>
      <c r="I29" s="118">
        <v>5889.83</v>
      </c>
      <c r="J29" s="116" t="s">
        <v>243</v>
      </c>
      <c r="K29" s="114" t="s">
        <v>414</v>
      </c>
      <c r="L29" s="160" t="s">
        <v>1012</v>
      </c>
      <c r="M29" s="89" t="s">
        <v>1005</v>
      </c>
    </row>
    <row r="30" spans="1:13" ht="65" x14ac:dyDescent="0.35">
      <c r="A30" s="140" t="s">
        <v>700</v>
      </c>
      <c r="B30" s="130" t="s">
        <v>608</v>
      </c>
      <c r="C30" s="146" t="s">
        <v>629</v>
      </c>
      <c r="D30" s="113">
        <v>19</v>
      </c>
      <c r="E30" s="113" t="s">
        <v>189</v>
      </c>
      <c r="F30" s="113">
        <v>2355</v>
      </c>
      <c r="G30" s="131">
        <f>450</f>
        <v>450</v>
      </c>
      <c r="H30" s="131">
        <f>G30*0.16</f>
        <v>72</v>
      </c>
      <c r="I30" s="131">
        <f>G30+H30</f>
        <v>522</v>
      </c>
      <c r="J30" s="116" t="s">
        <v>243</v>
      </c>
      <c r="K30" s="114" t="s">
        <v>662</v>
      </c>
      <c r="L30" s="114" t="s">
        <v>699</v>
      </c>
    </row>
    <row r="31" spans="1:13" ht="26" x14ac:dyDescent="0.35">
      <c r="A31" s="190" t="s">
        <v>700</v>
      </c>
      <c r="B31" s="221" t="s">
        <v>299</v>
      </c>
      <c r="C31" s="192" t="s">
        <v>564</v>
      </c>
      <c r="D31" s="172">
        <v>10</v>
      </c>
      <c r="E31" s="172" t="s">
        <v>189</v>
      </c>
      <c r="F31" s="172">
        <v>2354</v>
      </c>
      <c r="G31" s="173">
        <v>5269</v>
      </c>
      <c r="H31" s="173">
        <f>G31*0.16</f>
        <v>843.04</v>
      </c>
      <c r="I31" s="173">
        <f>G31+H31</f>
        <v>6112.04</v>
      </c>
      <c r="J31" s="231" t="s">
        <v>243</v>
      </c>
      <c r="K31" s="114" t="s">
        <v>298</v>
      </c>
      <c r="L31" s="147" t="s">
        <v>404</v>
      </c>
    </row>
    <row r="32" spans="1:13" ht="39" x14ac:dyDescent="0.35">
      <c r="A32" s="153" t="s">
        <v>745</v>
      </c>
      <c r="B32" s="113" t="s">
        <v>1296</v>
      </c>
      <c r="C32" s="146" t="s">
        <v>476</v>
      </c>
      <c r="D32" s="113">
        <v>8</v>
      </c>
      <c r="E32" s="113" t="s">
        <v>189</v>
      </c>
      <c r="F32" s="113">
        <v>2418</v>
      </c>
      <c r="G32" s="230">
        <v>7949.44</v>
      </c>
      <c r="H32" s="131">
        <f>G32*0.16</f>
        <v>1271.9104</v>
      </c>
      <c r="I32" s="131">
        <f>G32+H32</f>
        <v>9221.3503999999994</v>
      </c>
      <c r="J32" s="116" t="s">
        <v>243</v>
      </c>
      <c r="K32" s="114" t="s">
        <v>419</v>
      </c>
      <c r="L32" s="114" t="s">
        <v>90</v>
      </c>
    </row>
    <row r="33" spans="1:13" ht="51" customHeight="1" x14ac:dyDescent="0.35">
      <c r="A33" s="140" t="s">
        <v>745</v>
      </c>
      <c r="B33" s="130" t="s">
        <v>767</v>
      </c>
      <c r="C33" s="146" t="s">
        <v>768</v>
      </c>
      <c r="D33" s="113">
        <v>1</v>
      </c>
      <c r="E33" s="113" t="s">
        <v>268</v>
      </c>
      <c r="F33" s="232" t="s">
        <v>279</v>
      </c>
      <c r="G33" s="131">
        <v>1680</v>
      </c>
      <c r="H33" s="131">
        <f>G33*0.16</f>
        <v>268.8</v>
      </c>
      <c r="I33" s="131">
        <f>G33+H33</f>
        <v>1948.8</v>
      </c>
      <c r="J33" s="116" t="s">
        <v>243</v>
      </c>
      <c r="K33" s="114" t="s">
        <v>758</v>
      </c>
      <c r="L33" s="114" t="s">
        <v>90</v>
      </c>
      <c r="M33" s="89" t="s">
        <v>1496</v>
      </c>
    </row>
    <row r="34" spans="1:13" ht="43.5" x14ac:dyDescent="0.35">
      <c r="A34" s="140" t="s">
        <v>745</v>
      </c>
      <c r="B34" s="130" t="s">
        <v>764</v>
      </c>
      <c r="C34" s="146" t="s">
        <v>762</v>
      </c>
      <c r="D34" s="229">
        <v>5</v>
      </c>
      <c r="E34" s="113" t="s">
        <v>189</v>
      </c>
      <c r="F34" s="113">
        <v>2425</v>
      </c>
      <c r="G34" s="131">
        <v>15750</v>
      </c>
      <c r="H34" s="131">
        <f>G34*0.16</f>
        <v>2520</v>
      </c>
      <c r="I34" s="131">
        <f>G34+H34</f>
        <v>18270</v>
      </c>
      <c r="J34" s="116" t="s">
        <v>243</v>
      </c>
      <c r="K34" s="114" t="s">
        <v>758</v>
      </c>
      <c r="L34" s="114" t="s">
        <v>90</v>
      </c>
    </row>
    <row r="35" spans="1:13" ht="72.5" x14ac:dyDescent="0.35">
      <c r="A35" s="140" t="s">
        <v>745</v>
      </c>
      <c r="B35" s="113" t="s">
        <v>413</v>
      </c>
      <c r="C35" s="113" t="s">
        <v>714</v>
      </c>
      <c r="D35" s="113">
        <v>5</v>
      </c>
      <c r="E35" s="113" t="s">
        <v>268</v>
      </c>
      <c r="F35" s="113" t="s">
        <v>279</v>
      </c>
      <c r="G35" s="131">
        <f>363.46*5</f>
        <v>1817.3</v>
      </c>
      <c r="H35" s="131">
        <v>0</v>
      </c>
      <c r="I35" s="131">
        <v>1817.3</v>
      </c>
      <c r="J35" s="116" t="s">
        <v>243</v>
      </c>
      <c r="K35" s="114" t="s">
        <v>414</v>
      </c>
      <c r="L35" s="160" t="s">
        <v>1012</v>
      </c>
      <c r="M35" s="89" t="s">
        <v>786</v>
      </c>
    </row>
    <row r="36" spans="1:13" ht="43.5" x14ac:dyDescent="0.35">
      <c r="A36" s="140" t="s">
        <v>784</v>
      </c>
      <c r="B36" s="130" t="s">
        <v>764</v>
      </c>
      <c r="C36" s="146" t="s">
        <v>762</v>
      </c>
      <c r="D36" s="229">
        <v>3</v>
      </c>
      <c r="E36" s="113" t="s">
        <v>189</v>
      </c>
      <c r="F36" s="113">
        <v>2502</v>
      </c>
      <c r="G36" s="131">
        <v>8887.4699999999993</v>
      </c>
      <c r="H36" s="131">
        <f>G36*0.16</f>
        <v>1421.9951999999998</v>
      </c>
      <c r="I36" s="131">
        <f>G36+H36</f>
        <v>10309.465199999999</v>
      </c>
      <c r="J36" s="116" t="s">
        <v>243</v>
      </c>
      <c r="K36" s="114" t="s">
        <v>758</v>
      </c>
      <c r="L36" s="160" t="s">
        <v>788</v>
      </c>
    </row>
    <row r="37" spans="1:13" ht="39" x14ac:dyDescent="0.35">
      <c r="A37" s="140" t="s">
        <v>784</v>
      </c>
      <c r="B37" s="113" t="s">
        <v>1296</v>
      </c>
      <c r="C37" s="146" t="s">
        <v>476</v>
      </c>
      <c r="D37" s="113">
        <v>8</v>
      </c>
      <c r="E37" s="113" t="s">
        <v>189</v>
      </c>
      <c r="F37" s="113">
        <v>2501</v>
      </c>
      <c r="G37" s="131">
        <v>7949.44</v>
      </c>
      <c r="H37" s="131">
        <f>G37*0.16</f>
        <v>1271.9104</v>
      </c>
      <c r="I37" s="131">
        <f>G37+H37</f>
        <v>9221.3503999999994</v>
      </c>
      <c r="J37" s="116" t="s">
        <v>243</v>
      </c>
      <c r="K37" s="114" t="s">
        <v>787</v>
      </c>
      <c r="L37" s="114" t="s">
        <v>90</v>
      </c>
    </row>
    <row r="38" spans="1:13" ht="39" x14ac:dyDescent="0.35">
      <c r="A38" s="190" t="s">
        <v>784</v>
      </c>
      <c r="B38" s="186" t="s">
        <v>789</v>
      </c>
      <c r="C38" s="233" t="s">
        <v>791</v>
      </c>
      <c r="D38" s="172">
        <v>2</v>
      </c>
      <c r="E38" s="172" t="s">
        <v>189</v>
      </c>
      <c r="F38" s="172">
        <v>2503</v>
      </c>
      <c r="G38" s="173">
        <v>6300</v>
      </c>
      <c r="H38" s="173">
        <f>G38*0.16</f>
        <v>1008</v>
      </c>
      <c r="I38" s="173">
        <f>G38+H38</f>
        <v>7308</v>
      </c>
      <c r="J38" s="231" t="s">
        <v>243</v>
      </c>
      <c r="K38" s="147" t="s">
        <v>790</v>
      </c>
      <c r="L38" s="147" t="s">
        <v>90</v>
      </c>
    </row>
    <row r="39" spans="1:13" ht="52" x14ac:dyDescent="0.35">
      <c r="A39" s="140" t="s">
        <v>784</v>
      </c>
      <c r="B39" s="130" t="s">
        <v>792</v>
      </c>
      <c r="C39" s="146" t="s">
        <v>474</v>
      </c>
      <c r="D39" s="113">
        <v>2</v>
      </c>
      <c r="E39" s="113" t="s">
        <v>268</v>
      </c>
      <c r="F39" s="113" t="s">
        <v>279</v>
      </c>
      <c r="G39" s="131">
        <v>5000</v>
      </c>
      <c r="H39" s="131">
        <v>0</v>
      </c>
      <c r="I39" s="131">
        <v>5000</v>
      </c>
      <c r="J39" s="116" t="s">
        <v>243</v>
      </c>
      <c r="K39" s="114" t="s">
        <v>790</v>
      </c>
      <c r="L39" s="114" t="s">
        <v>90</v>
      </c>
      <c r="M39" s="89" t="s">
        <v>864</v>
      </c>
    </row>
    <row r="40" spans="1:13" ht="65" x14ac:dyDescent="0.35">
      <c r="A40" s="140" t="s">
        <v>784</v>
      </c>
      <c r="B40" s="130" t="s">
        <v>608</v>
      </c>
      <c r="C40" s="146" t="s">
        <v>629</v>
      </c>
      <c r="D40" s="113">
        <v>19</v>
      </c>
      <c r="E40" s="113" t="s">
        <v>189</v>
      </c>
      <c r="F40" s="113">
        <v>2505</v>
      </c>
      <c r="G40" s="131">
        <v>650</v>
      </c>
      <c r="H40" s="131">
        <f>G40*0.16</f>
        <v>104</v>
      </c>
      <c r="I40" s="131">
        <f>G40+H40</f>
        <v>754</v>
      </c>
      <c r="J40" s="116" t="s">
        <v>243</v>
      </c>
      <c r="K40" s="114" t="s">
        <v>662</v>
      </c>
      <c r="L40" s="114" t="s">
        <v>699</v>
      </c>
    </row>
    <row r="41" spans="1:13" ht="39" x14ac:dyDescent="0.35">
      <c r="A41" s="140" t="s">
        <v>164</v>
      </c>
      <c r="B41" s="113" t="s">
        <v>1296</v>
      </c>
      <c r="C41" s="146" t="s">
        <v>476</v>
      </c>
      <c r="D41" s="113">
        <v>8</v>
      </c>
      <c r="E41" s="113" t="s">
        <v>189</v>
      </c>
      <c r="F41" s="113">
        <v>2581</v>
      </c>
      <c r="G41" s="131">
        <v>7949.44</v>
      </c>
      <c r="H41" s="131">
        <f>G41*0.16</f>
        <v>1271.9104</v>
      </c>
      <c r="I41" s="131">
        <f>G41+H41</f>
        <v>9221.3503999999994</v>
      </c>
      <c r="J41" s="116" t="s">
        <v>243</v>
      </c>
      <c r="K41" s="114" t="s">
        <v>758</v>
      </c>
      <c r="L41" s="114" t="s">
        <v>90</v>
      </c>
    </row>
    <row r="42" spans="1:13" ht="65" x14ac:dyDescent="0.35">
      <c r="A42" s="140" t="s">
        <v>164</v>
      </c>
      <c r="B42" s="130" t="s">
        <v>608</v>
      </c>
      <c r="C42" s="146" t="s">
        <v>629</v>
      </c>
      <c r="D42" s="113">
        <v>19</v>
      </c>
      <c r="E42" s="113" t="s">
        <v>189</v>
      </c>
      <c r="F42" s="113">
        <v>2587</v>
      </c>
      <c r="G42" s="131">
        <v>650</v>
      </c>
      <c r="H42" s="131">
        <f>G42*0.16</f>
        <v>104</v>
      </c>
      <c r="I42" s="131">
        <f>G42+H42</f>
        <v>754</v>
      </c>
      <c r="J42" s="116" t="s">
        <v>243</v>
      </c>
      <c r="K42" s="114" t="s">
        <v>662</v>
      </c>
      <c r="L42" s="114" t="s">
        <v>699</v>
      </c>
    </row>
    <row r="43" spans="1:13" x14ac:dyDescent="0.35">
      <c r="A43" s="140" t="s">
        <v>164</v>
      </c>
      <c r="B43" s="113" t="s">
        <v>413</v>
      </c>
      <c r="C43" s="113" t="s">
        <v>714</v>
      </c>
      <c r="D43" s="113">
        <v>17</v>
      </c>
      <c r="E43" s="113" t="s">
        <v>268</v>
      </c>
      <c r="F43" s="113" t="s">
        <v>279</v>
      </c>
      <c r="G43" s="131">
        <f>696*17</f>
        <v>11832</v>
      </c>
      <c r="H43" s="131">
        <v>0</v>
      </c>
      <c r="I43" s="131">
        <v>11832</v>
      </c>
      <c r="J43" s="116" t="s">
        <v>243</v>
      </c>
      <c r="K43" s="114" t="s">
        <v>414</v>
      </c>
      <c r="L43" s="160" t="s">
        <v>1012</v>
      </c>
      <c r="M43" s="89"/>
    </row>
    <row r="44" spans="1:13" ht="65" x14ac:dyDescent="0.35">
      <c r="A44" s="140" t="s">
        <v>290</v>
      </c>
      <c r="B44" s="130" t="s">
        <v>58</v>
      </c>
      <c r="C44" s="146" t="s">
        <v>902</v>
      </c>
      <c r="D44" s="253">
        <v>2</v>
      </c>
      <c r="E44" s="113" t="s">
        <v>189</v>
      </c>
      <c r="F44" s="113">
        <v>2657</v>
      </c>
      <c r="G44" s="131">
        <f>5400</f>
        <v>5400</v>
      </c>
      <c r="H44" s="131">
        <f>G44*0.16</f>
        <v>864</v>
      </c>
      <c r="I44" s="131">
        <f>G44+H44</f>
        <v>6264</v>
      </c>
      <c r="J44" s="116" t="s">
        <v>243</v>
      </c>
      <c r="K44" s="114" t="s">
        <v>900</v>
      </c>
      <c r="L44" s="114" t="s">
        <v>90</v>
      </c>
    </row>
    <row r="45" spans="1:13" ht="52" x14ac:dyDescent="0.35">
      <c r="A45" s="140" t="s">
        <v>290</v>
      </c>
      <c r="B45" s="179" t="s">
        <v>299</v>
      </c>
      <c r="C45" s="29" t="s">
        <v>907</v>
      </c>
      <c r="D45" s="172">
        <v>11</v>
      </c>
      <c r="E45" s="113" t="s">
        <v>189</v>
      </c>
      <c r="F45" s="113">
        <v>2663</v>
      </c>
      <c r="G45" s="131">
        <v>33690</v>
      </c>
      <c r="H45" s="131">
        <f>G45*0.16</f>
        <v>5390.4000000000005</v>
      </c>
      <c r="I45" s="131">
        <f>G45+H45</f>
        <v>39080.400000000001</v>
      </c>
      <c r="J45" s="116" t="s">
        <v>243</v>
      </c>
      <c r="K45" s="114" t="s">
        <v>900</v>
      </c>
      <c r="L45" s="114" t="s">
        <v>90</v>
      </c>
      <c r="M45" s="263" t="s">
        <v>302</v>
      </c>
    </row>
    <row r="46" spans="1:13" ht="65" x14ac:dyDescent="0.35">
      <c r="A46" s="140" t="s">
        <v>290</v>
      </c>
      <c r="B46" s="179" t="s">
        <v>301</v>
      </c>
      <c r="C46" s="146" t="s">
        <v>906</v>
      </c>
      <c r="D46" s="113">
        <v>1</v>
      </c>
      <c r="E46" s="113" t="s">
        <v>189</v>
      </c>
      <c r="F46" s="113">
        <v>2666</v>
      </c>
      <c r="G46" s="131">
        <v>3300</v>
      </c>
      <c r="H46" s="131">
        <f>G46*0.16</f>
        <v>528</v>
      </c>
      <c r="I46" s="131">
        <f>G46+H46</f>
        <v>3828</v>
      </c>
      <c r="J46" s="116" t="s">
        <v>456</v>
      </c>
      <c r="K46" s="114" t="s">
        <v>279</v>
      </c>
      <c r="L46" s="114" t="s">
        <v>90</v>
      </c>
      <c r="M46" s="89" t="s">
        <v>1013</v>
      </c>
    </row>
    <row r="47" spans="1:13" ht="52" x14ac:dyDescent="0.35">
      <c r="A47" s="140" t="s">
        <v>290</v>
      </c>
      <c r="B47" s="180" t="s">
        <v>415</v>
      </c>
      <c r="C47" s="146" t="s">
        <v>480</v>
      </c>
      <c r="D47" s="113">
        <v>1</v>
      </c>
      <c r="E47" s="113" t="s">
        <v>189</v>
      </c>
      <c r="F47" s="113">
        <v>2668</v>
      </c>
      <c r="G47" s="131">
        <v>3950</v>
      </c>
      <c r="H47" s="131">
        <f>G47*0.16</f>
        <v>632</v>
      </c>
      <c r="I47" s="131">
        <f>G47+H47</f>
        <v>4582</v>
      </c>
      <c r="J47" s="116" t="s">
        <v>243</v>
      </c>
      <c r="K47" s="114" t="s">
        <v>1003</v>
      </c>
      <c r="L47" s="114" t="s">
        <v>404</v>
      </c>
      <c r="M47" s="89"/>
    </row>
    <row r="48" spans="1:13" ht="29" x14ac:dyDescent="0.35">
      <c r="A48" s="140" t="s">
        <v>318</v>
      </c>
      <c r="B48" s="178" t="s">
        <v>369</v>
      </c>
      <c r="C48" s="146" t="s">
        <v>475</v>
      </c>
      <c r="D48" s="113">
        <v>6</v>
      </c>
      <c r="E48" s="113" t="s">
        <v>268</v>
      </c>
      <c r="F48" s="113" t="s">
        <v>279</v>
      </c>
      <c r="G48" s="131">
        <v>6000</v>
      </c>
      <c r="H48" s="131">
        <v>0</v>
      </c>
      <c r="I48" s="131">
        <v>6000</v>
      </c>
      <c r="J48" s="116" t="s">
        <v>243</v>
      </c>
      <c r="K48" s="114" t="s">
        <v>955</v>
      </c>
      <c r="L48" s="160" t="s">
        <v>371</v>
      </c>
    </row>
    <row r="49" spans="1:13" ht="43.5" x14ac:dyDescent="0.35">
      <c r="A49" s="140" t="s">
        <v>318</v>
      </c>
      <c r="B49" s="178" t="s">
        <v>372</v>
      </c>
      <c r="C49" s="175" t="s">
        <v>967</v>
      </c>
      <c r="D49" s="113">
        <v>1</v>
      </c>
      <c r="E49" s="113" t="s">
        <v>268</v>
      </c>
      <c r="F49" s="113" t="s">
        <v>279</v>
      </c>
      <c r="G49" s="131">
        <v>3000</v>
      </c>
      <c r="H49" s="131">
        <v>0</v>
      </c>
      <c r="I49" s="131">
        <v>3000</v>
      </c>
      <c r="J49" s="116" t="s">
        <v>456</v>
      </c>
      <c r="K49" s="114" t="s">
        <v>279</v>
      </c>
      <c r="L49" s="114" t="s">
        <v>90</v>
      </c>
      <c r="M49" s="89" t="s">
        <v>1014</v>
      </c>
    </row>
    <row r="50" spans="1:13" ht="29" x14ac:dyDescent="0.35">
      <c r="A50" s="190" t="s">
        <v>403</v>
      </c>
      <c r="B50" s="113" t="s">
        <v>413</v>
      </c>
      <c r="C50" s="113" t="s">
        <v>714</v>
      </c>
      <c r="D50" s="113">
        <v>31</v>
      </c>
      <c r="E50" s="113" t="s">
        <v>268</v>
      </c>
      <c r="F50" s="262" t="s">
        <v>279</v>
      </c>
      <c r="G50" s="173">
        <v>10105.36</v>
      </c>
      <c r="H50" s="173">
        <v>0</v>
      </c>
      <c r="I50" s="173">
        <v>10105.36</v>
      </c>
      <c r="J50" s="231" t="s">
        <v>243</v>
      </c>
      <c r="K50" s="147" t="s">
        <v>1003</v>
      </c>
      <c r="L50" s="261" t="s">
        <v>418</v>
      </c>
      <c r="M50" s="91"/>
    </row>
    <row r="51" spans="1:13" ht="52" x14ac:dyDescent="0.35">
      <c r="A51" s="140" t="s">
        <v>403</v>
      </c>
      <c r="B51" s="180" t="s">
        <v>415</v>
      </c>
      <c r="C51" s="146" t="s">
        <v>480</v>
      </c>
      <c r="D51" s="113">
        <v>4</v>
      </c>
      <c r="E51" s="113" t="s">
        <v>189</v>
      </c>
      <c r="F51" s="113">
        <v>2812</v>
      </c>
      <c r="G51" s="131">
        <v>10450</v>
      </c>
      <c r="H51" s="131">
        <f>G51*0.16</f>
        <v>1672</v>
      </c>
      <c r="I51" s="131">
        <f>G51+H51</f>
        <v>12122</v>
      </c>
      <c r="J51" s="116" t="s">
        <v>243</v>
      </c>
      <c r="K51" s="114" t="s">
        <v>1003</v>
      </c>
      <c r="L51" s="114" t="s">
        <v>90</v>
      </c>
      <c r="M51" s="89" t="s">
        <v>1004</v>
      </c>
    </row>
    <row r="52" spans="1:13" ht="26" x14ac:dyDescent="0.35">
      <c r="A52" s="140" t="s">
        <v>403</v>
      </c>
      <c r="B52" s="178" t="s">
        <v>416</v>
      </c>
      <c r="C52" s="146" t="s">
        <v>471</v>
      </c>
      <c r="D52" s="113">
        <v>1</v>
      </c>
      <c r="E52" s="113" t="s">
        <v>268</v>
      </c>
      <c r="F52" s="113" t="s">
        <v>279</v>
      </c>
      <c r="G52" s="131">
        <v>3000</v>
      </c>
      <c r="H52" s="131">
        <v>0</v>
      </c>
      <c r="I52" s="131">
        <v>3000</v>
      </c>
      <c r="J52" s="116" t="s">
        <v>456</v>
      </c>
      <c r="K52" s="114" t="s">
        <v>279</v>
      </c>
      <c r="L52" s="114" t="s">
        <v>90</v>
      </c>
    </row>
    <row r="53" spans="1:13" ht="78" x14ac:dyDescent="0.35">
      <c r="A53" s="140" t="s">
        <v>403</v>
      </c>
      <c r="B53" s="179" t="s">
        <v>299</v>
      </c>
      <c r="C53" s="146" t="s">
        <v>1024</v>
      </c>
      <c r="D53" s="113">
        <v>13</v>
      </c>
      <c r="E53" s="113" t="s">
        <v>189</v>
      </c>
      <c r="F53" s="113" t="s">
        <v>1066</v>
      </c>
      <c r="G53" s="131">
        <v>7978.75</v>
      </c>
      <c r="H53" s="131">
        <f>G53*0.16</f>
        <v>1276.6000000000001</v>
      </c>
      <c r="I53" s="131">
        <f>G53+H53</f>
        <v>9255.35</v>
      </c>
      <c r="J53" s="116" t="s">
        <v>243</v>
      </c>
      <c r="K53" s="114" t="s">
        <v>900</v>
      </c>
      <c r="L53" s="114" t="s">
        <v>404</v>
      </c>
      <c r="M53" s="89" t="s">
        <v>1065</v>
      </c>
    </row>
    <row r="54" spans="1:13" ht="93" x14ac:dyDescent="0.35">
      <c r="A54" s="140" t="s">
        <v>442</v>
      </c>
      <c r="B54" s="179" t="s">
        <v>472</v>
      </c>
      <c r="C54" s="146" t="s">
        <v>473</v>
      </c>
      <c r="D54" s="176">
        <v>2</v>
      </c>
      <c r="E54" s="113" t="s">
        <v>189</v>
      </c>
      <c r="F54" s="113">
        <v>2895</v>
      </c>
      <c r="G54" s="131">
        <v>6000</v>
      </c>
      <c r="H54" s="131">
        <f>G54*0.16</f>
        <v>960</v>
      </c>
      <c r="I54" s="131">
        <f>G54+H54</f>
        <v>6960</v>
      </c>
      <c r="J54" s="116" t="s">
        <v>243</v>
      </c>
      <c r="K54" s="114" t="s">
        <v>1064</v>
      </c>
      <c r="L54" s="114" t="s">
        <v>90</v>
      </c>
    </row>
    <row r="55" spans="1:13" ht="39" x14ac:dyDescent="0.35">
      <c r="A55" s="140" t="s">
        <v>442</v>
      </c>
      <c r="B55" s="179" t="s">
        <v>1077</v>
      </c>
      <c r="C55" s="146" t="s">
        <v>1075</v>
      </c>
      <c r="D55" s="176">
        <v>1</v>
      </c>
      <c r="E55" s="113" t="s">
        <v>268</v>
      </c>
      <c r="F55" s="172" t="s">
        <v>279</v>
      </c>
      <c r="G55" s="173">
        <v>5238</v>
      </c>
      <c r="H55" s="173">
        <v>0</v>
      </c>
      <c r="I55" s="173">
        <v>5238</v>
      </c>
      <c r="J55" s="231" t="s">
        <v>243</v>
      </c>
      <c r="K55" s="147" t="s">
        <v>1064</v>
      </c>
      <c r="L55" s="147" t="s">
        <v>90</v>
      </c>
    </row>
    <row r="56" spans="1:13" ht="78" x14ac:dyDescent="0.35">
      <c r="A56" s="140" t="s">
        <v>442</v>
      </c>
      <c r="B56" s="179" t="s">
        <v>299</v>
      </c>
      <c r="C56" s="146" t="s">
        <v>1024</v>
      </c>
      <c r="D56" s="113">
        <v>13</v>
      </c>
      <c r="E56" s="113" t="s">
        <v>189</v>
      </c>
      <c r="F56" s="113">
        <v>2896</v>
      </c>
      <c r="G56" s="131">
        <v>650</v>
      </c>
      <c r="H56" s="131">
        <f>G56*0.16</f>
        <v>104</v>
      </c>
      <c r="I56" s="131">
        <f>G56+H56</f>
        <v>754</v>
      </c>
      <c r="J56" s="116" t="s">
        <v>243</v>
      </c>
      <c r="K56" s="114" t="s">
        <v>900</v>
      </c>
      <c r="L56" s="114" t="s">
        <v>699</v>
      </c>
    </row>
    <row r="57" spans="1:13" ht="52" x14ac:dyDescent="0.35">
      <c r="A57" s="140" t="s">
        <v>442</v>
      </c>
      <c r="B57" s="180" t="s">
        <v>415</v>
      </c>
      <c r="C57" s="29" t="s">
        <v>1100</v>
      </c>
      <c r="D57" s="113"/>
      <c r="E57" s="113" t="s">
        <v>189</v>
      </c>
      <c r="F57" s="113">
        <v>2901</v>
      </c>
      <c r="G57" s="131">
        <v>650</v>
      </c>
      <c r="H57" s="131">
        <f>G57*0.16</f>
        <v>104</v>
      </c>
      <c r="I57" s="131">
        <f>G57+H57</f>
        <v>754</v>
      </c>
      <c r="J57" s="116" t="s">
        <v>243</v>
      </c>
      <c r="K57" s="114" t="s">
        <v>1003</v>
      </c>
      <c r="L57" s="114" t="s">
        <v>699</v>
      </c>
    </row>
    <row r="58" spans="1:13" ht="43.5" x14ac:dyDescent="0.35">
      <c r="A58" s="140" t="s">
        <v>485</v>
      </c>
      <c r="B58" s="130" t="s">
        <v>541</v>
      </c>
      <c r="C58" s="146" t="s">
        <v>545</v>
      </c>
      <c r="D58" s="113">
        <v>1</v>
      </c>
      <c r="E58" s="113" t="s">
        <v>189</v>
      </c>
      <c r="F58" s="113">
        <v>2980</v>
      </c>
      <c r="G58" s="131">
        <v>2790</v>
      </c>
      <c r="H58" s="131">
        <f>G58*0.16</f>
        <v>446.40000000000003</v>
      </c>
      <c r="I58" s="131">
        <f>G58+H58</f>
        <v>3236.4</v>
      </c>
      <c r="J58" s="116" t="s">
        <v>243</v>
      </c>
      <c r="K58" s="114" t="s">
        <v>1241</v>
      </c>
      <c r="L58" s="114" t="s">
        <v>90</v>
      </c>
    </row>
    <row r="59" spans="1:13" ht="58" x14ac:dyDescent="0.35">
      <c r="A59" s="140" t="s">
        <v>485</v>
      </c>
      <c r="B59" s="113" t="s">
        <v>413</v>
      </c>
      <c r="C59" s="113" t="s">
        <v>714</v>
      </c>
      <c r="D59" s="113">
        <v>1</v>
      </c>
      <c r="E59" s="113" t="s">
        <v>268</v>
      </c>
      <c r="F59" s="113" t="s">
        <v>279</v>
      </c>
      <c r="G59" s="131">
        <v>696</v>
      </c>
      <c r="H59" s="131">
        <v>0</v>
      </c>
      <c r="I59" s="131">
        <v>696</v>
      </c>
      <c r="J59" s="116" t="s">
        <v>243</v>
      </c>
      <c r="K59" s="114" t="s">
        <v>1003</v>
      </c>
      <c r="L59" s="114" t="s">
        <v>1012</v>
      </c>
      <c r="M59" s="89" t="s">
        <v>1247</v>
      </c>
    </row>
    <row r="60" spans="1:13" ht="43.5" x14ac:dyDescent="0.35">
      <c r="A60" s="140" t="s">
        <v>485</v>
      </c>
      <c r="B60" s="130" t="s">
        <v>764</v>
      </c>
      <c r="C60" s="146" t="s">
        <v>762</v>
      </c>
      <c r="D60" s="253">
        <v>1</v>
      </c>
      <c r="E60" s="113" t="s">
        <v>189</v>
      </c>
      <c r="F60" s="113">
        <v>2982</v>
      </c>
      <c r="G60" s="131">
        <v>1601.38</v>
      </c>
      <c r="H60" s="131">
        <f>G60*0.16</f>
        <v>256.2208</v>
      </c>
      <c r="I60" s="131">
        <f t="shared" ref="I60:I65" si="1">G60+H60</f>
        <v>1857.6008000000002</v>
      </c>
      <c r="J60" s="116" t="s">
        <v>243</v>
      </c>
      <c r="K60" s="114" t="s">
        <v>758</v>
      </c>
      <c r="L60" s="160" t="s">
        <v>788</v>
      </c>
    </row>
    <row r="61" spans="1:13" ht="39" x14ac:dyDescent="0.35">
      <c r="A61" s="140" t="s">
        <v>566</v>
      </c>
      <c r="B61" s="130" t="s">
        <v>1107</v>
      </c>
      <c r="C61" s="146" t="s">
        <v>1277</v>
      </c>
      <c r="D61" s="253">
        <v>1</v>
      </c>
      <c r="E61" s="113" t="s">
        <v>268</v>
      </c>
      <c r="F61" s="113" t="s">
        <v>279</v>
      </c>
      <c r="G61" s="131">
        <v>3000</v>
      </c>
      <c r="H61" s="131">
        <v>0</v>
      </c>
      <c r="I61" s="131">
        <f t="shared" si="1"/>
        <v>3000</v>
      </c>
      <c r="J61" s="116" t="s">
        <v>243</v>
      </c>
      <c r="K61" s="114" t="s">
        <v>1278</v>
      </c>
      <c r="L61" s="114" t="s">
        <v>90</v>
      </c>
    </row>
    <row r="62" spans="1:13" ht="39" x14ac:dyDescent="0.35">
      <c r="A62" s="140" t="s">
        <v>566</v>
      </c>
      <c r="B62" s="113" t="s">
        <v>417</v>
      </c>
      <c r="C62" s="146" t="s">
        <v>587</v>
      </c>
      <c r="D62" s="113">
        <v>2</v>
      </c>
      <c r="E62" s="113" t="s">
        <v>189</v>
      </c>
      <c r="F62" s="113">
        <v>3064</v>
      </c>
      <c r="G62" s="131">
        <v>7200</v>
      </c>
      <c r="H62" s="131">
        <f t="shared" ref="H62:H67" si="2">G62*0.16</f>
        <v>1152</v>
      </c>
      <c r="I62" s="131">
        <f t="shared" si="1"/>
        <v>8352</v>
      </c>
      <c r="J62" s="116" t="s">
        <v>243</v>
      </c>
      <c r="K62" s="114" t="s">
        <v>1278</v>
      </c>
      <c r="L62" s="114" t="s">
        <v>90</v>
      </c>
    </row>
    <row r="63" spans="1:13" ht="52" x14ac:dyDescent="0.35">
      <c r="A63" s="140" t="s">
        <v>566</v>
      </c>
      <c r="B63" s="180" t="s">
        <v>415</v>
      </c>
      <c r="C63" s="146" t="s">
        <v>1100</v>
      </c>
      <c r="D63" s="113"/>
      <c r="E63" s="113" t="s">
        <v>189</v>
      </c>
      <c r="F63" s="113">
        <v>3068</v>
      </c>
      <c r="G63" s="131">
        <v>650</v>
      </c>
      <c r="H63" s="131">
        <f t="shared" si="2"/>
        <v>104</v>
      </c>
      <c r="I63" s="131">
        <f t="shared" si="1"/>
        <v>754</v>
      </c>
      <c r="J63" s="116" t="s">
        <v>243</v>
      </c>
      <c r="K63" s="114" t="s">
        <v>1003</v>
      </c>
      <c r="L63" s="114" t="s">
        <v>1288</v>
      </c>
    </row>
    <row r="64" spans="1:13" ht="43.5" x14ac:dyDescent="0.35">
      <c r="A64" s="140" t="s">
        <v>566</v>
      </c>
      <c r="B64" s="130" t="s">
        <v>764</v>
      </c>
      <c r="C64" s="146" t="s">
        <v>762</v>
      </c>
      <c r="D64" s="253">
        <v>1</v>
      </c>
      <c r="E64" s="113" t="s">
        <v>189</v>
      </c>
      <c r="F64" s="113">
        <v>3069</v>
      </c>
      <c r="G64" s="131">
        <v>1400</v>
      </c>
      <c r="H64" s="131">
        <f t="shared" si="2"/>
        <v>224</v>
      </c>
      <c r="I64" s="131">
        <f t="shared" si="1"/>
        <v>1624</v>
      </c>
      <c r="J64" s="116" t="s">
        <v>243</v>
      </c>
      <c r="K64" s="114" t="s">
        <v>758</v>
      </c>
      <c r="L64" s="160" t="s">
        <v>788</v>
      </c>
    </row>
    <row r="65" spans="1:13" ht="65" x14ac:dyDescent="0.35">
      <c r="A65" s="140" t="s">
        <v>566</v>
      </c>
      <c r="B65" s="130" t="s">
        <v>608</v>
      </c>
      <c r="C65" s="146" t="s">
        <v>629</v>
      </c>
      <c r="D65" s="113">
        <v>19</v>
      </c>
      <c r="E65" s="113" t="s">
        <v>189</v>
      </c>
      <c r="F65" s="113">
        <v>3072</v>
      </c>
      <c r="G65" s="131">
        <v>1300</v>
      </c>
      <c r="H65" s="131">
        <f t="shared" si="2"/>
        <v>208</v>
      </c>
      <c r="I65" s="131">
        <f t="shared" si="1"/>
        <v>1508</v>
      </c>
      <c r="J65" s="116" t="s">
        <v>243</v>
      </c>
      <c r="K65" s="114" t="s">
        <v>662</v>
      </c>
      <c r="L65" s="160" t="s">
        <v>1305</v>
      </c>
    </row>
    <row r="66" spans="1:13" ht="26" x14ac:dyDescent="0.35">
      <c r="A66" s="140" t="s">
        <v>598</v>
      </c>
      <c r="B66" s="113" t="s">
        <v>548</v>
      </c>
      <c r="C66" s="146" t="s">
        <v>551</v>
      </c>
      <c r="D66" s="176">
        <v>1</v>
      </c>
      <c r="E66" s="113" t="s">
        <v>189</v>
      </c>
      <c r="F66" s="113" t="s">
        <v>279</v>
      </c>
      <c r="G66" s="131">
        <v>0</v>
      </c>
      <c r="H66" s="131">
        <f t="shared" si="2"/>
        <v>0</v>
      </c>
      <c r="I66" s="131">
        <f t="shared" ref="I66:I71" si="3">G66+H66</f>
        <v>0</v>
      </c>
      <c r="J66" s="116" t="s">
        <v>456</v>
      </c>
      <c r="K66" s="114" t="s">
        <v>279</v>
      </c>
      <c r="L66" s="114" t="s">
        <v>90</v>
      </c>
    </row>
    <row r="67" spans="1:13" ht="78" x14ac:dyDescent="0.35">
      <c r="A67" s="140" t="s">
        <v>598</v>
      </c>
      <c r="B67" s="179" t="s">
        <v>299</v>
      </c>
      <c r="C67" s="146" t="s">
        <v>1024</v>
      </c>
      <c r="D67" s="113">
        <v>1</v>
      </c>
      <c r="E67" s="113" t="s">
        <v>189</v>
      </c>
      <c r="F67" s="113" t="s">
        <v>1402</v>
      </c>
      <c r="G67" s="131">
        <v>8370</v>
      </c>
      <c r="H67" s="131">
        <f t="shared" si="2"/>
        <v>1339.2</v>
      </c>
      <c r="I67" s="131">
        <f t="shared" si="3"/>
        <v>9709.2000000000007</v>
      </c>
      <c r="J67" s="116" t="s">
        <v>243</v>
      </c>
      <c r="K67" s="113" t="s">
        <v>900</v>
      </c>
      <c r="L67" s="114" t="s">
        <v>1329</v>
      </c>
      <c r="M67" s="89" t="s">
        <v>1401</v>
      </c>
    </row>
    <row r="68" spans="1:13" ht="78" x14ac:dyDescent="0.35">
      <c r="A68" s="140" t="s">
        <v>633</v>
      </c>
      <c r="B68" s="130" t="s">
        <v>627</v>
      </c>
      <c r="C68" s="171" t="s">
        <v>630</v>
      </c>
      <c r="D68" s="113">
        <v>6</v>
      </c>
      <c r="E68" s="113" t="s">
        <v>189</v>
      </c>
      <c r="F68" s="113">
        <v>3233</v>
      </c>
      <c r="G68" s="131">
        <v>15600</v>
      </c>
      <c r="H68" s="131">
        <f>G68*0.16</f>
        <v>2496</v>
      </c>
      <c r="I68" s="131">
        <f t="shared" si="3"/>
        <v>18096</v>
      </c>
      <c r="J68" s="116" t="s">
        <v>243</v>
      </c>
      <c r="K68" s="114" t="s">
        <v>1346</v>
      </c>
      <c r="L68" s="114" t="s">
        <v>90</v>
      </c>
    </row>
    <row r="69" spans="1:13" ht="93.75" customHeight="1" x14ac:dyDescent="0.35">
      <c r="A69" s="140" t="s">
        <v>633</v>
      </c>
      <c r="B69" s="130" t="s">
        <v>405</v>
      </c>
      <c r="C69" s="146" t="s">
        <v>1347</v>
      </c>
      <c r="D69" s="113">
        <v>7</v>
      </c>
      <c r="E69" s="113" t="s">
        <v>189</v>
      </c>
      <c r="F69" s="113">
        <v>3234</v>
      </c>
      <c r="G69" s="131">
        <v>18900</v>
      </c>
      <c r="H69" s="131">
        <f>G69*0.16</f>
        <v>3024</v>
      </c>
      <c r="I69" s="131">
        <f t="shared" si="3"/>
        <v>21924</v>
      </c>
      <c r="J69" s="116" t="s">
        <v>243</v>
      </c>
      <c r="K69" s="114" t="s">
        <v>1346</v>
      </c>
      <c r="L69" s="114" t="s">
        <v>90</v>
      </c>
    </row>
    <row r="70" spans="1:13" ht="65" x14ac:dyDescent="0.35">
      <c r="A70" s="140" t="s">
        <v>633</v>
      </c>
      <c r="B70" s="130" t="s">
        <v>608</v>
      </c>
      <c r="C70" s="192" t="s">
        <v>629</v>
      </c>
      <c r="D70" s="113">
        <v>19</v>
      </c>
      <c r="E70" s="113" t="s">
        <v>189</v>
      </c>
      <c r="F70" s="113">
        <v>3232</v>
      </c>
      <c r="G70" s="131">
        <v>57000</v>
      </c>
      <c r="H70" s="131">
        <f>G70*0.16</f>
        <v>9120</v>
      </c>
      <c r="I70" s="131">
        <f t="shared" si="3"/>
        <v>66120</v>
      </c>
      <c r="J70" s="321" t="s">
        <v>1351</v>
      </c>
      <c r="K70" s="160" t="s">
        <v>1351</v>
      </c>
      <c r="L70" s="114" t="s">
        <v>90</v>
      </c>
      <c r="M70" s="89" t="s">
        <v>1355</v>
      </c>
    </row>
    <row r="71" spans="1:13" ht="43.5" x14ac:dyDescent="0.35">
      <c r="A71" s="140" t="s">
        <v>633</v>
      </c>
      <c r="B71" s="130" t="s">
        <v>764</v>
      </c>
      <c r="C71" s="146" t="s">
        <v>762</v>
      </c>
      <c r="D71" s="253"/>
      <c r="E71" s="113" t="s">
        <v>189</v>
      </c>
      <c r="F71" s="113">
        <v>3237</v>
      </c>
      <c r="G71" s="131">
        <v>900</v>
      </c>
      <c r="H71" s="131">
        <f>G71*0.16</f>
        <v>144</v>
      </c>
      <c r="I71" s="131">
        <f t="shared" si="3"/>
        <v>1044</v>
      </c>
      <c r="J71" s="116" t="s">
        <v>243</v>
      </c>
      <c r="K71" s="114" t="s">
        <v>758</v>
      </c>
      <c r="L71" s="114" t="s">
        <v>699</v>
      </c>
    </row>
    <row r="72" spans="1:13" ht="39" x14ac:dyDescent="0.35">
      <c r="A72" s="140" t="s">
        <v>633</v>
      </c>
      <c r="B72" s="113" t="s">
        <v>1392</v>
      </c>
      <c r="C72" s="324" t="s">
        <v>1393</v>
      </c>
      <c r="D72" s="113">
        <v>2</v>
      </c>
      <c r="E72" s="113" t="s">
        <v>268</v>
      </c>
      <c r="F72" s="113" t="s">
        <v>279</v>
      </c>
      <c r="G72" s="131">
        <f>3600*2-1200+549*2</f>
        <v>7098</v>
      </c>
      <c r="H72" s="131">
        <v>0</v>
      </c>
      <c r="I72" s="131">
        <v>7098</v>
      </c>
      <c r="J72" s="116" t="s">
        <v>243</v>
      </c>
      <c r="K72" s="113" t="s">
        <v>1346</v>
      </c>
      <c r="L72" s="114" t="s">
        <v>90</v>
      </c>
    </row>
    <row r="73" spans="1:13" ht="39" x14ac:dyDescent="0.35">
      <c r="A73" s="140" t="s">
        <v>633</v>
      </c>
      <c r="B73" s="113" t="s">
        <v>1405</v>
      </c>
      <c r="C73" s="325" t="s">
        <v>1406</v>
      </c>
      <c r="D73" s="113">
        <v>1</v>
      </c>
      <c r="E73" s="113" t="s">
        <v>268</v>
      </c>
      <c r="F73" s="113" t="s">
        <v>279</v>
      </c>
      <c r="G73" s="131">
        <v>5200</v>
      </c>
      <c r="H73" s="131">
        <v>0</v>
      </c>
      <c r="I73" s="131">
        <v>5200</v>
      </c>
      <c r="J73" s="116" t="s">
        <v>243</v>
      </c>
      <c r="K73" s="113" t="s">
        <v>1346</v>
      </c>
      <c r="L73" s="114" t="s">
        <v>90</v>
      </c>
    </row>
    <row r="74" spans="1:13" ht="39" x14ac:dyDescent="0.35">
      <c r="A74" s="140" t="s">
        <v>633</v>
      </c>
      <c r="B74" s="130" t="s">
        <v>1107</v>
      </c>
      <c r="C74" s="146" t="s">
        <v>1277</v>
      </c>
      <c r="D74" s="253">
        <v>1</v>
      </c>
      <c r="E74" s="113" t="s">
        <v>268</v>
      </c>
      <c r="F74" s="113" t="s">
        <v>279</v>
      </c>
      <c r="G74" s="131">
        <f>2250+250</f>
        <v>2500</v>
      </c>
      <c r="H74" s="131">
        <v>0</v>
      </c>
      <c r="I74" s="131">
        <v>2500</v>
      </c>
      <c r="J74" s="116" t="s">
        <v>243</v>
      </c>
      <c r="K74" s="114" t="s">
        <v>1430</v>
      </c>
      <c r="L74" s="160" t="s">
        <v>788</v>
      </c>
    </row>
    <row r="75" spans="1:13" ht="39" x14ac:dyDescent="0.35">
      <c r="A75" s="140" t="s">
        <v>700</v>
      </c>
      <c r="B75" s="130" t="s">
        <v>1107</v>
      </c>
      <c r="C75" s="146" t="s">
        <v>1277</v>
      </c>
      <c r="D75" s="253">
        <v>1</v>
      </c>
      <c r="E75" s="113" t="s">
        <v>268</v>
      </c>
      <c r="F75" s="113" t="s">
        <v>279</v>
      </c>
      <c r="G75" s="131">
        <v>2033.33</v>
      </c>
      <c r="H75" s="131">
        <v>0</v>
      </c>
      <c r="I75" s="131">
        <v>2033.33</v>
      </c>
      <c r="J75" s="116" t="s">
        <v>243</v>
      </c>
      <c r="K75" s="114" t="s">
        <v>1278</v>
      </c>
      <c r="L75" s="160" t="s">
        <v>1466</v>
      </c>
    </row>
    <row r="76" spans="1:13" ht="91" x14ac:dyDescent="0.35">
      <c r="A76" s="140" t="s">
        <v>700</v>
      </c>
      <c r="B76" s="130" t="s">
        <v>405</v>
      </c>
      <c r="C76" s="146" t="s">
        <v>1347</v>
      </c>
      <c r="D76" s="113">
        <v>0</v>
      </c>
      <c r="E76" s="113" t="s">
        <v>189</v>
      </c>
      <c r="F76" s="113">
        <v>3250</v>
      </c>
      <c r="G76" s="131">
        <v>2000</v>
      </c>
      <c r="H76" s="131">
        <f>G76*0.16</f>
        <v>320</v>
      </c>
      <c r="I76" s="131">
        <f t="shared" ref="I76:I82" si="4">G76+H76</f>
        <v>2320</v>
      </c>
      <c r="J76" s="116" t="s">
        <v>243</v>
      </c>
      <c r="K76" s="114" t="s">
        <v>1346</v>
      </c>
      <c r="L76" s="160" t="s">
        <v>1590</v>
      </c>
    </row>
    <row r="77" spans="1:13" ht="43.5" x14ac:dyDescent="0.35">
      <c r="A77" s="140" t="s">
        <v>745</v>
      </c>
      <c r="B77" s="130" t="s">
        <v>764</v>
      </c>
      <c r="C77" s="146" t="s">
        <v>762</v>
      </c>
      <c r="D77" s="253">
        <v>10</v>
      </c>
      <c r="E77" s="113" t="s">
        <v>189</v>
      </c>
      <c r="F77" s="113" t="s">
        <v>1651</v>
      </c>
      <c r="G77" s="131">
        <v>15840</v>
      </c>
      <c r="H77" s="131">
        <f>G77*0.16</f>
        <v>2534.4</v>
      </c>
      <c r="I77" s="131">
        <f t="shared" si="4"/>
        <v>18374.400000000001</v>
      </c>
      <c r="J77" s="116" t="s">
        <v>243</v>
      </c>
      <c r="K77" s="114" t="s">
        <v>1497</v>
      </c>
      <c r="L77" s="114" t="s">
        <v>90</v>
      </c>
    </row>
    <row r="78" spans="1:13" ht="43.5" x14ac:dyDescent="0.35">
      <c r="A78" s="140" t="s">
        <v>745</v>
      </c>
      <c r="B78" s="130" t="s">
        <v>764</v>
      </c>
      <c r="C78" s="146" t="s">
        <v>762</v>
      </c>
      <c r="D78" s="253">
        <v>0</v>
      </c>
      <c r="E78" s="113" t="s">
        <v>189</v>
      </c>
      <c r="F78" s="113">
        <v>3440</v>
      </c>
      <c r="G78" s="131">
        <v>1897</v>
      </c>
      <c r="H78" s="131">
        <f>G78*0.16</f>
        <v>303.52</v>
      </c>
      <c r="I78" s="131">
        <f t="shared" si="4"/>
        <v>2200.52</v>
      </c>
      <c r="J78" s="116" t="s">
        <v>243</v>
      </c>
      <c r="K78" s="114" t="s">
        <v>1497</v>
      </c>
      <c r="L78" s="160" t="s">
        <v>1615</v>
      </c>
    </row>
    <row r="79" spans="1:13" ht="39" x14ac:dyDescent="0.35">
      <c r="A79" s="140" t="s">
        <v>745</v>
      </c>
      <c r="B79" s="113" t="s">
        <v>1296</v>
      </c>
      <c r="C79" s="146" t="s">
        <v>476</v>
      </c>
      <c r="D79" s="113">
        <v>8</v>
      </c>
      <c r="E79" s="113" t="s">
        <v>189</v>
      </c>
      <c r="F79" s="113">
        <v>3438</v>
      </c>
      <c r="G79" s="131">
        <v>7949.44</v>
      </c>
      <c r="H79" s="131">
        <f>G79*0.16</f>
        <v>1271.9104</v>
      </c>
      <c r="I79" s="131">
        <f t="shared" si="4"/>
        <v>9221.3503999999994</v>
      </c>
      <c r="J79" s="116" t="s">
        <v>243</v>
      </c>
      <c r="K79" s="114" t="s">
        <v>790</v>
      </c>
      <c r="L79" s="114" t="s">
        <v>90</v>
      </c>
    </row>
    <row r="80" spans="1:13" ht="39" x14ac:dyDescent="0.35">
      <c r="A80" s="140" t="s">
        <v>784</v>
      </c>
      <c r="B80" s="113" t="s">
        <v>1296</v>
      </c>
      <c r="C80" s="146" t="s">
        <v>476</v>
      </c>
      <c r="D80" s="113">
        <v>8</v>
      </c>
      <c r="E80" s="113" t="s">
        <v>189</v>
      </c>
      <c r="F80" s="113">
        <v>3537</v>
      </c>
      <c r="G80" s="131">
        <v>7949.44</v>
      </c>
      <c r="H80" s="131">
        <f>G80*0.16</f>
        <v>1271.9104</v>
      </c>
      <c r="I80" s="131">
        <f t="shared" si="4"/>
        <v>9221.3503999999994</v>
      </c>
      <c r="J80" s="116" t="s">
        <v>243</v>
      </c>
      <c r="K80" s="114" t="s">
        <v>1931</v>
      </c>
      <c r="L80" s="114" t="s">
        <v>90</v>
      </c>
    </row>
    <row r="81" spans="1:13" ht="52" x14ac:dyDescent="0.35">
      <c r="A81" s="140" t="s">
        <v>784</v>
      </c>
      <c r="B81" s="130" t="s">
        <v>792</v>
      </c>
      <c r="C81" s="146" t="s">
        <v>474</v>
      </c>
      <c r="D81" s="113">
        <v>2</v>
      </c>
      <c r="E81" s="113" t="s">
        <v>268</v>
      </c>
      <c r="F81" s="113" t="s">
        <v>279</v>
      </c>
      <c r="G81" s="131">
        <v>6000</v>
      </c>
      <c r="H81" s="131">
        <v>0</v>
      </c>
      <c r="I81" s="131">
        <f t="shared" si="4"/>
        <v>6000</v>
      </c>
      <c r="J81" s="116" t="s">
        <v>456</v>
      </c>
      <c r="K81" s="114" t="s">
        <v>1652</v>
      </c>
      <c r="L81" s="114" t="s">
        <v>90</v>
      </c>
    </row>
    <row r="82" spans="1:13" ht="29" x14ac:dyDescent="0.35">
      <c r="A82" s="140" t="s">
        <v>784</v>
      </c>
      <c r="B82" s="130" t="s">
        <v>1680</v>
      </c>
      <c r="C82" s="113" t="s">
        <v>1681</v>
      </c>
      <c r="D82" s="113">
        <v>3</v>
      </c>
      <c r="E82" s="113" t="s">
        <v>189</v>
      </c>
      <c r="F82" s="113">
        <v>3544</v>
      </c>
      <c r="G82" s="131">
        <v>4437</v>
      </c>
      <c r="H82" s="131">
        <f t="shared" ref="H82:H89" si="5">G82*0.16</f>
        <v>709.92</v>
      </c>
      <c r="I82" s="131">
        <f t="shared" si="4"/>
        <v>5146.92</v>
      </c>
      <c r="J82" s="116" t="s">
        <v>243</v>
      </c>
      <c r="K82" s="114" t="s">
        <v>900</v>
      </c>
      <c r="L82" s="160" t="s">
        <v>788</v>
      </c>
      <c r="M82" s="89" t="s">
        <v>1682</v>
      </c>
    </row>
    <row r="83" spans="1:13" ht="39" x14ac:dyDescent="0.35">
      <c r="A83" s="140" t="s">
        <v>164</v>
      </c>
      <c r="B83" s="130" t="s">
        <v>1898</v>
      </c>
      <c r="C83" s="146" t="s">
        <v>1913</v>
      </c>
      <c r="D83" s="113">
        <v>4</v>
      </c>
      <c r="E83" s="113" t="s">
        <v>189</v>
      </c>
      <c r="F83" s="113">
        <v>3643</v>
      </c>
      <c r="G83" s="131">
        <v>20396</v>
      </c>
      <c r="H83" s="131">
        <f t="shared" si="5"/>
        <v>3263.36</v>
      </c>
      <c r="I83" s="131">
        <f>G83+H83-2320</f>
        <v>21339.360000000001</v>
      </c>
      <c r="J83" s="116" t="s">
        <v>243</v>
      </c>
      <c r="K83" s="114" t="s">
        <v>1903</v>
      </c>
      <c r="L83" s="114" t="s">
        <v>90</v>
      </c>
    </row>
    <row r="84" spans="1:13" ht="86.25" customHeight="1" x14ac:dyDescent="0.35">
      <c r="A84" s="140" t="s">
        <v>164</v>
      </c>
      <c r="B84" s="179" t="s">
        <v>299</v>
      </c>
      <c r="C84" s="146" t="s">
        <v>1024</v>
      </c>
      <c r="D84" s="113">
        <v>1</v>
      </c>
      <c r="E84" s="113" t="s">
        <v>189</v>
      </c>
      <c r="F84" s="113">
        <v>3649</v>
      </c>
      <c r="G84" s="131">
        <v>1986</v>
      </c>
      <c r="H84" s="131">
        <f t="shared" si="5"/>
        <v>317.76</v>
      </c>
      <c r="I84" s="131">
        <f t="shared" ref="I84:I89" si="6">G84+H84</f>
        <v>2303.7600000000002</v>
      </c>
      <c r="J84" s="116" t="s">
        <v>243</v>
      </c>
      <c r="K84" s="114" t="s">
        <v>900</v>
      </c>
      <c r="L84" s="160" t="s">
        <v>788</v>
      </c>
    </row>
    <row r="85" spans="1:13" ht="39" x14ac:dyDescent="0.35">
      <c r="A85" s="140" t="s">
        <v>164</v>
      </c>
      <c r="B85" s="113" t="s">
        <v>1296</v>
      </c>
      <c r="C85" s="146" t="s">
        <v>476</v>
      </c>
      <c r="D85" s="113">
        <v>8</v>
      </c>
      <c r="E85" s="113" t="s">
        <v>189</v>
      </c>
      <c r="F85" s="113">
        <v>3647</v>
      </c>
      <c r="G85" s="131">
        <v>7949.44</v>
      </c>
      <c r="H85" s="131">
        <f t="shared" si="5"/>
        <v>1271.9104</v>
      </c>
      <c r="I85" s="131">
        <f t="shared" si="6"/>
        <v>9221.3503999999994</v>
      </c>
      <c r="J85" s="116" t="s">
        <v>243</v>
      </c>
      <c r="K85" s="114" t="s">
        <v>1497</v>
      </c>
      <c r="L85" s="114" t="s">
        <v>90</v>
      </c>
    </row>
    <row r="86" spans="1:13" ht="78" x14ac:dyDescent="0.35">
      <c r="A86" s="190" t="s">
        <v>290</v>
      </c>
      <c r="B86" s="179" t="s">
        <v>299</v>
      </c>
      <c r="C86" s="146" t="s">
        <v>1024</v>
      </c>
      <c r="D86" s="113">
        <v>12</v>
      </c>
      <c r="E86" s="172" t="s">
        <v>189</v>
      </c>
      <c r="F86" s="186" t="s">
        <v>2241</v>
      </c>
      <c r="G86" s="173">
        <v>33480</v>
      </c>
      <c r="H86" s="173">
        <f t="shared" si="5"/>
        <v>5356.8</v>
      </c>
      <c r="I86" s="173">
        <f t="shared" si="6"/>
        <v>38836.800000000003</v>
      </c>
      <c r="J86" s="231" t="s">
        <v>243</v>
      </c>
      <c r="K86" s="147" t="s">
        <v>2055</v>
      </c>
      <c r="L86" s="147" t="s">
        <v>90</v>
      </c>
      <c r="M86" s="89" t="s">
        <v>2238</v>
      </c>
    </row>
    <row r="87" spans="1:13" ht="29" x14ac:dyDescent="0.35">
      <c r="A87" s="140" t="s">
        <v>290</v>
      </c>
      <c r="B87" s="130" t="s">
        <v>1680</v>
      </c>
      <c r="C87" s="113" t="s">
        <v>1681</v>
      </c>
      <c r="D87" s="113">
        <v>3</v>
      </c>
      <c r="E87" s="113" t="s">
        <v>189</v>
      </c>
      <c r="F87" s="113">
        <v>3752</v>
      </c>
      <c r="G87" s="131">
        <f>2790*3</f>
        <v>8370</v>
      </c>
      <c r="H87" s="131">
        <f t="shared" si="5"/>
        <v>1339.2</v>
      </c>
      <c r="I87" s="131">
        <f t="shared" si="6"/>
        <v>9709.2000000000007</v>
      </c>
      <c r="J87" s="116" t="s">
        <v>243</v>
      </c>
      <c r="K87" s="114" t="s">
        <v>2055</v>
      </c>
      <c r="L87" s="114" t="s">
        <v>90</v>
      </c>
    </row>
    <row r="88" spans="1:13" ht="65" x14ac:dyDescent="0.35">
      <c r="A88" s="140" t="s">
        <v>290</v>
      </c>
      <c r="B88" s="130" t="s">
        <v>58</v>
      </c>
      <c r="C88" s="146" t="s">
        <v>902</v>
      </c>
      <c r="D88" s="253">
        <v>2</v>
      </c>
      <c r="E88" s="113" t="s">
        <v>189</v>
      </c>
      <c r="F88" s="113">
        <v>3750</v>
      </c>
      <c r="G88" s="131">
        <f>2700*2</f>
        <v>5400</v>
      </c>
      <c r="H88" s="131">
        <f t="shared" si="5"/>
        <v>864</v>
      </c>
      <c r="I88" s="131">
        <f t="shared" si="6"/>
        <v>6264</v>
      </c>
      <c r="J88" s="116" t="s">
        <v>243</v>
      </c>
      <c r="K88" s="114" t="s">
        <v>2055</v>
      </c>
      <c r="L88" s="114" t="s">
        <v>90</v>
      </c>
    </row>
    <row r="89" spans="1:13" ht="39" x14ac:dyDescent="0.35">
      <c r="A89" s="140" t="s">
        <v>290</v>
      </c>
      <c r="B89" s="130" t="s">
        <v>2295</v>
      </c>
      <c r="C89" s="30" t="s">
        <v>2292</v>
      </c>
      <c r="D89" s="253">
        <v>1</v>
      </c>
      <c r="E89" s="113" t="s">
        <v>189</v>
      </c>
      <c r="F89" s="113">
        <v>3763</v>
      </c>
      <c r="G89" s="131">
        <f>17300</f>
        <v>17300</v>
      </c>
      <c r="H89" s="131">
        <f t="shared" si="5"/>
        <v>2768</v>
      </c>
      <c r="I89" s="131">
        <f t="shared" si="6"/>
        <v>20068</v>
      </c>
      <c r="J89" s="116" t="s">
        <v>243</v>
      </c>
      <c r="K89" s="114" t="s">
        <v>2055</v>
      </c>
      <c r="L89" s="114" t="s">
        <v>90</v>
      </c>
    </row>
    <row r="90" spans="1:13" ht="29" x14ac:dyDescent="0.35">
      <c r="A90" s="140" t="s">
        <v>318</v>
      </c>
      <c r="B90" s="178" t="s">
        <v>369</v>
      </c>
      <c r="C90" s="146" t="s">
        <v>475</v>
      </c>
      <c r="D90" s="113">
        <v>6</v>
      </c>
      <c r="E90" s="113" t="s">
        <v>268</v>
      </c>
      <c r="F90" s="113" t="s">
        <v>279</v>
      </c>
      <c r="G90" s="131">
        <v>6000</v>
      </c>
      <c r="H90" s="131">
        <v>0</v>
      </c>
      <c r="I90" s="131">
        <v>6000</v>
      </c>
      <c r="J90" s="116" t="s">
        <v>1911</v>
      </c>
      <c r="K90" s="114" t="s">
        <v>2428</v>
      </c>
      <c r="L90" s="160" t="s">
        <v>371</v>
      </c>
    </row>
    <row r="91" spans="1:13" ht="43.5" x14ac:dyDescent="0.35">
      <c r="A91" s="140" t="s">
        <v>318</v>
      </c>
      <c r="B91" s="130" t="s">
        <v>764</v>
      </c>
      <c r="C91" s="146" t="s">
        <v>762</v>
      </c>
      <c r="D91" s="253"/>
      <c r="E91" s="113" t="s">
        <v>189</v>
      </c>
      <c r="F91" s="113">
        <v>3864</v>
      </c>
      <c r="G91" s="131">
        <f>997+450</f>
        <v>1447</v>
      </c>
      <c r="H91" s="131">
        <f>G91*0.16</f>
        <v>231.52</v>
      </c>
      <c r="I91" s="131">
        <f>G91+H91</f>
        <v>1678.52</v>
      </c>
      <c r="J91" s="116" t="s">
        <v>243</v>
      </c>
      <c r="K91" s="114" t="s">
        <v>1497</v>
      </c>
      <c r="L91" s="160" t="s">
        <v>1615</v>
      </c>
    </row>
    <row r="92" spans="1:13" ht="43.5" x14ac:dyDescent="0.35">
      <c r="A92" s="140" t="s">
        <v>318</v>
      </c>
      <c r="B92" s="130" t="s">
        <v>764</v>
      </c>
      <c r="C92" s="146" t="s">
        <v>762</v>
      </c>
      <c r="D92" s="253">
        <v>1</v>
      </c>
      <c r="E92" s="113" t="s">
        <v>189</v>
      </c>
      <c r="F92" s="113">
        <v>3864</v>
      </c>
      <c r="G92" s="131">
        <f>650+1590.27</f>
        <v>2240.27</v>
      </c>
      <c r="H92" s="131">
        <f>G92*0.16</f>
        <v>358.44319999999999</v>
      </c>
      <c r="I92" s="131">
        <f>G92+H92</f>
        <v>2598.7132000000001</v>
      </c>
      <c r="J92" s="116" t="s">
        <v>243</v>
      </c>
      <c r="K92" s="114" t="s">
        <v>1497</v>
      </c>
      <c r="L92" s="160" t="s">
        <v>788</v>
      </c>
    </row>
    <row r="93" spans="1:13" ht="52" x14ac:dyDescent="0.35">
      <c r="A93" s="140" t="s">
        <v>403</v>
      </c>
      <c r="B93" s="180" t="s">
        <v>415</v>
      </c>
      <c r="C93" s="146" t="s">
        <v>480</v>
      </c>
      <c r="D93" s="113">
        <v>4</v>
      </c>
      <c r="E93" s="113" t="s">
        <v>189</v>
      </c>
      <c r="F93" s="113">
        <v>3981</v>
      </c>
      <c r="G93" s="131">
        <f>3300*4</f>
        <v>13200</v>
      </c>
      <c r="H93" s="131">
        <f>G93*0.16</f>
        <v>2112</v>
      </c>
      <c r="I93" s="131">
        <f>G93+H93</f>
        <v>15312</v>
      </c>
      <c r="J93" s="116" t="s">
        <v>243</v>
      </c>
      <c r="K93" s="114" t="s">
        <v>2571</v>
      </c>
      <c r="L93" s="114" t="s">
        <v>90</v>
      </c>
    </row>
    <row r="94" spans="1:13" ht="29" x14ac:dyDescent="0.35">
      <c r="A94" s="140" t="s">
        <v>403</v>
      </c>
      <c r="B94" s="113" t="s">
        <v>413</v>
      </c>
      <c r="C94" s="113" t="s">
        <v>714</v>
      </c>
      <c r="D94" s="113">
        <v>26</v>
      </c>
      <c r="E94" s="113" t="s">
        <v>268</v>
      </c>
      <c r="F94" s="113" t="s">
        <v>279</v>
      </c>
      <c r="G94" s="131">
        <v>17954.86</v>
      </c>
      <c r="H94" s="131">
        <v>0</v>
      </c>
      <c r="I94" s="131">
        <v>17954.86</v>
      </c>
      <c r="J94" s="113"/>
      <c r="K94" s="114" t="s">
        <v>2571</v>
      </c>
      <c r="L94" s="160" t="s">
        <v>418</v>
      </c>
      <c r="M94" s="263" t="s">
        <v>2834</v>
      </c>
    </row>
    <row r="95" spans="1:13" ht="39" x14ac:dyDescent="0.35">
      <c r="A95" s="140" t="s">
        <v>403</v>
      </c>
      <c r="B95" s="130" t="s">
        <v>1898</v>
      </c>
      <c r="C95" s="146" t="s">
        <v>1913</v>
      </c>
      <c r="D95" s="113"/>
      <c r="E95" s="113" t="s">
        <v>189</v>
      </c>
      <c r="F95" s="113">
        <v>3985</v>
      </c>
      <c r="G95" s="131">
        <v>600</v>
      </c>
      <c r="H95" s="131">
        <f>G95*0.16</f>
        <v>96</v>
      </c>
      <c r="I95" s="131">
        <f>G95+H95</f>
        <v>696</v>
      </c>
      <c r="J95" s="116" t="s">
        <v>243</v>
      </c>
      <c r="K95" s="114" t="s">
        <v>1903</v>
      </c>
      <c r="L95" s="114" t="s">
        <v>1288</v>
      </c>
    </row>
    <row r="96" spans="1:13" ht="78" x14ac:dyDescent="0.35">
      <c r="A96" s="140" t="s">
        <v>403</v>
      </c>
      <c r="B96" s="179" t="s">
        <v>299</v>
      </c>
      <c r="C96" s="146" t="s">
        <v>1024</v>
      </c>
      <c r="D96" s="113"/>
      <c r="E96" s="113" t="s">
        <v>189</v>
      </c>
      <c r="F96" s="113">
        <v>3989</v>
      </c>
      <c r="G96" s="131">
        <v>4550</v>
      </c>
      <c r="H96" s="131">
        <f>G96*0.16</f>
        <v>728</v>
      </c>
      <c r="I96" s="131">
        <f>G96+H96</f>
        <v>5278</v>
      </c>
      <c r="J96" s="113"/>
      <c r="K96" s="147" t="s">
        <v>2055</v>
      </c>
      <c r="L96" s="160" t="s">
        <v>2844</v>
      </c>
      <c r="M96" s="263" t="s">
        <v>2845</v>
      </c>
    </row>
    <row r="97" spans="1:12" ht="93" x14ac:dyDescent="0.35">
      <c r="A97" s="140" t="s">
        <v>442</v>
      </c>
      <c r="B97" s="179" t="s">
        <v>472</v>
      </c>
      <c r="C97" s="146" t="s">
        <v>473</v>
      </c>
      <c r="D97" s="176">
        <v>2</v>
      </c>
      <c r="E97" s="113" t="s">
        <v>189</v>
      </c>
      <c r="F97" s="113"/>
      <c r="G97" s="131">
        <v>6000</v>
      </c>
      <c r="H97" s="131">
        <f>G97*0.16</f>
        <v>960</v>
      </c>
      <c r="I97" s="131">
        <f>G97+H97</f>
        <v>6960</v>
      </c>
      <c r="J97" s="116"/>
      <c r="K97" s="114" t="s">
        <v>2862</v>
      </c>
      <c r="L97" s="114" t="s">
        <v>90</v>
      </c>
    </row>
    <row r="98" spans="1:12" ht="39" x14ac:dyDescent="0.35">
      <c r="A98" s="140" t="s">
        <v>442</v>
      </c>
      <c r="B98" s="179" t="s">
        <v>1077</v>
      </c>
      <c r="C98" s="146" t="s">
        <v>1075</v>
      </c>
      <c r="D98" s="176">
        <v>1</v>
      </c>
      <c r="E98" s="113" t="s">
        <v>268</v>
      </c>
      <c r="F98" s="172"/>
      <c r="G98" s="173">
        <v>2988</v>
      </c>
      <c r="H98" s="173">
        <v>0</v>
      </c>
      <c r="I98" s="173">
        <v>2988</v>
      </c>
      <c r="J98" s="231"/>
      <c r="K98" s="147" t="s">
        <v>2862</v>
      </c>
      <c r="L98" s="147" t="s">
        <v>90</v>
      </c>
    </row>
  </sheetData>
  <autoFilter ref="A2:L98" xr:uid="{00000000-0009-0000-0000-000009000000}"/>
  <mergeCells count="1">
    <mergeCell ref="A1:L1"/>
  </mergeCells>
  <hyperlinks>
    <hyperlink ref="C22" r:id="rId1" display="enriquemay@hotmail.com" xr:uid="{00000000-0004-0000-0900-000000000000}"/>
    <hyperlink ref="C24" r:id="rId2" display="enriquemay@hotmail.com" xr:uid="{00000000-0004-0000-0900-000001000000}"/>
    <hyperlink ref="C68" r:id="rId3" display="enriquemay@hotmail.com" xr:uid="{00000000-0004-0000-0900-000002000000}"/>
  </hyperlinks>
  <pageMargins left="0.7" right="0.7" top="0.75" bottom="0.75" header="0.3" footer="0.3"/>
  <pageSetup orientation="portrait" r:id="rId4"/>
  <legacy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I188"/>
  <sheetViews>
    <sheetView zoomScale="86" zoomScaleNormal="86" workbookViewId="0">
      <pane xSplit="1" ySplit="2" topLeftCell="C183" activePane="bottomRight" state="frozenSplit"/>
      <selection pane="topRight" activeCell="E1" sqref="E1"/>
      <selection pane="bottomLeft" activeCell="A6" sqref="A6"/>
      <selection pane="bottomRight" activeCell="E188" sqref="E188"/>
    </sheetView>
  </sheetViews>
  <sheetFormatPr baseColWidth="10" defaultRowHeight="14.5" x14ac:dyDescent="0.35"/>
  <cols>
    <col min="1" max="1" width="36.1796875" style="151" customWidth="1"/>
    <col min="2" max="2" width="26" style="104" customWidth="1"/>
    <col min="3" max="3" width="19.26953125" style="152" customWidth="1"/>
    <col min="4" max="4" width="12.81640625" style="104" customWidth="1"/>
    <col min="5" max="5" width="54" style="104" customWidth="1"/>
    <col min="6" max="6" width="11.81640625" style="104" customWidth="1"/>
    <col min="7" max="7" width="47" style="104" customWidth="1"/>
    <col min="8" max="8" width="14.1796875" style="1" customWidth="1"/>
    <col min="9" max="9" width="18.54296875" customWidth="1"/>
  </cols>
  <sheetData>
    <row r="1" spans="1:9" s="5" customFormat="1" ht="34.5" customHeight="1" thickBot="1" x14ac:dyDescent="0.4">
      <c r="A1" s="445" t="s">
        <v>2586</v>
      </c>
      <c r="B1" s="446"/>
      <c r="C1" s="446"/>
      <c r="D1" s="446"/>
      <c r="E1" s="446"/>
      <c r="F1" s="446"/>
      <c r="G1" s="446"/>
      <c r="H1" s="447"/>
    </row>
    <row r="2" spans="1:9" s="5" customFormat="1" x14ac:dyDescent="0.35">
      <c r="A2" s="257" t="s">
        <v>337</v>
      </c>
      <c r="B2" s="258" t="s">
        <v>338</v>
      </c>
      <c r="C2" s="259" t="s">
        <v>168</v>
      </c>
      <c r="D2" s="193" t="s">
        <v>339</v>
      </c>
      <c r="E2" s="258" t="s">
        <v>178</v>
      </c>
      <c r="F2" s="258" t="s">
        <v>179</v>
      </c>
      <c r="G2" s="258" t="s">
        <v>340</v>
      </c>
      <c r="H2" s="1" t="s">
        <v>995</v>
      </c>
    </row>
    <row r="3" spans="1:9" s="5" customFormat="1" ht="63" customHeight="1" x14ac:dyDescent="0.35">
      <c r="A3" s="158">
        <v>44923</v>
      </c>
      <c r="B3" s="135" t="s">
        <v>341</v>
      </c>
      <c r="C3" s="159" t="s">
        <v>342</v>
      </c>
      <c r="D3" s="135">
        <v>1</v>
      </c>
      <c r="E3" s="135" t="s">
        <v>343</v>
      </c>
      <c r="F3" s="135" t="s">
        <v>189</v>
      </c>
      <c r="G3" s="159" t="s">
        <v>349</v>
      </c>
      <c r="H3" s="110" t="s">
        <v>7</v>
      </c>
    </row>
    <row r="4" spans="1:9" ht="63" customHeight="1" x14ac:dyDescent="0.35">
      <c r="A4" s="158">
        <v>44947</v>
      </c>
      <c r="B4" s="135" t="s">
        <v>273</v>
      </c>
      <c r="C4" s="159" t="s">
        <v>362</v>
      </c>
      <c r="D4" s="135">
        <v>4</v>
      </c>
      <c r="E4" s="159" t="s">
        <v>639</v>
      </c>
      <c r="F4" s="135" t="s">
        <v>189</v>
      </c>
      <c r="G4" s="159" t="s">
        <v>344</v>
      </c>
      <c r="H4" s="110" t="s">
        <v>377</v>
      </c>
    </row>
    <row r="5" spans="1:9" ht="29" x14ac:dyDescent="0.35">
      <c r="A5" s="158">
        <v>44945</v>
      </c>
      <c r="B5" s="104" t="s">
        <v>272</v>
      </c>
      <c r="C5" s="159" t="s">
        <v>345</v>
      </c>
      <c r="D5" s="135">
        <v>1</v>
      </c>
      <c r="E5" s="135" t="s">
        <v>346</v>
      </c>
      <c r="F5" s="135" t="s">
        <v>268</v>
      </c>
      <c r="G5" s="159" t="s">
        <v>347</v>
      </c>
      <c r="H5" s="110" t="s">
        <v>7</v>
      </c>
    </row>
    <row r="6" spans="1:9" ht="43.5" x14ac:dyDescent="0.35">
      <c r="A6" s="158">
        <v>44977</v>
      </c>
      <c r="B6" s="135" t="s">
        <v>348</v>
      </c>
      <c r="C6" s="159" t="s">
        <v>363</v>
      </c>
      <c r="D6" s="135">
        <v>5</v>
      </c>
      <c r="E6" s="159" t="s">
        <v>640</v>
      </c>
      <c r="F6" s="135" t="s">
        <v>189</v>
      </c>
      <c r="G6" s="159" t="s">
        <v>350</v>
      </c>
      <c r="H6" s="110" t="s">
        <v>377</v>
      </c>
    </row>
    <row r="7" spans="1:9" ht="58" x14ac:dyDescent="0.35">
      <c r="A7" s="158">
        <v>44979</v>
      </c>
      <c r="B7" s="135" t="s">
        <v>322</v>
      </c>
      <c r="C7" s="159" t="s">
        <v>364</v>
      </c>
      <c r="D7" s="135">
        <v>1</v>
      </c>
      <c r="E7" s="135" t="s">
        <v>360</v>
      </c>
      <c r="F7" s="135" t="s">
        <v>189</v>
      </c>
      <c r="G7" s="159" t="s">
        <v>356</v>
      </c>
      <c r="H7" s="110" t="s">
        <v>7</v>
      </c>
    </row>
    <row r="8" spans="1:9" ht="29" x14ac:dyDescent="0.35">
      <c r="A8" s="158">
        <v>44984</v>
      </c>
      <c r="B8" s="135" t="s">
        <v>319</v>
      </c>
      <c r="C8" s="159" t="s">
        <v>351</v>
      </c>
      <c r="D8" s="135">
        <v>1</v>
      </c>
      <c r="E8" s="135" t="s">
        <v>352</v>
      </c>
      <c r="F8" s="135" t="s">
        <v>268</v>
      </c>
      <c r="G8" s="159" t="s">
        <v>353</v>
      </c>
      <c r="H8" s="110" t="s">
        <v>7</v>
      </c>
    </row>
    <row r="9" spans="1:9" ht="29" x14ac:dyDescent="0.35">
      <c r="A9" s="158">
        <v>44985</v>
      </c>
      <c r="B9" s="135" t="s">
        <v>320</v>
      </c>
      <c r="C9" s="159" t="s">
        <v>365</v>
      </c>
      <c r="D9" s="135">
        <v>1</v>
      </c>
      <c r="E9" s="135" t="s">
        <v>354</v>
      </c>
      <c r="F9" s="135" t="s">
        <v>268</v>
      </c>
      <c r="G9" s="135" t="s">
        <v>355</v>
      </c>
      <c r="H9" s="110"/>
      <c r="I9" s="260" t="s">
        <v>617</v>
      </c>
    </row>
    <row r="10" spans="1:9" ht="35.25" customHeight="1" x14ac:dyDescent="0.35">
      <c r="A10" s="158">
        <v>44987</v>
      </c>
      <c r="B10" s="135" t="s">
        <v>323</v>
      </c>
      <c r="C10" s="159" t="s">
        <v>366</v>
      </c>
      <c r="D10" s="135">
        <v>1</v>
      </c>
      <c r="E10" s="135" t="s">
        <v>357</v>
      </c>
      <c r="F10" s="135" t="s">
        <v>189</v>
      </c>
      <c r="G10" s="159" t="s">
        <v>358</v>
      </c>
      <c r="H10" s="110" t="s">
        <v>7</v>
      </c>
    </row>
    <row r="11" spans="1:9" ht="29" x14ac:dyDescent="0.35">
      <c r="A11" s="158">
        <v>44994</v>
      </c>
      <c r="B11" s="135" t="s">
        <v>359</v>
      </c>
      <c r="C11" s="159" t="s">
        <v>361</v>
      </c>
      <c r="D11" s="135">
        <v>1</v>
      </c>
      <c r="E11" s="135" t="s">
        <v>367</v>
      </c>
      <c r="F11" s="135" t="s">
        <v>268</v>
      </c>
      <c r="G11" s="159" t="s">
        <v>368</v>
      </c>
      <c r="H11" s="110" t="s">
        <v>7</v>
      </c>
    </row>
    <row r="12" spans="1:9" ht="101.5" x14ac:dyDescent="0.35">
      <c r="A12" s="158">
        <v>44995</v>
      </c>
      <c r="B12" s="135" t="s">
        <v>374</v>
      </c>
      <c r="C12" s="159" t="s">
        <v>376</v>
      </c>
      <c r="D12" s="135">
        <v>10</v>
      </c>
      <c r="E12" s="159" t="s">
        <v>641</v>
      </c>
      <c r="F12" s="135" t="s">
        <v>189</v>
      </c>
      <c r="G12" s="159" t="s">
        <v>344</v>
      </c>
      <c r="H12" s="110" t="s">
        <v>377</v>
      </c>
    </row>
    <row r="13" spans="1:9" ht="87" x14ac:dyDescent="0.35">
      <c r="A13" s="158">
        <v>44998</v>
      </c>
      <c r="B13" s="135" t="s">
        <v>375</v>
      </c>
      <c r="C13" s="159" t="s">
        <v>379</v>
      </c>
      <c r="D13" s="135">
        <v>6</v>
      </c>
      <c r="E13" s="159" t="s">
        <v>642</v>
      </c>
      <c r="F13" s="135" t="s">
        <v>189</v>
      </c>
      <c r="G13" s="159" t="s">
        <v>378</v>
      </c>
      <c r="H13" s="110" t="s">
        <v>377</v>
      </c>
    </row>
    <row r="14" spans="1:9" ht="29" x14ac:dyDescent="0.35">
      <c r="A14" s="158">
        <v>45005</v>
      </c>
      <c r="B14" s="135" t="s">
        <v>384</v>
      </c>
      <c r="C14" s="159" t="s">
        <v>385</v>
      </c>
      <c r="D14" s="135">
        <v>1</v>
      </c>
      <c r="E14" s="135" t="s">
        <v>386</v>
      </c>
      <c r="F14" s="135" t="s">
        <v>268</v>
      </c>
      <c r="G14" s="159" t="s">
        <v>387</v>
      </c>
      <c r="H14" s="110" t="s">
        <v>7</v>
      </c>
    </row>
    <row r="15" spans="1:9" ht="43.5" x14ac:dyDescent="0.35">
      <c r="A15" s="158">
        <v>45007</v>
      </c>
      <c r="B15" s="135" t="s">
        <v>388</v>
      </c>
      <c r="C15" s="159" t="s">
        <v>389</v>
      </c>
      <c r="D15" s="135">
        <v>7</v>
      </c>
      <c r="E15" s="159" t="s">
        <v>643</v>
      </c>
      <c r="F15" s="135" t="s">
        <v>189</v>
      </c>
      <c r="G15" s="159" t="s">
        <v>720</v>
      </c>
      <c r="H15" s="110" t="s">
        <v>7</v>
      </c>
    </row>
    <row r="16" spans="1:9" ht="29" x14ac:dyDescent="0.35">
      <c r="A16" s="158">
        <v>45009</v>
      </c>
      <c r="B16" s="135" t="s">
        <v>392</v>
      </c>
      <c r="C16" s="159" t="s">
        <v>406</v>
      </c>
      <c r="D16" s="135">
        <v>1</v>
      </c>
      <c r="E16" s="135" t="s">
        <v>408</v>
      </c>
      <c r="F16" s="135" t="s">
        <v>268</v>
      </c>
      <c r="G16" s="159" t="s">
        <v>407</v>
      </c>
      <c r="H16" s="110" t="s">
        <v>7</v>
      </c>
    </row>
    <row r="17" spans="1:8" x14ac:dyDescent="0.35">
      <c r="A17" s="158">
        <v>45017</v>
      </c>
      <c r="B17" s="135" t="s">
        <v>413</v>
      </c>
      <c r="C17" s="159"/>
      <c r="D17" s="113">
        <v>5</v>
      </c>
      <c r="E17" s="135"/>
      <c r="F17" s="135" t="s">
        <v>268</v>
      </c>
      <c r="G17" s="159" t="s">
        <v>469</v>
      </c>
      <c r="H17" s="110" t="s">
        <v>90</v>
      </c>
    </row>
    <row r="18" spans="1:8" ht="72.5" x14ac:dyDescent="0.35">
      <c r="A18" s="158">
        <v>45029</v>
      </c>
      <c r="B18" s="135" t="s">
        <v>428</v>
      </c>
      <c r="C18" s="159" t="s">
        <v>430</v>
      </c>
      <c r="D18" s="135">
        <v>6</v>
      </c>
      <c r="E18" s="159" t="s">
        <v>644</v>
      </c>
      <c r="F18" s="135" t="s">
        <v>189</v>
      </c>
      <c r="G18" s="159" t="s">
        <v>431</v>
      </c>
      <c r="H18" s="110" t="s">
        <v>377</v>
      </c>
    </row>
    <row r="19" spans="1:8" ht="29" x14ac:dyDescent="0.35">
      <c r="A19" s="158">
        <v>45030</v>
      </c>
      <c r="B19" s="159" t="s">
        <v>433</v>
      </c>
      <c r="C19" s="159" t="s">
        <v>435</v>
      </c>
      <c r="D19" s="135">
        <v>1</v>
      </c>
      <c r="E19" s="135" t="s">
        <v>436</v>
      </c>
      <c r="F19" s="135" t="s">
        <v>189</v>
      </c>
      <c r="G19" s="159" t="s">
        <v>434</v>
      </c>
      <c r="H19" s="110" t="s">
        <v>7</v>
      </c>
    </row>
    <row r="20" spans="1:8" ht="72.5" x14ac:dyDescent="0.35">
      <c r="A20" s="158">
        <v>45044</v>
      </c>
      <c r="B20" s="159" t="s">
        <v>445</v>
      </c>
      <c r="C20" s="159" t="s">
        <v>446</v>
      </c>
      <c r="D20" s="135">
        <v>3</v>
      </c>
      <c r="E20" s="159" t="s">
        <v>462</v>
      </c>
      <c r="F20" s="135" t="s">
        <v>189</v>
      </c>
      <c r="G20" s="159" t="s">
        <v>460</v>
      </c>
      <c r="H20" s="110" t="s">
        <v>7</v>
      </c>
    </row>
    <row r="21" spans="1:8" ht="29" x14ac:dyDescent="0.35">
      <c r="A21" s="158">
        <v>45048</v>
      </c>
      <c r="B21" s="159" t="s">
        <v>447</v>
      </c>
      <c r="C21" s="159" t="s">
        <v>448</v>
      </c>
      <c r="D21" s="135">
        <v>1</v>
      </c>
      <c r="E21" s="135" t="s">
        <v>463</v>
      </c>
      <c r="F21" s="135" t="s">
        <v>268</v>
      </c>
      <c r="G21" s="159" t="s">
        <v>449</v>
      </c>
      <c r="H21" s="110" t="s">
        <v>7</v>
      </c>
    </row>
    <row r="22" spans="1:8" ht="43.5" x14ac:dyDescent="0.35">
      <c r="A22" s="158">
        <v>45049</v>
      </c>
      <c r="B22" s="135" t="s">
        <v>450</v>
      </c>
      <c r="C22" s="159" t="s">
        <v>458</v>
      </c>
      <c r="D22" s="135">
        <v>3</v>
      </c>
      <c r="E22" s="159" t="s">
        <v>645</v>
      </c>
      <c r="F22" s="135" t="s">
        <v>189</v>
      </c>
      <c r="G22" s="159" t="s">
        <v>721</v>
      </c>
      <c r="H22" s="110" t="s">
        <v>7</v>
      </c>
    </row>
    <row r="23" spans="1:8" ht="29" x14ac:dyDescent="0.35">
      <c r="A23" s="158">
        <v>45062</v>
      </c>
      <c r="B23" s="135" t="s">
        <v>457</v>
      </c>
      <c r="C23" s="159" t="s">
        <v>459</v>
      </c>
      <c r="D23" s="135">
        <v>1</v>
      </c>
      <c r="E23" s="135" t="s">
        <v>465</v>
      </c>
      <c r="F23" s="135" t="s">
        <v>268</v>
      </c>
      <c r="G23" s="159" t="s">
        <v>461</v>
      </c>
      <c r="H23" s="110" t="s">
        <v>7</v>
      </c>
    </row>
    <row r="24" spans="1:8" ht="29" x14ac:dyDescent="0.35">
      <c r="A24" s="158">
        <v>45069</v>
      </c>
      <c r="B24" s="135" t="s">
        <v>486</v>
      </c>
      <c r="C24" s="159" t="s">
        <v>487</v>
      </c>
      <c r="D24" s="135">
        <v>1</v>
      </c>
      <c r="E24" s="135" t="s">
        <v>489</v>
      </c>
      <c r="F24" s="135" t="s">
        <v>268</v>
      </c>
      <c r="G24" s="159" t="s">
        <v>488</v>
      </c>
      <c r="H24" s="110" t="s">
        <v>7</v>
      </c>
    </row>
    <row r="25" spans="1:8" ht="29" x14ac:dyDescent="0.35">
      <c r="A25" s="158">
        <v>45069</v>
      </c>
      <c r="B25" s="135" t="s">
        <v>492</v>
      </c>
      <c r="C25" s="159" t="s">
        <v>493</v>
      </c>
      <c r="D25" s="135">
        <v>1</v>
      </c>
      <c r="E25" s="135" t="s">
        <v>494</v>
      </c>
      <c r="F25" s="135" t="s">
        <v>268</v>
      </c>
      <c r="G25" s="159" t="s">
        <v>495</v>
      </c>
      <c r="H25" s="110" t="s">
        <v>7</v>
      </c>
    </row>
    <row r="26" spans="1:8" ht="29" x14ac:dyDescent="0.35">
      <c r="A26" s="158">
        <v>45070</v>
      </c>
      <c r="B26" s="135" t="s">
        <v>497</v>
      </c>
      <c r="C26" s="159" t="s">
        <v>498</v>
      </c>
      <c r="D26" s="135">
        <v>2</v>
      </c>
      <c r="E26" s="159" t="s">
        <v>646</v>
      </c>
      <c r="F26" s="135" t="s">
        <v>189</v>
      </c>
      <c r="G26" s="159" t="s">
        <v>722</v>
      </c>
      <c r="H26" s="110" t="s">
        <v>7</v>
      </c>
    </row>
    <row r="27" spans="1:8" ht="29" x14ac:dyDescent="0.35">
      <c r="A27" s="158">
        <v>45078</v>
      </c>
      <c r="B27" s="135" t="s">
        <v>509</v>
      </c>
      <c r="C27" s="159" t="s">
        <v>539</v>
      </c>
      <c r="D27" s="135">
        <v>2</v>
      </c>
      <c r="E27" s="159" t="s">
        <v>584</v>
      </c>
      <c r="F27" s="135" t="s">
        <v>268</v>
      </c>
      <c r="G27" s="159" t="s">
        <v>355</v>
      </c>
      <c r="H27" s="110"/>
    </row>
    <row r="28" spans="1:8" ht="29" x14ac:dyDescent="0.35">
      <c r="A28" s="158">
        <v>45082</v>
      </c>
      <c r="B28" s="159" t="s">
        <v>513</v>
      </c>
      <c r="C28" s="159" t="s">
        <v>514</v>
      </c>
      <c r="D28" s="135">
        <v>1</v>
      </c>
      <c r="E28" s="135" t="s">
        <v>491</v>
      </c>
      <c r="F28" s="135" t="s">
        <v>268</v>
      </c>
      <c r="G28" s="159" t="s">
        <v>515</v>
      </c>
      <c r="H28" s="110" t="s">
        <v>7</v>
      </c>
    </row>
    <row r="29" spans="1:8" ht="29" x14ac:dyDescent="0.35">
      <c r="A29" s="158">
        <v>45082</v>
      </c>
      <c r="B29" s="135" t="s">
        <v>520</v>
      </c>
      <c r="C29" s="159" t="s">
        <v>521</v>
      </c>
      <c r="D29" s="135">
        <v>1</v>
      </c>
      <c r="E29" s="135" t="s">
        <v>522</v>
      </c>
      <c r="F29" s="135" t="s">
        <v>189</v>
      </c>
      <c r="G29" s="159" t="s">
        <v>723</v>
      </c>
      <c r="H29" s="110" t="s">
        <v>7</v>
      </c>
    </row>
    <row r="30" spans="1:8" ht="29" x14ac:dyDescent="0.35">
      <c r="A30" s="158">
        <v>45089</v>
      </c>
      <c r="B30" s="159" t="s">
        <v>531</v>
      </c>
      <c r="C30" s="159" t="s">
        <v>529</v>
      </c>
      <c r="D30" s="135">
        <v>6</v>
      </c>
      <c r="E30" s="159" t="s">
        <v>647</v>
      </c>
      <c r="F30" s="135" t="s">
        <v>268</v>
      </c>
      <c r="G30" s="159" t="s">
        <v>530</v>
      </c>
      <c r="H30" s="110" t="s">
        <v>377</v>
      </c>
    </row>
    <row r="31" spans="1:8" ht="130.5" x14ac:dyDescent="0.35">
      <c r="A31" s="158">
        <v>45089</v>
      </c>
      <c r="B31" s="135" t="s">
        <v>533</v>
      </c>
      <c r="C31" s="159" t="s">
        <v>547</v>
      </c>
      <c r="D31" s="135">
        <v>16</v>
      </c>
      <c r="E31" s="159" t="s">
        <v>911</v>
      </c>
      <c r="F31" s="135" t="s">
        <v>189</v>
      </c>
      <c r="G31" s="159" t="s">
        <v>996</v>
      </c>
      <c r="H31" s="110" t="s">
        <v>7</v>
      </c>
    </row>
    <row r="32" spans="1:8" ht="29" x14ac:dyDescent="0.35">
      <c r="A32" s="158">
        <v>45093</v>
      </c>
      <c r="B32" s="135" t="s">
        <v>542</v>
      </c>
      <c r="C32" s="159" t="s">
        <v>543</v>
      </c>
      <c r="D32" s="135">
        <v>1</v>
      </c>
      <c r="E32" s="135" t="s">
        <v>733</v>
      </c>
      <c r="F32" s="135" t="s">
        <v>189</v>
      </c>
      <c r="G32" s="159" t="s">
        <v>544</v>
      </c>
      <c r="H32" s="110" t="s">
        <v>7</v>
      </c>
    </row>
    <row r="33" spans="1:8" ht="29" x14ac:dyDescent="0.35">
      <c r="A33" s="158">
        <v>45096</v>
      </c>
      <c r="B33" s="135" t="s">
        <v>548</v>
      </c>
      <c r="C33" s="159" t="s">
        <v>546</v>
      </c>
      <c r="D33" s="135">
        <v>1</v>
      </c>
      <c r="E33" s="135" t="s">
        <v>549</v>
      </c>
      <c r="F33" s="135" t="s">
        <v>268</v>
      </c>
      <c r="G33" s="159" t="s">
        <v>550</v>
      </c>
      <c r="H33" s="110" t="s">
        <v>7</v>
      </c>
    </row>
    <row r="34" spans="1:8" ht="29" x14ac:dyDescent="0.35">
      <c r="A34" s="158">
        <v>45092</v>
      </c>
      <c r="B34" s="135" t="s">
        <v>555</v>
      </c>
      <c r="C34" s="159" t="s">
        <v>562</v>
      </c>
      <c r="D34" s="135" t="s">
        <v>563</v>
      </c>
      <c r="E34" s="135" t="s">
        <v>549</v>
      </c>
      <c r="F34" s="135" t="s">
        <v>189</v>
      </c>
      <c r="G34" s="159" t="s">
        <v>724</v>
      </c>
      <c r="H34" s="110" t="s">
        <v>7</v>
      </c>
    </row>
    <row r="35" spans="1:8" ht="29" x14ac:dyDescent="0.35">
      <c r="A35" s="158">
        <v>45107</v>
      </c>
      <c r="B35" s="135" t="s">
        <v>569</v>
      </c>
      <c r="C35" s="159" t="s">
        <v>570</v>
      </c>
      <c r="D35" s="135">
        <v>1</v>
      </c>
      <c r="E35" s="135" t="s">
        <v>571</v>
      </c>
      <c r="F35" s="135" t="s">
        <v>268</v>
      </c>
      <c r="G35" s="159" t="s">
        <v>572</v>
      </c>
      <c r="H35" s="110" t="s">
        <v>7</v>
      </c>
    </row>
    <row r="36" spans="1:8" ht="29" x14ac:dyDescent="0.35">
      <c r="A36" s="158">
        <v>45108</v>
      </c>
      <c r="B36" s="159" t="s">
        <v>576</v>
      </c>
      <c r="C36" s="159" t="s">
        <v>577</v>
      </c>
      <c r="D36" s="135">
        <v>1</v>
      </c>
      <c r="E36" s="135" t="s">
        <v>583</v>
      </c>
      <c r="F36" s="135" t="s">
        <v>189</v>
      </c>
      <c r="G36" s="159" t="s">
        <v>725</v>
      </c>
      <c r="H36" s="110" t="s">
        <v>7</v>
      </c>
    </row>
    <row r="37" spans="1:8" ht="29" x14ac:dyDescent="0.35">
      <c r="A37" s="158">
        <v>45112</v>
      </c>
      <c r="B37" s="135" t="s">
        <v>579</v>
      </c>
      <c r="C37" s="159" t="s">
        <v>580</v>
      </c>
      <c r="D37" s="135">
        <v>1</v>
      </c>
      <c r="E37" s="135" t="s">
        <v>581</v>
      </c>
      <c r="F37" s="135" t="s">
        <v>268</v>
      </c>
      <c r="G37" s="159" t="s">
        <v>582</v>
      </c>
      <c r="H37" s="110" t="s">
        <v>7</v>
      </c>
    </row>
    <row r="38" spans="1:8" ht="29" x14ac:dyDescent="0.35">
      <c r="A38" s="158">
        <v>45117</v>
      </c>
      <c r="B38" s="135" t="s">
        <v>591</v>
      </c>
      <c r="C38" s="159" t="s">
        <v>592</v>
      </c>
      <c r="D38" s="135">
        <v>1</v>
      </c>
      <c r="E38" s="135" t="s">
        <v>594</v>
      </c>
      <c r="F38" s="135" t="s">
        <v>268</v>
      </c>
      <c r="G38" s="159" t="s">
        <v>593</v>
      </c>
      <c r="H38" s="110" t="s">
        <v>7</v>
      </c>
    </row>
    <row r="39" spans="1:8" ht="57.75" customHeight="1" x14ac:dyDescent="0.35">
      <c r="A39" s="158">
        <v>45131</v>
      </c>
      <c r="B39" s="159" t="s">
        <v>603</v>
      </c>
      <c r="C39" s="159" t="s">
        <v>604</v>
      </c>
      <c r="D39" s="135">
        <v>3</v>
      </c>
      <c r="E39" s="159" t="s">
        <v>638</v>
      </c>
      <c r="F39" s="135" t="s">
        <v>189</v>
      </c>
      <c r="G39" s="159" t="s">
        <v>605</v>
      </c>
      <c r="H39" s="110"/>
    </row>
    <row r="40" spans="1:8" ht="29" x14ac:dyDescent="0.35">
      <c r="A40" s="158">
        <v>45139</v>
      </c>
      <c r="B40" s="135" t="s">
        <v>618</v>
      </c>
      <c r="C40" s="159" t="s">
        <v>620</v>
      </c>
      <c r="D40" s="135">
        <v>2</v>
      </c>
      <c r="E40" s="159" t="s">
        <v>648</v>
      </c>
      <c r="F40" s="135" t="s">
        <v>268</v>
      </c>
      <c r="G40" s="159" t="s">
        <v>619</v>
      </c>
      <c r="H40" s="110" t="s">
        <v>7</v>
      </c>
    </row>
    <row r="41" spans="1:8" ht="29" x14ac:dyDescent="0.35">
      <c r="A41" s="158">
        <v>45167</v>
      </c>
      <c r="B41" s="135" t="s">
        <v>635</v>
      </c>
      <c r="C41" s="159" t="s">
        <v>636</v>
      </c>
      <c r="D41" s="135">
        <v>1</v>
      </c>
      <c r="E41" s="135" t="s">
        <v>637</v>
      </c>
      <c r="F41" s="135" t="s">
        <v>268</v>
      </c>
      <c r="G41" s="159" t="s">
        <v>650</v>
      </c>
      <c r="H41" s="110" t="s">
        <v>7</v>
      </c>
    </row>
    <row r="42" spans="1:8" ht="29" x14ac:dyDescent="0.35">
      <c r="A42" s="158">
        <v>45175</v>
      </c>
      <c r="B42" s="135" t="s">
        <v>665</v>
      </c>
      <c r="C42" s="159" t="s">
        <v>666</v>
      </c>
      <c r="D42" s="135">
        <v>1</v>
      </c>
      <c r="E42" s="135" t="s">
        <v>682</v>
      </c>
      <c r="F42" s="135" t="s">
        <v>268</v>
      </c>
      <c r="G42" s="159" t="s">
        <v>667</v>
      </c>
      <c r="H42" s="110" t="s">
        <v>7</v>
      </c>
    </row>
    <row r="43" spans="1:8" ht="29" x14ac:dyDescent="0.35">
      <c r="A43" s="158">
        <v>45174</v>
      </c>
      <c r="B43" s="135" t="s">
        <v>668</v>
      </c>
      <c r="C43" s="159" t="s">
        <v>680</v>
      </c>
      <c r="D43" s="135">
        <v>2</v>
      </c>
      <c r="E43" s="159" t="s">
        <v>674</v>
      </c>
      <c r="F43" s="135" t="s">
        <v>268</v>
      </c>
      <c r="G43" s="135" t="s">
        <v>675</v>
      </c>
      <c r="H43" s="110" t="s">
        <v>680</v>
      </c>
    </row>
    <row r="44" spans="1:8" ht="29" x14ac:dyDescent="0.35">
      <c r="A44" s="158">
        <v>45176</v>
      </c>
      <c r="B44" s="135" t="s">
        <v>678</v>
      </c>
      <c r="C44" s="159" t="s">
        <v>681</v>
      </c>
      <c r="D44" s="135">
        <v>1</v>
      </c>
      <c r="E44" s="135" t="s">
        <v>686</v>
      </c>
      <c r="F44" s="135" t="s">
        <v>189</v>
      </c>
      <c r="G44" s="159" t="s">
        <v>726</v>
      </c>
      <c r="H44" s="110" t="s">
        <v>7</v>
      </c>
    </row>
    <row r="45" spans="1:8" ht="29" x14ac:dyDescent="0.35">
      <c r="A45" s="158">
        <v>45177</v>
      </c>
      <c r="B45" s="135" t="s">
        <v>679</v>
      </c>
      <c r="C45" s="159" t="s">
        <v>684</v>
      </c>
      <c r="D45" s="135">
        <v>1</v>
      </c>
      <c r="E45" s="135" t="s">
        <v>685</v>
      </c>
      <c r="F45" s="135" t="s">
        <v>268</v>
      </c>
      <c r="G45" s="159" t="s">
        <v>687</v>
      </c>
      <c r="H45" s="110" t="s">
        <v>7</v>
      </c>
    </row>
    <row r="46" spans="1:8" ht="58" x14ac:dyDescent="0.35">
      <c r="A46" s="158">
        <v>45188</v>
      </c>
      <c r="B46" s="159" t="s">
        <v>691</v>
      </c>
      <c r="C46" s="159" t="s">
        <v>692</v>
      </c>
      <c r="D46" s="135">
        <v>2</v>
      </c>
      <c r="E46" s="159" t="s">
        <v>698</v>
      </c>
      <c r="F46" s="135" t="s">
        <v>189</v>
      </c>
      <c r="G46" s="159" t="s">
        <v>727</v>
      </c>
      <c r="H46" s="110" t="s">
        <v>7</v>
      </c>
    </row>
    <row r="47" spans="1:8" ht="29" x14ac:dyDescent="0.35">
      <c r="A47" s="158">
        <v>45191</v>
      </c>
      <c r="B47" s="135" t="s">
        <v>694</v>
      </c>
      <c r="C47" s="159" t="s">
        <v>695</v>
      </c>
      <c r="D47" s="135">
        <v>2</v>
      </c>
      <c r="E47" s="159" t="s">
        <v>697</v>
      </c>
      <c r="F47" s="135" t="s">
        <v>268</v>
      </c>
      <c r="G47" s="135" t="s">
        <v>696</v>
      </c>
      <c r="H47" s="110" t="s">
        <v>680</v>
      </c>
    </row>
    <row r="48" spans="1:8" ht="43.5" x14ac:dyDescent="0.35">
      <c r="A48" s="158">
        <v>45199</v>
      </c>
      <c r="B48" s="159" t="s">
        <v>712</v>
      </c>
      <c r="C48" s="159" t="s">
        <v>729</v>
      </c>
      <c r="D48" s="135">
        <v>3</v>
      </c>
      <c r="E48" s="159" t="s">
        <v>732</v>
      </c>
      <c r="F48" s="135" t="s">
        <v>189</v>
      </c>
      <c r="G48" s="159" t="s">
        <v>730</v>
      </c>
      <c r="H48" s="110" t="s">
        <v>7</v>
      </c>
    </row>
    <row r="49" spans="1:8" ht="29" x14ac:dyDescent="0.35">
      <c r="A49" s="158">
        <v>45209</v>
      </c>
      <c r="B49" s="135" t="s">
        <v>719</v>
      </c>
      <c r="C49" s="222" t="s">
        <v>718</v>
      </c>
      <c r="D49" s="135">
        <v>2</v>
      </c>
      <c r="E49" s="159" t="s">
        <v>731</v>
      </c>
      <c r="F49" s="135" t="s">
        <v>189</v>
      </c>
      <c r="G49" s="159" t="s">
        <v>728</v>
      </c>
      <c r="H49" s="110" t="s">
        <v>7</v>
      </c>
    </row>
    <row r="50" spans="1:8" ht="29" x14ac:dyDescent="0.35">
      <c r="A50" s="158">
        <v>45217</v>
      </c>
      <c r="B50" s="159" t="s">
        <v>747</v>
      </c>
      <c r="C50" s="159" t="s">
        <v>746</v>
      </c>
      <c r="D50" s="135">
        <v>1</v>
      </c>
      <c r="E50" s="135" t="s">
        <v>748</v>
      </c>
      <c r="F50" s="135" t="s">
        <v>268</v>
      </c>
      <c r="G50" s="159" t="s">
        <v>749</v>
      </c>
      <c r="H50" s="110" t="s">
        <v>7</v>
      </c>
    </row>
    <row r="51" spans="1:8" ht="72.5" x14ac:dyDescent="0.35">
      <c r="A51" s="158">
        <v>45226</v>
      </c>
      <c r="B51" s="135" t="s">
        <v>750</v>
      </c>
      <c r="C51" s="159" t="s">
        <v>751</v>
      </c>
      <c r="D51" s="135">
        <v>5</v>
      </c>
      <c r="E51" s="159" t="s">
        <v>775</v>
      </c>
      <c r="F51" s="135" t="s">
        <v>189</v>
      </c>
      <c r="G51" s="159" t="s">
        <v>755</v>
      </c>
      <c r="H51" s="110" t="s">
        <v>377</v>
      </c>
    </row>
    <row r="52" spans="1:8" ht="29" x14ac:dyDescent="0.35">
      <c r="A52" s="158">
        <v>45231</v>
      </c>
      <c r="B52" s="159" t="s">
        <v>756</v>
      </c>
      <c r="C52" s="159" t="s">
        <v>757</v>
      </c>
      <c r="D52" s="135">
        <v>1</v>
      </c>
      <c r="E52" s="135" t="s">
        <v>781</v>
      </c>
      <c r="F52" s="135" t="s">
        <v>268</v>
      </c>
      <c r="G52" s="135" t="s">
        <v>355</v>
      </c>
      <c r="H52" s="110"/>
    </row>
    <row r="53" spans="1:8" ht="72.5" x14ac:dyDescent="0.35">
      <c r="A53" s="158">
        <v>45241</v>
      </c>
      <c r="B53" s="159" t="s">
        <v>761</v>
      </c>
      <c r="C53" s="159" t="s">
        <v>763</v>
      </c>
      <c r="D53" s="135">
        <v>8</v>
      </c>
      <c r="E53" s="159" t="s">
        <v>776</v>
      </c>
      <c r="F53" s="135" t="s">
        <v>189</v>
      </c>
      <c r="G53" s="159" t="s">
        <v>771</v>
      </c>
      <c r="H53" s="110" t="s">
        <v>377</v>
      </c>
    </row>
    <row r="54" spans="1:8" ht="29" x14ac:dyDescent="0.35">
      <c r="A54" s="158">
        <v>45241</v>
      </c>
      <c r="B54" s="159" t="s">
        <v>765</v>
      </c>
      <c r="C54" s="159" t="s">
        <v>770</v>
      </c>
      <c r="D54" s="135">
        <v>1</v>
      </c>
      <c r="E54" s="135" t="s">
        <v>782</v>
      </c>
      <c r="F54" s="135" t="s">
        <v>189</v>
      </c>
      <c r="G54" s="159" t="s">
        <v>772</v>
      </c>
      <c r="H54" s="110" t="s">
        <v>7</v>
      </c>
    </row>
    <row r="55" spans="1:8" ht="72.5" x14ac:dyDescent="0.35">
      <c r="A55" s="158">
        <v>45241</v>
      </c>
      <c r="B55" s="159" t="s">
        <v>769</v>
      </c>
      <c r="C55" s="159" t="s">
        <v>773</v>
      </c>
      <c r="D55" s="135">
        <v>5</v>
      </c>
      <c r="E55" s="159" t="s">
        <v>777</v>
      </c>
      <c r="F55" s="135" t="s">
        <v>189</v>
      </c>
      <c r="G55" s="159" t="s">
        <v>774</v>
      </c>
      <c r="H55" s="110" t="s">
        <v>90</v>
      </c>
    </row>
    <row r="56" spans="1:8" ht="72.5" x14ac:dyDescent="0.35">
      <c r="A56" s="158">
        <v>45286</v>
      </c>
      <c r="B56" s="159" t="s">
        <v>797</v>
      </c>
      <c r="C56" s="159" t="s">
        <v>798</v>
      </c>
      <c r="D56" s="135">
        <v>5</v>
      </c>
      <c r="E56" s="159" t="s">
        <v>1340</v>
      </c>
      <c r="F56" s="135" t="s">
        <v>189</v>
      </c>
      <c r="G56" s="159" t="s">
        <v>799</v>
      </c>
      <c r="H56" s="110" t="s">
        <v>377</v>
      </c>
    </row>
    <row r="57" spans="1:8" ht="29" x14ac:dyDescent="0.35">
      <c r="A57" s="158">
        <v>45287</v>
      </c>
      <c r="B57" s="135" t="s">
        <v>861</v>
      </c>
      <c r="C57" s="159" t="s">
        <v>867</v>
      </c>
      <c r="D57" s="135">
        <v>1</v>
      </c>
      <c r="E57" s="135" t="s">
        <v>975</v>
      </c>
      <c r="F57" s="135" t="s">
        <v>268</v>
      </c>
      <c r="G57" s="159" t="s">
        <v>868</v>
      </c>
      <c r="H57" s="110" t="s">
        <v>7</v>
      </c>
    </row>
    <row r="58" spans="1:8" ht="29" x14ac:dyDescent="0.35">
      <c r="A58" s="158">
        <v>45306</v>
      </c>
      <c r="B58" s="159" t="s">
        <v>869</v>
      </c>
      <c r="C58" s="159" t="s">
        <v>874</v>
      </c>
      <c r="D58" s="135">
        <v>2</v>
      </c>
      <c r="E58" s="159" t="s">
        <v>873</v>
      </c>
      <c r="F58" s="135" t="s">
        <v>189</v>
      </c>
      <c r="G58" s="159" t="s">
        <v>872</v>
      </c>
      <c r="H58" s="110" t="s">
        <v>7</v>
      </c>
    </row>
    <row r="59" spans="1:8" ht="43.5" x14ac:dyDescent="0.35">
      <c r="A59" s="158">
        <v>45309</v>
      </c>
      <c r="B59" s="159" t="s">
        <v>871</v>
      </c>
      <c r="C59" s="159" t="s">
        <v>875</v>
      </c>
      <c r="D59" s="135">
        <v>1</v>
      </c>
      <c r="E59" s="135" t="s">
        <v>976</v>
      </c>
      <c r="F59" s="135" t="s">
        <v>268</v>
      </c>
      <c r="G59" s="159" t="s">
        <v>912</v>
      </c>
      <c r="H59" s="110" t="s">
        <v>7</v>
      </c>
    </row>
    <row r="60" spans="1:8" ht="29" x14ac:dyDescent="0.35">
      <c r="A60" s="158">
        <v>45316</v>
      </c>
      <c r="B60" s="159" t="s">
        <v>878</v>
      </c>
      <c r="C60" s="159" t="s">
        <v>887</v>
      </c>
      <c r="D60" s="135">
        <v>1</v>
      </c>
      <c r="E60" s="135" t="s">
        <v>977</v>
      </c>
      <c r="F60" s="135" t="s">
        <v>189</v>
      </c>
      <c r="G60" s="159" t="s">
        <v>888</v>
      </c>
      <c r="H60" s="110" t="s">
        <v>7</v>
      </c>
    </row>
    <row r="61" spans="1:8" ht="43.5" x14ac:dyDescent="0.35">
      <c r="A61" s="158">
        <v>45322</v>
      </c>
      <c r="B61" s="159" t="s">
        <v>893</v>
      </c>
      <c r="C61" s="159" t="s">
        <v>895</v>
      </c>
      <c r="D61" s="135">
        <v>1</v>
      </c>
      <c r="E61" s="135" t="s">
        <v>978</v>
      </c>
      <c r="F61" s="135" t="s">
        <v>268</v>
      </c>
      <c r="G61" s="159" t="s">
        <v>997</v>
      </c>
      <c r="H61" s="110" t="s">
        <v>7</v>
      </c>
    </row>
    <row r="62" spans="1:8" ht="29" x14ac:dyDescent="0.35">
      <c r="A62" s="158">
        <v>45323</v>
      </c>
      <c r="B62" s="135" t="s">
        <v>897</v>
      </c>
      <c r="C62" s="159" t="s">
        <v>898</v>
      </c>
      <c r="D62" s="135">
        <v>1</v>
      </c>
      <c r="E62" s="135" t="s">
        <v>979</v>
      </c>
      <c r="F62" s="135" t="s">
        <v>189</v>
      </c>
      <c r="G62" s="159" t="s">
        <v>899</v>
      </c>
      <c r="H62" s="110" t="s">
        <v>7</v>
      </c>
    </row>
    <row r="63" spans="1:8" ht="29" x14ac:dyDescent="0.35">
      <c r="A63" s="158">
        <v>45336</v>
      </c>
      <c r="B63" s="135" t="s">
        <v>908</v>
      </c>
      <c r="C63" s="159" t="s">
        <v>909</v>
      </c>
      <c r="D63" s="135">
        <v>2</v>
      </c>
      <c r="E63" s="159" t="s">
        <v>910</v>
      </c>
      <c r="F63" s="135" t="s">
        <v>268</v>
      </c>
      <c r="G63" s="159" t="s">
        <v>495</v>
      </c>
      <c r="H63" s="110" t="s">
        <v>7</v>
      </c>
    </row>
    <row r="64" spans="1:8" ht="43.5" x14ac:dyDescent="0.35">
      <c r="A64" s="254">
        <v>45343</v>
      </c>
      <c r="B64" s="159" t="s">
        <v>917</v>
      </c>
      <c r="C64" s="159" t="s">
        <v>919</v>
      </c>
      <c r="D64" s="159">
        <v>1</v>
      </c>
      <c r="E64" s="159" t="s">
        <v>980</v>
      </c>
      <c r="F64" s="159" t="s">
        <v>268</v>
      </c>
      <c r="G64" s="159" t="s">
        <v>696</v>
      </c>
      <c r="H64" s="110" t="s">
        <v>680</v>
      </c>
    </row>
    <row r="65" spans="1:8" ht="29" x14ac:dyDescent="0.35">
      <c r="A65" s="158">
        <v>45346</v>
      </c>
      <c r="B65" s="135" t="s">
        <v>922</v>
      </c>
      <c r="C65" s="159" t="s">
        <v>926</v>
      </c>
      <c r="D65" s="135">
        <v>1</v>
      </c>
      <c r="E65" s="135" t="s">
        <v>981</v>
      </c>
      <c r="F65" s="135" t="s">
        <v>268</v>
      </c>
      <c r="G65" s="135" t="s">
        <v>675</v>
      </c>
      <c r="H65" s="110" t="s">
        <v>680</v>
      </c>
    </row>
    <row r="66" spans="1:8" ht="29" x14ac:dyDescent="0.35">
      <c r="A66" s="158">
        <v>45349</v>
      </c>
      <c r="B66" s="135" t="s">
        <v>930</v>
      </c>
      <c r="C66" s="159" t="s">
        <v>933</v>
      </c>
      <c r="D66" s="135">
        <v>1</v>
      </c>
      <c r="E66" s="135" t="s">
        <v>982</v>
      </c>
      <c r="F66" s="135" t="s">
        <v>268</v>
      </c>
      <c r="G66" s="159" t="s">
        <v>998</v>
      </c>
      <c r="H66" s="110" t="s">
        <v>7</v>
      </c>
    </row>
    <row r="67" spans="1:8" ht="29" x14ac:dyDescent="0.35">
      <c r="A67" s="158">
        <v>45349</v>
      </c>
      <c r="B67" s="135" t="s">
        <v>932</v>
      </c>
      <c r="C67" s="159" t="s">
        <v>934</v>
      </c>
      <c r="D67" s="135">
        <v>1</v>
      </c>
      <c r="E67" s="135" t="s">
        <v>983</v>
      </c>
      <c r="F67" s="135" t="s">
        <v>268</v>
      </c>
      <c r="G67" s="159" t="s">
        <v>999</v>
      </c>
      <c r="H67" s="110" t="s">
        <v>7</v>
      </c>
    </row>
    <row r="68" spans="1:8" ht="29" x14ac:dyDescent="0.35">
      <c r="A68" s="158">
        <v>45351</v>
      </c>
      <c r="B68" s="135" t="s">
        <v>945</v>
      </c>
      <c r="C68" s="159" t="s">
        <v>947</v>
      </c>
      <c r="D68" s="135">
        <v>1</v>
      </c>
      <c r="E68" s="135" t="s">
        <v>984</v>
      </c>
      <c r="F68" s="135" t="s">
        <v>268</v>
      </c>
      <c r="G68" s="159" t="s">
        <v>948</v>
      </c>
      <c r="H68" s="110" t="s">
        <v>7</v>
      </c>
    </row>
    <row r="69" spans="1:8" ht="29" x14ac:dyDescent="0.35">
      <c r="A69" s="158">
        <v>45352</v>
      </c>
      <c r="B69" s="159" t="s">
        <v>951</v>
      </c>
      <c r="C69" s="159" t="s">
        <v>946</v>
      </c>
      <c r="D69" s="135">
        <v>1</v>
      </c>
      <c r="E69" s="135" t="s">
        <v>985</v>
      </c>
      <c r="F69" s="135" t="s">
        <v>268</v>
      </c>
      <c r="G69" s="135" t="s">
        <v>952</v>
      </c>
      <c r="H69" s="110"/>
    </row>
    <row r="70" spans="1:8" ht="43.5" x14ac:dyDescent="0.35">
      <c r="A70" s="158">
        <v>45352</v>
      </c>
      <c r="B70" s="135" t="s">
        <v>954</v>
      </c>
      <c r="C70" s="159" t="s">
        <v>989</v>
      </c>
      <c r="D70" s="135">
        <v>3</v>
      </c>
      <c r="E70" s="159" t="s">
        <v>988</v>
      </c>
      <c r="F70" s="135" t="s">
        <v>268</v>
      </c>
      <c r="G70" s="159" t="s">
        <v>1000</v>
      </c>
      <c r="H70" s="110" t="s">
        <v>7</v>
      </c>
    </row>
    <row r="71" spans="1:8" ht="29" x14ac:dyDescent="0.35">
      <c r="A71" s="158">
        <v>45357</v>
      </c>
      <c r="B71" s="135" t="s">
        <v>961</v>
      </c>
      <c r="C71" s="159" t="s">
        <v>991</v>
      </c>
      <c r="D71" s="135">
        <v>1</v>
      </c>
      <c r="E71" s="135" t="s">
        <v>986</v>
      </c>
      <c r="F71" s="135" t="s">
        <v>268</v>
      </c>
      <c r="G71" s="135" t="s">
        <v>990</v>
      </c>
      <c r="H71" s="110" t="s">
        <v>680</v>
      </c>
    </row>
    <row r="72" spans="1:8" ht="43.5" x14ac:dyDescent="0.35">
      <c r="A72" s="158">
        <v>45358</v>
      </c>
      <c r="B72" s="135" t="s">
        <v>962</v>
      </c>
      <c r="C72" s="159" t="s">
        <v>992</v>
      </c>
      <c r="D72" s="135">
        <v>3</v>
      </c>
      <c r="E72" s="159" t="s">
        <v>974</v>
      </c>
      <c r="F72" s="135" t="s">
        <v>189</v>
      </c>
      <c r="G72" s="159" t="s">
        <v>993</v>
      </c>
      <c r="H72" s="111" t="s">
        <v>7</v>
      </c>
    </row>
    <row r="73" spans="1:8" ht="29" x14ac:dyDescent="0.35">
      <c r="A73" s="158">
        <v>45372</v>
      </c>
      <c r="B73" s="135" t="s">
        <v>973</v>
      </c>
      <c r="C73" s="159" t="s">
        <v>1021</v>
      </c>
      <c r="D73" s="135">
        <v>1</v>
      </c>
      <c r="E73" s="135" t="s">
        <v>987</v>
      </c>
      <c r="F73" s="135" t="s">
        <v>268</v>
      </c>
      <c r="G73" s="159" t="s">
        <v>994</v>
      </c>
      <c r="H73" s="111" t="s">
        <v>7</v>
      </c>
    </row>
    <row r="74" spans="1:8" ht="145" x14ac:dyDescent="0.35">
      <c r="A74" s="158">
        <v>45391</v>
      </c>
      <c r="B74" s="135" t="s">
        <v>1019</v>
      </c>
      <c r="C74" s="159" t="s">
        <v>1020</v>
      </c>
      <c r="D74" s="135">
        <v>10</v>
      </c>
      <c r="E74" s="159" t="s">
        <v>1035</v>
      </c>
      <c r="F74" s="135" t="s">
        <v>189</v>
      </c>
      <c r="G74" s="159" t="s">
        <v>1025</v>
      </c>
      <c r="H74" s="111" t="s">
        <v>377</v>
      </c>
    </row>
    <row r="75" spans="1:8" ht="43.5" x14ac:dyDescent="0.35">
      <c r="A75" s="158">
        <v>45406</v>
      </c>
      <c r="B75" s="135" t="s">
        <v>1026</v>
      </c>
      <c r="C75" s="159" t="s">
        <v>1042</v>
      </c>
      <c r="D75" s="135">
        <v>1</v>
      </c>
      <c r="E75" s="135" t="s">
        <v>1036</v>
      </c>
      <c r="F75" s="135" t="s">
        <v>268</v>
      </c>
      <c r="G75" s="159" t="s">
        <v>1027</v>
      </c>
      <c r="H75" s="110" t="s">
        <v>7</v>
      </c>
    </row>
    <row r="76" spans="1:8" ht="72.5" x14ac:dyDescent="0.35">
      <c r="A76" s="158">
        <v>45408</v>
      </c>
      <c r="B76" s="135" t="s">
        <v>1030</v>
      </c>
      <c r="C76" s="159" t="s">
        <v>1031</v>
      </c>
      <c r="D76" s="135">
        <v>1</v>
      </c>
      <c r="E76" s="135" t="s">
        <v>1037</v>
      </c>
      <c r="F76" s="135" t="s">
        <v>189</v>
      </c>
      <c r="G76" s="159" t="s">
        <v>1041</v>
      </c>
      <c r="H76" s="110" t="s">
        <v>7</v>
      </c>
    </row>
    <row r="77" spans="1:8" ht="43.5" x14ac:dyDescent="0.35">
      <c r="A77" s="158">
        <v>45414</v>
      </c>
      <c r="B77" s="159" t="s">
        <v>1044</v>
      </c>
      <c r="C77" s="159" t="s">
        <v>1046</v>
      </c>
      <c r="D77" s="135">
        <v>1</v>
      </c>
      <c r="E77" s="135" t="s">
        <v>1045</v>
      </c>
      <c r="F77" s="135" t="s">
        <v>268</v>
      </c>
      <c r="G77" s="159" t="s">
        <v>1076</v>
      </c>
      <c r="H77" s="110" t="s">
        <v>90</v>
      </c>
    </row>
    <row r="78" spans="1:8" x14ac:dyDescent="0.35">
      <c r="A78" s="158">
        <v>45414</v>
      </c>
      <c r="B78" s="135" t="s">
        <v>1047</v>
      </c>
      <c r="C78" s="159"/>
      <c r="D78" s="135">
        <v>1</v>
      </c>
      <c r="E78" s="135" t="s">
        <v>1055</v>
      </c>
      <c r="F78" s="135" t="s">
        <v>268</v>
      </c>
      <c r="G78" s="135" t="s">
        <v>1054</v>
      </c>
      <c r="H78" s="110" t="s">
        <v>680</v>
      </c>
    </row>
    <row r="79" spans="1:8" ht="29" x14ac:dyDescent="0.35">
      <c r="A79" s="158">
        <v>45415</v>
      </c>
      <c r="B79" s="135" t="s">
        <v>1050</v>
      </c>
      <c r="C79" s="159" t="s">
        <v>1051</v>
      </c>
      <c r="D79" s="135">
        <v>1</v>
      </c>
      <c r="E79" s="135" t="s">
        <v>1052</v>
      </c>
      <c r="F79" s="135" t="s">
        <v>268</v>
      </c>
      <c r="G79" s="159" t="s">
        <v>1053</v>
      </c>
      <c r="H79" s="110" t="s">
        <v>7</v>
      </c>
    </row>
    <row r="80" spans="1:8" ht="29" x14ac:dyDescent="0.35">
      <c r="A80" s="158">
        <v>45416</v>
      </c>
      <c r="B80" s="159" t="s">
        <v>1056</v>
      </c>
      <c r="C80" s="159" t="s">
        <v>1059</v>
      </c>
      <c r="D80" s="135">
        <v>1</v>
      </c>
      <c r="E80" s="135" t="s">
        <v>1057</v>
      </c>
      <c r="F80" s="135" t="s">
        <v>268</v>
      </c>
      <c r="G80" s="159" t="s">
        <v>1058</v>
      </c>
      <c r="H80" s="110" t="s">
        <v>7</v>
      </c>
    </row>
    <row r="81" spans="1:8" ht="29" x14ac:dyDescent="0.35">
      <c r="A81" s="158">
        <v>45423</v>
      </c>
      <c r="B81" s="135" t="s">
        <v>1069</v>
      </c>
      <c r="C81" s="159" t="s">
        <v>1072</v>
      </c>
      <c r="D81" s="135">
        <v>1</v>
      </c>
      <c r="E81" s="135" t="s">
        <v>1087</v>
      </c>
      <c r="F81" s="135" t="s">
        <v>268</v>
      </c>
      <c r="G81" s="276" t="s">
        <v>1108</v>
      </c>
      <c r="H81" s="110" t="s">
        <v>7</v>
      </c>
    </row>
    <row r="82" spans="1:8" ht="58" x14ac:dyDescent="0.35">
      <c r="A82" s="158">
        <v>45424</v>
      </c>
      <c r="B82" s="135" t="s">
        <v>1071</v>
      </c>
      <c r="C82" s="159" t="s">
        <v>1073</v>
      </c>
      <c r="D82" s="135">
        <v>4</v>
      </c>
      <c r="E82" s="159" t="s">
        <v>1088</v>
      </c>
      <c r="F82" s="135" t="s">
        <v>189</v>
      </c>
      <c r="G82" s="159" t="s">
        <v>1074</v>
      </c>
      <c r="H82" s="110" t="s">
        <v>377</v>
      </c>
    </row>
    <row r="83" spans="1:8" ht="29" x14ac:dyDescent="0.35">
      <c r="A83" s="158">
        <v>45429</v>
      </c>
      <c r="B83" s="135" t="s">
        <v>1080</v>
      </c>
      <c r="C83" s="159" t="s">
        <v>1081</v>
      </c>
      <c r="D83" s="135">
        <v>1</v>
      </c>
      <c r="E83" s="135" t="s">
        <v>1089</v>
      </c>
      <c r="F83" s="135" t="s">
        <v>268</v>
      </c>
      <c r="G83" s="159" t="s">
        <v>1082</v>
      </c>
      <c r="H83" s="110" t="s">
        <v>7</v>
      </c>
    </row>
    <row r="84" spans="1:8" ht="43.5" x14ac:dyDescent="0.35">
      <c r="A84" s="158">
        <v>45434</v>
      </c>
      <c r="B84" s="135" t="s">
        <v>1085</v>
      </c>
      <c r="C84" s="159" t="s">
        <v>1090</v>
      </c>
      <c r="D84" s="135">
        <v>3</v>
      </c>
      <c r="E84" s="159" t="s">
        <v>1091</v>
      </c>
      <c r="F84" s="135" t="s">
        <v>189</v>
      </c>
      <c r="G84" s="159" t="s">
        <v>1103</v>
      </c>
      <c r="H84" s="110" t="s">
        <v>7</v>
      </c>
    </row>
    <row r="85" spans="1:8" ht="29" x14ac:dyDescent="0.35">
      <c r="A85" s="158">
        <v>45440</v>
      </c>
      <c r="B85" s="135" t="s">
        <v>1092</v>
      </c>
      <c r="C85" s="159" t="s">
        <v>1093</v>
      </c>
      <c r="D85" s="135">
        <v>1</v>
      </c>
      <c r="E85" s="135" t="s">
        <v>1094</v>
      </c>
      <c r="F85" s="135" t="s">
        <v>268</v>
      </c>
      <c r="G85" s="159" t="s">
        <v>1095</v>
      </c>
      <c r="H85" s="110" t="s">
        <v>7</v>
      </c>
    </row>
    <row r="86" spans="1:8" ht="72.5" x14ac:dyDescent="0.35">
      <c r="A86" s="158">
        <v>45443</v>
      </c>
      <c r="B86" s="159" t="s">
        <v>1102</v>
      </c>
      <c r="C86" s="159"/>
      <c r="D86" s="135">
        <v>2</v>
      </c>
      <c r="E86" s="159" t="s">
        <v>1105</v>
      </c>
      <c r="F86" s="135" t="s">
        <v>189</v>
      </c>
      <c r="G86" s="159" t="s">
        <v>1104</v>
      </c>
      <c r="H86" s="110" t="s">
        <v>7</v>
      </c>
    </row>
    <row r="87" spans="1:8" ht="43.5" x14ac:dyDescent="0.35">
      <c r="A87" s="158">
        <v>45447</v>
      </c>
      <c r="B87" s="135" t="s">
        <v>1110</v>
      </c>
      <c r="C87" s="159" t="s">
        <v>1111</v>
      </c>
      <c r="D87" s="135">
        <v>1</v>
      </c>
      <c r="E87" s="135" t="s">
        <v>1112</v>
      </c>
      <c r="F87" s="135" t="s">
        <v>268</v>
      </c>
      <c r="G87" s="159" t="s">
        <v>1427</v>
      </c>
      <c r="H87" s="110" t="s">
        <v>7</v>
      </c>
    </row>
    <row r="88" spans="1:8" ht="72.5" x14ac:dyDescent="0.35">
      <c r="A88" s="158">
        <v>45450</v>
      </c>
      <c r="B88" s="159" t="s">
        <v>1240</v>
      </c>
      <c r="C88" s="159" t="s">
        <v>1246</v>
      </c>
      <c r="D88" s="135">
        <v>2</v>
      </c>
      <c r="E88" s="159" t="s">
        <v>1258</v>
      </c>
      <c r="F88" s="135" t="s">
        <v>268</v>
      </c>
      <c r="G88" s="159" t="s">
        <v>1245</v>
      </c>
      <c r="H88" s="110" t="s">
        <v>7</v>
      </c>
    </row>
    <row r="89" spans="1:8" ht="29" x14ac:dyDescent="0.35">
      <c r="A89" s="158">
        <v>45454</v>
      </c>
      <c r="B89" s="135" t="s">
        <v>1242</v>
      </c>
      <c r="C89" s="159" t="s">
        <v>1244</v>
      </c>
      <c r="D89" s="135">
        <v>1</v>
      </c>
      <c r="E89" s="135" t="s">
        <v>1261</v>
      </c>
      <c r="F89" s="135" t="s">
        <v>268</v>
      </c>
      <c r="G89" s="135" t="s">
        <v>355</v>
      </c>
      <c r="H89" s="110"/>
    </row>
    <row r="90" spans="1:8" ht="29" x14ac:dyDescent="0.35">
      <c r="A90" s="158">
        <v>45457</v>
      </c>
      <c r="B90" s="135" t="s">
        <v>1250</v>
      </c>
      <c r="C90" s="159" t="s">
        <v>1252</v>
      </c>
      <c r="D90" s="135">
        <v>1</v>
      </c>
      <c r="E90" s="135" t="s">
        <v>1253</v>
      </c>
      <c r="F90" s="135" t="s">
        <v>268</v>
      </c>
      <c r="G90" s="159" t="s">
        <v>1254</v>
      </c>
      <c r="H90" s="110"/>
    </row>
    <row r="91" spans="1:8" ht="29" x14ac:dyDescent="0.35">
      <c r="A91" s="158">
        <v>45458</v>
      </c>
      <c r="B91" s="135" t="s">
        <v>1260</v>
      </c>
      <c r="C91" s="159" t="s">
        <v>1262</v>
      </c>
      <c r="D91" s="135">
        <v>1</v>
      </c>
      <c r="E91" s="135" t="s">
        <v>1270</v>
      </c>
      <c r="F91" s="135" t="s">
        <v>268</v>
      </c>
      <c r="G91" s="159" t="s">
        <v>1263</v>
      </c>
      <c r="H91" s="110" t="s">
        <v>7</v>
      </c>
    </row>
    <row r="92" spans="1:8" ht="87" x14ac:dyDescent="0.35">
      <c r="A92" s="158">
        <v>45468</v>
      </c>
      <c r="B92" s="159" t="s">
        <v>1265</v>
      </c>
      <c r="C92" s="159" t="s">
        <v>1267</v>
      </c>
      <c r="D92" s="135">
        <v>5</v>
      </c>
      <c r="E92" s="159" t="s">
        <v>1269</v>
      </c>
      <c r="F92" s="135" t="s">
        <v>189</v>
      </c>
      <c r="G92" s="159" t="s">
        <v>1268</v>
      </c>
      <c r="H92" s="110" t="s">
        <v>377</v>
      </c>
    </row>
    <row r="93" spans="1:8" ht="29" x14ac:dyDescent="0.35">
      <c r="A93" s="158">
        <v>45478</v>
      </c>
      <c r="B93" s="135" t="s">
        <v>1279</v>
      </c>
      <c r="C93" s="152" t="s">
        <v>1286</v>
      </c>
      <c r="D93" s="135">
        <v>1</v>
      </c>
      <c r="E93" s="135" t="s">
        <v>1284</v>
      </c>
      <c r="F93" s="135" t="s">
        <v>268</v>
      </c>
      <c r="G93" s="159" t="s">
        <v>1287</v>
      </c>
      <c r="H93" s="110" t="s">
        <v>7</v>
      </c>
    </row>
    <row r="94" spans="1:8" ht="29" x14ac:dyDescent="0.35">
      <c r="A94" s="158">
        <v>45482</v>
      </c>
      <c r="B94" s="135" t="s">
        <v>1280</v>
      </c>
      <c r="C94" s="159" t="s">
        <v>1281</v>
      </c>
      <c r="D94" s="135">
        <v>1</v>
      </c>
      <c r="E94" s="135" t="s">
        <v>1283</v>
      </c>
      <c r="F94" s="135" t="s">
        <v>268</v>
      </c>
      <c r="G94" s="159" t="s">
        <v>1282</v>
      </c>
      <c r="H94" s="110" t="s">
        <v>377</v>
      </c>
    </row>
    <row r="95" spans="1:8" ht="43.5" x14ac:dyDescent="0.35">
      <c r="A95" s="158">
        <v>45484</v>
      </c>
      <c r="B95" s="135" t="s">
        <v>1289</v>
      </c>
      <c r="C95" s="159" t="s">
        <v>1291</v>
      </c>
      <c r="D95" s="135">
        <v>1</v>
      </c>
      <c r="E95" s="135" t="s">
        <v>1293</v>
      </c>
      <c r="F95" s="135" t="s">
        <v>268</v>
      </c>
      <c r="G95" s="159" t="s">
        <v>1292</v>
      </c>
      <c r="H95" s="110" t="s">
        <v>7</v>
      </c>
    </row>
    <row r="96" spans="1:8" ht="29" x14ac:dyDescent="0.35">
      <c r="A96" s="158">
        <v>45496</v>
      </c>
      <c r="B96" s="135" t="s">
        <v>1299</v>
      </c>
      <c r="C96" s="159" t="s">
        <v>1300</v>
      </c>
      <c r="D96" s="135">
        <v>1</v>
      </c>
      <c r="E96" s="135" t="s">
        <v>1301</v>
      </c>
      <c r="F96" s="135" t="s">
        <v>268</v>
      </c>
      <c r="G96" s="159" t="s">
        <v>353</v>
      </c>
      <c r="H96" s="110" t="s">
        <v>7</v>
      </c>
    </row>
    <row r="97" spans="1:8" ht="29" x14ac:dyDescent="0.35">
      <c r="A97" s="158">
        <v>45512</v>
      </c>
      <c r="B97" s="135" t="s">
        <v>1320</v>
      </c>
      <c r="C97" s="159" t="s">
        <v>1321</v>
      </c>
      <c r="D97" s="135">
        <v>1</v>
      </c>
      <c r="E97" s="135" t="s">
        <v>1323</v>
      </c>
      <c r="F97" s="135" t="s">
        <v>268</v>
      </c>
      <c r="G97" s="159" t="s">
        <v>1322</v>
      </c>
      <c r="H97" s="110" t="s">
        <v>7</v>
      </c>
    </row>
    <row r="98" spans="1:8" ht="58" x14ac:dyDescent="0.35">
      <c r="A98" s="158">
        <v>45524</v>
      </c>
      <c r="B98" s="159" t="s">
        <v>1330</v>
      </c>
      <c r="C98" s="159" t="s">
        <v>1337</v>
      </c>
      <c r="D98" s="135">
        <v>4</v>
      </c>
      <c r="E98" s="159" t="s">
        <v>1331</v>
      </c>
      <c r="F98" s="135" t="s">
        <v>189</v>
      </c>
      <c r="G98" s="159" t="s">
        <v>1429</v>
      </c>
      <c r="H98" s="110" t="s">
        <v>7</v>
      </c>
    </row>
    <row r="99" spans="1:8" ht="29" x14ac:dyDescent="0.35">
      <c r="A99" s="158">
        <v>45544</v>
      </c>
      <c r="B99" s="135" t="s">
        <v>1359</v>
      </c>
      <c r="C99" s="159" t="s">
        <v>1360</v>
      </c>
      <c r="D99" s="135">
        <v>1</v>
      </c>
      <c r="E99" s="135" t="s">
        <v>1362</v>
      </c>
      <c r="F99" s="135" t="s">
        <v>268</v>
      </c>
      <c r="G99" s="159" t="s">
        <v>1365</v>
      </c>
      <c r="H99" s="110" t="s">
        <v>7</v>
      </c>
    </row>
    <row r="100" spans="1:8" ht="29" x14ac:dyDescent="0.35">
      <c r="A100" s="158">
        <v>45544</v>
      </c>
      <c r="B100" s="135" t="s">
        <v>1356</v>
      </c>
      <c r="C100" s="159" t="s">
        <v>1361</v>
      </c>
      <c r="D100" s="135">
        <v>1</v>
      </c>
      <c r="E100" s="135" t="s">
        <v>1363</v>
      </c>
      <c r="F100" s="135" t="s">
        <v>268</v>
      </c>
      <c r="G100" s="159" t="s">
        <v>1364</v>
      </c>
      <c r="H100" s="110" t="s">
        <v>7</v>
      </c>
    </row>
    <row r="101" spans="1:8" ht="29" x14ac:dyDescent="0.35">
      <c r="A101" s="158">
        <v>45546</v>
      </c>
      <c r="B101" s="159" t="s">
        <v>1367</v>
      </c>
      <c r="C101" s="159" t="s">
        <v>1368</v>
      </c>
      <c r="D101" s="135">
        <v>1</v>
      </c>
      <c r="E101" s="135" t="s">
        <v>1369</v>
      </c>
      <c r="F101" s="135" t="s">
        <v>268</v>
      </c>
      <c r="G101" s="159" t="s">
        <v>1370</v>
      </c>
      <c r="H101" s="110" t="s">
        <v>377</v>
      </c>
    </row>
    <row r="102" spans="1:8" ht="29" x14ac:dyDescent="0.35">
      <c r="A102" s="158">
        <v>45548</v>
      </c>
      <c r="B102" s="135" t="s">
        <v>1375</v>
      </c>
      <c r="C102" s="159" t="s">
        <v>1376</v>
      </c>
      <c r="D102" s="135">
        <v>2</v>
      </c>
      <c r="E102" s="159" t="s">
        <v>1388</v>
      </c>
      <c r="F102" s="135" t="s">
        <v>268</v>
      </c>
      <c r="G102" s="159" t="s">
        <v>1419</v>
      </c>
      <c r="H102" s="110" t="s">
        <v>377</v>
      </c>
    </row>
    <row r="103" spans="1:8" ht="29" x14ac:dyDescent="0.35">
      <c r="A103" s="158">
        <v>45548</v>
      </c>
      <c r="B103" s="135" t="s">
        <v>1378</v>
      </c>
      <c r="C103" s="159" t="s">
        <v>1380</v>
      </c>
      <c r="D103" s="135">
        <v>1</v>
      </c>
      <c r="E103" s="135" t="s">
        <v>1381</v>
      </c>
      <c r="F103" s="135" t="s">
        <v>268</v>
      </c>
      <c r="G103" s="159" t="s">
        <v>1419</v>
      </c>
      <c r="H103" s="110" t="s">
        <v>377</v>
      </c>
    </row>
    <row r="104" spans="1:8" ht="29" x14ac:dyDescent="0.35">
      <c r="A104" s="158">
        <v>45548</v>
      </c>
      <c r="B104" s="135" t="s">
        <v>1382</v>
      </c>
      <c r="C104" s="159" t="s">
        <v>1383</v>
      </c>
      <c r="D104" s="135">
        <v>3</v>
      </c>
      <c r="E104" s="159" t="s">
        <v>1384</v>
      </c>
      <c r="F104" s="135" t="s">
        <v>189</v>
      </c>
      <c r="G104" s="159" t="s">
        <v>1419</v>
      </c>
      <c r="H104" s="110" t="s">
        <v>377</v>
      </c>
    </row>
    <row r="105" spans="1:8" ht="29" x14ac:dyDescent="0.35">
      <c r="A105" s="158">
        <v>45549</v>
      </c>
      <c r="B105" s="135" t="s">
        <v>1385</v>
      </c>
      <c r="C105" s="159" t="s">
        <v>1386</v>
      </c>
      <c r="D105" s="135">
        <v>1</v>
      </c>
      <c r="E105" s="135" t="s">
        <v>1387</v>
      </c>
      <c r="F105" s="135" t="s">
        <v>268</v>
      </c>
      <c r="G105" s="159" t="s">
        <v>1370</v>
      </c>
      <c r="H105" s="110" t="s">
        <v>377</v>
      </c>
    </row>
    <row r="106" spans="1:8" ht="29" x14ac:dyDescent="0.35">
      <c r="A106" s="158">
        <v>45549</v>
      </c>
      <c r="B106" s="135" t="s">
        <v>1389</v>
      </c>
      <c r="C106" s="159" t="s">
        <v>1390</v>
      </c>
      <c r="D106" s="135">
        <v>2</v>
      </c>
      <c r="E106" s="159" t="s">
        <v>1391</v>
      </c>
      <c r="F106" s="135" t="s">
        <v>268</v>
      </c>
      <c r="G106" s="159" t="s">
        <v>1370</v>
      </c>
      <c r="H106" s="110" t="s">
        <v>377</v>
      </c>
    </row>
    <row r="107" spans="1:8" ht="43.5" x14ac:dyDescent="0.35">
      <c r="A107" s="158">
        <v>45552</v>
      </c>
      <c r="B107" s="135" t="s">
        <v>1392</v>
      </c>
      <c r="C107" s="159" t="s">
        <v>1394</v>
      </c>
      <c r="D107" s="135">
        <v>2</v>
      </c>
      <c r="E107" s="135" t="s">
        <v>1395</v>
      </c>
      <c r="F107" s="135" t="s">
        <v>268</v>
      </c>
      <c r="G107" s="159" t="s">
        <v>1396</v>
      </c>
      <c r="H107" s="110" t="s">
        <v>377</v>
      </c>
    </row>
    <row r="108" spans="1:8" ht="29" x14ac:dyDescent="0.35">
      <c r="A108" s="326">
        <v>45553</v>
      </c>
      <c r="B108" s="182" t="s">
        <v>1398</v>
      </c>
      <c r="C108" s="189" t="s">
        <v>1399</v>
      </c>
      <c r="D108" s="182">
        <v>1</v>
      </c>
      <c r="E108" s="182" t="s">
        <v>1400</v>
      </c>
      <c r="F108" s="182" t="s">
        <v>268</v>
      </c>
      <c r="G108" s="189" t="s">
        <v>1370</v>
      </c>
      <c r="H108" s="157" t="s">
        <v>377</v>
      </c>
    </row>
    <row r="109" spans="1:8" ht="29" x14ac:dyDescent="0.35">
      <c r="A109" s="158">
        <v>45553</v>
      </c>
      <c r="B109" s="135" t="s">
        <v>1405</v>
      </c>
      <c r="C109" s="159" t="s">
        <v>1407</v>
      </c>
      <c r="D109" s="135">
        <v>1</v>
      </c>
      <c r="E109" s="135" t="s">
        <v>1409</v>
      </c>
      <c r="F109" s="135" t="s">
        <v>268</v>
      </c>
      <c r="G109" s="159" t="s">
        <v>1408</v>
      </c>
      <c r="H109" s="110" t="s">
        <v>90</v>
      </c>
    </row>
    <row r="110" spans="1:8" ht="145" x14ac:dyDescent="0.35">
      <c r="A110" s="158">
        <v>45553</v>
      </c>
      <c r="B110" s="159" t="s">
        <v>1416</v>
      </c>
      <c r="C110" s="159" t="s">
        <v>1417</v>
      </c>
      <c r="D110" s="135">
        <v>10</v>
      </c>
      <c r="E110" s="159" t="s">
        <v>1560</v>
      </c>
      <c r="F110" s="135" t="s">
        <v>189</v>
      </c>
      <c r="G110" s="159" t="s">
        <v>1418</v>
      </c>
      <c r="H110" s="110" t="s">
        <v>377</v>
      </c>
    </row>
    <row r="111" spans="1:8" ht="43.5" x14ac:dyDescent="0.35">
      <c r="A111" s="158">
        <v>45556</v>
      </c>
      <c r="B111" s="159" t="s">
        <v>1422</v>
      </c>
      <c r="C111" s="159" t="s">
        <v>1423</v>
      </c>
      <c r="D111" s="135">
        <v>1</v>
      </c>
      <c r="E111" s="135" t="s">
        <v>1425</v>
      </c>
      <c r="F111" s="135" t="s">
        <v>268</v>
      </c>
      <c r="G111" s="159" t="s">
        <v>1424</v>
      </c>
      <c r="H111" s="110" t="s">
        <v>7</v>
      </c>
    </row>
    <row r="112" spans="1:8" ht="29" x14ac:dyDescent="0.35">
      <c r="A112" s="158">
        <v>45559</v>
      </c>
      <c r="B112" s="135" t="s">
        <v>1279</v>
      </c>
      <c r="C112" s="159" t="s">
        <v>1286</v>
      </c>
      <c r="D112" s="135">
        <v>1</v>
      </c>
      <c r="E112" s="135" t="s">
        <v>1426</v>
      </c>
      <c r="F112" s="135" t="s">
        <v>268</v>
      </c>
      <c r="G112" s="159" t="s">
        <v>1428</v>
      </c>
      <c r="H112" s="110" t="s">
        <v>7</v>
      </c>
    </row>
    <row r="113" spans="1:8" ht="29" x14ac:dyDescent="0.35">
      <c r="A113" s="158">
        <v>45560</v>
      </c>
      <c r="B113" s="135" t="s">
        <v>1433</v>
      </c>
      <c r="C113" s="159" t="s">
        <v>342</v>
      </c>
      <c r="D113" s="135">
        <v>1</v>
      </c>
      <c r="E113" s="135" t="s">
        <v>1435</v>
      </c>
      <c r="F113" s="135" t="s">
        <v>189</v>
      </c>
      <c r="G113" s="159" t="s">
        <v>1436</v>
      </c>
      <c r="H113" s="110" t="s">
        <v>377</v>
      </c>
    </row>
    <row r="114" spans="1:8" ht="29" x14ac:dyDescent="0.35">
      <c r="A114" s="158">
        <v>45562</v>
      </c>
      <c r="B114" s="159" t="s">
        <v>1440</v>
      </c>
      <c r="C114" s="159" t="s">
        <v>1441</v>
      </c>
      <c r="D114" s="135">
        <v>1</v>
      </c>
      <c r="E114" s="135" t="s">
        <v>1442</v>
      </c>
      <c r="F114" s="135" t="s">
        <v>268</v>
      </c>
      <c r="G114" s="159" t="s">
        <v>1443</v>
      </c>
      <c r="H114" s="110" t="s">
        <v>377</v>
      </c>
    </row>
    <row r="115" spans="1:8" ht="29" x14ac:dyDescent="0.35">
      <c r="A115" s="158">
        <v>45568</v>
      </c>
      <c r="B115" s="159" t="s">
        <v>1451</v>
      </c>
      <c r="C115" s="159" t="s">
        <v>1454</v>
      </c>
      <c r="D115" s="135">
        <v>1</v>
      </c>
      <c r="E115" s="135" t="s">
        <v>1455</v>
      </c>
      <c r="F115" s="135" t="s">
        <v>189</v>
      </c>
      <c r="G115" s="159" t="s">
        <v>1436</v>
      </c>
      <c r="H115" s="110" t="s">
        <v>377</v>
      </c>
    </row>
    <row r="116" spans="1:8" ht="43.5" x14ac:dyDescent="0.35">
      <c r="A116" s="158">
        <v>45572</v>
      </c>
      <c r="B116" s="159" t="s">
        <v>1457</v>
      </c>
      <c r="C116" s="159" t="s">
        <v>1459</v>
      </c>
      <c r="D116" s="135">
        <v>3</v>
      </c>
      <c r="E116" s="159" t="s">
        <v>1460</v>
      </c>
      <c r="F116" s="135" t="s">
        <v>189</v>
      </c>
      <c r="G116" s="159" t="s">
        <v>1436</v>
      </c>
      <c r="H116" s="110" t="s">
        <v>377</v>
      </c>
    </row>
    <row r="117" spans="1:8" ht="43.5" x14ac:dyDescent="0.35">
      <c r="A117" s="158">
        <v>45574</v>
      </c>
      <c r="B117" s="159" t="s">
        <v>1461</v>
      </c>
      <c r="C117" s="159" t="s">
        <v>1463</v>
      </c>
      <c r="D117" s="135">
        <v>2</v>
      </c>
      <c r="E117" s="159" t="s">
        <v>1465</v>
      </c>
      <c r="F117" s="135" t="s">
        <v>268</v>
      </c>
      <c r="G117" s="159" t="s">
        <v>1464</v>
      </c>
      <c r="H117" s="110" t="s">
        <v>7</v>
      </c>
    </row>
    <row r="118" spans="1:8" ht="43.5" x14ac:dyDescent="0.35">
      <c r="A118" s="158">
        <v>45575</v>
      </c>
      <c r="B118" s="159" t="s">
        <v>1468</v>
      </c>
      <c r="C118" s="159" t="s">
        <v>1470</v>
      </c>
      <c r="D118" s="135">
        <v>3</v>
      </c>
      <c r="E118" s="159" t="s">
        <v>1559</v>
      </c>
      <c r="F118" s="135" t="s">
        <v>189</v>
      </c>
      <c r="G118" s="159" t="s">
        <v>1436</v>
      </c>
      <c r="H118" s="110" t="s">
        <v>377</v>
      </c>
    </row>
    <row r="119" spans="1:8" ht="87" x14ac:dyDescent="0.35">
      <c r="A119" s="158">
        <v>45576</v>
      </c>
      <c r="B119" s="159" t="s">
        <v>1471</v>
      </c>
      <c r="C119" s="159" t="s">
        <v>1474</v>
      </c>
      <c r="D119" s="135">
        <v>8</v>
      </c>
      <c r="E119" s="159" t="s">
        <v>1608</v>
      </c>
      <c r="F119" s="135" t="s">
        <v>189</v>
      </c>
      <c r="G119" s="159" t="s">
        <v>1436</v>
      </c>
      <c r="H119" s="110" t="s">
        <v>377</v>
      </c>
    </row>
    <row r="120" spans="1:8" ht="43.5" x14ac:dyDescent="0.35">
      <c r="A120" s="326">
        <v>45576</v>
      </c>
      <c r="B120" s="182" t="s">
        <v>1473</v>
      </c>
      <c r="C120" s="189" t="s">
        <v>1475</v>
      </c>
      <c r="D120" s="182">
        <v>3</v>
      </c>
      <c r="E120" s="189" t="s">
        <v>1476</v>
      </c>
      <c r="F120" s="182" t="s">
        <v>189</v>
      </c>
      <c r="G120" s="189" t="s">
        <v>1436</v>
      </c>
      <c r="H120" s="157" t="s">
        <v>377</v>
      </c>
    </row>
    <row r="121" spans="1:8" ht="51.75" customHeight="1" x14ac:dyDescent="0.35">
      <c r="A121" s="158">
        <v>45582</v>
      </c>
      <c r="B121" s="159" t="s">
        <v>1478</v>
      </c>
      <c r="C121" s="159" t="s">
        <v>1480</v>
      </c>
      <c r="D121" s="135"/>
      <c r="E121" s="135" t="s">
        <v>1489</v>
      </c>
      <c r="F121" s="135" t="s">
        <v>189</v>
      </c>
      <c r="G121" s="159" t="s">
        <v>1481</v>
      </c>
      <c r="H121" s="111" t="s">
        <v>1482</v>
      </c>
    </row>
    <row r="122" spans="1:8" ht="29" x14ac:dyDescent="0.35">
      <c r="A122" s="158">
        <v>45583</v>
      </c>
      <c r="B122" s="159" t="s">
        <v>1485</v>
      </c>
      <c r="C122" s="159" t="s">
        <v>1487</v>
      </c>
      <c r="D122" s="135">
        <v>1</v>
      </c>
      <c r="E122" s="135" t="s">
        <v>1490</v>
      </c>
      <c r="F122" s="135" t="s">
        <v>268</v>
      </c>
      <c r="G122" s="276" t="s">
        <v>1486</v>
      </c>
      <c r="H122" s="110" t="s">
        <v>7</v>
      </c>
    </row>
    <row r="123" spans="1:8" ht="58" x14ac:dyDescent="0.35">
      <c r="A123" s="158">
        <v>45584</v>
      </c>
      <c r="B123" s="135" t="s">
        <v>1491</v>
      </c>
      <c r="C123" s="159" t="s">
        <v>1494</v>
      </c>
      <c r="D123" s="135">
        <v>4</v>
      </c>
      <c r="E123" s="159" t="s">
        <v>1547</v>
      </c>
      <c r="F123" s="135" t="s">
        <v>189</v>
      </c>
      <c r="G123" s="159" t="s">
        <v>1436</v>
      </c>
      <c r="H123" s="110" t="s">
        <v>377</v>
      </c>
    </row>
    <row r="124" spans="1:8" ht="29" x14ac:dyDescent="0.35">
      <c r="A124" s="158">
        <v>45586</v>
      </c>
      <c r="B124" s="159" t="s">
        <v>1543</v>
      </c>
      <c r="C124" s="159" t="s">
        <v>1545</v>
      </c>
      <c r="D124" s="135">
        <v>2</v>
      </c>
      <c r="E124" s="159" t="s">
        <v>1546</v>
      </c>
      <c r="F124" s="135" t="s">
        <v>189</v>
      </c>
      <c r="G124" s="159" t="s">
        <v>1436</v>
      </c>
      <c r="H124" s="110" t="s">
        <v>377</v>
      </c>
    </row>
    <row r="125" spans="1:8" ht="29" x14ac:dyDescent="0.35">
      <c r="A125" s="158">
        <v>45586</v>
      </c>
      <c r="B125" s="159" t="s">
        <v>1551</v>
      </c>
      <c r="C125" s="159" t="s">
        <v>1554</v>
      </c>
      <c r="D125" s="135">
        <v>1</v>
      </c>
      <c r="E125" s="159" t="s">
        <v>1556</v>
      </c>
      <c r="F125" s="135" t="s">
        <v>189</v>
      </c>
      <c r="G125" s="159" t="s">
        <v>1555</v>
      </c>
      <c r="H125" s="110" t="s">
        <v>7</v>
      </c>
    </row>
    <row r="126" spans="1:8" ht="72.5" x14ac:dyDescent="0.35">
      <c r="A126" s="158">
        <v>45588</v>
      </c>
      <c r="B126" s="159" t="s">
        <v>1548</v>
      </c>
      <c r="C126" s="159" t="s">
        <v>1550</v>
      </c>
      <c r="D126" s="135">
        <v>5</v>
      </c>
      <c r="E126" s="159" t="s">
        <v>1648</v>
      </c>
      <c r="F126" s="135" t="s">
        <v>189</v>
      </c>
      <c r="G126" s="159" t="s">
        <v>1436</v>
      </c>
      <c r="H126" s="110" t="s">
        <v>377</v>
      </c>
    </row>
    <row r="127" spans="1:8" ht="29" x14ac:dyDescent="0.35">
      <c r="A127" s="158">
        <v>45589</v>
      </c>
      <c r="B127" s="159" t="s">
        <v>1557</v>
      </c>
      <c r="C127" s="159" t="s">
        <v>1574</v>
      </c>
      <c r="D127" s="135">
        <v>1</v>
      </c>
      <c r="E127" s="135" t="s">
        <v>1576</v>
      </c>
      <c r="F127" s="135" t="s">
        <v>268</v>
      </c>
      <c r="G127" s="159" t="s">
        <v>1575</v>
      </c>
      <c r="H127" s="110" t="s">
        <v>7</v>
      </c>
    </row>
    <row r="128" spans="1:8" ht="29" x14ac:dyDescent="0.35">
      <c r="A128" s="158">
        <v>45594</v>
      </c>
      <c r="B128" s="135" t="s">
        <v>1561</v>
      </c>
      <c r="C128" s="159" t="s">
        <v>1563</v>
      </c>
      <c r="D128" s="135">
        <v>1</v>
      </c>
      <c r="E128" s="135" t="s">
        <v>1565</v>
      </c>
      <c r="F128" s="135" t="s">
        <v>268</v>
      </c>
      <c r="G128" s="159" t="s">
        <v>1564</v>
      </c>
      <c r="H128" s="110" t="s">
        <v>7</v>
      </c>
    </row>
    <row r="129" spans="1:8" ht="29" x14ac:dyDescent="0.35">
      <c r="A129" s="158">
        <v>45594</v>
      </c>
      <c r="B129" s="135" t="s">
        <v>1566</v>
      </c>
      <c r="C129" s="159" t="s">
        <v>1568</v>
      </c>
      <c r="D129" s="135">
        <v>1</v>
      </c>
      <c r="E129" s="135" t="s">
        <v>1570</v>
      </c>
      <c r="F129" s="135" t="s">
        <v>268</v>
      </c>
      <c r="G129" s="159" t="s">
        <v>1569</v>
      </c>
      <c r="H129" s="110" t="s">
        <v>7</v>
      </c>
    </row>
    <row r="130" spans="1:8" ht="29" x14ac:dyDescent="0.35">
      <c r="A130" s="158">
        <v>45594</v>
      </c>
      <c r="B130" s="135" t="s">
        <v>1571</v>
      </c>
      <c r="C130" s="159" t="s">
        <v>1607</v>
      </c>
      <c r="D130" s="135">
        <v>1</v>
      </c>
      <c r="E130" s="135" t="s">
        <v>1573</v>
      </c>
      <c r="F130" s="135" t="s">
        <v>268</v>
      </c>
      <c r="G130" s="159" t="s">
        <v>1572</v>
      </c>
      <c r="H130" s="110" t="s">
        <v>7</v>
      </c>
    </row>
    <row r="131" spans="1:8" ht="29" x14ac:dyDescent="0.35">
      <c r="A131" s="158">
        <v>45596</v>
      </c>
      <c r="B131" s="159" t="s">
        <v>1578</v>
      </c>
      <c r="C131" s="159" t="s">
        <v>1581</v>
      </c>
      <c r="D131" s="135">
        <v>1</v>
      </c>
      <c r="E131" s="135" t="s">
        <v>1580</v>
      </c>
      <c r="F131" s="135" t="s">
        <v>268</v>
      </c>
      <c r="G131" s="159" t="s">
        <v>1579</v>
      </c>
      <c r="H131" s="110" t="s">
        <v>7</v>
      </c>
    </row>
    <row r="132" spans="1:8" ht="29" x14ac:dyDescent="0.35">
      <c r="A132" s="158">
        <v>45597</v>
      </c>
      <c r="B132" s="135" t="s">
        <v>1584</v>
      </c>
      <c r="C132" s="159" t="s">
        <v>1586</v>
      </c>
      <c r="D132" s="135">
        <v>1</v>
      </c>
      <c r="E132" s="135" t="s">
        <v>1587</v>
      </c>
      <c r="F132" s="135" t="s">
        <v>268</v>
      </c>
      <c r="G132" s="159" t="s">
        <v>1569</v>
      </c>
      <c r="H132" s="110" t="s">
        <v>7</v>
      </c>
    </row>
    <row r="133" spans="1:8" ht="29" x14ac:dyDescent="0.35">
      <c r="A133" s="158">
        <v>45601</v>
      </c>
      <c r="B133" s="135" t="s">
        <v>1593</v>
      </c>
      <c r="C133" s="159" t="s">
        <v>1595</v>
      </c>
      <c r="D133" s="135">
        <v>2</v>
      </c>
      <c r="E133" s="159" t="s">
        <v>1605</v>
      </c>
      <c r="F133" s="135" t="s">
        <v>268</v>
      </c>
      <c r="G133" s="159" t="s">
        <v>1579</v>
      </c>
      <c r="H133" s="110" t="s">
        <v>7</v>
      </c>
    </row>
    <row r="134" spans="1:8" ht="43.5" x14ac:dyDescent="0.35">
      <c r="A134" s="158">
        <v>45608</v>
      </c>
      <c r="B134" s="135" t="s">
        <v>1609</v>
      </c>
      <c r="C134" s="159" t="s">
        <v>1611</v>
      </c>
      <c r="D134" s="135">
        <v>3</v>
      </c>
      <c r="E134" s="159" t="s">
        <v>1612</v>
      </c>
      <c r="F134" s="135" t="s">
        <v>268</v>
      </c>
      <c r="G134" s="159" t="s">
        <v>1436</v>
      </c>
      <c r="H134" s="110" t="s">
        <v>377</v>
      </c>
    </row>
    <row r="135" spans="1:8" ht="43.5" x14ac:dyDescent="0.35">
      <c r="A135" s="158">
        <v>45617</v>
      </c>
      <c r="B135" s="159" t="s">
        <v>1621</v>
      </c>
      <c r="C135" s="159" t="s">
        <v>1623</v>
      </c>
      <c r="D135" s="135">
        <v>1</v>
      </c>
      <c r="E135" s="135" t="s">
        <v>1624</v>
      </c>
      <c r="F135" s="135" t="s">
        <v>189</v>
      </c>
      <c r="G135" s="159" t="s">
        <v>1667</v>
      </c>
      <c r="H135" s="110" t="s">
        <v>7</v>
      </c>
    </row>
    <row r="136" spans="1:8" ht="58" x14ac:dyDescent="0.35">
      <c r="A136" s="158">
        <v>45618</v>
      </c>
      <c r="B136" s="135" t="s">
        <v>1625</v>
      </c>
      <c r="C136" s="159" t="s">
        <v>1627</v>
      </c>
      <c r="D136" s="135">
        <v>2</v>
      </c>
      <c r="E136" s="135" t="s">
        <v>1629</v>
      </c>
      <c r="F136" s="135" t="s">
        <v>268</v>
      </c>
      <c r="G136" s="159" t="s">
        <v>1628</v>
      </c>
      <c r="H136" s="110" t="s">
        <v>7</v>
      </c>
    </row>
    <row r="137" spans="1:8" ht="72.5" x14ac:dyDescent="0.35">
      <c r="A137" s="158">
        <v>45621</v>
      </c>
      <c r="B137" s="159" t="s">
        <v>1632</v>
      </c>
      <c r="C137" s="159"/>
      <c r="D137" s="135">
        <v>5</v>
      </c>
      <c r="E137" s="159" t="s">
        <v>1638</v>
      </c>
      <c r="F137" s="135" t="s">
        <v>189</v>
      </c>
      <c r="G137" s="159" t="s">
        <v>1668</v>
      </c>
      <c r="H137" s="110" t="s">
        <v>7</v>
      </c>
    </row>
    <row r="138" spans="1:8" ht="29" x14ac:dyDescent="0.35">
      <c r="A138" s="158">
        <v>45621</v>
      </c>
      <c r="B138" s="159" t="s">
        <v>1633</v>
      </c>
      <c r="C138" s="159" t="s">
        <v>1666</v>
      </c>
      <c r="D138" s="135">
        <v>1</v>
      </c>
      <c r="E138" s="135" t="s">
        <v>1637</v>
      </c>
      <c r="F138" s="135" t="s">
        <v>268</v>
      </c>
      <c r="G138" s="159" t="s">
        <v>1636</v>
      </c>
      <c r="H138" s="110" t="s">
        <v>1635</v>
      </c>
    </row>
    <row r="139" spans="1:8" ht="29" x14ac:dyDescent="0.35">
      <c r="A139" s="158">
        <v>45622</v>
      </c>
      <c r="B139" s="159" t="s">
        <v>1642</v>
      </c>
      <c r="C139" s="159" t="s">
        <v>1644</v>
      </c>
      <c r="D139" s="135">
        <v>1</v>
      </c>
      <c r="E139" s="135" t="s">
        <v>1646</v>
      </c>
      <c r="F139" s="135" t="s">
        <v>268</v>
      </c>
      <c r="G139" s="159" t="s">
        <v>1645</v>
      </c>
      <c r="H139" s="110" t="s">
        <v>7</v>
      </c>
    </row>
    <row r="140" spans="1:8" ht="29" x14ac:dyDescent="0.35">
      <c r="A140" s="158">
        <v>45632</v>
      </c>
      <c r="B140" s="159" t="s">
        <v>1663</v>
      </c>
      <c r="C140" s="159" t="s">
        <v>1665</v>
      </c>
      <c r="D140" s="135">
        <v>1</v>
      </c>
      <c r="E140" s="135" t="s">
        <v>1669</v>
      </c>
      <c r="F140" s="135" t="s">
        <v>268</v>
      </c>
      <c r="G140" s="159" t="s">
        <v>593</v>
      </c>
      <c r="H140" s="110" t="s">
        <v>7</v>
      </c>
    </row>
    <row r="141" spans="1:8" ht="29" x14ac:dyDescent="0.35">
      <c r="A141" s="158">
        <v>45635</v>
      </c>
      <c r="B141" s="159" t="s">
        <v>1676</v>
      </c>
      <c r="C141" s="159" t="s">
        <v>1678</v>
      </c>
      <c r="D141" s="135">
        <v>2</v>
      </c>
      <c r="E141" s="159" t="s">
        <v>1679</v>
      </c>
      <c r="F141" s="135" t="s">
        <v>189</v>
      </c>
      <c r="G141" s="159" t="s">
        <v>1429</v>
      </c>
      <c r="H141" s="110" t="s">
        <v>7</v>
      </c>
    </row>
    <row r="142" spans="1:8" ht="43.5" x14ac:dyDescent="0.35">
      <c r="A142" s="158">
        <v>45640</v>
      </c>
      <c r="B142" s="159" t="s">
        <v>1685</v>
      </c>
      <c r="C142" s="159" t="s">
        <v>1687</v>
      </c>
      <c r="D142" s="135">
        <v>2</v>
      </c>
      <c r="E142" s="159" t="s">
        <v>1689</v>
      </c>
      <c r="F142" s="135" t="s">
        <v>189</v>
      </c>
      <c r="G142" s="159" t="s">
        <v>1688</v>
      </c>
      <c r="H142" s="110" t="s">
        <v>7</v>
      </c>
    </row>
    <row r="143" spans="1:8" ht="29" x14ac:dyDescent="0.35">
      <c r="A143" s="158">
        <v>45652</v>
      </c>
      <c r="B143" s="135" t="s">
        <v>1696</v>
      </c>
      <c r="C143" s="159" t="s">
        <v>1697</v>
      </c>
      <c r="D143" s="135">
        <v>1</v>
      </c>
      <c r="E143" s="135" t="s">
        <v>1698</v>
      </c>
      <c r="F143" s="135" t="s">
        <v>268</v>
      </c>
      <c r="G143" s="159" t="s">
        <v>515</v>
      </c>
      <c r="H143" s="110" t="s">
        <v>7</v>
      </c>
    </row>
    <row r="144" spans="1:8" ht="58" x14ac:dyDescent="0.35">
      <c r="A144" s="158">
        <v>45665</v>
      </c>
      <c r="B144" s="159" t="s">
        <v>1898</v>
      </c>
      <c r="C144" s="159" t="s">
        <v>1914</v>
      </c>
      <c r="D144" s="135">
        <v>4</v>
      </c>
      <c r="E144" s="159" t="s">
        <v>2029</v>
      </c>
      <c r="F144" s="135" t="s">
        <v>189</v>
      </c>
      <c r="G144" s="159" t="s">
        <v>1915</v>
      </c>
      <c r="H144" s="110" t="s">
        <v>90</v>
      </c>
    </row>
    <row r="145" spans="1:9" ht="43.5" x14ac:dyDescent="0.35">
      <c r="A145" s="158">
        <v>45665</v>
      </c>
      <c r="B145" s="159" t="s">
        <v>1904</v>
      </c>
      <c r="C145" s="159" t="s">
        <v>1918</v>
      </c>
      <c r="D145" s="135">
        <v>1</v>
      </c>
      <c r="E145" s="135" t="s">
        <v>1917</v>
      </c>
      <c r="F145" s="135" t="s">
        <v>189</v>
      </c>
      <c r="G145" s="159" t="s">
        <v>1916</v>
      </c>
      <c r="H145" s="110" t="s">
        <v>7</v>
      </c>
    </row>
    <row r="146" spans="1:9" ht="29" x14ac:dyDescent="0.35">
      <c r="A146" s="158">
        <v>45667</v>
      </c>
      <c r="B146" s="135" t="s">
        <v>1906</v>
      </c>
      <c r="C146" s="159" t="s">
        <v>1920</v>
      </c>
      <c r="D146" s="135">
        <v>1</v>
      </c>
      <c r="E146" s="135" t="s">
        <v>1919</v>
      </c>
      <c r="F146" s="135" t="s">
        <v>268</v>
      </c>
      <c r="G146" s="159" t="s">
        <v>728</v>
      </c>
      <c r="H146" s="110" t="s">
        <v>7</v>
      </c>
    </row>
    <row r="147" spans="1:9" ht="58" x14ac:dyDescent="0.35">
      <c r="A147" s="158">
        <v>45668</v>
      </c>
      <c r="B147" s="159" t="s">
        <v>1893</v>
      </c>
      <c r="C147" s="159" t="s">
        <v>1922</v>
      </c>
      <c r="D147" s="135">
        <v>5</v>
      </c>
      <c r="E147" s="159" t="s">
        <v>2451</v>
      </c>
      <c r="F147" s="135" t="s">
        <v>189</v>
      </c>
      <c r="G147" s="159" t="s">
        <v>1921</v>
      </c>
      <c r="H147" s="110" t="s">
        <v>377</v>
      </c>
    </row>
    <row r="148" spans="1:9" ht="319" x14ac:dyDescent="0.35">
      <c r="A148" s="158">
        <v>45671</v>
      </c>
      <c r="B148" s="159" t="s">
        <v>1936</v>
      </c>
      <c r="C148" s="159" t="s">
        <v>1938</v>
      </c>
      <c r="D148" s="135">
        <v>35</v>
      </c>
      <c r="E148" s="159" t="s">
        <v>2265</v>
      </c>
      <c r="F148" s="135" t="s">
        <v>189</v>
      </c>
      <c r="G148" s="159" t="s">
        <v>1939</v>
      </c>
      <c r="H148" s="110" t="s">
        <v>377</v>
      </c>
    </row>
    <row r="149" spans="1:9" ht="29" x14ac:dyDescent="0.35">
      <c r="A149" s="158">
        <v>45674</v>
      </c>
      <c r="B149" s="135" t="s">
        <v>1963</v>
      </c>
      <c r="C149" s="159" t="s">
        <v>1966</v>
      </c>
      <c r="D149" s="135">
        <v>1</v>
      </c>
      <c r="E149" s="135" t="s">
        <v>1968</v>
      </c>
      <c r="F149" s="135" t="s">
        <v>268</v>
      </c>
      <c r="G149" s="159" t="s">
        <v>1967</v>
      </c>
      <c r="H149" s="110" t="s">
        <v>1635</v>
      </c>
    </row>
    <row r="150" spans="1:9" ht="43.5" x14ac:dyDescent="0.35">
      <c r="A150" s="158">
        <v>45680</v>
      </c>
      <c r="B150" s="159" t="s">
        <v>2242</v>
      </c>
      <c r="C150" s="159" t="s">
        <v>2246</v>
      </c>
      <c r="D150" s="135">
        <v>4</v>
      </c>
      <c r="E150" s="135"/>
      <c r="F150" s="135" t="s">
        <v>268</v>
      </c>
      <c r="G150" s="159" t="s">
        <v>2247</v>
      </c>
      <c r="H150" s="110" t="s">
        <v>7</v>
      </c>
      <c r="I150" s="260" t="s">
        <v>2248</v>
      </c>
    </row>
    <row r="151" spans="1:9" ht="43.5" x14ac:dyDescent="0.35">
      <c r="A151" s="158">
        <v>45687</v>
      </c>
      <c r="B151" s="159" t="s">
        <v>2069</v>
      </c>
      <c r="C151" s="159" t="s">
        <v>2074</v>
      </c>
      <c r="D151" s="135">
        <v>1</v>
      </c>
      <c r="E151" s="135" t="s">
        <v>2075</v>
      </c>
      <c r="F151" s="135" t="s">
        <v>268</v>
      </c>
      <c r="G151" s="159" t="s">
        <v>1967</v>
      </c>
      <c r="H151" s="110" t="s">
        <v>7</v>
      </c>
    </row>
    <row r="152" spans="1:9" ht="145" x14ac:dyDescent="0.35">
      <c r="A152" s="158">
        <v>45692</v>
      </c>
      <c r="B152" s="135" t="s">
        <v>2214</v>
      </c>
      <c r="C152" s="159" t="s">
        <v>2215</v>
      </c>
      <c r="D152" s="135">
        <v>9</v>
      </c>
      <c r="E152" s="159" t="s">
        <v>2218</v>
      </c>
      <c r="F152" s="135" t="s">
        <v>189</v>
      </c>
      <c r="G152" s="159" t="s">
        <v>2217</v>
      </c>
      <c r="H152" s="110" t="s">
        <v>7</v>
      </c>
    </row>
    <row r="153" spans="1:9" ht="29" x14ac:dyDescent="0.35">
      <c r="A153" s="158">
        <v>45705</v>
      </c>
      <c r="B153" s="159" t="s">
        <v>2252</v>
      </c>
      <c r="C153" s="159" t="s">
        <v>2251</v>
      </c>
      <c r="D153" s="135">
        <v>1</v>
      </c>
      <c r="E153" s="135" t="s">
        <v>2253</v>
      </c>
      <c r="F153" s="135" t="s">
        <v>268</v>
      </c>
      <c r="G153" s="159" t="s">
        <v>1424</v>
      </c>
      <c r="H153" s="110" t="s">
        <v>7</v>
      </c>
    </row>
    <row r="154" spans="1:9" ht="43.5" x14ac:dyDescent="0.35">
      <c r="A154" s="158">
        <v>45706</v>
      </c>
      <c r="B154" s="159" t="s">
        <v>2256</v>
      </c>
      <c r="C154" s="159" t="s">
        <v>2257</v>
      </c>
      <c r="D154" s="135">
        <v>1</v>
      </c>
      <c r="E154" s="135" t="s">
        <v>2259</v>
      </c>
      <c r="F154" s="135" t="s">
        <v>268</v>
      </c>
      <c r="G154" s="159" t="s">
        <v>2258</v>
      </c>
      <c r="H154" s="110" t="s">
        <v>7</v>
      </c>
    </row>
    <row r="155" spans="1:9" ht="72.5" x14ac:dyDescent="0.35">
      <c r="A155" s="158">
        <v>45714</v>
      </c>
      <c r="B155" s="135" t="s">
        <v>2291</v>
      </c>
      <c r="C155" s="159" t="s">
        <v>2294</v>
      </c>
      <c r="D155" s="135">
        <v>1</v>
      </c>
      <c r="E155" s="135" t="s">
        <v>2306</v>
      </c>
      <c r="F155" s="135" t="s">
        <v>189</v>
      </c>
      <c r="G155" s="159" t="s">
        <v>2296</v>
      </c>
      <c r="H155" s="110" t="s">
        <v>7</v>
      </c>
    </row>
    <row r="156" spans="1:9" ht="29" x14ac:dyDescent="0.35">
      <c r="A156" s="158">
        <v>45714</v>
      </c>
      <c r="B156" s="159" t="s">
        <v>2298</v>
      </c>
      <c r="C156" s="159" t="s">
        <v>2303</v>
      </c>
      <c r="D156" s="135">
        <v>1</v>
      </c>
      <c r="E156" s="135" t="s">
        <v>2305</v>
      </c>
      <c r="F156" s="135" t="s">
        <v>268</v>
      </c>
      <c r="G156" s="159" t="s">
        <v>2304</v>
      </c>
      <c r="H156" s="110" t="s">
        <v>7</v>
      </c>
    </row>
    <row r="157" spans="1:9" ht="29" x14ac:dyDescent="0.35">
      <c r="A157" s="158">
        <v>45717</v>
      </c>
      <c r="B157" s="159" t="s">
        <v>2455</v>
      </c>
      <c r="C157" s="159" t="s">
        <v>2460</v>
      </c>
      <c r="D157" s="135">
        <v>1</v>
      </c>
      <c r="E157" s="135" t="s">
        <v>2461</v>
      </c>
      <c r="F157" s="135" t="s">
        <v>189</v>
      </c>
      <c r="G157" s="159" t="s">
        <v>2473</v>
      </c>
      <c r="H157" s="110" t="s">
        <v>7</v>
      </c>
    </row>
    <row r="158" spans="1:9" ht="29" x14ac:dyDescent="0.35">
      <c r="A158" s="158">
        <v>45721</v>
      </c>
      <c r="B158" s="159" t="s">
        <v>2433</v>
      </c>
      <c r="C158" s="159" t="s">
        <v>2436</v>
      </c>
      <c r="D158" s="135">
        <v>1</v>
      </c>
      <c r="E158" s="135" t="s">
        <v>2438</v>
      </c>
      <c r="F158" s="135" t="s">
        <v>268</v>
      </c>
      <c r="G158" s="159" t="s">
        <v>2437</v>
      </c>
      <c r="H158" s="110" t="s">
        <v>7</v>
      </c>
    </row>
    <row r="159" spans="1:9" ht="42" customHeight="1" x14ac:dyDescent="0.35">
      <c r="A159" s="158">
        <v>45723</v>
      </c>
      <c r="B159" s="159" t="s">
        <v>2443</v>
      </c>
      <c r="C159" s="159" t="s">
        <v>2447</v>
      </c>
      <c r="D159" s="135">
        <v>1</v>
      </c>
      <c r="E159" s="135" t="s">
        <v>2462</v>
      </c>
      <c r="F159" s="135" t="s">
        <v>189</v>
      </c>
      <c r="G159" s="159" t="s">
        <v>2448</v>
      </c>
      <c r="H159" s="110" t="s">
        <v>7</v>
      </c>
    </row>
    <row r="160" spans="1:9" ht="43.5" x14ac:dyDescent="0.35">
      <c r="A160" s="158">
        <v>45730</v>
      </c>
      <c r="B160" s="159" t="s">
        <v>2467</v>
      </c>
      <c r="C160" s="159" t="s">
        <v>2466</v>
      </c>
      <c r="D160" s="135">
        <v>2</v>
      </c>
      <c r="E160" s="159" t="s">
        <v>2498</v>
      </c>
      <c r="F160" s="135" t="s">
        <v>189</v>
      </c>
      <c r="G160" s="159" t="s">
        <v>2471</v>
      </c>
      <c r="H160" s="110" t="s">
        <v>7</v>
      </c>
    </row>
    <row r="161" spans="1:9" ht="29" x14ac:dyDescent="0.35">
      <c r="A161" s="158">
        <v>45729</v>
      </c>
      <c r="B161" s="159" t="s">
        <v>2477</v>
      </c>
      <c r="C161" s="159" t="s">
        <v>2470</v>
      </c>
      <c r="D161" s="135">
        <v>1</v>
      </c>
      <c r="E161" s="135" t="s">
        <v>2496</v>
      </c>
      <c r="F161" s="135" t="s">
        <v>189</v>
      </c>
      <c r="G161" s="159" t="s">
        <v>2472</v>
      </c>
      <c r="H161" s="110" t="s">
        <v>7</v>
      </c>
    </row>
    <row r="162" spans="1:9" ht="43.5" x14ac:dyDescent="0.35">
      <c r="A162" s="158">
        <v>45729</v>
      </c>
      <c r="B162" s="159" t="s">
        <v>2478</v>
      </c>
      <c r="C162" s="159" t="s">
        <v>2479</v>
      </c>
      <c r="D162" s="135">
        <v>1</v>
      </c>
      <c r="E162" s="135" t="s">
        <v>2497</v>
      </c>
      <c r="F162" s="135" t="s">
        <v>189</v>
      </c>
      <c r="G162" s="159" t="s">
        <v>2605</v>
      </c>
      <c r="H162" s="110" t="s">
        <v>7</v>
      </c>
    </row>
    <row r="163" spans="1:9" ht="43.5" x14ac:dyDescent="0.35">
      <c r="A163" s="158">
        <v>45730</v>
      </c>
      <c r="B163" s="152" t="s">
        <v>2511</v>
      </c>
      <c r="C163" s="159" t="s">
        <v>2512</v>
      </c>
      <c r="D163" s="135">
        <v>1</v>
      </c>
      <c r="E163" s="135" t="s">
        <v>2513</v>
      </c>
      <c r="F163" s="135" t="s">
        <v>189</v>
      </c>
      <c r="G163" s="159" t="s">
        <v>2472</v>
      </c>
      <c r="H163" s="110" t="s">
        <v>7</v>
      </c>
    </row>
    <row r="164" spans="1:9" ht="76.5" customHeight="1" x14ac:dyDescent="0.35">
      <c r="A164" s="158">
        <v>45734</v>
      </c>
      <c r="B164" s="159" t="s">
        <v>2520</v>
      </c>
      <c r="C164" s="159" t="s">
        <v>2508</v>
      </c>
      <c r="D164" s="135">
        <v>4</v>
      </c>
      <c r="E164" s="159" t="s">
        <v>2509</v>
      </c>
      <c r="F164" s="135" t="s">
        <v>189</v>
      </c>
      <c r="G164" s="159" t="s">
        <v>2530</v>
      </c>
      <c r="H164" s="110" t="s">
        <v>1635</v>
      </c>
    </row>
    <row r="165" spans="1:9" ht="29" x14ac:dyDescent="0.35">
      <c r="A165" s="158">
        <v>45736</v>
      </c>
      <c r="B165" s="159" t="s">
        <v>2526</v>
      </c>
      <c r="C165" s="159" t="s">
        <v>2528</v>
      </c>
      <c r="D165" s="135">
        <v>2</v>
      </c>
      <c r="E165" s="159" t="s">
        <v>2550</v>
      </c>
      <c r="F165" s="135" t="s">
        <v>268</v>
      </c>
      <c r="G165" s="159" t="s">
        <v>2529</v>
      </c>
      <c r="H165" s="110" t="s">
        <v>7</v>
      </c>
    </row>
    <row r="166" spans="1:9" ht="29" x14ac:dyDescent="0.35">
      <c r="A166" s="158">
        <v>45737</v>
      </c>
      <c r="B166" s="135" t="s">
        <v>2531</v>
      </c>
      <c r="C166" s="159" t="s">
        <v>2537</v>
      </c>
      <c r="D166" s="135">
        <v>1</v>
      </c>
      <c r="E166" s="135" t="s">
        <v>2538</v>
      </c>
      <c r="F166" s="135" t="s">
        <v>268</v>
      </c>
      <c r="G166" s="135" t="s">
        <v>696</v>
      </c>
      <c r="H166" s="110" t="s">
        <v>680</v>
      </c>
    </row>
    <row r="167" spans="1:9" ht="29" x14ac:dyDescent="0.35">
      <c r="A167" s="158">
        <v>45743</v>
      </c>
      <c r="B167" s="159" t="s">
        <v>2541</v>
      </c>
      <c r="C167" s="159" t="s">
        <v>2544</v>
      </c>
      <c r="D167" s="135">
        <v>1</v>
      </c>
      <c r="E167" s="135" t="s">
        <v>2556</v>
      </c>
      <c r="F167" s="135" t="s">
        <v>189</v>
      </c>
      <c r="G167" s="159" t="s">
        <v>2472</v>
      </c>
      <c r="H167" s="110" t="s">
        <v>7</v>
      </c>
    </row>
    <row r="168" spans="1:9" ht="29" x14ac:dyDescent="0.35">
      <c r="A168" s="158">
        <v>45745</v>
      </c>
      <c r="B168" s="135" t="s">
        <v>2581</v>
      </c>
      <c r="C168" s="159" t="s">
        <v>2582</v>
      </c>
      <c r="D168" s="135">
        <v>1</v>
      </c>
      <c r="E168" s="135" t="s">
        <v>2583</v>
      </c>
      <c r="F168" s="135" t="s">
        <v>268</v>
      </c>
      <c r="G168" s="159" t="s">
        <v>1436</v>
      </c>
      <c r="H168" s="110" t="s">
        <v>377</v>
      </c>
    </row>
    <row r="169" spans="1:9" ht="43.5" x14ac:dyDescent="0.35">
      <c r="A169" s="158">
        <v>45745</v>
      </c>
      <c r="B169" s="159" t="s">
        <v>2578</v>
      </c>
      <c r="C169" s="159" t="s">
        <v>2580</v>
      </c>
      <c r="D169" s="135">
        <v>1</v>
      </c>
      <c r="E169" s="135" t="s">
        <v>2584</v>
      </c>
      <c r="F169" s="135" t="s">
        <v>189</v>
      </c>
      <c r="G169" s="159" t="s">
        <v>2585</v>
      </c>
      <c r="H169" s="110" t="s">
        <v>7</v>
      </c>
    </row>
    <row r="170" spans="1:9" ht="43.5" x14ac:dyDescent="0.35">
      <c r="A170" s="158">
        <v>45747</v>
      </c>
      <c r="B170" s="159" t="s">
        <v>2612</v>
      </c>
      <c r="C170" s="159" t="s">
        <v>2613</v>
      </c>
      <c r="D170" s="135">
        <v>1</v>
      </c>
      <c r="E170" s="135" t="s">
        <v>2614</v>
      </c>
      <c r="F170" s="135" t="s">
        <v>189</v>
      </c>
      <c r="G170" s="159" t="s">
        <v>1436</v>
      </c>
      <c r="H170" s="110" t="s">
        <v>377</v>
      </c>
    </row>
    <row r="171" spans="1:9" ht="29" x14ac:dyDescent="0.35">
      <c r="A171" s="158">
        <v>45748</v>
      </c>
      <c r="B171" s="159" t="s">
        <v>2751</v>
      </c>
      <c r="C171" s="159" t="s">
        <v>2771</v>
      </c>
      <c r="D171" s="135">
        <v>1</v>
      </c>
      <c r="E171" s="135" t="s">
        <v>2772</v>
      </c>
      <c r="F171" s="135" t="s">
        <v>268</v>
      </c>
      <c r="G171" s="159" t="s">
        <v>675</v>
      </c>
      <c r="H171" s="110" t="s">
        <v>680</v>
      </c>
    </row>
    <row r="172" spans="1:9" ht="29" x14ac:dyDescent="0.35">
      <c r="A172" s="158">
        <v>45751</v>
      </c>
      <c r="B172" s="135" t="s">
        <v>2767</v>
      </c>
      <c r="C172" s="159" t="s">
        <v>2769</v>
      </c>
      <c r="D172" s="135">
        <v>1</v>
      </c>
      <c r="E172" s="135" t="s">
        <v>2774</v>
      </c>
      <c r="F172" s="135" t="s">
        <v>268</v>
      </c>
      <c r="G172" s="159" t="s">
        <v>2770</v>
      </c>
      <c r="H172" s="110" t="s">
        <v>377</v>
      </c>
    </row>
    <row r="173" spans="1:9" ht="29" x14ac:dyDescent="0.35">
      <c r="A173" s="158">
        <v>45751</v>
      </c>
      <c r="B173" s="159" t="s">
        <v>2572</v>
      </c>
      <c r="C173" s="159" t="s">
        <v>2789</v>
      </c>
      <c r="D173" s="135">
        <v>1</v>
      </c>
      <c r="E173" s="135" t="s">
        <v>2790</v>
      </c>
      <c r="F173" s="135" t="s">
        <v>189</v>
      </c>
      <c r="G173" s="159" t="s">
        <v>2472</v>
      </c>
      <c r="H173" s="110" t="s">
        <v>7</v>
      </c>
    </row>
    <row r="174" spans="1:9" ht="43.5" x14ac:dyDescent="0.35">
      <c r="A174" s="158">
        <v>45754</v>
      </c>
      <c r="B174" s="135" t="s">
        <v>2775</v>
      </c>
      <c r="C174" s="159" t="s">
        <v>2778</v>
      </c>
      <c r="D174" s="135">
        <v>3</v>
      </c>
      <c r="E174" s="159" t="s">
        <v>2798</v>
      </c>
      <c r="F174" s="135" t="s">
        <v>268</v>
      </c>
      <c r="G174" s="159" t="s">
        <v>2795</v>
      </c>
      <c r="H174" s="110" t="s">
        <v>377</v>
      </c>
    </row>
    <row r="175" spans="1:9" ht="29" x14ac:dyDescent="0.35">
      <c r="A175" s="158">
        <v>45755</v>
      </c>
      <c r="B175" s="159" t="s">
        <v>2799</v>
      </c>
      <c r="C175" s="159" t="s">
        <v>2800</v>
      </c>
      <c r="D175" s="135">
        <v>1</v>
      </c>
      <c r="E175" s="135" t="s">
        <v>2803</v>
      </c>
      <c r="F175" s="135" t="s">
        <v>268</v>
      </c>
      <c r="G175" s="159" t="s">
        <v>2801</v>
      </c>
      <c r="H175" s="110" t="s">
        <v>7</v>
      </c>
      <c r="I175" s="260" t="s">
        <v>2802</v>
      </c>
    </row>
    <row r="176" spans="1:9" ht="29" x14ac:dyDescent="0.35">
      <c r="A176" s="158">
        <v>45758</v>
      </c>
      <c r="B176" s="135" t="s">
        <v>2811</v>
      </c>
      <c r="C176" s="159" t="s">
        <v>2812</v>
      </c>
      <c r="D176" s="135">
        <v>2</v>
      </c>
      <c r="E176" s="159" t="s">
        <v>2890</v>
      </c>
      <c r="F176" s="135" t="s">
        <v>268</v>
      </c>
      <c r="G176" s="159" t="s">
        <v>2814</v>
      </c>
      <c r="H176" s="110" t="s">
        <v>377</v>
      </c>
    </row>
    <row r="177" spans="1:8" ht="29" x14ac:dyDescent="0.35">
      <c r="A177" s="158">
        <v>45759</v>
      </c>
      <c r="B177" s="159" t="s">
        <v>2820</v>
      </c>
      <c r="C177" s="159" t="s">
        <v>2823</v>
      </c>
      <c r="D177" s="135">
        <v>1</v>
      </c>
      <c r="E177" s="135" t="s">
        <v>2825</v>
      </c>
      <c r="F177" s="135" t="s">
        <v>189</v>
      </c>
      <c r="G177" s="135" t="s">
        <v>2824</v>
      </c>
      <c r="H177" s="110" t="s">
        <v>680</v>
      </c>
    </row>
    <row r="178" spans="1:8" ht="29" x14ac:dyDescent="0.35">
      <c r="A178" s="158">
        <v>45761</v>
      </c>
      <c r="B178" s="135" t="s">
        <v>2853</v>
      </c>
      <c r="C178" s="159" t="s">
        <v>2836</v>
      </c>
      <c r="D178" s="135">
        <v>1</v>
      </c>
      <c r="E178" s="135" t="s">
        <v>2838</v>
      </c>
      <c r="F178" s="135" t="s">
        <v>268</v>
      </c>
      <c r="G178" s="159" t="s">
        <v>2814</v>
      </c>
      <c r="H178" s="110" t="s">
        <v>377</v>
      </c>
    </row>
    <row r="179" spans="1:8" ht="29" x14ac:dyDescent="0.35">
      <c r="A179" s="158">
        <v>45763</v>
      </c>
      <c r="B179" s="135" t="s">
        <v>2854</v>
      </c>
      <c r="C179" s="159" t="s">
        <v>2855</v>
      </c>
      <c r="D179" s="135">
        <v>1</v>
      </c>
      <c r="E179" s="135" t="s">
        <v>2856</v>
      </c>
      <c r="F179" s="135" t="s">
        <v>268</v>
      </c>
      <c r="G179" s="159" t="s">
        <v>2814</v>
      </c>
      <c r="H179" s="110" t="s">
        <v>377</v>
      </c>
    </row>
    <row r="180" spans="1:8" ht="174" x14ac:dyDescent="0.35">
      <c r="A180" s="158">
        <v>45769</v>
      </c>
      <c r="B180" s="135" t="s">
        <v>2864</v>
      </c>
      <c r="C180" s="159" t="s">
        <v>2869</v>
      </c>
      <c r="D180" s="135">
        <v>25</v>
      </c>
      <c r="E180" s="159" t="s">
        <v>2930</v>
      </c>
      <c r="F180" s="135" t="s">
        <v>189</v>
      </c>
      <c r="G180" s="159" t="s">
        <v>2870</v>
      </c>
      <c r="H180" s="110" t="s">
        <v>377</v>
      </c>
    </row>
    <row r="181" spans="1:8" ht="72.5" x14ac:dyDescent="0.35">
      <c r="A181" s="158">
        <v>45769</v>
      </c>
      <c r="B181" s="159" t="s">
        <v>2872</v>
      </c>
      <c r="C181" s="159" t="s">
        <v>2873</v>
      </c>
      <c r="D181" s="135">
        <v>7</v>
      </c>
      <c r="E181" s="159" t="s">
        <v>2931</v>
      </c>
      <c r="F181" s="135" t="s">
        <v>189</v>
      </c>
      <c r="G181" s="159" t="s">
        <v>2871</v>
      </c>
      <c r="H181" s="110" t="s">
        <v>377</v>
      </c>
    </row>
    <row r="182" spans="1:8" ht="29" x14ac:dyDescent="0.35">
      <c r="A182" s="158">
        <v>45770</v>
      </c>
      <c r="B182" s="159" t="s">
        <v>2902</v>
      </c>
      <c r="C182" s="159" t="s">
        <v>2905</v>
      </c>
      <c r="D182" s="135">
        <v>1</v>
      </c>
      <c r="E182" s="135" t="s">
        <v>2911</v>
      </c>
      <c r="F182" s="135" t="s">
        <v>189</v>
      </c>
      <c r="G182" s="159" t="s">
        <v>2906</v>
      </c>
      <c r="H182" s="110" t="s">
        <v>7</v>
      </c>
    </row>
    <row r="183" spans="1:8" ht="29" x14ac:dyDescent="0.35">
      <c r="A183" s="158">
        <v>45770</v>
      </c>
      <c r="B183" s="135" t="s">
        <v>2907</v>
      </c>
      <c r="C183" s="159" t="s">
        <v>2908</v>
      </c>
      <c r="D183" s="135">
        <v>1</v>
      </c>
      <c r="E183" s="135" t="s">
        <v>2912</v>
      </c>
      <c r="F183" s="135" t="s">
        <v>268</v>
      </c>
      <c r="G183" s="159" t="s">
        <v>2795</v>
      </c>
      <c r="H183" s="110" t="s">
        <v>377</v>
      </c>
    </row>
    <row r="184" spans="1:8" ht="29" x14ac:dyDescent="0.35">
      <c r="A184" s="158">
        <v>45770</v>
      </c>
      <c r="B184" s="135" t="s">
        <v>2913</v>
      </c>
      <c r="C184" s="159" t="s">
        <v>2915</v>
      </c>
      <c r="D184" s="135">
        <v>1</v>
      </c>
      <c r="E184" s="135" t="s">
        <v>2916</v>
      </c>
      <c r="F184" s="135" t="s">
        <v>268</v>
      </c>
      <c r="G184" s="159" t="s">
        <v>2814</v>
      </c>
      <c r="H184" s="110" t="s">
        <v>377</v>
      </c>
    </row>
    <row r="185" spans="1:8" ht="29" x14ac:dyDescent="0.35">
      <c r="A185" s="158">
        <v>45772</v>
      </c>
      <c r="B185" s="135" t="s">
        <v>2934</v>
      </c>
      <c r="C185" s="159" t="s">
        <v>2937</v>
      </c>
      <c r="D185" s="135">
        <v>1</v>
      </c>
      <c r="E185" s="135" t="s">
        <v>2938</v>
      </c>
      <c r="F185" s="135" t="s">
        <v>268</v>
      </c>
      <c r="G185" s="159" t="s">
        <v>2814</v>
      </c>
      <c r="H185" s="110" t="s">
        <v>377</v>
      </c>
    </row>
    <row r="186" spans="1:8" ht="29" x14ac:dyDescent="0.35">
      <c r="A186" s="158">
        <v>45773</v>
      </c>
      <c r="B186" s="135" t="s">
        <v>2926</v>
      </c>
      <c r="C186" s="159" t="s">
        <v>2929</v>
      </c>
      <c r="D186" s="135">
        <v>1</v>
      </c>
      <c r="E186" s="135" t="s">
        <v>3047</v>
      </c>
      <c r="F186" s="135" t="s">
        <v>189</v>
      </c>
      <c r="G186" s="159" t="s">
        <v>1921</v>
      </c>
      <c r="H186" s="110" t="s">
        <v>377</v>
      </c>
    </row>
    <row r="187" spans="1:8" ht="29" x14ac:dyDescent="0.35">
      <c r="A187" s="158">
        <v>45773</v>
      </c>
      <c r="B187" s="159" t="s">
        <v>3048</v>
      </c>
      <c r="C187" s="159" t="s">
        <v>3051</v>
      </c>
      <c r="D187" s="135">
        <v>1</v>
      </c>
      <c r="E187" s="135" t="s">
        <v>3053</v>
      </c>
      <c r="F187" s="135" t="s">
        <v>268</v>
      </c>
      <c r="G187" s="159" t="s">
        <v>3052</v>
      </c>
      <c r="H187" s="110"/>
    </row>
    <row r="188" spans="1:8" ht="29" x14ac:dyDescent="0.35">
      <c r="A188" s="158">
        <v>45773</v>
      </c>
      <c r="B188" s="159" t="s">
        <v>3054</v>
      </c>
      <c r="C188" s="159" t="s">
        <v>3058</v>
      </c>
      <c r="D188" s="135">
        <v>1</v>
      </c>
      <c r="E188" s="135" t="s">
        <v>3059</v>
      </c>
      <c r="F188" s="135" t="s">
        <v>268</v>
      </c>
      <c r="G188" s="159" t="s">
        <v>2814</v>
      </c>
      <c r="H188" s="110" t="s">
        <v>377</v>
      </c>
    </row>
  </sheetData>
  <autoFilter ref="A2:H187" xr:uid="{00000000-0009-0000-0000-00000A000000}"/>
  <mergeCells count="1">
    <mergeCell ref="A1:H1"/>
  </mergeCells>
  <hyperlinks>
    <hyperlink ref="C49" r:id="rId1" xr:uid="{00000000-0004-0000-0A00-000000000000}"/>
  </hyperlinks>
  <pageMargins left="0.7" right="0.7" top="0.75" bottom="0.75" header="0.3" footer="0.3"/>
  <pageSetup orientation="portrait"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
    <tabColor rgb="FFFF0000"/>
  </sheetPr>
  <dimension ref="A1:L92"/>
  <sheetViews>
    <sheetView zoomScale="86" zoomScaleNormal="86" workbookViewId="0">
      <pane ySplit="2" topLeftCell="A70" activePane="bottomLeft" state="frozenSplit"/>
      <selection pane="bottomLeft" activeCell="A73" sqref="A73:XFD73"/>
    </sheetView>
  </sheetViews>
  <sheetFormatPr baseColWidth="10" defaultRowHeight="14.5" x14ac:dyDescent="0.35"/>
  <cols>
    <col min="1" max="1" width="23" style="104" customWidth="1"/>
    <col min="2" max="2" width="37.1796875" style="294" customWidth="1"/>
    <col min="3" max="3" width="10.54296875" style="104" customWidth="1"/>
    <col min="4" max="4" width="36.1796875" style="151" customWidth="1"/>
    <col min="5" max="5" width="34.26953125" style="151" customWidth="1"/>
    <col min="6" max="6" width="28.81640625" style="152" customWidth="1"/>
    <col min="7" max="7" width="10.54296875" style="104" customWidth="1"/>
    <col min="8" max="8" width="18.453125" style="104" customWidth="1"/>
    <col min="9" max="9" width="17.54296875" style="1" customWidth="1"/>
    <col min="10" max="10" width="11.453125" style="152"/>
  </cols>
  <sheetData>
    <row r="1" spans="1:10" ht="22.5" customHeight="1" x14ac:dyDescent="0.35">
      <c r="A1" s="448" t="s">
        <v>760</v>
      </c>
      <c r="B1" s="448"/>
      <c r="C1" s="448"/>
      <c r="D1" s="448"/>
      <c r="E1" s="448"/>
      <c r="F1" s="448"/>
      <c r="G1" s="448"/>
      <c r="H1" s="448"/>
    </row>
    <row r="2" spans="1:10" s="1" customFormat="1" ht="30" customHeight="1" x14ac:dyDescent="0.35">
      <c r="A2" s="110" t="s">
        <v>165</v>
      </c>
      <c r="B2" s="288" t="s">
        <v>186</v>
      </c>
      <c r="C2" s="110" t="s">
        <v>178</v>
      </c>
      <c r="D2" s="138" t="s">
        <v>182</v>
      </c>
      <c r="E2" s="138" t="s">
        <v>183</v>
      </c>
      <c r="F2" s="111" t="s">
        <v>184</v>
      </c>
      <c r="G2" s="111" t="s">
        <v>187</v>
      </c>
      <c r="H2" s="110" t="s">
        <v>185</v>
      </c>
      <c r="I2" s="1" t="s">
        <v>1150</v>
      </c>
      <c r="J2" s="296"/>
    </row>
    <row r="3" spans="1:10" ht="69" customHeight="1" x14ac:dyDescent="0.35">
      <c r="A3" s="130" t="s">
        <v>316</v>
      </c>
      <c r="B3" s="289" t="s">
        <v>1154</v>
      </c>
      <c r="C3" s="140">
        <v>3</v>
      </c>
      <c r="D3" s="129">
        <v>44355</v>
      </c>
      <c r="E3" s="129">
        <v>44929</v>
      </c>
      <c r="F3" s="130" t="s">
        <v>244</v>
      </c>
      <c r="G3" s="113" t="s">
        <v>158</v>
      </c>
      <c r="H3" s="131">
        <v>9256.7999999999993</v>
      </c>
      <c r="I3" s="1" t="s">
        <v>1001</v>
      </c>
    </row>
    <row r="4" spans="1:10" ht="50.25" customHeight="1" x14ac:dyDescent="0.35">
      <c r="A4" s="140" t="s">
        <v>266</v>
      </c>
      <c r="B4" s="227" t="s">
        <v>1136</v>
      </c>
      <c r="C4" s="140">
        <v>1</v>
      </c>
      <c r="D4" s="154">
        <v>44440</v>
      </c>
      <c r="E4" s="129">
        <v>44935</v>
      </c>
      <c r="F4" s="130" t="s">
        <v>267</v>
      </c>
      <c r="G4" s="113" t="s">
        <v>268</v>
      </c>
      <c r="H4" s="131">
        <v>0</v>
      </c>
      <c r="I4" s="296" t="s">
        <v>1166</v>
      </c>
      <c r="J4" s="296" t="s">
        <v>1167</v>
      </c>
    </row>
    <row r="5" spans="1:10" ht="50.25" customHeight="1" x14ac:dyDescent="0.35">
      <c r="A5" s="140" t="s">
        <v>139</v>
      </c>
      <c r="B5" s="289" t="s">
        <v>1137</v>
      </c>
      <c r="C5" s="140">
        <v>2</v>
      </c>
      <c r="D5" s="129">
        <v>44838</v>
      </c>
      <c r="E5" s="129">
        <v>44960</v>
      </c>
      <c r="F5" s="130"/>
      <c r="G5" s="113" t="s">
        <v>268</v>
      </c>
      <c r="H5" s="131">
        <v>0</v>
      </c>
      <c r="I5" s="1" t="s">
        <v>7</v>
      </c>
    </row>
    <row r="6" spans="1:10" ht="72" customHeight="1" x14ac:dyDescent="0.35">
      <c r="A6" s="153" t="s">
        <v>47</v>
      </c>
      <c r="B6" s="289" t="s">
        <v>1138</v>
      </c>
      <c r="C6" s="140">
        <v>2</v>
      </c>
      <c r="D6" s="129">
        <v>44854</v>
      </c>
      <c r="E6" s="129">
        <v>44978</v>
      </c>
      <c r="F6" s="130" t="s">
        <v>315</v>
      </c>
      <c r="G6" s="113" t="s">
        <v>189</v>
      </c>
      <c r="H6" s="131">
        <v>0</v>
      </c>
      <c r="I6" s="1" t="s">
        <v>7</v>
      </c>
    </row>
    <row r="7" spans="1:10" ht="49.5" customHeight="1" x14ac:dyDescent="0.35">
      <c r="A7" s="153" t="s">
        <v>114</v>
      </c>
      <c r="B7" s="289" t="s">
        <v>1139</v>
      </c>
      <c r="C7" s="140">
        <v>1</v>
      </c>
      <c r="D7" s="129">
        <v>44791</v>
      </c>
      <c r="E7" s="129">
        <v>44978</v>
      </c>
      <c r="F7" s="130" t="s">
        <v>317</v>
      </c>
      <c r="G7" s="113" t="s">
        <v>268</v>
      </c>
      <c r="H7" s="131">
        <v>1890</v>
      </c>
      <c r="I7" s="1" t="s">
        <v>7</v>
      </c>
    </row>
    <row r="8" spans="1:10" ht="48.75" customHeight="1" x14ac:dyDescent="0.35">
      <c r="A8" s="140" t="s">
        <v>390</v>
      </c>
      <c r="B8" s="289" t="s">
        <v>1140</v>
      </c>
      <c r="C8" s="140">
        <v>1</v>
      </c>
      <c r="D8" s="129">
        <v>44813</v>
      </c>
      <c r="E8" s="129">
        <v>45006</v>
      </c>
      <c r="F8" s="130" t="s">
        <v>315</v>
      </c>
      <c r="G8" s="113" t="s">
        <v>268</v>
      </c>
      <c r="H8" s="131">
        <v>1200</v>
      </c>
    </row>
    <row r="9" spans="1:10" ht="51" customHeight="1" x14ac:dyDescent="0.35">
      <c r="A9" s="140" t="s">
        <v>122</v>
      </c>
      <c r="B9" s="289" t="s">
        <v>1141</v>
      </c>
      <c r="C9" s="140">
        <v>2</v>
      </c>
      <c r="D9" s="129" t="s">
        <v>391</v>
      </c>
      <c r="E9" s="129">
        <v>45006</v>
      </c>
      <c r="F9" s="130" t="s">
        <v>315</v>
      </c>
      <c r="G9" s="113" t="s">
        <v>268</v>
      </c>
      <c r="H9" s="131">
        <v>2700</v>
      </c>
    </row>
    <row r="10" spans="1:10" ht="51" customHeight="1" x14ac:dyDescent="0.35">
      <c r="A10" s="140" t="s">
        <v>126</v>
      </c>
      <c r="B10" s="289" t="s">
        <v>1142</v>
      </c>
      <c r="C10" s="140">
        <v>1</v>
      </c>
      <c r="D10" s="129">
        <v>44848</v>
      </c>
      <c r="E10" s="129">
        <v>45009</v>
      </c>
      <c r="F10" s="130" t="s">
        <v>393</v>
      </c>
      <c r="G10" s="113" t="s">
        <v>268</v>
      </c>
      <c r="H10" s="131">
        <v>300</v>
      </c>
      <c r="I10" s="1" t="s">
        <v>7</v>
      </c>
    </row>
    <row r="11" spans="1:10" ht="62.25" customHeight="1" x14ac:dyDescent="0.35">
      <c r="A11" s="130" t="s">
        <v>422</v>
      </c>
      <c r="B11" s="289" t="s">
        <v>1143</v>
      </c>
      <c r="C11" s="140">
        <v>10</v>
      </c>
      <c r="D11" s="154" t="s">
        <v>423</v>
      </c>
      <c r="E11" s="129">
        <v>45009</v>
      </c>
      <c r="F11" s="130" t="s">
        <v>424</v>
      </c>
      <c r="G11" s="113" t="s">
        <v>189</v>
      </c>
      <c r="H11" s="131">
        <v>7656</v>
      </c>
      <c r="I11" s="1" t="s">
        <v>1001</v>
      </c>
    </row>
    <row r="12" spans="1:10" ht="54.75" customHeight="1" x14ac:dyDescent="0.35">
      <c r="A12" s="130" t="s">
        <v>425</v>
      </c>
      <c r="B12" s="289" t="s">
        <v>1144</v>
      </c>
      <c r="C12" s="140">
        <v>5</v>
      </c>
      <c r="D12" s="129" t="s">
        <v>427</v>
      </c>
      <c r="E12" s="129">
        <v>45028</v>
      </c>
      <c r="F12" s="130" t="s">
        <v>426</v>
      </c>
      <c r="G12" s="113" t="s">
        <v>268</v>
      </c>
      <c r="H12" s="131">
        <v>4816.66</v>
      </c>
      <c r="I12" s="1" t="s">
        <v>929</v>
      </c>
    </row>
    <row r="13" spans="1:10" ht="81" customHeight="1" x14ac:dyDescent="0.35">
      <c r="A13" s="153" t="s">
        <v>443</v>
      </c>
      <c r="B13" s="289" t="s">
        <v>1145</v>
      </c>
      <c r="C13" s="140">
        <v>1</v>
      </c>
      <c r="D13" s="129">
        <v>44979</v>
      </c>
      <c r="E13" s="129">
        <v>45044</v>
      </c>
      <c r="F13" s="130" t="s">
        <v>444</v>
      </c>
      <c r="G13" s="113" t="s">
        <v>189</v>
      </c>
      <c r="H13" s="131">
        <v>0</v>
      </c>
      <c r="I13" s="1" t="s">
        <v>7</v>
      </c>
    </row>
    <row r="14" spans="1:10" ht="48.75" customHeight="1" x14ac:dyDescent="0.35">
      <c r="A14" s="153" t="s">
        <v>454</v>
      </c>
      <c r="B14" s="290" t="s">
        <v>1146</v>
      </c>
      <c r="C14" s="140">
        <v>44</v>
      </c>
      <c r="D14" s="129">
        <v>44293</v>
      </c>
      <c r="E14" s="129" t="s">
        <v>510</v>
      </c>
      <c r="F14" s="130" t="s">
        <v>455</v>
      </c>
      <c r="G14" s="113" t="s">
        <v>268</v>
      </c>
      <c r="H14" s="113"/>
    </row>
    <row r="15" spans="1:10" ht="72.5" x14ac:dyDescent="0.35">
      <c r="A15" s="153" t="s">
        <v>453</v>
      </c>
      <c r="B15" s="289" t="s">
        <v>1135</v>
      </c>
      <c r="C15" s="225">
        <v>3</v>
      </c>
      <c r="D15" s="129">
        <v>45044</v>
      </c>
      <c r="E15" s="129">
        <v>45071</v>
      </c>
      <c r="F15" s="130" t="s">
        <v>499</v>
      </c>
      <c r="G15" s="113" t="s">
        <v>189</v>
      </c>
      <c r="H15" s="131">
        <v>0</v>
      </c>
      <c r="I15" s="1" t="s">
        <v>7</v>
      </c>
    </row>
    <row r="16" spans="1:10" ht="130.5" x14ac:dyDescent="0.35">
      <c r="A16" s="130" t="s">
        <v>506</v>
      </c>
      <c r="B16" s="295" t="s">
        <v>1155</v>
      </c>
      <c r="C16" s="225">
        <v>2</v>
      </c>
      <c r="D16" s="129" t="s">
        <v>504</v>
      </c>
      <c r="E16" s="129">
        <v>45077</v>
      </c>
      <c r="F16" s="130" t="s">
        <v>505</v>
      </c>
      <c r="G16" s="113" t="s">
        <v>189</v>
      </c>
      <c r="H16" s="131">
        <v>0</v>
      </c>
    </row>
    <row r="17" spans="1:10" ht="58" x14ac:dyDescent="0.35">
      <c r="A17" s="153" t="s">
        <v>483</v>
      </c>
      <c r="B17" s="289" t="s">
        <v>1134</v>
      </c>
      <c r="C17" s="226">
        <v>1</v>
      </c>
      <c r="D17" s="129" t="s">
        <v>508</v>
      </c>
      <c r="E17" s="129">
        <v>45076</v>
      </c>
      <c r="F17" s="130" t="s">
        <v>507</v>
      </c>
      <c r="G17" s="113" t="s">
        <v>189</v>
      </c>
      <c r="H17" s="131">
        <v>0</v>
      </c>
      <c r="I17" s="1" t="s">
        <v>90</v>
      </c>
    </row>
    <row r="18" spans="1:10" ht="43.5" x14ac:dyDescent="0.35">
      <c r="A18" s="130" t="s">
        <v>518</v>
      </c>
      <c r="B18" s="289" t="s">
        <v>1147</v>
      </c>
      <c r="C18" s="225">
        <v>1</v>
      </c>
      <c r="D18" s="129" t="s">
        <v>516</v>
      </c>
      <c r="E18" s="129">
        <v>45078</v>
      </c>
      <c r="F18" s="130" t="s">
        <v>517</v>
      </c>
      <c r="G18" s="113" t="s">
        <v>268</v>
      </c>
      <c r="H18" s="131">
        <v>0</v>
      </c>
    </row>
    <row r="19" spans="1:10" ht="37.5" customHeight="1" x14ac:dyDescent="0.35">
      <c r="A19" s="153" t="s">
        <v>272</v>
      </c>
      <c r="B19" s="289" t="s">
        <v>1115</v>
      </c>
      <c r="C19" s="227">
        <v>1</v>
      </c>
      <c r="D19" s="129">
        <v>44945</v>
      </c>
      <c r="E19" s="129">
        <v>45078</v>
      </c>
      <c r="F19" s="130" t="s">
        <v>528</v>
      </c>
      <c r="G19" s="113" t="s">
        <v>268</v>
      </c>
      <c r="H19" s="131">
        <v>-350</v>
      </c>
      <c r="I19" s="1" t="s">
        <v>556</v>
      </c>
    </row>
    <row r="20" spans="1:10" ht="58" x14ac:dyDescent="0.35">
      <c r="A20" s="186" t="s">
        <v>552</v>
      </c>
      <c r="B20" s="291" t="s">
        <v>1148</v>
      </c>
      <c r="C20" s="228">
        <v>1</v>
      </c>
      <c r="D20" s="187" t="s">
        <v>553</v>
      </c>
      <c r="E20" s="187">
        <v>45107</v>
      </c>
      <c r="F20" s="186" t="s">
        <v>554</v>
      </c>
      <c r="G20" s="172" t="s">
        <v>268</v>
      </c>
      <c r="H20" s="173">
        <v>400</v>
      </c>
    </row>
    <row r="21" spans="1:10" ht="43.5" x14ac:dyDescent="0.35">
      <c r="A21" s="153" t="s">
        <v>590</v>
      </c>
      <c r="B21" s="289" t="s">
        <v>1149</v>
      </c>
      <c r="C21" s="140">
        <v>1</v>
      </c>
      <c r="D21" s="129">
        <v>44764</v>
      </c>
      <c r="E21" s="129">
        <v>45118</v>
      </c>
      <c r="F21" s="130" t="s">
        <v>597</v>
      </c>
      <c r="G21" s="113" t="s">
        <v>268</v>
      </c>
      <c r="H21" s="131">
        <v>0</v>
      </c>
      <c r="I21" s="1" t="s">
        <v>90</v>
      </c>
    </row>
    <row r="22" spans="1:10" ht="29" x14ac:dyDescent="0.35">
      <c r="A22" s="153" t="s">
        <v>663</v>
      </c>
      <c r="B22" s="227" t="s">
        <v>1116</v>
      </c>
      <c r="C22" s="140">
        <v>2</v>
      </c>
      <c r="D22" s="129">
        <v>44817</v>
      </c>
      <c r="E22" s="129">
        <v>45174</v>
      </c>
      <c r="F22" s="130" t="s">
        <v>597</v>
      </c>
      <c r="G22" s="113" t="s">
        <v>268</v>
      </c>
      <c r="H22" s="131">
        <v>0</v>
      </c>
      <c r="I22" s="1" t="s">
        <v>90</v>
      </c>
    </row>
    <row r="23" spans="1:10" ht="43.5" x14ac:dyDescent="0.35">
      <c r="A23" s="153" t="s">
        <v>689</v>
      </c>
      <c r="B23" s="289" t="s">
        <v>1156</v>
      </c>
      <c r="C23" s="225">
        <v>7</v>
      </c>
      <c r="D23" s="129"/>
      <c r="E23" s="129">
        <v>45177</v>
      </c>
      <c r="F23" s="130"/>
      <c r="G23" s="113" t="s">
        <v>189</v>
      </c>
      <c r="H23" s="131">
        <v>0</v>
      </c>
      <c r="I23" s="1" t="s">
        <v>1001</v>
      </c>
    </row>
    <row r="24" spans="1:10" ht="34.5" customHeight="1" x14ac:dyDescent="0.35">
      <c r="A24" s="153" t="s">
        <v>114</v>
      </c>
      <c r="B24" s="227" t="s">
        <v>1117</v>
      </c>
      <c r="C24" s="225">
        <v>1</v>
      </c>
      <c r="D24" s="129">
        <v>45069</v>
      </c>
      <c r="E24" s="129">
        <v>45190</v>
      </c>
      <c r="F24" s="130" t="s">
        <v>455</v>
      </c>
      <c r="G24" s="113" t="s">
        <v>268</v>
      </c>
      <c r="H24" s="131">
        <v>0</v>
      </c>
      <c r="I24" s="1" t="s">
        <v>7</v>
      </c>
    </row>
    <row r="25" spans="1:10" ht="39.75" customHeight="1" x14ac:dyDescent="0.35">
      <c r="A25" s="140" t="s">
        <v>486</v>
      </c>
      <c r="B25" s="227" t="s">
        <v>1113</v>
      </c>
      <c r="C25" s="225">
        <v>1</v>
      </c>
      <c r="D25" s="129">
        <v>45069</v>
      </c>
      <c r="E25" s="129">
        <v>45198</v>
      </c>
      <c r="F25" s="130" t="s">
        <v>711</v>
      </c>
      <c r="G25" s="113" t="s">
        <v>268</v>
      </c>
      <c r="H25" s="113"/>
      <c r="I25" s="1" t="s">
        <v>7</v>
      </c>
    </row>
    <row r="26" spans="1:10" ht="58" x14ac:dyDescent="0.35">
      <c r="A26" s="153" t="s">
        <v>715</v>
      </c>
      <c r="B26" s="227" t="s">
        <v>1118</v>
      </c>
      <c r="C26" s="140">
        <v>2</v>
      </c>
      <c r="D26" s="154" t="s">
        <v>716</v>
      </c>
      <c r="E26" s="129">
        <v>45230</v>
      </c>
      <c r="F26" s="130" t="s">
        <v>455</v>
      </c>
      <c r="G26" s="113" t="s">
        <v>189</v>
      </c>
      <c r="H26" s="131">
        <v>0</v>
      </c>
    </row>
    <row r="27" spans="1:10" ht="43.5" x14ac:dyDescent="0.35">
      <c r="A27" s="153" t="s">
        <v>678</v>
      </c>
      <c r="B27" s="289" t="s">
        <v>1119</v>
      </c>
      <c r="C27" s="225">
        <v>1</v>
      </c>
      <c r="D27" s="129">
        <v>45176</v>
      </c>
      <c r="E27" s="129">
        <v>45208</v>
      </c>
      <c r="F27" s="130" t="s">
        <v>717</v>
      </c>
      <c r="G27" s="113" t="s">
        <v>189</v>
      </c>
      <c r="H27" s="131">
        <v>0</v>
      </c>
      <c r="I27" s="1" t="s">
        <v>7</v>
      </c>
    </row>
    <row r="28" spans="1:10" ht="29" x14ac:dyDescent="0.35">
      <c r="A28" s="153" t="s">
        <v>708</v>
      </c>
      <c r="B28" s="287" t="s">
        <v>1114</v>
      </c>
      <c r="C28" s="225">
        <v>1</v>
      </c>
      <c r="D28" s="129"/>
      <c r="E28" s="129">
        <v>45209</v>
      </c>
      <c r="F28" s="130" t="s">
        <v>455</v>
      </c>
      <c r="G28" s="113" t="s">
        <v>268</v>
      </c>
      <c r="H28" s="131">
        <v>0</v>
      </c>
      <c r="I28" s="1" t="s">
        <v>90</v>
      </c>
    </row>
    <row r="29" spans="1:10" ht="43.5" x14ac:dyDescent="0.35">
      <c r="A29" s="153" t="s">
        <v>109</v>
      </c>
      <c r="B29" s="227" t="s">
        <v>1151</v>
      </c>
      <c r="C29" s="225">
        <v>1</v>
      </c>
      <c r="D29" s="129">
        <v>44846</v>
      </c>
      <c r="E29" s="129">
        <v>45230</v>
      </c>
      <c r="F29" s="130" t="s">
        <v>734</v>
      </c>
      <c r="G29" s="113" t="s">
        <v>268</v>
      </c>
      <c r="H29" s="131">
        <v>1040</v>
      </c>
      <c r="I29" s="296" t="s">
        <v>1166</v>
      </c>
      <c r="J29" s="296" t="s">
        <v>1163</v>
      </c>
    </row>
    <row r="30" spans="1:10" ht="43.5" x14ac:dyDescent="0.35">
      <c r="A30" s="153" t="s">
        <v>384</v>
      </c>
      <c r="B30" s="227" t="s">
        <v>1120</v>
      </c>
      <c r="C30" s="225">
        <v>1</v>
      </c>
      <c r="D30" s="129">
        <v>45005</v>
      </c>
      <c r="E30" s="129">
        <v>45230</v>
      </c>
      <c r="F30" s="130" t="s">
        <v>752</v>
      </c>
      <c r="G30" s="113" t="s">
        <v>189</v>
      </c>
      <c r="H30" s="131">
        <v>0</v>
      </c>
    </row>
    <row r="31" spans="1:10" ht="53.25" customHeight="1" x14ac:dyDescent="0.35">
      <c r="A31" s="130" t="s">
        <v>753</v>
      </c>
      <c r="B31" s="227" t="s">
        <v>1157</v>
      </c>
      <c r="C31" s="225">
        <v>1</v>
      </c>
      <c r="D31" s="129">
        <v>44102</v>
      </c>
      <c r="E31" s="129">
        <v>45230</v>
      </c>
      <c r="F31" s="130" t="s">
        <v>754</v>
      </c>
      <c r="G31" s="113" t="s">
        <v>189</v>
      </c>
      <c r="H31" s="131">
        <v>1044</v>
      </c>
      <c r="I31" s="1" t="s">
        <v>7</v>
      </c>
    </row>
    <row r="32" spans="1:10" ht="43.5" x14ac:dyDescent="0.35">
      <c r="A32" s="153" t="s">
        <v>555</v>
      </c>
      <c r="B32" s="227" t="s">
        <v>1121</v>
      </c>
      <c r="C32" s="225">
        <v>1</v>
      </c>
      <c r="D32" s="250">
        <v>45092</v>
      </c>
      <c r="E32" s="129">
        <v>45233</v>
      </c>
      <c r="F32" s="130" t="s">
        <v>759</v>
      </c>
      <c r="G32" s="113" t="s">
        <v>189</v>
      </c>
      <c r="H32" s="131">
        <v>0</v>
      </c>
      <c r="I32" s="1" t="s">
        <v>7</v>
      </c>
    </row>
    <row r="33" spans="1:10" ht="29" x14ac:dyDescent="0.35">
      <c r="A33" s="251" t="s">
        <v>862</v>
      </c>
      <c r="B33" s="292" t="s">
        <v>1122</v>
      </c>
      <c r="C33" s="190">
        <v>1</v>
      </c>
      <c r="D33" s="187">
        <v>44981</v>
      </c>
      <c r="E33" s="187">
        <v>45294</v>
      </c>
      <c r="F33" s="186" t="s">
        <v>889</v>
      </c>
      <c r="G33" s="172" t="s">
        <v>264</v>
      </c>
      <c r="H33" s="173">
        <v>0</v>
      </c>
      <c r="I33" s="1" t="s">
        <v>1002</v>
      </c>
    </row>
    <row r="34" spans="1:10" ht="43.5" x14ac:dyDescent="0.35">
      <c r="A34" s="153" t="s">
        <v>626</v>
      </c>
      <c r="B34" s="227" t="s">
        <v>1123</v>
      </c>
      <c r="C34" s="225">
        <v>2</v>
      </c>
      <c r="D34" s="129">
        <v>45078</v>
      </c>
      <c r="E34" s="129">
        <v>45299</v>
      </c>
      <c r="F34" s="130" t="s">
        <v>754</v>
      </c>
      <c r="G34" s="113" t="s">
        <v>268</v>
      </c>
      <c r="H34" s="131">
        <v>4814</v>
      </c>
      <c r="I34" s="296" t="s">
        <v>1166</v>
      </c>
      <c r="J34" s="296" t="s">
        <v>1164</v>
      </c>
    </row>
    <row r="35" spans="1:10" ht="72.5" x14ac:dyDescent="0.35">
      <c r="A35" s="153" t="s">
        <v>301</v>
      </c>
      <c r="B35" s="227" t="s">
        <v>1152</v>
      </c>
      <c r="C35" s="140">
        <v>1</v>
      </c>
      <c r="D35" s="129">
        <v>44226</v>
      </c>
      <c r="E35" s="154">
        <v>45341</v>
      </c>
      <c r="F35" s="130" t="s">
        <v>916</v>
      </c>
      <c r="G35" s="113" t="s">
        <v>189</v>
      </c>
      <c r="H35" s="131">
        <v>0</v>
      </c>
      <c r="I35" s="1" t="s">
        <v>90</v>
      </c>
    </row>
    <row r="36" spans="1:10" ht="51.75" customHeight="1" x14ac:dyDescent="0.35">
      <c r="A36" s="153" t="s">
        <v>557</v>
      </c>
      <c r="B36" s="227" t="s">
        <v>1153</v>
      </c>
      <c r="C36" s="225">
        <v>1</v>
      </c>
      <c r="D36" s="129">
        <v>45103</v>
      </c>
      <c r="E36" s="154">
        <v>45348</v>
      </c>
      <c r="F36" s="130" t="s">
        <v>754</v>
      </c>
      <c r="G36" s="113" t="s">
        <v>189</v>
      </c>
      <c r="H36" s="131">
        <v>866.52</v>
      </c>
      <c r="I36" s="1" t="s">
        <v>7</v>
      </c>
    </row>
    <row r="37" spans="1:10" ht="43.5" x14ac:dyDescent="0.35">
      <c r="A37" s="130" t="s">
        <v>927</v>
      </c>
      <c r="B37" s="227" t="s">
        <v>1158</v>
      </c>
      <c r="C37" s="225">
        <v>1</v>
      </c>
      <c r="D37" s="129">
        <v>44594</v>
      </c>
      <c r="E37" s="129">
        <v>45348</v>
      </c>
      <c r="F37" s="130" t="s">
        <v>754</v>
      </c>
      <c r="G37" s="113" t="s">
        <v>189</v>
      </c>
      <c r="H37" s="131">
        <v>3250</v>
      </c>
      <c r="I37" s="1" t="s">
        <v>929</v>
      </c>
    </row>
    <row r="38" spans="1:10" ht="43.5" x14ac:dyDescent="0.35">
      <c r="A38" s="153" t="s">
        <v>664</v>
      </c>
      <c r="B38" s="227" t="s">
        <v>1124</v>
      </c>
      <c r="C38" s="225">
        <v>1</v>
      </c>
      <c r="D38" s="129">
        <v>45175</v>
      </c>
      <c r="E38" s="129">
        <v>45348</v>
      </c>
      <c r="F38" s="130" t="s">
        <v>754</v>
      </c>
      <c r="G38" s="113" t="s">
        <v>268</v>
      </c>
      <c r="H38" s="131">
        <v>1390</v>
      </c>
      <c r="I38" s="1" t="s">
        <v>7</v>
      </c>
    </row>
    <row r="39" spans="1:10" ht="43.5" x14ac:dyDescent="0.35">
      <c r="A39" s="153" t="s">
        <v>540</v>
      </c>
      <c r="B39" s="227" t="s">
        <v>1125</v>
      </c>
      <c r="C39" s="225">
        <v>2</v>
      </c>
      <c r="D39" s="129">
        <v>45181</v>
      </c>
      <c r="E39" s="129">
        <v>45348</v>
      </c>
      <c r="F39" s="130" t="s">
        <v>754</v>
      </c>
      <c r="G39" s="113" t="s">
        <v>268</v>
      </c>
      <c r="H39" s="131">
        <v>1000</v>
      </c>
      <c r="I39" s="1" t="s">
        <v>680</v>
      </c>
    </row>
    <row r="40" spans="1:10" ht="43.5" x14ac:dyDescent="0.35">
      <c r="A40" s="153" t="s">
        <v>320</v>
      </c>
      <c r="B40" s="227" t="s">
        <v>1126</v>
      </c>
      <c r="C40" s="227">
        <v>2</v>
      </c>
      <c r="D40" s="129">
        <v>44985</v>
      </c>
      <c r="E40" s="129">
        <v>45348</v>
      </c>
      <c r="F40" s="130" t="s">
        <v>754</v>
      </c>
      <c r="G40" s="113" t="s">
        <v>268</v>
      </c>
      <c r="H40" s="131">
        <v>2500</v>
      </c>
      <c r="I40" s="296" t="s">
        <v>929</v>
      </c>
    </row>
    <row r="41" spans="1:10" ht="43.5" x14ac:dyDescent="0.35">
      <c r="A41" s="153" t="s">
        <v>115</v>
      </c>
      <c r="B41" s="227" t="s">
        <v>1127</v>
      </c>
      <c r="C41" s="225">
        <v>1</v>
      </c>
      <c r="D41" s="129"/>
      <c r="E41" s="129">
        <v>45348</v>
      </c>
      <c r="F41" s="130" t="s">
        <v>928</v>
      </c>
      <c r="G41" s="113" t="s">
        <v>268</v>
      </c>
      <c r="H41" s="131">
        <v>1200</v>
      </c>
    </row>
    <row r="42" spans="1:10" ht="43.5" x14ac:dyDescent="0.35">
      <c r="A42" s="153" t="s">
        <v>392</v>
      </c>
      <c r="B42" s="227" t="s">
        <v>1128</v>
      </c>
      <c r="C42" s="225">
        <v>1</v>
      </c>
      <c r="D42" s="129">
        <v>45009</v>
      </c>
      <c r="E42" s="129">
        <v>45348</v>
      </c>
      <c r="F42" s="130" t="s">
        <v>754</v>
      </c>
      <c r="G42" s="113" t="s">
        <v>268</v>
      </c>
      <c r="H42" s="131">
        <v>1250</v>
      </c>
      <c r="I42" s="1" t="s">
        <v>7</v>
      </c>
    </row>
    <row r="43" spans="1:10" ht="43.5" x14ac:dyDescent="0.35">
      <c r="A43" s="140" t="s">
        <v>949</v>
      </c>
      <c r="B43" s="289" t="s">
        <v>1159</v>
      </c>
      <c r="C43" s="225">
        <v>1</v>
      </c>
      <c r="D43" s="129">
        <v>44677</v>
      </c>
      <c r="E43" s="129">
        <v>45348</v>
      </c>
      <c r="F43" s="130" t="s">
        <v>950</v>
      </c>
      <c r="G43" s="113" t="s">
        <v>189</v>
      </c>
      <c r="H43" s="131">
        <v>0</v>
      </c>
      <c r="I43" s="1" t="s">
        <v>7</v>
      </c>
    </row>
    <row r="44" spans="1:10" ht="42.75" customHeight="1" x14ac:dyDescent="0.35">
      <c r="A44" s="140" t="s">
        <v>861</v>
      </c>
      <c r="B44" s="289" t="s">
        <v>1129</v>
      </c>
      <c r="C44" s="225">
        <v>1</v>
      </c>
      <c r="D44" s="129">
        <v>45287</v>
      </c>
      <c r="E44" s="129">
        <v>45355</v>
      </c>
      <c r="F44" s="130" t="s">
        <v>754</v>
      </c>
      <c r="G44" s="113" t="s">
        <v>268</v>
      </c>
      <c r="H44" s="131">
        <v>500</v>
      </c>
      <c r="I44" s="296" t="s">
        <v>1166</v>
      </c>
      <c r="J44" s="296" t="s">
        <v>1165</v>
      </c>
    </row>
    <row r="45" spans="1:10" ht="29" x14ac:dyDescent="0.35">
      <c r="A45" s="140" t="s">
        <v>372</v>
      </c>
      <c r="B45" s="289" t="s">
        <v>1130</v>
      </c>
      <c r="C45" s="140">
        <v>1</v>
      </c>
      <c r="D45" s="129">
        <v>44995</v>
      </c>
      <c r="E45" s="129">
        <v>45364</v>
      </c>
      <c r="F45" s="130" t="s">
        <v>966</v>
      </c>
      <c r="G45" s="113" t="s">
        <v>268</v>
      </c>
      <c r="H45" s="131">
        <v>0</v>
      </c>
      <c r="I45" s="1" t="s">
        <v>90</v>
      </c>
    </row>
    <row r="46" spans="1:10" ht="58" x14ac:dyDescent="0.35">
      <c r="A46" s="153" t="s">
        <v>312</v>
      </c>
      <c r="B46" s="293" t="s">
        <v>1131</v>
      </c>
      <c r="C46" s="225">
        <v>3</v>
      </c>
      <c r="D46" s="129">
        <v>44971</v>
      </c>
      <c r="E46" s="129">
        <v>45371</v>
      </c>
      <c r="F46" s="130" t="s">
        <v>970</v>
      </c>
      <c r="G46" s="113" t="s">
        <v>189</v>
      </c>
      <c r="H46" s="131">
        <v>1005.72</v>
      </c>
      <c r="I46" s="1" t="s">
        <v>1001</v>
      </c>
    </row>
    <row r="47" spans="1:10" ht="43.5" x14ac:dyDescent="0.35">
      <c r="A47" s="140" t="s">
        <v>1017</v>
      </c>
      <c r="B47" s="289" t="s">
        <v>1132</v>
      </c>
      <c r="C47" s="140">
        <v>1</v>
      </c>
      <c r="D47" s="129">
        <v>44670</v>
      </c>
      <c r="E47" s="129">
        <v>45392</v>
      </c>
      <c r="F47" s="130" t="s">
        <v>1018</v>
      </c>
      <c r="G47" s="113" t="s">
        <v>268</v>
      </c>
      <c r="H47" s="131">
        <v>0</v>
      </c>
      <c r="I47" s="1" t="s">
        <v>90</v>
      </c>
    </row>
    <row r="48" spans="1:10" ht="87" x14ac:dyDescent="0.35">
      <c r="A48" s="140" t="s">
        <v>269</v>
      </c>
      <c r="B48" s="289" t="s">
        <v>1972</v>
      </c>
      <c r="C48" s="225">
        <v>1</v>
      </c>
      <c r="D48" s="129">
        <v>44936</v>
      </c>
      <c r="E48" s="129">
        <v>45393</v>
      </c>
      <c r="F48" s="130" t="s">
        <v>1038</v>
      </c>
      <c r="G48" s="113" t="s">
        <v>268</v>
      </c>
      <c r="H48" s="131">
        <v>280</v>
      </c>
    </row>
    <row r="49" spans="1:12" ht="29" x14ac:dyDescent="0.35">
      <c r="A49" s="153" t="s">
        <v>693</v>
      </c>
      <c r="B49" s="289" t="s">
        <v>1133</v>
      </c>
      <c r="C49" s="225">
        <v>4</v>
      </c>
      <c r="D49" s="129">
        <v>45188</v>
      </c>
      <c r="E49" s="129">
        <v>45412</v>
      </c>
      <c r="F49" s="130" t="s">
        <v>1101</v>
      </c>
      <c r="G49" s="113" t="s">
        <v>189</v>
      </c>
      <c r="H49" s="131">
        <v>1340.96</v>
      </c>
      <c r="I49" s="1" t="s">
        <v>1001</v>
      </c>
    </row>
    <row r="50" spans="1:12" ht="43.5" x14ac:dyDescent="0.35">
      <c r="A50" s="140" t="s">
        <v>1078</v>
      </c>
      <c r="B50" s="289" t="s">
        <v>1160</v>
      </c>
      <c r="C50" s="225">
        <v>1</v>
      </c>
      <c r="D50" s="154">
        <v>44600</v>
      </c>
      <c r="E50" s="129">
        <v>45426</v>
      </c>
      <c r="F50" s="130" t="s">
        <v>1079</v>
      </c>
      <c r="G50" s="113" t="s">
        <v>268</v>
      </c>
      <c r="H50" s="131">
        <v>250</v>
      </c>
      <c r="I50" s="1" t="s">
        <v>7</v>
      </c>
    </row>
    <row r="51" spans="1:12" ht="66.75" customHeight="1" x14ac:dyDescent="0.35">
      <c r="A51" s="153" t="s">
        <v>432</v>
      </c>
      <c r="B51" s="289" t="s">
        <v>1161</v>
      </c>
      <c r="C51" s="225">
        <v>1</v>
      </c>
      <c r="D51" s="129">
        <v>45030</v>
      </c>
      <c r="E51" s="129">
        <v>45426</v>
      </c>
      <c r="F51" s="130" t="s">
        <v>1101</v>
      </c>
      <c r="G51" s="113" t="s">
        <v>189</v>
      </c>
      <c r="H51" s="131">
        <v>348</v>
      </c>
      <c r="I51" s="1" t="s">
        <v>7</v>
      </c>
    </row>
    <row r="52" spans="1:12" ht="49.5" customHeight="1" x14ac:dyDescent="0.35">
      <c r="A52" s="284" t="s">
        <v>932</v>
      </c>
      <c r="B52" s="289" t="s">
        <v>1162</v>
      </c>
      <c r="C52" s="225">
        <v>1</v>
      </c>
      <c r="D52" s="129">
        <v>45349</v>
      </c>
      <c r="E52" s="129">
        <v>45446</v>
      </c>
      <c r="F52" s="130" t="s">
        <v>597</v>
      </c>
      <c r="G52" s="285" t="s">
        <v>268</v>
      </c>
      <c r="H52" s="286">
        <v>0</v>
      </c>
      <c r="I52" s="296" t="s">
        <v>929</v>
      </c>
      <c r="J52" s="297"/>
      <c r="K52" s="33"/>
      <c r="L52" s="32"/>
    </row>
    <row r="53" spans="1:12" x14ac:dyDescent="0.35">
      <c r="A53" s="251" t="s">
        <v>1302</v>
      </c>
      <c r="B53" s="316"/>
      <c r="C53" s="190">
        <v>1</v>
      </c>
      <c r="D53" s="187">
        <v>44813</v>
      </c>
      <c r="E53" s="187">
        <v>45485</v>
      </c>
      <c r="F53" s="186" t="s">
        <v>1303</v>
      </c>
      <c r="G53" s="172" t="s">
        <v>268</v>
      </c>
      <c r="H53" s="172"/>
      <c r="J53" s="296"/>
    </row>
    <row r="54" spans="1:12" ht="58" x14ac:dyDescent="0.35">
      <c r="A54" s="153" t="s">
        <v>1314</v>
      </c>
      <c r="B54" s="289" t="s">
        <v>1973</v>
      </c>
      <c r="C54" s="225">
        <v>1</v>
      </c>
      <c r="D54" s="129"/>
      <c r="E54" s="129">
        <v>45511</v>
      </c>
      <c r="F54" s="130" t="s">
        <v>1315</v>
      </c>
      <c r="G54" s="113" t="s">
        <v>268</v>
      </c>
      <c r="H54" s="131">
        <v>0</v>
      </c>
      <c r="I54" s="1" t="s">
        <v>7</v>
      </c>
    </row>
    <row r="55" spans="1:12" ht="43.5" x14ac:dyDescent="0.35">
      <c r="A55" s="153" t="s">
        <v>1316</v>
      </c>
      <c r="B55" s="289" t="s">
        <v>1974</v>
      </c>
      <c r="C55" s="225">
        <v>1</v>
      </c>
      <c r="D55" s="129"/>
      <c r="E55" s="129">
        <v>45511</v>
      </c>
      <c r="F55" s="130" t="s">
        <v>1317</v>
      </c>
      <c r="G55" s="113" t="s">
        <v>189</v>
      </c>
      <c r="H55" s="131">
        <v>812</v>
      </c>
      <c r="I55" s="1" t="s">
        <v>7</v>
      </c>
    </row>
    <row r="56" spans="1:12" ht="58" x14ac:dyDescent="0.35">
      <c r="A56" s="153" t="s">
        <v>548</v>
      </c>
      <c r="B56" s="289" t="s">
        <v>1975</v>
      </c>
      <c r="C56" s="225">
        <v>1</v>
      </c>
      <c r="D56" s="129">
        <v>45096</v>
      </c>
      <c r="E56" s="129">
        <v>45516</v>
      </c>
      <c r="F56" s="130" t="s">
        <v>754</v>
      </c>
      <c r="G56" s="113" t="s">
        <v>189</v>
      </c>
      <c r="H56" s="131">
        <v>0</v>
      </c>
      <c r="I56" s="1" t="s">
        <v>90</v>
      </c>
    </row>
    <row r="57" spans="1:12" ht="58" x14ac:dyDescent="0.35">
      <c r="A57" s="153" t="s">
        <v>1342</v>
      </c>
      <c r="B57" s="352" t="s">
        <v>1976</v>
      </c>
      <c r="C57" s="225">
        <v>1</v>
      </c>
      <c r="D57" s="129">
        <v>44439</v>
      </c>
      <c r="E57" s="154">
        <v>45533</v>
      </c>
      <c r="F57" s="130" t="s">
        <v>1341</v>
      </c>
      <c r="G57" s="113" t="s">
        <v>268</v>
      </c>
      <c r="H57" s="131">
        <v>750</v>
      </c>
      <c r="I57" s="1" t="s">
        <v>7</v>
      </c>
    </row>
    <row r="58" spans="1:12" ht="66.75" customHeight="1" x14ac:dyDescent="0.35">
      <c r="A58" s="153" t="s">
        <v>1320</v>
      </c>
      <c r="B58" s="289" t="s">
        <v>1977</v>
      </c>
      <c r="C58" s="225">
        <v>1</v>
      </c>
      <c r="D58" s="129">
        <v>45512</v>
      </c>
      <c r="E58" s="129">
        <v>45535</v>
      </c>
      <c r="F58" s="130" t="s">
        <v>444</v>
      </c>
      <c r="G58" s="113" t="s">
        <v>268</v>
      </c>
      <c r="H58" s="131">
        <v>0</v>
      </c>
      <c r="I58" s="1" t="s">
        <v>7</v>
      </c>
    </row>
    <row r="59" spans="1:12" ht="43.5" x14ac:dyDescent="0.35">
      <c r="A59" s="153" t="s">
        <v>60</v>
      </c>
      <c r="B59" s="353" t="s">
        <v>1978</v>
      </c>
      <c r="C59" s="225">
        <v>2</v>
      </c>
      <c r="D59" s="129"/>
      <c r="E59" s="129">
        <v>45535</v>
      </c>
      <c r="F59" s="319"/>
      <c r="G59" s="113" t="s">
        <v>189</v>
      </c>
      <c r="H59" s="131">
        <v>4872</v>
      </c>
      <c r="I59" s="1" t="s">
        <v>7</v>
      </c>
    </row>
    <row r="60" spans="1:12" ht="101.5" x14ac:dyDescent="0.35">
      <c r="A60" s="186" t="s">
        <v>1349</v>
      </c>
      <c r="B60" s="291" t="s">
        <v>1979</v>
      </c>
      <c r="C60" s="228">
        <v>7</v>
      </c>
      <c r="D60" s="129"/>
      <c r="E60" s="187">
        <v>45535</v>
      </c>
      <c r="F60" s="186" t="s">
        <v>970</v>
      </c>
      <c r="G60" s="172" t="s">
        <v>189</v>
      </c>
      <c r="H60" s="173">
        <v>29055.68</v>
      </c>
      <c r="I60" s="1" t="s">
        <v>1001</v>
      </c>
    </row>
    <row r="61" spans="1:12" ht="29" x14ac:dyDescent="0.35">
      <c r="A61" s="251" t="s">
        <v>1279</v>
      </c>
      <c r="B61" s="291" t="s">
        <v>1980</v>
      </c>
      <c r="C61" s="228">
        <v>1</v>
      </c>
      <c r="D61" s="129">
        <v>45478</v>
      </c>
      <c r="E61" s="187">
        <v>45540</v>
      </c>
      <c r="F61" s="186" t="s">
        <v>1350</v>
      </c>
      <c r="G61" s="172" t="s">
        <v>268</v>
      </c>
      <c r="H61" s="173">
        <v>0</v>
      </c>
      <c r="I61" s="1" t="s">
        <v>7</v>
      </c>
    </row>
    <row r="62" spans="1:12" ht="43.5" x14ac:dyDescent="0.35">
      <c r="A62" s="153" t="s">
        <v>930</v>
      </c>
      <c r="B62" s="289" t="s">
        <v>1981</v>
      </c>
      <c r="C62" s="225">
        <v>1</v>
      </c>
      <c r="D62" s="154">
        <v>45349</v>
      </c>
      <c r="E62" s="129">
        <v>45546</v>
      </c>
      <c r="F62" s="130" t="s">
        <v>1373</v>
      </c>
      <c r="G62" s="113" t="s">
        <v>268</v>
      </c>
      <c r="H62" s="131">
        <v>0</v>
      </c>
      <c r="I62" s="1" t="s">
        <v>7</v>
      </c>
    </row>
    <row r="63" spans="1:12" ht="87" x14ac:dyDescent="0.35">
      <c r="A63" s="140" t="s">
        <v>269</v>
      </c>
      <c r="B63" s="289" t="s">
        <v>1372</v>
      </c>
      <c r="C63" s="225">
        <v>2</v>
      </c>
      <c r="D63" s="154">
        <v>45458</v>
      </c>
      <c r="E63" s="129">
        <v>45546</v>
      </c>
      <c r="F63" s="130" t="s">
        <v>1373</v>
      </c>
      <c r="G63" s="113" t="s">
        <v>268</v>
      </c>
      <c r="H63" s="131">
        <v>0</v>
      </c>
      <c r="I63" s="1" t="s">
        <v>7</v>
      </c>
    </row>
    <row r="64" spans="1:12" ht="41.25" customHeight="1" x14ac:dyDescent="0.35">
      <c r="A64" s="153" t="s">
        <v>1050</v>
      </c>
      <c r="B64" s="289" t="s">
        <v>1982</v>
      </c>
      <c r="C64" s="225">
        <v>1</v>
      </c>
      <c r="D64" s="129">
        <v>45415</v>
      </c>
      <c r="E64" s="154">
        <v>45565</v>
      </c>
      <c r="F64" s="130"/>
      <c r="G64" s="113" t="s">
        <v>268</v>
      </c>
      <c r="H64" s="131">
        <v>0</v>
      </c>
      <c r="I64" s="1" t="s">
        <v>7</v>
      </c>
    </row>
    <row r="65" spans="1:9" ht="45.75" customHeight="1" x14ac:dyDescent="0.35">
      <c r="A65" s="153" t="s">
        <v>1102</v>
      </c>
      <c r="B65" s="354" t="s">
        <v>1983</v>
      </c>
      <c r="C65" s="225">
        <v>2</v>
      </c>
      <c r="D65" s="129">
        <v>45443</v>
      </c>
      <c r="E65" s="154">
        <v>45581</v>
      </c>
      <c r="F65" s="130" t="s">
        <v>455</v>
      </c>
      <c r="G65" s="113" t="s">
        <v>189</v>
      </c>
      <c r="H65" s="131">
        <f>166.66*0.16+166.66</f>
        <v>193.32560000000001</v>
      </c>
      <c r="I65" s="1" t="s">
        <v>7</v>
      </c>
    </row>
    <row r="66" spans="1:9" ht="62.25" customHeight="1" x14ac:dyDescent="0.35">
      <c r="A66" s="153" t="s">
        <v>1583</v>
      </c>
      <c r="B66" s="289" t="s">
        <v>1984</v>
      </c>
      <c r="C66" s="225">
        <v>1</v>
      </c>
      <c r="D66" s="129">
        <v>44984</v>
      </c>
      <c r="E66" s="154">
        <v>45592</v>
      </c>
      <c r="F66" s="130" t="s">
        <v>1350</v>
      </c>
      <c r="G66" s="113" t="s">
        <v>268</v>
      </c>
      <c r="H66" s="131">
        <v>0</v>
      </c>
      <c r="I66" s="1" t="s">
        <v>7</v>
      </c>
    </row>
    <row r="67" spans="1:9" ht="43.5" x14ac:dyDescent="0.35">
      <c r="A67" s="153" t="s">
        <v>1602</v>
      </c>
      <c r="B67" s="289" t="s">
        <v>1985</v>
      </c>
      <c r="C67" s="225">
        <v>3</v>
      </c>
      <c r="D67" s="129">
        <v>44293</v>
      </c>
      <c r="E67" s="129">
        <v>45601</v>
      </c>
      <c r="F67" s="130" t="s">
        <v>1601</v>
      </c>
      <c r="G67" s="113" t="s">
        <v>268</v>
      </c>
      <c r="H67" s="131">
        <v>0</v>
      </c>
      <c r="I67" s="1" t="s">
        <v>7</v>
      </c>
    </row>
    <row r="68" spans="1:9" ht="43.5" x14ac:dyDescent="0.35">
      <c r="A68" s="153" t="s">
        <v>97</v>
      </c>
      <c r="B68" s="289" t="s">
        <v>1986</v>
      </c>
      <c r="C68" s="225">
        <v>2</v>
      </c>
      <c r="D68" s="129">
        <v>44859</v>
      </c>
      <c r="E68" s="129">
        <v>45625</v>
      </c>
      <c r="F68" s="130" t="s">
        <v>754</v>
      </c>
      <c r="G68" s="113" t="s">
        <v>268</v>
      </c>
      <c r="H68" s="131">
        <v>5400</v>
      </c>
      <c r="I68" s="1" t="s">
        <v>7</v>
      </c>
    </row>
    <row r="69" spans="1:9" ht="68.25" customHeight="1" x14ac:dyDescent="0.35">
      <c r="A69" s="153" t="s">
        <v>1655</v>
      </c>
      <c r="B69" s="227" t="s">
        <v>1657</v>
      </c>
      <c r="C69" s="225">
        <v>27</v>
      </c>
      <c r="D69" s="129">
        <v>44075</v>
      </c>
      <c r="E69" s="129">
        <v>45625</v>
      </c>
      <c r="F69" s="130" t="s">
        <v>1656</v>
      </c>
      <c r="G69" s="113" t="s">
        <v>268</v>
      </c>
      <c r="H69" s="131">
        <v>3900</v>
      </c>
      <c r="I69" s="1" t="s">
        <v>7</v>
      </c>
    </row>
    <row r="70" spans="1:9" ht="43.5" x14ac:dyDescent="0.35">
      <c r="A70" s="153" t="s">
        <v>1259</v>
      </c>
      <c r="B70" s="227" t="s">
        <v>1987</v>
      </c>
      <c r="C70" s="225">
        <v>1</v>
      </c>
      <c r="D70" s="129">
        <v>45458</v>
      </c>
      <c r="E70" s="129">
        <v>45628</v>
      </c>
      <c r="F70" s="130" t="s">
        <v>754</v>
      </c>
      <c r="G70" s="113" t="s">
        <v>268</v>
      </c>
      <c r="H70" s="131">
        <v>1350</v>
      </c>
      <c r="I70" s="1" t="s">
        <v>7</v>
      </c>
    </row>
    <row r="71" spans="1:9" ht="58" x14ac:dyDescent="0.35">
      <c r="A71" s="153" t="s">
        <v>1354</v>
      </c>
      <c r="B71" s="227" t="s">
        <v>1988</v>
      </c>
      <c r="C71" s="225">
        <v>2</v>
      </c>
      <c r="D71" s="129">
        <v>45541</v>
      </c>
      <c r="E71" s="129">
        <v>45636</v>
      </c>
      <c r="F71" s="130" t="s">
        <v>754</v>
      </c>
      <c r="G71" s="113" t="s">
        <v>189</v>
      </c>
      <c r="H71" s="131">
        <v>2088</v>
      </c>
      <c r="I71" s="1" t="s">
        <v>7</v>
      </c>
    </row>
    <row r="72" spans="1:9" ht="58" x14ac:dyDescent="0.35">
      <c r="A72" s="153" t="s">
        <v>576</v>
      </c>
      <c r="B72" s="287" t="s">
        <v>1989</v>
      </c>
      <c r="C72" s="225">
        <v>1</v>
      </c>
      <c r="D72" s="129">
        <v>45111</v>
      </c>
      <c r="E72" s="129">
        <v>45636</v>
      </c>
      <c r="F72" s="130" t="s">
        <v>1691</v>
      </c>
      <c r="G72" s="113" t="s">
        <v>189</v>
      </c>
      <c r="H72" s="131">
        <v>290</v>
      </c>
      <c r="I72" s="1" t="s">
        <v>7</v>
      </c>
    </row>
    <row r="73" spans="1:9" ht="53.25" customHeight="1" x14ac:dyDescent="0.35">
      <c r="A73" s="153" t="s">
        <v>1298</v>
      </c>
      <c r="B73" s="289" t="s">
        <v>1990</v>
      </c>
      <c r="C73" s="225">
        <v>1</v>
      </c>
      <c r="D73" s="129">
        <v>45492</v>
      </c>
      <c r="E73" s="129">
        <v>45645</v>
      </c>
      <c r="F73" s="130" t="s">
        <v>754</v>
      </c>
      <c r="G73" s="113" t="s">
        <v>268</v>
      </c>
      <c r="H73" s="131">
        <v>1178.56</v>
      </c>
      <c r="I73" s="1" t="s">
        <v>1166</v>
      </c>
    </row>
    <row r="74" spans="1:9" ht="43.5" x14ac:dyDescent="0.35">
      <c r="A74" s="153" t="s">
        <v>1255</v>
      </c>
      <c r="B74" s="293" t="s">
        <v>1256</v>
      </c>
      <c r="C74" s="225">
        <v>1</v>
      </c>
      <c r="D74" s="129">
        <v>45457</v>
      </c>
      <c r="E74" s="129">
        <v>45671</v>
      </c>
      <c r="F74" s="130" t="s">
        <v>754</v>
      </c>
      <c r="G74" s="113" t="s">
        <v>268</v>
      </c>
      <c r="H74" s="131">
        <v>3483.33</v>
      </c>
      <c r="I74" s="1" t="s">
        <v>7</v>
      </c>
    </row>
    <row r="75" spans="1:9" ht="67.5" customHeight="1" x14ac:dyDescent="0.35">
      <c r="A75" s="153" t="s">
        <v>1740</v>
      </c>
      <c r="B75" s="289" t="s">
        <v>1991</v>
      </c>
      <c r="C75" s="225">
        <v>1</v>
      </c>
      <c r="D75" s="129">
        <v>45576</v>
      </c>
      <c r="E75" s="129">
        <v>45680</v>
      </c>
      <c r="F75" s="130" t="s">
        <v>424</v>
      </c>
      <c r="G75" s="113" t="s">
        <v>189</v>
      </c>
      <c r="H75" s="131">
        <v>0</v>
      </c>
      <c r="I75" s="1" t="s">
        <v>1001</v>
      </c>
    </row>
    <row r="76" spans="1:9" ht="43.5" x14ac:dyDescent="0.35">
      <c r="A76" s="153" t="s">
        <v>896</v>
      </c>
      <c r="B76" s="227" t="s">
        <v>1992</v>
      </c>
      <c r="C76" s="225">
        <v>1</v>
      </c>
      <c r="D76" s="129">
        <v>45309</v>
      </c>
      <c r="E76" s="129">
        <v>45680</v>
      </c>
      <c r="F76" s="130" t="s">
        <v>754</v>
      </c>
      <c r="G76" s="113" t="s">
        <v>268</v>
      </c>
      <c r="H76" s="131">
        <v>1920</v>
      </c>
      <c r="I76" s="1" t="s">
        <v>7</v>
      </c>
    </row>
    <row r="77" spans="1:9" ht="58" x14ac:dyDescent="0.35">
      <c r="A77" s="153" t="s">
        <v>129</v>
      </c>
      <c r="B77" s="227" t="s">
        <v>2198</v>
      </c>
      <c r="C77" s="225">
        <v>1</v>
      </c>
      <c r="D77" s="129" t="s">
        <v>2024</v>
      </c>
      <c r="E77" s="129">
        <v>45681</v>
      </c>
      <c r="F77" s="130" t="s">
        <v>424</v>
      </c>
      <c r="G77" s="113" t="s">
        <v>268</v>
      </c>
      <c r="H77" s="131">
        <v>780</v>
      </c>
    </row>
    <row r="78" spans="1:9" ht="64.5" customHeight="1" x14ac:dyDescent="0.35">
      <c r="A78" s="153" t="s">
        <v>792</v>
      </c>
      <c r="B78" s="227" t="s">
        <v>2199</v>
      </c>
      <c r="C78" s="140">
        <v>2</v>
      </c>
      <c r="D78" s="129">
        <v>44133</v>
      </c>
      <c r="E78" s="129">
        <v>45681</v>
      </c>
      <c r="F78" s="130" t="s">
        <v>754</v>
      </c>
      <c r="G78" s="113" t="s">
        <v>268</v>
      </c>
      <c r="H78" s="131">
        <v>6000</v>
      </c>
      <c r="I78" s="1" t="s">
        <v>7</v>
      </c>
    </row>
    <row r="79" spans="1:9" ht="64.5" customHeight="1" x14ac:dyDescent="0.35">
      <c r="A79" s="153" t="s">
        <v>2028</v>
      </c>
      <c r="B79" s="366" t="s">
        <v>2200</v>
      </c>
      <c r="C79" s="225">
        <v>4</v>
      </c>
      <c r="D79" s="129">
        <v>45524</v>
      </c>
      <c r="E79" s="129">
        <v>45684</v>
      </c>
      <c r="F79" s="130" t="s">
        <v>754</v>
      </c>
      <c r="G79" s="113" t="s">
        <v>189</v>
      </c>
      <c r="H79" s="131">
        <v>4176</v>
      </c>
      <c r="I79" s="1" t="s">
        <v>7</v>
      </c>
    </row>
    <row r="80" spans="1:9" ht="55.5" customHeight="1" x14ac:dyDescent="0.35">
      <c r="A80" s="153" t="s">
        <v>78</v>
      </c>
      <c r="B80" s="289" t="s">
        <v>2201</v>
      </c>
      <c r="C80" s="225">
        <v>1</v>
      </c>
      <c r="D80" s="129">
        <v>44240</v>
      </c>
      <c r="E80" s="129">
        <v>45687</v>
      </c>
      <c r="F80" s="130" t="s">
        <v>1350</v>
      </c>
      <c r="G80" s="113" t="s">
        <v>189</v>
      </c>
      <c r="H80" s="131">
        <v>693.68</v>
      </c>
      <c r="I80" s="1" t="s">
        <v>7</v>
      </c>
    </row>
    <row r="81" spans="1:9" ht="58" x14ac:dyDescent="0.35">
      <c r="A81" s="153" t="s">
        <v>531</v>
      </c>
      <c r="B81" s="289" t="s">
        <v>2202</v>
      </c>
      <c r="C81" s="225">
        <v>4</v>
      </c>
      <c r="D81" s="129">
        <v>45089</v>
      </c>
      <c r="E81" s="129">
        <v>45688</v>
      </c>
      <c r="F81" s="130" t="s">
        <v>424</v>
      </c>
      <c r="G81" s="113" t="s">
        <v>268</v>
      </c>
      <c r="H81" s="131">
        <v>0</v>
      </c>
      <c r="I81" s="1" t="s">
        <v>1001</v>
      </c>
    </row>
    <row r="82" spans="1:9" ht="30" customHeight="1" x14ac:dyDescent="0.35">
      <c r="A82" s="153" t="s">
        <v>1279</v>
      </c>
      <c r="B82" s="227" t="s">
        <v>2221</v>
      </c>
      <c r="C82" s="225">
        <v>1</v>
      </c>
      <c r="D82" s="129">
        <v>45559</v>
      </c>
      <c r="E82" s="129">
        <v>45695</v>
      </c>
      <c r="F82" s="130" t="s">
        <v>424</v>
      </c>
      <c r="G82" s="113" t="s">
        <v>268</v>
      </c>
      <c r="H82" s="131">
        <v>500</v>
      </c>
      <c r="I82" s="1" t="s">
        <v>7</v>
      </c>
    </row>
    <row r="83" spans="1:9" ht="43.5" x14ac:dyDescent="0.35">
      <c r="A83" s="153" t="s">
        <v>1593</v>
      </c>
      <c r="B83" s="153" t="s">
        <v>2223</v>
      </c>
      <c r="C83" s="225">
        <v>1</v>
      </c>
      <c r="D83" s="129">
        <v>45601</v>
      </c>
      <c r="E83" s="154">
        <v>45699</v>
      </c>
      <c r="F83" s="130" t="s">
        <v>2222</v>
      </c>
      <c r="G83" s="113" t="s">
        <v>268</v>
      </c>
      <c r="H83" s="131">
        <v>0</v>
      </c>
      <c r="I83" s="1" t="s">
        <v>7</v>
      </c>
    </row>
    <row r="84" spans="1:9" ht="43.5" x14ac:dyDescent="0.35">
      <c r="A84" s="369" t="s">
        <v>893</v>
      </c>
      <c r="B84" s="130" t="s">
        <v>2232</v>
      </c>
      <c r="C84" s="225">
        <v>1</v>
      </c>
      <c r="D84" s="129">
        <v>45322</v>
      </c>
      <c r="E84" s="129">
        <v>45699</v>
      </c>
      <c r="F84" s="130" t="s">
        <v>424</v>
      </c>
      <c r="G84" s="113" t="s">
        <v>268</v>
      </c>
      <c r="H84" s="131">
        <v>900</v>
      </c>
      <c r="I84" s="1" t="s">
        <v>7</v>
      </c>
    </row>
    <row r="85" spans="1:9" ht="43.5" x14ac:dyDescent="0.35">
      <c r="A85" s="153" t="s">
        <v>1633</v>
      </c>
      <c r="B85" s="153" t="s">
        <v>2233</v>
      </c>
      <c r="C85" s="225">
        <v>1</v>
      </c>
      <c r="D85" s="129">
        <v>45621</v>
      </c>
      <c r="E85" s="129">
        <v>45702</v>
      </c>
      <c r="F85" s="130" t="s">
        <v>1350</v>
      </c>
      <c r="G85" s="113" t="s">
        <v>268</v>
      </c>
      <c r="H85" s="131">
        <v>140</v>
      </c>
      <c r="I85" s="1" t="s">
        <v>1166</v>
      </c>
    </row>
    <row r="86" spans="1:9" ht="66" customHeight="1" x14ac:dyDescent="0.35">
      <c r="A86" s="227" t="s">
        <v>2011</v>
      </c>
      <c r="B86" s="130" t="s">
        <v>2263</v>
      </c>
      <c r="C86" s="370">
        <v>3</v>
      </c>
      <c r="D86" s="129">
        <v>44525</v>
      </c>
      <c r="E86" s="129">
        <v>45712</v>
      </c>
      <c r="F86" s="130" t="s">
        <v>2262</v>
      </c>
      <c r="G86" s="113" t="s">
        <v>189</v>
      </c>
      <c r="H86" s="131">
        <v>940</v>
      </c>
      <c r="I86" s="1" t="s">
        <v>7</v>
      </c>
    </row>
    <row r="87" spans="1:9" ht="43.5" x14ac:dyDescent="0.35">
      <c r="A87" s="153" t="s">
        <v>736</v>
      </c>
      <c r="B87" s="153" t="s">
        <v>2273</v>
      </c>
      <c r="C87" s="225">
        <v>1</v>
      </c>
      <c r="D87" s="129">
        <v>45217</v>
      </c>
      <c r="E87" s="129">
        <v>45712</v>
      </c>
      <c r="F87" s="130" t="s">
        <v>1350</v>
      </c>
      <c r="G87" s="113" t="s">
        <v>268</v>
      </c>
      <c r="H87" s="131">
        <v>3000</v>
      </c>
      <c r="I87" s="1" t="s">
        <v>7</v>
      </c>
    </row>
    <row r="88" spans="1:9" ht="43.5" x14ac:dyDescent="0.35">
      <c r="A88" s="153" t="s">
        <v>1102</v>
      </c>
      <c r="B88" s="354" t="s">
        <v>2616</v>
      </c>
      <c r="C88" s="225">
        <v>1</v>
      </c>
      <c r="D88" s="129">
        <v>45698</v>
      </c>
      <c r="E88" s="129">
        <v>45747</v>
      </c>
      <c r="F88" s="130" t="s">
        <v>2615</v>
      </c>
      <c r="G88" s="113" t="s">
        <v>189</v>
      </c>
      <c r="H88" s="131">
        <v>0</v>
      </c>
      <c r="I88" s="1" t="s">
        <v>7</v>
      </c>
    </row>
    <row r="89" spans="1:9" ht="43.5" x14ac:dyDescent="0.35">
      <c r="A89" s="153" t="s">
        <v>2511</v>
      </c>
      <c r="B89" s="153" t="s">
        <v>2706</v>
      </c>
      <c r="C89" s="225">
        <v>1</v>
      </c>
      <c r="D89" s="129">
        <v>45730</v>
      </c>
      <c r="E89" s="129">
        <v>45748</v>
      </c>
      <c r="F89" s="130" t="s">
        <v>2708</v>
      </c>
      <c r="G89" s="113" t="s">
        <v>189</v>
      </c>
      <c r="H89" s="131">
        <v>0</v>
      </c>
      <c r="I89" s="1" t="s">
        <v>7</v>
      </c>
    </row>
    <row r="90" spans="1:9" ht="58" x14ac:dyDescent="0.35">
      <c r="A90" s="153" t="s">
        <v>2203</v>
      </c>
      <c r="B90" s="398" t="s">
        <v>2707</v>
      </c>
      <c r="C90" s="225">
        <v>1</v>
      </c>
      <c r="D90" s="129">
        <v>45695</v>
      </c>
      <c r="E90" s="129">
        <v>45749</v>
      </c>
      <c r="F90" s="130" t="s">
        <v>1350</v>
      </c>
      <c r="G90" s="113" t="s">
        <v>268</v>
      </c>
      <c r="H90" s="131">
        <v>0</v>
      </c>
      <c r="I90" s="1" t="s">
        <v>7</v>
      </c>
    </row>
    <row r="91" spans="1:9" ht="30.75" customHeight="1" x14ac:dyDescent="0.35">
      <c r="A91" s="153" t="s">
        <v>1242</v>
      </c>
      <c r="B91" s="153" t="s">
        <v>1243</v>
      </c>
      <c r="C91" s="225">
        <v>1</v>
      </c>
      <c r="D91" s="129">
        <v>45454</v>
      </c>
      <c r="E91" s="129">
        <v>45748</v>
      </c>
      <c r="F91" s="130" t="s">
        <v>2709</v>
      </c>
      <c r="G91" s="113" t="s">
        <v>268</v>
      </c>
      <c r="H91" s="131">
        <v>250</v>
      </c>
    </row>
    <row r="92" spans="1:9" ht="72.5" x14ac:dyDescent="0.35">
      <c r="A92" s="153" t="s">
        <v>533</v>
      </c>
      <c r="B92" s="414" t="s">
        <v>2897</v>
      </c>
      <c r="C92" s="225">
        <v>17</v>
      </c>
      <c r="D92" s="129">
        <v>45089</v>
      </c>
      <c r="E92" s="129">
        <v>45777</v>
      </c>
      <c r="F92" s="130" t="s">
        <v>2899</v>
      </c>
      <c r="G92" s="113" t="s">
        <v>189</v>
      </c>
      <c r="H92" s="131">
        <v>0</v>
      </c>
      <c r="I92" s="1" t="s">
        <v>2898</v>
      </c>
    </row>
  </sheetData>
  <autoFilter ref="A2:I91" xr:uid="{00000000-0009-0000-0000-00000B000000}"/>
  <mergeCells count="1">
    <mergeCell ref="A1:H1"/>
  </mergeCells>
  <hyperlinks>
    <hyperlink ref="B14" r:id="rId1" display="karlasauceda04@gmail.com" xr:uid="{00000000-0004-0000-0B00-000000000000}"/>
    <hyperlink ref="B33" r:id="rId2" display="pablordzmasper@hotmail.com" xr:uid="{00000000-0004-0000-0B00-000001000000}"/>
    <hyperlink ref="B65" r:id="rId3" display="se.arriaga@hotmail.com" xr:uid="{00000000-0004-0000-0B00-000002000000}"/>
    <hyperlink ref="B72" r:id="rId4" display="mmkwgzz@hotmail.com" xr:uid="{00000000-0004-0000-0B00-000003000000}"/>
    <hyperlink ref="B79" r:id="rId5" display="Proatam.admon@gmail.com" xr:uid="{00000000-0004-0000-0B00-000004000000}"/>
    <hyperlink ref="B88" r:id="rId6" display="se.arriaga@hotmail.com" xr:uid="{00000000-0004-0000-0B00-000005000000}"/>
  </hyperlinks>
  <pageMargins left="0.7" right="0.7" top="0.75" bottom="0.75" header="0.3" footer="0.3"/>
  <pageSetup orientation="portrait" r:id="rId7"/>
  <legacy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ENERO</vt:lpstr>
      <vt:lpstr>FEBRERO</vt:lpstr>
      <vt:lpstr>MARZO</vt:lpstr>
      <vt:lpstr>ABRIL</vt:lpstr>
      <vt:lpstr>MAYO</vt:lpstr>
      <vt:lpstr>FACTURAS</vt:lpstr>
      <vt:lpstr>FACTURA5</vt:lpstr>
      <vt:lpstr>REMISIONES</vt:lpstr>
      <vt:lpstr>PREPAGOS</vt:lpstr>
      <vt:lpstr>ANUALIDADES</vt:lpstr>
      <vt:lpstr>NUEVOS</vt:lpstr>
      <vt:lpstr>BAJAS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LENOVO</cp:lastModifiedBy>
  <dcterms:created xsi:type="dcterms:W3CDTF">2022-12-27T17:11:57Z</dcterms:created>
  <dcterms:modified xsi:type="dcterms:W3CDTF">2026-06-16T23:03:27Z</dcterms:modified>
</cp:coreProperties>
</file>