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dooUbitec\"/>
    </mc:Choice>
  </mc:AlternateContent>
  <xr:revisionPtr revIDLastSave="0" documentId="8_{4B07C3CF-30E2-4145-9104-E30F6107790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iciembre´2023" sheetId="1" r:id="rId1"/>
    <sheet name="Enero´2024" sheetId="2" r:id="rId2"/>
    <sheet name="Febrero´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I33" i="2" l="1"/>
  <c r="C33" i="2" l="1"/>
  <c r="C38" i="1" l="1"/>
</calcChain>
</file>

<file path=xl/sharedStrings.xml><?xml version="1.0" encoding="utf-8"?>
<sst xmlns="http://schemas.openxmlformats.org/spreadsheetml/2006/main" count="334" uniqueCount="127">
  <si>
    <t>CC-0067375712</t>
  </si>
  <si>
    <t xml:space="preserve">Total a pagar </t>
  </si>
  <si>
    <t xml:space="preserve">Fecha de Corte </t>
  </si>
  <si>
    <t xml:space="preserve">No. Cuenta </t>
  </si>
  <si>
    <t>0303 2987 05585</t>
  </si>
  <si>
    <t>LC-0023822607</t>
  </si>
  <si>
    <t>0707 5419 85948</t>
  </si>
  <si>
    <t>KC-0019448359</t>
  </si>
  <si>
    <t>0404 5295 85114</t>
  </si>
  <si>
    <t>KC-0019444589</t>
  </si>
  <si>
    <t>0404 3722 83990</t>
  </si>
  <si>
    <t>KC-0019448355</t>
  </si>
  <si>
    <t>0404 5295 50892</t>
  </si>
  <si>
    <t>KC-0019446722</t>
  </si>
  <si>
    <t>0404 4879 55046</t>
  </si>
  <si>
    <t>KC-0019446562</t>
  </si>
  <si>
    <t>0404 4825 27424</t>
  </si>
  <si>
    <t>FC-0081995018</t>
  </si>
  <si>
    <t>0606 3735 02004</t>
  </si>
  <si>
    <t>FC-0081995479</t>
  </si>
  <si>
    <t>0606 3863 43430</t>
  </si>
  <si>
    <t>JC-0026860019</t>
  </si>
  <si>
    <t>0505 5548 16720</t>
  </si>
  <si>
    <t>SC-0078478941</t>
  </si>
  <si>
    <t>0909 8404 75832</t>
  </si>
  <si>
    <t>FC-0081990025</t>
  </si>
  <si>
    <t>0606 3884 64345</t>
  </si>
  <si>
    <t>KC-0019412229</t>
  </si>
  <si>
    <t>0404 5311 21596</t>
  </si>
  <si>
    <t>KC-0019412230</t>
  </si>
  <si>
    <t>0404 5311 22312</t>
  </si>
  <si>
    <t>KC-0019412231</t>
  </si>
  <si>
    <t>0404 5311 22412</t>
  </si>
  <si>
    <t>KC-0019412232</t>
  </si>
  <si>
    <t>0404 5311 22512</t>
  </si>
  <si>
    <t>KC-0019412233</t>
  </si>
  <si>
    <t>0404 5311 22612</t>
  </si>
  <si>
    <t>0404 5311 22712</t>
  </si>
  <si>
    <t>KC-0019412234</t>
  </si>
  <si>
    <t>0404 5311 22912</t>
  </si>
  <si>
    <t>KC-0019412235</t>
  </si>
  <si>
    <t>0404 5311 23125</t>
  </si>
  <si>
    <t>KC-0019412236</t>
  </si>
  <si>
    <t>KC-0019412237</t>
  </si>
  <si>
    <t>0404 5311 23325</t>
  </si>
  <si>
    <t>0404 5311 23425</t>
  </si>
  <si>
    <t>KC-0019412238</t>
  </si>
  <si>
    <t xml:space="preserve">EMPRENET </t>
  </si>
  <si>
    <t>PE 2328</t>
  </si>
  <si>
    <t xml:space="preserve">Renta Local </t>
  </si>
  <si>
    <t>Período de la declaración: Noviembre</t>
  </si>
  <si>
    <t>0423 7G3H 6000 4080 4276</t>
  </si>
  <si>
    <t>Folio</t>
  </si>
  <si>
    <t xml:space="preserve">Proveedor </t>
  </si>
  <si>
    <t xml:space="preserve">Telcel </t>
  </si>
  <si>
    <t xml:space="preserve">Líenas de Captura </t>
  </si>
  <si>
    <t xml:space="preserve">Transferencia </t>
  </si>
  <si>
    <t>BANORTE - IXE</t>
  </si>
  <si>
    <t>PRE-FACTURA Diciembre´2023</t>
  </si>
  <si>
    <t>No. Cliente 000000008</t>
  </si>
  <si>
    <t xml:space="preserve">Impuestos </t>
  </si>
  <si>
    <t>Telcel</t>
  </si>
  <si>
    <t>CC-0067514321</t>
  </si>
  <si>
    <t xml:space="preserve">Banorte </t>
  </si>
  <si>
    <t>KC-0019697083</t>
  </si>
  <si>
    <t>KC-0019695281</t>
  </si>
  <si>
    <t>KC-0019693325</t>
  </si>
  <si>
    <t>KC-0019695440</t>
  </si>
  <si>
    <t>KC-0019697079</t>
  </si>
  <si>
    <t>Renta Local</t>
  </si>
  <si>
    <t>PE 2338</t>
  </si>
  <si>
    <t>044 580 145 046 645 828</t>
  </si>
  <si>
    <t xml:space="preserve">Scotiabank </t>
  </si>
  <si>
    <t xml:space="preserve">Referencia </t>
  </si>
  <si>
    <t xml:space="preserve">Impuesos </t>
  </si>
  <si>
    <t xml:space="preserve">0424 04GS 8100 4113 9287 </t>
  </si>
  <si>
    <t>Periodo de la declaracion Diciembre 2023</t>
  </si>
  <si>
    <t>Emprenet</t>
  </si>
  <si>
    <t>Enero´2024</t>
  </si>
  <si>
    <t>KC-0019660795</t>
  </si>
  <si>
    <t>-</t>
  </si>
  <si>
    <t>KC-0019660796</t>
  </si>
  <si>
    <t>KC-0019660800</t>
  </si>
  <si>
    <t>KC-0019660797</t>
  </si>
  <si>
    <t>KC-0019660794</t>
  </si>
  <si>
    <t>KC-0019660802</t>
  </si>
  <si>
    <t>KC-0019660799</t>
  </si>
  <si>
    <t>KC-0019660798</t>
  </si>
  <si>
    <t>KC-0019660801</t>
  </si>
  <si>
    <t>FECHA DE PAGO</t>
  </si>
  <si>
    <t>FC-0082161293</t>
  </si>
  <si>
    <t>Petro 7</t>
  </si>
  <si>
    <t>445F</t>
  </si>
  <si>
    <t xml:space="preserve">Efectivo / Gasolina Vento </t>
  </si>
  <si>
    <t>Oxxo Gas</t>
  </si>
  <si>
    <t>Efectivo / Gasolina Matiz</t>
  </si>
  <si>
    <t xml:space="preserve">PAGO </t>
  </si>
  <si>
    <t>KC-0019660803</t>
  </si>
  <si>
    <t>JC-0027049783</t>
  </si>
  <si>
    <t>0505 5564 56658</t>
  </si>
  <si>
    <t>Tajeta Oscar</t>
  </si>
  <si>
    <t xml:space="preserve">Tarjeta Eliud </t>
  </si>
  <si>
    <t>FC-0082167007</t>
  </si>
  <si>
    <t>FC-0082166562</t>
  </si>
  <si>
    <t>CC-0067656843</t>
  </si>
  <si>
    <t>Banorte</t>
  </si>
  <si>
    <t>KC-0019949530</t>
  </si>
  <si>
    <t>KC-0019947452</t>
  </si>
  <si>
    <t xml:space="preserve"> KC-0019949374</t>
  </si>
  <si>
    <t>FC-0082342092</t>
  </si>
  <si>
    <t>JC-0027314792</t>
  </si>
  <si>
    <t>LC-0024287661</t>
  </si>
  <si>
    <t>SC-0079390338</t>
  </si>
  <si>
    <t>CC-0067515085</t>
  </si>
  <si>
    <t>0303 3164 49227</t>
  </si>
  <si>
    <t>CC-0067657595</t>
  </si>
  <si>
    <t xml:space="preserve">ERROR DE TELCEL </t>
  </si>
  <si>
    <t>NO PAGAR</t>
  </si>
  <si>
    <t>Petro7</t>
  </si>
  <si>
    <t>E567</t>
  </si>
  <si>
    <t>Tarjeta Eliud</t>
  </si>
  <si>
    <t>Periodo de la declaracion Enero 2024</t>
  </si>
  <si>
    <t>0424 0VGQ 1400 4143 5249</t>
  </si>
  <si>
    <t>Estacion Huertos</t>
  </si>
  <si>
    <t>Folio. 18475360</t>
  </si>
  <si>
    <t>Aprobacion. 511258</t>
  </si>
  <si>
    <t>0E7D7469C57A7C4A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</si>
</sst>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4" fontId="1" fillId="0" borderId="0" xfId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0" xfId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44" fontId="5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4" fontId="0" fillId="2" borderId="0" xfId="1" applyFont="1" applyFill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8"/>
  <sheetViews>
    <sheetView topLeftCell="A13" workbookViewId="0">
      <selection activeCell="A2" sqref="A2:G2"/>
    </sheetView>
  </sheetViews>
  <sheetFormatPr baseColWidth="10" defaultColWidth="11.453125" defaultRowHeight="14.5" x14ac:dyDescent="0.35"/>
  <cols>
    <col min="1" max="1" width="11.453125" style="3" bestFit="1" customWidth="1"/>
    <col min="2" max="2" width="14" style="3" bestFit="1" customWidth="1"/>
    <col min="3" max="3" width="15.81640625" style="4" bestFit="1" customWidth="1"/>
    <col min="4" max="4" width="16.1796875" style="3" bestFit="1" customWidth="1"/>
    <col min="5" max="5" width="27.7265625" style="3" bestFit="1" customWidth="1"/>
    <col min="6" max="6" width="23.54296875" style="3" bestFit="1" customWidth="1"/>
    <col min="7" max="7" width="17" style="3" bestFit="1" customWidth="1"/>
    <col min="8" max="16384" width="11.453125" style="3"/>
  </cols>
  <sheetData>
    <row r="2" spans="1:7" ht="15.5" x14ac:dyDescent="0.35">
      <c r="A2" s="7" t="s">
        <v>53</v>
      </c>
      <c r="B2" s="1" t="s">
        <v>52</v>
      </c>
      <c r="C2" s="2" t="s">
        <v>1</v>
      </c>
      <c r="D2" s="1" t="s">
        <v>2</v>
      </c>
      <c r="E2" s="1" t="s">
        <v>3</v>
      </c>
      <c r="F2" s="1" t="s">
        <v>56</v>
      </c>
    </row>
    <row r="3" spans="1:7" ht="15.5" x14ac:dyDescent="0.35">
      <c r="A3" s="3" t="s">
        <v>54</v>
      </c>
      <c r="B3" s="3" t="s">
        <v>0</v>
      </c>
      <c r="C3" s="4">
        <v>-0.28999999999999998</v>
      </c>
      <c r="D3" s="5">
        <v>45264</v>
      </c>
      <c r="E3" s="3">
        <v>32987055</v>
      </c>
      <c r="F3" s="3" t="s">
        <v>4</v>
      </c>
      <c r="G3" s="8" t="s">
        <v>57</v>
      </c>
    </row>
    <row r="4" spans="1:7" ht="15.5" x14ac:dyDescent="0.35">
      <c r="A4" s="3" t="s">
        <v>54</v>
      </c>
      <c r="B4" s="3" t="s">
        <v>5</v>
      </c>
      <c r="C4" s="4">
        <v>-53.35</v>
      </c>
      <c r="D4" s="5">
        <v>45264</v>
      </c>
      <c r="E4" s="3">
        <v>75419859</v>
      </c>
      <c r="F4" s="3" t="s">
        <v>6</v>
      </c>
      <c r="G4" s="8" t="s">
        <v>57</v>
      </c>
    </row>
    <row r="5" spans="1:7" ht="15.5" x14ac:dyDescent="0.35">
      <c r="A5" s="3" t="s">
        <v>54</v>
      </c>
      <c r="B5" s="3" t="s">
        <v>7</v>
      </c>
      <c r="C5" s="4">
        <v>119</v>
      </c>
      <c r="D5" s="5">
        <v>45264</v>
      </c>
      <c r="E5" s="3">
        <v>45295851</v>
      </c>
      <c r="F5" s="3" t="s">
        <v>8</v>
      </c>
      <c r="G5" s="8" t="s">
        <v>57</v>
      </c>
    </row>
    <row r="6" spans="1:7" ht="15.5" x14ac:dyDescent="0.35">
      <c r="A6" s="3" t="s">
        <v>54</v>
      </c>
      <c r="B6" s="3" t="s">
        <v>9</v>
      </c>
      <c r="C6" s="4">
        <v>91666</v>
      </c>
      <c r="D6" s="5">
        <v>45264</v>
      </c>
      <c r="E6" s="3">
        <v>43722839</v>
      </c>
      <c r="F6" s="3" t="s">
        <v>10</v>
      </c>
      <c r="G6" s="8" t="s">
        <v>57</v>
      </c>
    </row>
    <row r="7" spans="1:7" ht="15.5" x14ac:dyDescent="0.35">
      <c r="A7" s="3" t="s">
        <v>54</v>
      </c>
      <c r="B7" s="3" t="s">
        <v>11</v>
      </c>
      <c r="C7" s="4">
        <v>119</v>
      </c>
      <c r="D7" s="5">
        <v>45264</v>
      </c>
      <c r="E7" s="3">
        <v>45295508</v>
      </c>
      <c r="F7" s="3" t="s">
        <v>12</v>
      </c>
      <c r="G7" s="8" t="s">
        <v>57</v>
      </c>
    </row>
    <row r="8" spans="1:7" ht="15.5" x14ac:dyDescent="0.35">
      <c r="A8" s="3" t="s">
        <v>54</v>
      </c>
      <c r="B8" s="3" t="s">
        <v>13</v>
      </c>
      <c r="C8" s="4">
        <v>1615</v>
      </c>
      <c r="D8" s="5">
        <v>45264</v>
      </c>
      <c r="E8" s="3">
        <v>44879550</v>
      </c>
      <c r="F8" s="3" t="s">
        <v>14</v>
      </c>
      <c r="G8" s="8" t="s">
        <v>57</v>
      </c>
    </row>
    <row r="9" spans="1:7" ht="15.5" x14ac:dyDescent="0.35">
      <c r="A9" s="3" t="s">
        <v>54</v>
      </c>
      <c r="B9" s="3" t="s">
        <v>15</v>
      </c>
      <c r="C9" s="4">
        <v>2623</v>
      </c>
      <c r="D9" s="5">
        <v>45264</v>
      </c>
      <c r="E9" s="3">
        <v>44825274</v>
      </c>
      <c r="F9" s="3" t="s">
        <v>16</v>
      </c>
      <c r="G9" s="8" t="s">
        <v>57</v>
      </c>
    </row>
    <row r="10" spans="1:7" ht="15.5" x14ac:dyDescent="0.35">
      <c r="A10" s="3" t="s">
        <v>54</v>
      </c>
      <c r="B10" s="3" t="s">
        <v>17</v>
      </c>
      <c r="C10" s="4">
        <v>609</v>
      </c>
      <c r="D10" s="5">
        <v>45264</v>
      </c>
      <c r="E10" s="3">
        <v>63735020</v>
      </c>
      <c r="F10" s="3" t="s">
        <v>18</v>
      </c>
      <c r="G10" s="8" t="s">
        <v>57</v>
      </c>
    </row>
    <row r="11" spans="1:7" ht="15.5" x14ac:dyDescent="0.35">
      <c r="A11" s="3" t="s">
        <v>54</v>
      </c>
      <c r="B11" s="3" t="s">
        <v>19</v>
      </c>
      <c r="C11" s="4">
        <v>477</v>
      </c>
      <c r="D11" s="5">
        <v>45264</v>
      </c>
      <c r="E11" s="3">
        <v>63863434</v>
      </c>
      <c r="F11" s="3" t="s">
        <v>20</v>
      </c>
      <c r="G11" s="8" t="s">
        <v>57</v>
      </c>
    </row>
    <row r="12" spans="1:7" ht="15.5" x14ac:dyDescent="0.35">
      <c r="A12" s="3" t="s">
        <v>54</v>
      </c>
      <c r="B12" s="3" t="s">
        <v>21</v>
      </c>
      <c r="C12" s="4">
        <v>173</v>
      </c>
      <c r="D12" s="5">
        <v>45264</v>
      </c>
      <c r="E12" s="3">
        <v>55548167</v>
      </c>
      <c r="F12" s="3" t="s">
        <v>22</v>
      </c>
      <c r="G12" s="8" t="s">
        <v>57</v>
      </c>
    </row>
    <row r="13" spans="1:7" ht="15.5" x14ac:dyDescent="0.35">
      <c r="A13" s="3" t="s">
        <v>54</v>
      </c>
      <c r="B13" s="3" t="s">
        <v>23</v>
      </c>
      <c r="C13" s="4">
        <v>238</v>
      </c>
      <c r="D13" s="5">
        <v>45264</v>
      </c>
      <c r="E13" s="3">
        <v>98404758</v>
      </c>
      <c r="F13" s="3" t="s">
        <v>24</v>
      </c>
      <c r="G13" s="8" t="s">
        <v>57</v>
      </c>
    </row>
    <row r="14" spans="1:7" ht="15.5" x14ac:dyDescent="0.35">
      <c r="A14" s="3" t="s">
        <v>54</v>
      </c>
      <c r="B14" s="3" t="s">
        <v>25</v>
      </c>
      <c r="C14" s="4">
        <v>354</v>
      </c>
      <c r="D14" s="5">
        <v>45257</v>
      </c>
      <c r="E14" s="3">
        <v>63884643</v>
      </c>
      <c r="F14" s="3" t="s">
        <v>26</v>
      </c>
      <c r="G14" s="8" t="s">
        <v>57</v>
      </c>
    </row>
    <row r="15" spans="1:7" ht="15.5" x14ac:dyDescent="0.35">
      <c r="A15" s="3" t="s">
        <v>54</v>
      </c>
      <c r="B15" s="3" t="s">
        <v>27</v>
      </c>
      <c r="C15" s="4">
        <v>68</v>
      </c>
      <c r="D15" s="5">
        <v>45257</v>
      </c>
      <c r="E15" s="6">
        <v>45311215</v>
      </c>
      <c r="F15" s="3" t="s">
        <v>28</v>
      </c>
      <c r="G15" s="8" t="s">
        <v>57</v>
      </c>
    </row>
    <row r="16" spans="1:7" ht="15.5" x14ac:dyDescent="0.35">
      <c r="A16" s="3" t="s">
        <v>54</v>
      </c>
      <c r="B16" s="3" t="s">
        <v>29</v>
      </c>
      <c r="C16" s="4">
        <v>64</v>
      </c>
      <c r="D16" s="5">
        <v>45257</v>
      </c>
      <c r="E16" s="3">
        <v>45311223</v>
      </c>
      <c r="F16" s="3" t="s">
        <v>30</v>
      </c>
      <c r="G16" s="8" t="s">
        <v>57</v>
      </c>
    </row>
    <row r="17" spans="1:7" ht="15.5" x14ac:dyDescent="0.35">
      <c r="A17" s="3" t="s">
        <v>54</v>
      </c>
      <c r="B17" s="3" t="s">
        <v>31</v>
      </c>
      <c r="C17" s="4">
        <v>60</v>
      </c>
      <c r="D17" s="5">
        <v>45257</v>
      </c>
      <c r="E17" s="3">
        <v>45311224</v>
      </c>
      <c r="F17" s="3" t="s">
        <v>32</v>
      </c>
      <c r="G17" s="8" t="s">
        <v>57</v>
      </c>
    </row>
    <row r="18" spans="1:7" ht="15.5" x14ac:dyDescent="0.35">
      <c r="A18" s="3" t="s">
        <v>54</v>
      </c>
      <c r="B18" s="3" t="s">
        <v>33</v>
      </c>
      <c r="C18" s="4">
        <v>60</v>
      </c>
      <c r="D18" s="5">
        <v>45257</v>
      </c>
      <c r="E18" s="3">
        <v>45311225</v>
      </c>
      <c r="F18" s="3" t="s">
        <v>34</v>
      </c>
      <c r="G18" s="8" t="s">
        <v>57</v>
      </c>
    </row>
    <row r="19" spans="1:7" ht="15.5" x14ac:dyDescent="0.35">
      <c r="A19" s="3" t="s">
        <v>54</v>
      </c>
      <c r="B19" s="3" t="s">
        <v>35</v>
      </c>
      <c r="C19" s="4">
        <v>63</v>
      </c>
      <c r="D19" s="5">
        <v>45257</v>
      </c>
      <c r="E19" s="6">
        <v>45311226</v>
      </c>
      <c r="F19" s="3" t="s">
        <v>36</v>
      </c>
      <c r="G19" s="8" t="s">
        <v>57</v>
      </c>
    </row>
    <row r="20" spans="1:7" ht="15.5" x14ac:dyDescent="0.35">
      <c r="A20" s="3" t="s">
        <v>54</v>
      </c>
      <c r="B20" s="3" t="s">
        <v>38</v>
      </c>
      <c r="C20" s="4">
        <v>60</v>
      </c>
      <c r="D20" s="5">
        <v>45257</v>
      </c>
      <c r="E20" s="3">
        <v>45311227</v>
      </c>
      <c r="F20" s="3" t="s">
        <v>37</v>
      </c>
      <c r="G20" s="8" t="s">
        <v>57</v>
      </c>
    </row>
    <row r="21" spans="1:7" ht="15.5" x14ac:dyDescent="0.35">
      <c r="A21" s="3" t="s">
        <v>54</v>
      </c>
      <c r="B21" s="3" t="s">
        <v>40</v>
      </c>
      <c r="C21" s="4">
        <v>65</v>
      </c>
      <c r="D21" s="5">
        <v>45257</v>
      </c>
      <c r="E21" s="3">
        <v>45311229</v>
      </c>
      <c r="F21" s="3" t="s">
        <v>39</v>
      </c>
      <c r="G21" s="8" t="s">
        <v>57</v>
      </c>
    </row>
    <row r="22" spans="1:7" ht="15.5" x14ac:dyDescent="0.35">
      <c r="A22" s="3" t="s">
        <v>54</v>
      </c>
      <c r="B22" s="3" t="s">
        <v>42</v>
      </c>
      <c r="C22" s="4">
        <v>64</v>
      </c>
      <c r="D22" s="5">
        <v>45257</v>
      </c>
      <c r="E22" s="3">
        <v>45311231</v>
      </c>
      <c r="F22" s="6" t="s">
        <v>41</v>
      </c>
      <c r="G22" s="8" t="s">
        <v>57</v>
      </c>
    </row>
    <row r="23" spans="1:7" ht="15.5" x14ac:dyDescent="0.35">
      <c r="A23" s="3" t="s">
        <v>54</v>
      </c>
      <c r="B23" s="3" t="s">
        <v>43</v>
      </c>
      <c r="C23" s="4">
        <v>65</v>
      </c>
      <c r="D23" s="5">
        <v>45257</v>
      </c>
      <c r="E23" s="3">
        <v>45311233</v>
      </c>
      <c r="F23" s="3" t="s">
        <v>44</v>
      </c>
      <c r="G23" s="8" t="s">
        <v>57</v>
      </c>
    </row>
    <row r="24" spans="1:7" ht="15.5" x14ac:dyDescent="0.35">
      <c r="A24" s="3" t="s">
        <v>54</v>
      </c>
      <c r="B24" s="3" t="s">
        <v>46</v>
      </c>
      <c r="C24" s="4">
        <v>63</v>
      </c>
      <c r="D24" s="5">
        <v>45257</v>
      </c>
      <c r="E24" s="3">
        <v>45311234</v>
      </c>
      <c r="F24" s="3" t="s">
        <v>45</v>
      </c>
      <c r="G24" s="8" t="s">
        <v>57</v>
      </c>
    </row>
    <row r="26" spans="1:7" x14ac:dyDescent="0.35">
      <c r="A26" s="3" t="s">
        <v>47</v>
      </c>
      <c r="B26" s="3">
        <v>4757</v>
      </c>
      <c r="C26" s="4">
        <v>6252.4</v>
      </c>
      <c r="D26" s="5">
        <v>45272</v>
      </c>
      <c r="E26" s="6" t="s">
        <v>58</v>
      </c>
    </row>
    <row r="27" spans="1:7" x14ac:dyDescent="0.35">
      <c r="A27" s="3" t="s">
        <v>49</v>
      </c>
      <c r="B27" s="3" t="s">
        <v>48</v>
      </c>
      <c r="C27" s="4">
        <v>3480</v>
      </c>
      <c r="D27" s="5">
        <v>45272</v>
      </c>
      <c r="E27" s="3" t="s">
        <v>59</v>
      </c>
    </row>
    <row r="28" spans="1:7" ht="29" x14ac:dyDescent="0.35">
      <c r="A28" s="6" t="s">
        <v>60</v>
      </c>
      <c r="B28" s="3">
        <v>558815233</v>
      </c>
      <c r="C28" s="4">
        <v>2516</v>
      </c>
      <c r="D28" s="5">
        <v>45280</v>
      </c>
      <c r="E28" s="6" t="s">
        <v>50</v>
      </c>
      <c r="F28" s="3" t="s">
        <v>51</v>
      </c>
      <c r="G28" s="3" t="s">
        <v>55</v>
      </c>
    </row>
    <row r="31" spans="1:7" x14ac:dyDescent="0.35">
      <c r="C31" s="3"/>
    </row>
    <row r="38" spans="3:3" x14ac:dyDescent="0.35">
      <c r="C38" s="4">
        <f>SUM(C3:C35)</f>
        <v>110819.76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workbookViewId="0">
      <pane xSplit="1" ySplit="1" topLeftCell="B11" activePane="bottomRight" state="frozenSplit"/>
      <selection pane="topRight" activeCell="D1" sqref="D1"/>
      <selection pane="bottomLeft" activeCell="A3" sqref="A3"/>
      <selection pane="bottomRight" activeCell="A23" sqref="A23"/>
    </sheetView>
  </sheetViews>
  <sheetFormatPr baseColWidth="10" defaultColWidth="11.453125" defaultRowHeight="14.5" x14ac:dyDescent="0.35"/>
  <cols>
    <col min="1" max="2" width="15.1796875" style="3" customWidth="1"/>
    <col min="3" max="3" width="13.81640625" style="4" customWidth="1"/>
    <col min="4" max="4" width="22.54296875" style="9" bestFit="1" customWidth="1"/>
    <col min="5" max="5" width="23.54296875" style="3" bestFit="1" customWidth="1"/>
    <col min="6" max="6" width="23.7265625" style="3" bestFit="1" customWidth="1"/>
    <col min="7" max="8" width="15.453125" style="3" bestFit="1" customWidth="1"/>
    <col min="9" max="9" width="12.54296875" style="4" bestFit="1" customWidth="1"/>
    <col min="10" max="10" width="28.7265625" style="13" bestFit="1" customWidth="1"/>
    <col min="11" max="16384" width="11.453125" style="3"/>
  </cols>
  <sheetData>
    <row r="1" spans="1:10" ht="42" x14ac:dyDescent="0.35">
      <c r="A1" s="14" t="s">
        <v>53</v>
      </c>
      <c r="B1" s="14" t="s">
        <v>52</v>
      </c>
      <c r="C1" s="18" t="s">
        <v>1</v>
      </c>
      <c r="D1" s="16" t="s">
        <v>2</v>
      </c>
      <c r="E1" s="14" t="s">
        <v>3</v>
      </c>
      <c r="F1" s="14" t="s">
        <v>56</v>
      </c>
      <c r="G1" s="14" t="s">
        <v>73</v>
      </c>
      <c r="H1" s="14" t="s">
        <v>73</v>
      </c>
      <c r="I1" s="15" t="s">
        <v>96</v>
      </c>
      <c r="J1" s="17" t="s">
        <v>89</v>
      </c>
    </row>
    <row r="2" spans="1:10" x14ac:dyDescent="0.35">
      <c r="A2" s="3" t="s">
        <v>69</v>
      </c>
      <c r="B2" s="10" t="s">
        <v>70</v>
      </c>
      <c r="C2" s="11">
        <v>3480</v>
      </c>
      <c r="D2" s="9">
        <v>45296</v>
      </c>
      <c r="E2" s="3">
        <v>8</v>
      </c>
      <c r="F2" s="3" t="s">
        <v>71</v>
      </c>
      <c r="G2" s="3" t="s">
        <v>72</v>
      </c>
      <c r="H2" s="12">
        <v>145044664582</v>
      </c>
    </row>
    <row r="3" spans="1:10" x14ac:dyDescent="0.35">
      <c r="A3" s="3" t="s">
        <v>61</v>
      </c>
      <c r="B3" s="3" t="s">
        <v>62</v>
      </c>
      <c r="C3" s="4">
        <v>161</v>
      </c>
      <c r="D3" s="9">
        <v>45295</v>
      </c>
      <c r="E3" s="3">
        <v>32987055</v>
      </c>
      <c r="F3" s="6" t="s">
        <v>4</v>
      </c>
      <c r="G3" s="3" t="s">
        <v>63</v>
      </c>
      <c r="H3" s="3" t="s">
        <v>80</v>
      </c>
    </row>
    <row r="4" spans="1:10" x14ac:dyDescent="0.35">
      <c r="A4" s="3" t="s">
        <v>61</v>
      </c>
      <c r="B4" t="s">
        <v>64</v>
      </c>
      <c r="C4" s="4">
        <v>119</v>
      </c>
      <c r="D4" s="9">
        <v>45295</v>
      </c>
      <c r="E4" s="3">
        <v>45295851</v>
      </c>
      <c r="F4" s="3" t="s">
        <v>8</v>
      </c>
      <c r="G4" s="3" t="s">
        <v>63</v>
      </c>
      <c r="H4" s="3" t="s">
        <v>80</v>
      </c>
      <c r="I4" s="4">
        <v>119</v>
      </c>
      <c r="J4" s="13">
        <v>45318</v>
      </c>
    </row>
    <row r="5" spans="1:10" x14ac:dyDescent="0.35">
      <c r="A5" s="3" t="s">
        <v>61</v>
      </c>
      <c r="B5" t="s">
        <v>65</v>
      </c>
      <c r="C5" s="4">
        <v>2623</v>
      </c>
      <c r="D5" s="9">
        <v>45295</v>
      </c>
      <c r="E5" s="3">
        <v>44825274</v>
      </c>
      <c r="F5" s="3" t="s">
        <v>16</v>
      </c>
      <c r="G5" s="3" t="s">
        <v>63</v>
      </c>
      <c r="H5" s="3" t="s">
        <v>80</v>
      </c>
      <c r="I5" s="4">
        <v>2623</v>
      </c>
      <c r="J5" s="13">
        <v>45318</v>
      </c>
    </row>
    <row r="6" spans="1:10" x14ac:dyDescent="0.35">
      <c r="A6" s="3" t="s">
        <v>61</v>
      </c>
      <c r="B6" t="s">
        <v>66</v>
      </c>
      <c r="C6" s="4">
        <v>93659</v>
      </c>
      <c r="D6" s="9">
        <v>45295</v>
      </c>
      <c r="E6" s="10">
        <v>43722839</v>
      </c>
      <c r="F6" s="3" t="s">
        <v>10</v>
      </c>
      <c r="G6" s="3" t="s">
        <v>63</v>
      </c>
      <c r="H6" s="3" t="s">
        <v>80</v>
      </c>
      <c r="I6" s="4">
        <v>92977</v>
      </c>
      <c r="J6" s="13">
        <v>45318</v>
      </c>
    </row>
    <row r="7" spans="1:10" x14ac:dyDescent="0.35">
      <c r="A7" s="3" t="s">
        <v>61</v>
      </c>
      <c r="B7" t="s">
        <v>67</v>
      </c>
      <c r="C7" s="4">
        <v>1623</v>
      </c>
      <c r="D7" s="9">
        <v>45295</v>
      </c>
      <c r="E7" s="3">
        <v>44879550</v>
      </c>
      <c r="F7" s="3" t="s">
        <v>14</v>
      </c>
      <c r="G7" s="3" t="s">
        <v>63</v>
      </c>
      <c r="H7" s="3" t="s">
        <v>80</v>
      </c>
      <c r="I7" s="4">
        <v>1630</v>
      </c>
      <c r="J7" s="13">
        <v>45318</v>
      </c>
    </row>
    <row r="8" spans="1:10" x14ac:dyDescent="0.35">
      <c r="A8" s="3" t="s">
        <v>61</v>
      </c>
      <c r="B8" t="s">
        <v>68</v>
      </c>
      <c r="C8" s="4">
        <v>119</v>
      </c>
      <c r="D8" s="9">
        <v>45295</v>
      </c>
      <c r="E8" s="3">
        <v>45295508</v>
      </c>
      <c r="F8" s="3" t="s">
        <v>12</v>
      </c>
      <c r="G8" s="3" t="s">
        <v>63</v>
      </c>
      <c r="H8" s="3" t="s">
        <v>80</v>
      </c>
    </row>
    <row r="9" spans="1:10" x14ac:dyDescent="0.35">
      <c r="A9" s="3" t="s">
        <v>61</v>
      </c>
      <c r="B9" s="3" t="s">
        <v>23</v>
      </c>
      <c r="C9" s="4">
        <v>238</v>
      </c>
      <c r="D9" s="9">
        <v>45264</v>
      </c>
      <c r="E9" s="3">
        <v>98404758</v>
      </c>
      <c r="F9" s="3" t="s">
        <v>24</v>
      </c>
      <c r="G9" s="3" t="s">
        <v>63</v>
      </c>
      <c r="H9" s="3" t="s">
        <v>80</v>
      </c>
      <c r="I9" s="4">
        <v>238</v>
      </c>
      <c r="J9" s="13">
        <v>45294</v>
      </c>
    </row>
    <row r="10" spans="1:10" ht="29" x14ac:dyDescent="0.35">
      <c r="A10" s="3" t="s">
        <v>74</v>
      </c>
      <c r="B10" s="3">
        <v>563259085</v>
      </c>
      <c r="C10" s="4">
        <v>2481</v>
      </c>
      <c r="D10" s="9">
        <v>45313</v>
      </c>
      <c r="E10" s="6" t="s">
        <v>76</v>
      </c>
      <c r="F10" s="3" t="s">
        <v>75</v>
      </c>
      <c r="G10" s="3" t="s">
        <v>63</v>
      </c>
      <c r="H10" s="3" t="s">
        <v>80</v>
      </c>
      <c r="I10" s="4">
        <v>2481</v>
      </c>
      <c r="J10" s="13">
        <v>45308</v>
      </c>
    </row>
    <row r="11" spans="1:10" x14ac:dyDescent="0.35">
      <c r="A11" s="3" t="s">
        <v>77</v>
      </c>
      <c r="B11" s="3">
        <v>4879</v>
      </c>
      <c r="C11" s="4">
        <v>6200.2</v>
      </c>
      <c r="D11" s="9">
        <v>45306</v>
      </c>
      <c r="E11" s="3" t="s">
        <v>78</v>
      </c>
      <c r="F11" s="3" t="s">
        <v>80</v>
      </c>
      <c r="G11" s="3" t="s">
        <v>80</v>
      </c>
      <c r="H11" s="3" t="s">
        <v>80</v>
      </c>
      <c r="I11" s="4">
        <v>6200.2</v>
      </c>
      <c r="J11" s="13">
        <v>45308</v>
      </c>
    </row>
    <row r="12" spans="1:10" x14ac:dyDescent="0.35">
      <c r="A12" s="3" t="s">
        <v>61</v>
      </c>
      <c r="B12" s="3" t="s">
        <v>79</v>
      </c>
      <c r="C12" s="4">
        <v>54</v>
      </c>
      <c r="D12" s="9">
        <v>45287</v>
      </c>
      <c r="E12" s="3">
        <v>45311223</v>
      </c>
      <c r="F12" s="3" t="s">
        <v>30</v>
      </c>
      <c r="G12" s="3" t="s">
        <v>63</v>
      </c>
      <c r="H12" s="3" t="s">
        <v>80</v>
      </c>
      <c r="I12" s="4">
        <v>54</v>
      </c>
      <c r="J12" s="13">
        <v>45310</v>
      </c>
    </row>
    <row r="13" spans="1:10" x14ac:dyDescent="0.35">
      <c r="A13" s="3" t="s">
        <v>61</v>
      </c>
      <c r="B13" s="3" t="s">
        <v>81</v>
      </c>
      <c r="C13" s="4">
        <v>56</v>
      </c>
      <c r="D13" s="9">
        <v>45287</v>
      </c>
      <c r="E13" s="3">
        <v>45311224</v>
      </c>
      <c r="F13" s="3" t="s">
        <v>32</v>
      </c>
      <c r="G13" s="3" t="s">
        <v>63</v>
      </c>
      <c r="H13" s="3" t="s">
        <v>80</v>
      </c>
      <c r="I13" s="4">
        <v>56</v>
      </c>
      <c r="J13" s="13">
        <v>45310</v>
      </c>
    </row>
    <row r="14" spans="1:10" x14ac:dyDescent="0.35">
      <c r="A14" s="3" t="s">
        <v>61</v>
      </c>
      <c r="B14" s="3" t="s">
        <v>82</v>
      </c>
      <c r="C14" s="4">
        <v>56</v>
      </c>
      <c r="D14" s="9">
        <v>45287</v>
      </c>
      <c r="E14" s="3">
        <v>45311229</v>
      </c>
      <c r="F14" s="3" t="s">
        <v>39</v>
      </c>
      <c r="G14" s="3" t="s">
        <v>63</v>
      </c>
      <c r="H14" s="3" t="s">
        <v>80</v>
      </c>
    </row>
    <row r="15" spans="1:10" x14ac:dyDescent="0.35">
      <c r="A15" s="3" t="s">
        <v>61</v>
      </c>
      <c r="B15" s="3" t="s">
        <v>83</v>
      </c>
      <c r="C15" s="4">
        <v>66</v>
      </c>
      <c r="D15" s="9">
        <v>45287</v>
      </c>
      <c r="E15" s="3">
        <v>45311225</v>
      </c>
      <c r="F15" s="3" t="s">
        <v>34</v>
      </c>
      <c r="G15" s="3" t="s">
        <v>63</v>
      </c>
      <c r="H15" s="3" t="s">
        <v>80</v>
      </c>
    </row>
    <row r="16" spans="1:10" x14ac:dyDescent="0.35">
      <c r="A16" s="3" t="s">
        <v>61</v>
      </c>
      <c r="B16" s="3" t="s">
        <v>84</v>
      </c>
      <c r="C16" s="4">
        <v>53</v>
      </c>
      <c r="D16" s="9">
        <v>45287</v>
      </c>
      <c r="E16" s="3">
        <v>45311215</v>
      </c>
      <c r="F16" s="3" t="s">
        <v>28</v>
      </c>
      <c r="G16" s="3" t="s">
        <v>63</v>
      </c>
      <c r="H16" s="3" t="s">
        <v>80</v>
      </c>
      <c r="I16" s="4">
        <v>53</v>
      </c>
      <c r="J16" s="13">
        <v>45310</v>
      </c>
    </row>
    <row r="17" spans="1:10" x14ac:dyDescent="0.35">
      <c r="A17" s="3" t="s">
        <v>61</v>
      </c>
      <c r="B17" s="3" t="s">
        <v>85</v>
      </c>
      <c r="C17" s="4">
        <v>57</v>
      </c>
      <c r="D17" s="9">
        <v>45287</v>
      </c>
      <c r="E17" s="3">
        <v>45311233</v>
      </c>
      <c r="F17" s="3" t="s">
        <v>44</v>
      </c>
      <c r="G17" s="3" t="s">
        <v>63</v>
      </c>
      <c r="H17" s="3" t="s">
        <v>80</v>
      </c>
      <c r="I17" s="4">
        <v>57</v>
      </c>
      <c r="J17" s="13">
        <v>45310</v>
      </c>
    </row>
    <row r="18" spans="1:10" x14ac:dyDescent="0.35">
      <c r="A18" s="3" t="s">
        <v>61</v>
      </c>
      <c r="B18" s="3" t="s">
        <v>86</v>
      </c>
      <c r="C18" s="4">
        <v>54</v>
      </c>
      <c r="D18" s="9">
        <v>45287</v>
      </c>
      <c r="E18" s="3">
        <v>45311227</v>
      </c>
      <c r="F18" s="3" t="s">
        <v>37</v>
      </c>
      <c r="G18" s="3" t="s">
        <v>63</v>
      </c>
      <c r="H18" s="3" t="s">
        <v>80</v>
      </c>
      <c r="I18" s="4">
        <v>54</v>
      </c>
      <c r="J18" s="13">
        <v>45310</v>
      </c>
    </row>
    <row r="19" spans="1:10" x14ac:dyDescent="0.35">
      <c r="A19" s="3" t="s">
        <v>61</v>
      </c>
      <c r="B19" s="3" t="s">
        <v>87</v>
      </c>
      <c r="C19" s="4">
        <v>56</v>
      </c>
      <c r="D19" s="9">
        <v>45287</v>
      </c>
      <c r="E19" s="3">
        <v>45311226</v>
      </c>
      <c r="F19" s="3" t="s">
        <v>36</v>
      </c>
      <c r="G19" s="3" t="s">
        <v>63</v>
      </c>
      <c r="H19" s="3" t="s">
        <v>80</v>
      </c>
      <c r="I19" s="4">
        <v>56</v>
      </c>
      <c r="J19" s="13">
        <v>45310</v>
      </c>
    </row>
    <row r="20" spans="1:10" x14ac:dyDescent="0.35">
      <c r="A20" s="3" t="s">
        <v>61</v>
      </c>
      <c r="B20" s="3" t="s">
        <v>88</v>
      </c>
      <c r="C20" s="4">
        <v>57</v>
      </c>
      <c r="D20" s="9">
        <v>45287</v>
      </c>
      <c r="E20" s="3">
        <v>45311231</v>
      </c>
      <c r="F20" s="3" t="s">
        <v>41</v>
      </c>
      <c r="G20" s="3" t="s">
        <v>63</v>
      </c>
      <c r="H20" s="3" t="s">
        <v>80</v>
      </c>
      <c r="I20" s="4">
        <v>57</v>
      </c>
      <c r="J20" s="13">
        <v>45310</v>
      </c>
    </row>
    <row r="21" spans="1:10" x14ac:dyDescent="0.35">
      <c r="A21" s="3" t="s">
        <v>61</v>
      </c>
      <c r="B21" s="3" t="s">
        <v>90</v>
      </c>
      <c r="C21" s="4">
        <v>119</v>
      </c>
      <c r="D21" s="9">
        <v>45287</v>
      </c>
      <c r="E21" s="3">
        <v>63884643</v>
      </c>
      <c r="F21" s="3" t="s">
        <v>26</v>
      </c>
      <c r="G21" s="3" t="s">
        <v>63</v>
      </c>
      <c r="H21" s="3" t="s">
        <v>80</v>
      </c>
      <c r="I21" s="4">
        <v>119</v>
      </c>
      <c r="J21" s="13">
        <v>45312</v>
      </c>
    </row>
    <row r="22" spans="1:10" ht="29" x14ac:dyDescent="0.35">
      <c r="A22" s="3" t="s">
        <v>91</v>
      </c>
      <c r="B22" s="3">
        <v>1193125</v>
      </c>
      <c r="C22" s="4">
        <v>800.07</v>
      </c>
      <c r="D22" s="9">
        <v>45314</v>
      </c>
      <c r="E22" s="3">
        <v>6107</v>
      </c>
      <c r="F22" s="3" t="s">
        <v>92</v>
      </c>
      <c r="G22" s="6" t="s">
        <v>93</v>
      </c>
      <c r="H22" s="3" t="s">
        <v>80</v>
      </c>
      <c r="I22" s="4">
        <v>800.07</v>
      </c>
      <c r="J22" s="13">
        <v>45314</v>
      </c>
    </row>
    <row r="23" spans="1:10" ht="29" x14ac:dyDescent="0.35">
      <c r="A23" s="3" t="s">
        <v>94</v>
      </c>
      <c r="C23" s="4">
        <v>392.63</v>
      </c>
      <c r="D23" s="9">
        <v>45313</v>
      </c>
      <c r="E23" s="3" t="s">
        <v>80</v>
      </c>
      <c r="F23" s="3" t="s">
        <v>80</v>
      </c>
      <c r="G23" s="6" t="s">
        <v>95</v>
      </c>
      <c r="I23" s="4">
        <v>392.63</v>
      </c>
      <c r="J23" s="13">
        <v>45313</v>
      </c>
    </row>
    <row r="24" spans="1:10" x14ac:dyDescent="0.35">
      <c r="A24" s="3" t="s">
        <v>61</v>
      </c>
      <c r="B24" s="3" t="s">
        <v>97</v>
      </c>
      <c r="C24" s="4">
        <v>54</v>
      </c>
      <c r="D24" s="9">
        <v>45287</v>
      </c>
      <c r="E24" s="3">
        <v>45311234</v>
      </c>
      <c r="F24" s="3" t="s">
        <v>45</v>
      </c>
      <c r="G24" s="6" t="s">
        <v>63</v>
      </c>
      <c r="H24" s="3" t="s">
        <v>80</v>
      </c>
      <c r="I24" s="4">
        <v>54</v>
      </c>
      <c r="J24" s="13">
        <v>45316</v>
      </c>
    </row>
    <row r="25" spans="1:10" x14ac:dyDescent="0.35">
      <c r="A25" s="3" t="s">
        <v>61</v>
      </c>
      <c r="B25" s="3" t="s">
        <v>68</v>
      </c>
      <c r="C25" s="4">
        <v>119</v>
      </c>
      <c r="D25" s="9">
        <v>45295</v>
      </c>
      <c r="E25" s="3">
        <v>45295508</v>
      </c>
      <c r="F25" s="3" t="s">
        <v>12</v>
      </c>
      <c r="G25" s="6" t="s">
        <v>63</v>
      </c>
      <c r="H25" s="3" t="s">
        <v>80</v>
      </c>
      <c r="I25" s="4">
        <v>119</v>
      </c>
      <c r="J25" s="13">
        <v>45316</v>
      </c>
    </row>
    <row r="26" spans="1:10" x14ac:dyDescent="0.35">
      <c r="A26" s="3" t="s">
        <v>61</v>
      </c>
      <c r="B26" s="3" t="s">
        <v>98</v>
      </c>
      <c r="C26" s="4">
        <v>119</v>
      </c>
      <c r="D26" s="9">
        <v>45287</v>
      </c>
      <c r="E26" s="3">
        <v>55564566</v>
      </c>
      <c r="F26" s="3" t="s">
        <v>99</v>
      </c>
      <c r="G26" s="6" t="s">
        <v>63</v>
      </c>
      <c r="H26" s="3" t="s">
        <v>80</v>
      </c>
      <c r="I26" s="4">
        <v>119</v>
      </c>
      <c r="J26" s="13">
        <v>45316</v>
      </c>
    </row>
    <row r="27" spans="1:10" ht="29" x14ac:dyDescent="0.35">
      <c r="A27" s="3" t="s">
        <v>94</v>
      </c>
      <c r="B27" s="3">
        <v>11961880</v>
      </c>
      <c r="C27" s="4">
        <v>786.88</v>
      </c>
      <c r="D27" s="9">
        <v>45321</v>
      </c>
      <c r="E27" s="3" t="s">
        <v>100</v>
      </c>
      <c r="F27" s="3" t="s">
        <v>80</v>
      </c>
      <c r="G27" s="6" t="s">
        <v>93</v>
      </c>
      <c r="H27" s="3" t="s">
        <v>80</v>
      </c>
      <c r="I27" s="4">
        <v>786.88</v>
      </c>
      <c r="J27" s="13">
        <v>45321</v>
      </c>
    </row>
    <row r="28" spans="1:10" ht="29" x14ac:dyDescent="0.35">
      <c r="A28" s="3" t="s">
        <v>94</v>
      </c>
      <c r="B28" s="3">
        <v>18358050</v>
      </c>
      <c r="C28" s="4">
        <v>700</v>
      </c>
      <c r="D28" s="9">
        <v>45321</v>
      </c>
      <c r="E28" s="3" t="s">
        <v>101</v>
      </c>
      <c r="F28" s="3" t="s">
        <v>80</v>
      </c>
      <c r="G28" s="6" t="s">
        <v>95</v>
      </c>
      <c r="H28" s="3" t="s">
        <v>80</v>
      </c>
      <c r="I28" s="4">
        <v>700</v>
      </c>
      <c r="J28" s="13">
        <v>45321</v>
      </c>
    </row>
    <row r="29" spans="1:10" x14ac:dyDescent="0.35">
      <c r="A29" s="3" t="s">
        <v>61</v>
      </c>
      <c r="B29" s="3" t="s">
        <v>102</v>
      </c>
      <c r="C29" s="4">
        <v>476</v>
      </c>
      <c r="D29" s="9">
        <v>45321</v>
      </c>
      <c r="E29" s="6">
        <v>63863434</v>
      </c>
      <c r="F29" s="3" t="s">
        <v>20</v>
      </c>
      <c r="G29" s="6" t="s">
        <v>63</v>
      </c>
      <c r="H29" s="3" t="s">
        <v>80</v>
      </c>
      <c r="I29" s="4">
        <v>476</v>
      </c>
      <c r="J29" s="13">
        <v>45321</v>
      </c>
    </row>
    <row r="30" spans="1:10" x14ac:dyDescent="0.35">
      <c r="A30" s="3" t="s">
        <v>61</v>
      </c>
      <c r="B30" s="10" t="s">
        <v>103</v>
      </c>
      <c r="C30" s="4">
        <v>575</v>
      </c>
      <c r="D30" s="9">
        <v>45295</v>
      </c>
      <c r="E30" s="6">
        <v>63735020</v>
      </c>
      <c r="F30" s="6" t="s">
        <v>18</v>
      </c>
      <c r="G30" s="6" t="s">
        <v>63</v>
      </c>
      <c r="H30" s="3" t="s">
        <v>80</v>
      </c>
    </row>
    <row r="31" spans="1:10" x14ac:dyDescent="0.35">
      <c r="E31" s="6"/>
      <c r="G31" s="6"/>
    </row>
    <row r="33" spans="3:9" x14ac:dyDescent="0.35">
      <c r="C33" s="4">
        <f>SUM(C2:C32)</f>
        <v>115353.78000000001</v>
      </c>
      <c r="I33" s="4">
        <f>SUM(I2:I29)</f>
        <v>110221.78000000001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abSelected="1" workbookViewId="0">
      <pane xSplit="1" ySplit="1" topLeftCell="C2" activePane="bottomRight" state="frozenSplit"/>
      <selection pane="topRight" activeCell="G1" sqref="G1"/>
      <selection pane="bottomLeft" activeCell="A3" sqref="A3"/>
      <selection pane="bottomRight" activeCell="C8" sqref="C8"/>
    </sheetView>
  </sheetViews>
  <sheetFormatPr baseColWidth="10" defaultColWidth="11.453125" defaultRowHeight="14.5" x14ac:dyDescent="0.35"/>
  <cols>
    <col min="1" max="1" width="14.81640625" style="6" bestFit="1" customWidth="1"/>
    <col min="2" max="2" width="17.81640625" style="6" customWidth="1"/>
    <col min="3" max="3" width="12" style="21" bestFit="1" customWidth="1"/>
    <col min="4" max="4" width="20.7265625" style="22" bestFit="1" customWidth="1"/>
    <col min="5" max="5" width="22.54296875" style="6" customWidth="1"/>
    <col min="6" max="6" width="27" style="6" customWidth="1"/>
    <col min="7" max="8" width="15.453125" style="6" bestFit="1" customWidth="1"/>
    <col min="9" max="9" width="11" style="21" bestFit="1" customWidth="1"/>
    <col min="10" max="10" width="21.7265625" style="22" bestFit="1" customWidth="1"/>
    <col min="11" max="16384" width="11.453125" style="6"/>
  </cols>
  <sheetData>
    <row r="1" spans="1:10" ht="42" x14ac:dyDescent="0.35">
      <c r="A1" s="19" t="s">
        <v>53</v>
      </c>
      <c r="B1" s="19" t="s">
        <v>52</v>
      </c>
      <c r="C1" s="18" t="s">
        <v>1</v>
      </c>
      <c r="D1" s="20" t="s">
        <v>2</v>
      </c>
      <c r="E1" s="19" t="s">
        <v>3</v>
      </c>
      <c r="F1" s="19" t="s">
        <v>56</v>
      </c>
      <c r="G1" s="19" t="s">
        <v>73</v>
      </c>
      <c r="H1" s="19" t="s">
        <v>73</v>
      </c>
      <c r="I1" s="18" t="s">
        <v>96</v>
      </c>
      <c r="J1" s="20" t="s">
        <v>89</v>
      </c>
    </row>
    <row r="2" spans="1:10" x14ac:dyDescent="0.35">
      <c r="A2" s="6" t="s">
        <v>61</v>
      </c>
      <c r="B2" s="6" t="s">
        <v>104</v>
      </c>
      <c r="C2" s="21">
        <v>323</v>
      </c>
      <c r="D2" s="22">
        <v>45326</v>
      </c>
      <c r="E2" s="6">
        <v>32987055</v>
      </c>
      <c r="F2" s="6" t="s">
        <v>4</v>
      </c>
      <c r="G2" s="6" t="s">
        <v>105</v>
      </c>
      <c r="H2" s="6" t="s">
        <v>80</v>
      </c>
    </row>
    <row r="3" spans="1:10" x14ac:dyDescent="0.35">
      <c r="A3" s="6" t="s">
        <v>61</v>
      </c>
      <c r="B3" s="6" t="s">
        <v>106</v>
      </c>
      <c r="C3" s="21">
        <v>1618</v>
      </c>
      <c r="D3" s="22">
        <v>45326</v>
      </c>
      <c r="E3" s="6">
        <v>44879550</v>
      </c>
      <c r="F3" s="6" t="s">
        <v>14</v>
      </c>
      <c r="G3" s="6" t="s">
        <v>105</v>
      </c>
      <c r="H3" s="6" t="s">
        <v>80</v>
      </c>
    </row>
    <row r="4" spans="1:10" x14ac:dyDescent="0.35">
      <c r="A4" s="6" t="s">
        <v>61</v>
      </c>
      <c r="B4" s="6" t="s">
        <v>107</v>
      </c>
      <c r="C4" s="21">
        <v>96783</v>
      </c>
      <c r="D4" s="22">
        <v>45326</v>
      </c>
      <c r="E4" s="6">
        <v>43722839</v>
      </c>
      <c r="F4" s="6" t="s">
        <v>10</v>
      </c>
      <c r="G4" s="6" t="s">
        <v>105</v>
      </c>
      <c r="H4" s="6" t="s">
        <v>80</v>
      </c>
      <c r="I4" s="21">
        <v>96783</v>
      </c>
      <c r="J4" s="22">
        <v>45337</v>
      </c>
    </row>
    <row r="5" spans="1:10" x14ac:dyDescent="0.35">
      <c r="A5" s="6" t="s">
        <v>61</v>
      </c>
      <c r="B5" s="6" t="s">
        <v>108</v>
      </c>
      <c r="C5" s="21">
        <v>2823</v>
      </c>
      <c r="D5" s="22">
        <v>45326</v>
      </c>
      <c r="E5" s="6">
        <v>44825274</v>
      </c>
      <c r="F5" s="6" t="s">
        <v>16</v>
      </c>
      <c r="G5" s="6" t="s">
        <v>105</v>
      </c>
      <c r="H5" s="6" t="s">
        <v>80</v>
      </c>
    </row>
    <row r="6" spans="1:10" x14ac:dyDescent="0.35">
      <c r="A6" s="6" t="s">
        <v>61</v>
      </c>
      <c r="B6" s="6" t="s">
        <v>109</v>
      </c>
      <c r="C6" s="21">
        <v>717</v>
      </c>
      <c r="D6" s="22">
        <v>45326</v>
      </c>
      <c r="E6" s="6">
        <v>63735020</v>
      </c>
      <c r="F6" s="6" t="s">
        <v>18</v>
      </c>
      <c r="G6" s="6" t="s">
        <v>105</v>
      </c>
      <c r="H6" s="6" t="s">
        <v>80</v>
      </c>
    </row>
    <row r="7" spans="1:10" x14ac:dyDescent="0.35">
      <c r="A7" s="6" t="s">
        <v>61</v>
      </c>
      <c r="B7" s="6" t="s">
        <v>110</v>
      </c>
      <c r="C7" s="21">
        <v>381</v>
      </c>
      <c r="D7" s="22">
        <v>45326</v>
      </c>
      <c r="E7" s="6">
        <v>55548167</v>
      </c>
      <c r="F7" s="6" t="s">
        <v>22</v>
      </c>
      <c r="G7" s="6" t="s">
        <v>105</v>
      </c>
      <c r="H7" s="6" t="s">
        <v>80</v>
      </c>
      <c r="I7" s="21">
        <v>381</v>
      </c>
      <c r="J7" s="22">
        <v>45331</v>
      </c>
    </row>
    <row r="8" spans="1:10" x14ac:dyDescent="0.35">
      <c r="A8" s="6" t="s">
        <v>61</v>
      </c>
      <c r="B8" s="10" t="s">
        <v>111</v>
      </c>
      <c r="C8" s="21">
        <v>163</v>
      </c>
      <c r="D8" s="22">
        <v>45326</v>
      </c>
      <c r="E8" s="6">
        <v>75419859</v>
      </c>
      <c r="F8" s="6" t="s">
        <v>6</v>
      </c>
      <c r="G8" s="6" t="s">
        <v>105</v>
      </c>
      <c r="H8" s="6" t="s">
        <v>80</v>
      </c>
    </row>
    <row r="9" spans="1:10" x14ac:dyDescent="0.35">
      <c r="A9" s="6" t="s">
        <v>61</v>
      </c>
      <c r="B9" s="6" t="s">
        <v>112</v>
      </c>
      <c r="C9" s="21">
        <v>144</v>
      </c>
      <c r="D9" s="22">
        <v>45326</v>
      </c>
      <c r="E9" s="6">
        <v>98404758</v>
      </c>
      <c r="F9" s="6" t="s">
        <v>24</v>
      </c>
      <c r="G9" s="6" t="s">
        <v>105</v>
      </c>
      <c r="H9" s="6" t="s">
        <v>80</v>
      </c>
    </row>
    <row r="10" spans="1:10" x14ac:dyDescent="0.35">
      <c r="A10" s="6" t="s">
        <v>61</v>
      </c>
      <c r="B10" s="6" t="s">
        <v>113</v>
      </c>
      <c r="C10" s="23">
        <v>546</v>
      </c>
      <c r="D10" s="22">
        <v>45295</v>
      </c>
      <c r="E10" s="6">
        <v>33164492</v>
      </c>
      <c r="F10" s="6" t="s">
        <v>114</v>
      </c>
      <c r="G10" s="6" t="s">
        <v>105</v>
      </c>
      <c r="H10" s="6" t="s">
        <v>80</v>
      </c>
      <c r="I10" s="21" t="s">
        <v>117</v>
      </c>
      <c r="J10" s="22" t="s">
        <v>116</v>
      </c>
    </row>
    <row r="11" spans="1:10" x14ac:dyDescent="0.35">
      <c r="A11" s="6" t="s">
        <v>61</v>
      </c>
      <c r="B11" s="6" t="s">
        <v>115</v>
      </c>
      <c r="C11" s="23">
        <v>635</v>
      </c>
      <c r="D11" s="22">
        <v>45326</v>
      </c>
      <c r="E11" s="6">
        <v>33164492</v>
      </c>
      <c r="F11" s="6" t="s">
        <v>114</v>
      </c>
      <c r="G11" s="6" t="s">
        <v>105</v>
      </c>
      <c r="H11" s="6" t="s">
        <v>80</v>
      </c>
      <c r="I11" s="21" t="s">
        <v>117</v>
      </c>
      <c r="J11" s="22" t="s">
        <v>116</v>
      </c>
    </row>
    <row r="12" spans="1:10" ht="29" x14ac:dyDescent="0.35">
      <c r="A12" s="6" t="s">
        <v>118</v>
      </c>
      <c r="B12" s="6">
        <v>1651609</v>
      </c>
      <c r="C12" s="21">
        <v>700</v>
      </c>
      <c r="D12" s="22">
        <v>45329</v>
      </c>
      <c r="E12" s="6">
        <v>6223</v>
      </c>
      <c r="F12" s="6" t="s">
        <v>119</v>
      </c>
      <c r="G12" s="6" t="s">
        <v>95</v>
      </c>
      <c r="H12" s="6" t="s">
        <v>120</v>
      </c>
      <c r="I12" s="21">
        <v>700</v>
      </c>
      <c r="J12" s="22">
        <v>45331</v>
      </c>
    </row>
    <row r="13" spans="1:10" ht="29" x14ac:dyDescent="0.35">
      <c r="A13" s="3" t="s">
        <v>74</v>
      </c>
      <c r="B13" s="6">
        <v>569039985</v>
      </c>
      <c r="C13" s="21">
        <v>3756</v>
      </c>
      <c r="D13" s="22">
        <v>45343</v>
      </c>
      <c r="E13" s="6" t="s">
        <v>121</v>
      </c>
      <c r="F13" s="6" t="s">
        <v>122</v>
      </c>
      <c r="G13" s="6" t="s">
        <v>105</v>
      </c>
      <c r="H13" s="6" t="s">
        <v>80</v>
      </c>
      <c r="I13" s="21">
        <v>3756</v>
      </c>
      <c r="J13" s="22">
        <v>45335</v>
      </c>
    </row>
    <row r="14" spans="1:10" ht="29" x14ac:dyDescent="0.35">
      <c r="A14" s="3" t="s">
        <v>94</v>
      </c>
      <c r="B14" s="6" t="s">
        <v>124</v>
      </c>
      <c r="C14" s="21">
        <v>659.61</v>
      </c>
      <c r="D14" s="22">
        <v>45335</v>
      </c>
      <c r="E14" s="6" t="s">
        <v>125</v>
      </c>
      <c r="F14" s="6" t="s">
        <v>126</v>
      </c>
      <c r="G14" s="6" t="s">
        <v>95</v>
      </c>
      <c r="H14" s="6" t="s">
        <v>123</v>
      </c>
      <c r="I14" s="21">
        <v>659.61</v>
      </c>
      <c r="J14" s="22">
        <v>45334</v>
      </c>
    </row>
    <row r="20" spans="3:3" x14ac:dyDescent="0.35">
      <c r="C20" s="21">
        <f>SUM(C2:C19)</f>
        <v>109248.61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Diciembre´2023</vt:lpstr>
      <vt:lpstr>Enero´2024</vt:lpstr>
      <vt:lpstr>Febrero´2024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UBITEC</dc:creator>
  <cp:lastModifiedBy>LENOVO</cp:lastModifiedBy>
  <dcterms:created xsi:type="dcterms:W3CDTF">2023-12-11T21:45:25Z</dcterms:created>
  <dcterms:modified xsi:type="dcterms:W3CDTF">2026-06-16T23:02:39Z</dcterms:modified>
</cp:coreProperties>
</file>